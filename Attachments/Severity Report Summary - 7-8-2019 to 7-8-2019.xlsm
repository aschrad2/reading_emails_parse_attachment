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/>
  <workbookPr defaultThemeVersion="124226"/>
  <mc:AlternateContent xmlns:mc="http://schemas.openxmlformats.org/markup-compatibility/2006">
    <mc:Choice Requires="x15">
      <x15ac:absPath xmlns:x15ac="http://schemas.microsoft.com/office/spreadsheetml/2010/11/ac" url="U:\Todd.Arola\"/>
    </mc:Choice>
  </mc:AlternateContent>
  <xr:revisionPtr revIDLastSave="0" documentId="13_ncr:1_{983A47B9-4F75-49B6-AC5C-0D81DB21DFA1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From Austin" sheetId="1" r:id="rId1"/>
    <sheet name="Data" sheetId="4" r:id="rId2"/>
    <sheet name="Pivot" sheetId="2" r:id="rId3"/>
    <sheet name="Lookups" sheetId="3" r:id="rId4"/>
    <sheet name="Access SQL" sheetId="5" r:id="rId5"/>
  </sheets>
  <definedNames>
    <definedName name="_xlnm._FilterDatabase" localSheetId="0" hidden="1">'From Austin'!$A$1:$O$3455</definedName>
  </definedNames>
  <calcPr calcId="19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3455" i="1" l="1"/>
  <c r="O3454" i="1"/>
  <c r="O3453" i="1"/>
  <c r="O3452" i="1"/>
  <c r="O3451" i="1"/>
  <c r="O3450" i="1"/>
  <c r="O3449" i="1"/>
  <c r="O3448" i="1"/>
  <c r="O3447" i="1"/>
  <c r="O3446" i="1"/>
  <c r="O3445" i="1"/>
  <c r="O3444" i="1"/>
  <c r="O3443" i="1"/>
  <c r="O3442" i="1"/>
  <c r="O3441" i="1"/>
  <c r="O3440" i="1"/>
  <c r="O3439" i="1"/>
  <c r="O3438" i="1"/>
  <c r="O3437" i="1"/>
  <c r="O3436" i="1"/>
  <c r="O3435" i="1"/>
  <c r="O3434" i="1"/>
  <c r="O3433" i="1"/>
  <c r="O3432" i="1"/>
  <c r="O3431" i="1"/>
  <c r="O3430" i="1"/>
  <c r="O3429" i="1"/>
  <c r="O3428" i="1"/>
  <c r="O3427" i="1"/>
  <c r="O3426" i="1"/>
  <c r="O3425" i="1"/>
  <c r="O3424" i="1"/>
  <c r="O3423" i="1"/>
  <c r="O3422" i="1"/>
  <c r="O3421" i="1"/>
  <c r="O3420" i="1"/>
  <c r="O3419" i="1"/>
  <c r="O3418" i="1"/>
  <c r="O3417" i="1"/>
  <c r="O3416" i="1"/>
  <c r="O3415" i="1"/>
  <c r="O3414" i="1"/>
  <c r="O3413" i="1"/>
  <c r="O3412" i="1"/>
  <c r="O3411" i="1"/>
  <c r="O3410" i="1"/>
  <c r="O3409" i="1"/>
  <c r="O3408" i="1"/>
  <c r="O3407" i="1"/>
  <c r="O3406" i="1"/>
  <c r="O3405" i="1"/>
  <c r="O3404" i="1"/>
  <c r="O3403" i="1"/>
  <c r="O3402" i="1"/>
  <c r="O3401" i="1"/>
  <c r="O3400" i="1"/>
  <c r="O3399" i="1"/>
  <c r="O3398" i="1"/>
  <c r="O3397" i="1"/>
  <c r="O3396" i="1"/>
  <c r="O3395" i="1"/>
  <c r="O3394" i="1"/>
  <c r="O3393" i="1"/>
  <c r="O3392" i="1"/>
  <c r="O3391" i="1"/>
  <c r="O3390" i="1"/>
  <c r="O3389" i="1"/>
  <c r="O3388" i="1"/>
  <c r="O3387" i="1"/>
  <c r="O3386" i="1"/>
  <c r="O3385" i="1"/>
  <c r="O3384" i="1"/>
  <c r="O3383" i="1"/>
  <c r="O3382" i="1"/>
  <c r="O3381" i="1"/>
  <c r="O3380" i="1"/>
  <c r="O3379" i="1"/>
  <c r="O3378" i="1"/>
  <c r="O3377" i="1"/>
  <c r="O3376" i="1"/>
  <c r="O3375" i="1"/>
  <c r="O3374" i="1"/>
  <c r="O3373" i="1"/>
  <c r="O3372" i="1"/>
  <c r="O3371" i="1"/>
  <c r="O3370" i="1"/>
  <c r="O3369" i="1"/>
  <c r="O3368" i="1"/>
  <c r="O3367" i="1"/>
  <c r="O3366" i="1"/>
  <c r="O3365" i="1"/>
  <c r="O3364" i="1"/>
  <c r="O3363" i="1"/>
  <c r="O3362" i="1"/>
  <c r="O3361" i="1"/>
  <c r="O3360" i="1"/>
  <c r="O3359" i="1"/>
  <c r="O3358" i="1"/>
  <c r="O3357" i="1"/>
  <c r="O3356" i="1"/>
  <c r="O3355" i="1"/>
  <c r="O3354" i="1"/>
  <c r="O3353" i="1"/>
  <c r="O3352" i="1"/>
  <c r="O3351" i="1"/>
  <c r="O3350" i="1"/>
  <c r="O3349" i="1"/>
  <c r="O3348" i="1"/>
  <c r="O3347" i="1"/>
  <c r="O3346" i="1"/>
  <c r="O3345" i="1"/>
  <c r="O3344" i="1"/>
  <c r="O3343" i="1"/>
  <c r="O3342" i="1"/>
  <c r="O3341" i="1"/>
  <c r="O3340" i="1"/>
  <c r="O3339" i="1"/>
  <c r="O3338" i="1"/>
  <c r="O3337" i="1"/>
  <c r="O3336" i="1"/>
  <c r="O3335" i="1"/>
  <c r="O3334" i="1"/>
  <c r="O3333" i="1"/>
  <c r="O3332" i="1"/>
  <c r="O3331" i="1"/>
  <c r="O3330" i="1"/>
  <c r="O3329" i="1"/>
  <c r="O3328" i="1"/>
  <c r="O3327" i="1"/>
  <c r="O3326" i="1"/>
  <c r="O3325" i="1"/>
  <c r="O3324" i="1"/>
  <c r="O3323" i="1"/>
  <c r="O3322" i="1"/>
  <c r="O3321" i="1"/>
  <c r="O3320" i="1"/>
  <c r="O3319" i="1"/>
  <c r="O3318" i="1"/>
  <c r="O3317" i="1"/>
  <c r="O3316" i="1"/>
  <c r="O3315" i="1"/>
  <c r="O3314" i="1"/>
  <c r="O3313" i="1"/>
  <c r="O3312" i="1"/>
  <c r="O3311" i="1"/>
  <c r="O3310" i="1"/>
  <c r="O3309" i="1"/>
  <c r="O3308" i="1"/>
  <c r="O3307" i="1"/>
  <c r="O3306" i="1"/>
  <c r="O3305" i="1"/>
  <c r="O3304" i="1"/>
  <c r="O3303" i="1"/>
  <c r="O3302" i="1"/>
  <c r="O3301" i="1"/>
  <c r="O3300" i="1"/>
  <c r="O3299" i="1"/>
  <c r="O3298" i="1"/>
  <c r="O3297" i="1"/>
  <c r="O3296" i="1"/>
  <c r="O3295" i="1"/>
  <c r="O3294" i="1"/>
  <c r="O3293" i="1"/>
  <c r="O3292" i="1"/>
  <c r="O3291" i="1"/>
  <c r="O3290" i="1"/>
  <c r="O3289" i="1"/>
  <c r="O3288" i="1"/>
  <c r="O3287" i="1"/>
  <c r="O3286" i="1"/>
  <c r="O3285" i="1"/>
  <c r="O3284" i="1"/>
  <c r="O3283" i="1"/>
  <c r="O3282" i="1"/>
  <c r="O3281" i="1"/>
  <c r="O3280" i="1"/>
  <c r="O3279" i="1"/>
  <c r="O3278" i="1"/>
  <c r="O3277" i="1"/>
  <c r="O3276" i="1"/>
  <c r="O3275" i="1"/>
  <c r="O3274" i="1"/>
  <c r="O3273" i="1"/>
  <c r="O3272" i="1"/>
  <c r="O3271" i="1"/>
  <c r="O3270" i="1"/>
  <c r="O3269" i="1"/>
  <c r="O3268" i="1"/>
  <c r="O3267" i="1"/>
  <c r="O3266" i="1"/>
  <c r="O3265" i="1"/>
  <c r="O3264" i="1"/>
  <c r="O3263" i="1"/>
  <c r="O3262" i="1"/>
  <c r="O3261" i="1"/>
  <c r="O3260" i="1"/>
  <c r="O3259" i="1"/>
  <c r="O3258" i="1"/>
  <c r="O3257" i="1"/>
  <c r="O3256" i="1"/>
  <c r="O3255" i="1"/>
  <c r="O3254" i="1"/>
  <c r="O3253" i="1"/>
  <c r="O3252" i="1"/>
  <c r="O3251" i="1"/>
  <c r="O3250" i="1"/>
  <c r="O3249" i="1"/>
  <c r="O3248" i="1"/>
  <c r="O3247" i="1"/>
  <c r="O3246" i="1"/>
  <c r="O3245" i="1"/>
  <c r="O3244" i="1"/>
  <c r="O3243" i="1"/>
  <c r="O3242" i="1"/>
  <c r="O3241" i="1"/>
  <c r="O3240" i="1"/>
  <c r="O3239" i="1"/>
  <c r="O3238" i="1"/>
  <c r="O3237" i="1"/>
  <c r="O3236" i="1"/>
  <c r="O3235" i="1"/>
  <c r="O3234" i="1"/>
  <c r="O3233" i="1"/>
  <c r="O3232" i="1"/>
  <c r="O3231" i="1"/>
  <c r="O3230" i="1"/>
  <c r="O3229" i="1"/>
  <c r="O3228" i="1"/>
  <c r="O3227" i="1"/>
  <c r="O3226" i="1"/>
  <c r="O3225" i="1"/>
  <c r="O3224" i="1"/>
  <c r="O3223" i="1"/>
  <c r="O3222" i="1"/>
  <c r="O3221" i="1"/>
  <c r="O3220" i="1"/>
  <c r="O3219" i="1"/>
  <c r="O3218" i="1"/>
  <c r="O3217" i="1"/>
  <c r="O3216" i="1"/>
  <c r="O3215" i="1"/>
  <c r="O3214" i="1"/>
  <c r="O3213" i="1"/>
  <c r="O3212" i="1"/>
  <c r="O3211" i="1"/>
  <c r="O3210" i="1"/>
  <c r="O3209" i="1"/>
  <c r="O3208" i="1"/>
  <c r="O3207" i="1"/>
  <c r="O3206" i="1"/>
  <c r="O3205" i="1"/>
  <c r="O3204" i="1"/>
  <c r="O3203" i="1"/>
  <c r="O3202" i="1"/>
  <c r="O3201" i="1"/>
  <c r="O3200" i="1"/>
  <c r="O3199" i="1"/>
  <c r="O3198" i="1"/>
  <c r="O3197" i="1"/>
  <c r="O3196" i="1"/>
  <c r="O3195" i="1"/>
  <c r="O3194" i="1"/>
  <c r="O3193" i="1"/>
  <c r="O3192" i="1"/>
  <c r="O3191" i="1"/>
  <c r="O3190" i="1"/>
  <c r="O3189" i="1"/>
  <c r="O3188" i="1"/>
  <c r="O3187" i="1"/>
  <c r="O3186" i="1"/>
  <c r="O3185" i="1"/>
  <c r="O3184" i="1"/>
  <c r="O3183" i="1"/>
  <c r="O3182" i="1"/>
  <c r="O3181" i="1"/>
  <c r="O3180" i="1"/>
  <c r="O3179" i="1"/>
  <c r="O3178" i="1"/>
  <c r="O3177" i="1"/>
  <c r="O3176" i="1"/>
  <c r="O3175" i="1"/>
  <c r="O3174" i="1"/>
  <c r="O3173" i="1"/>
  <c r="O3172" i="1"/>
  <c r="O3171" i="1"/>
  <c r="O3170" i="1"/>
  <c r="O3169" i="1"/>
  <c r="O3168" i="1"/>
  <c r="O3167" i="1"/>
  <c r="O3166" i="1"/>
  <c r="O3165" i="1"/>
  <c r="O3164" i="1"/>
  <c r="O3163" i="1"/>
  <c r="O3162" i="1"/>
  <c r="O3161" i="1"/>
  <c r="O3160" i="1"/>
  <c r="O3159" i="1"/>
  <c r="O3158" i="1"/>
  <c r="O3157" i="1"/>
  <c r="O3156" i="1"/>
  <c r="O3155" i="1"/>
  <c r="O3154" i="1"/>
  <c r="O3153" i="1"/>
  <c r="O3152" i="1"/>
  <c r="O3151" i="1"/>
  <c r="O3150" i="1"/>
  <c r="O3149" i="1"/>
  <c r="O3148" i="1"/>
  <c r="O3147" i="1"/>
  <c r="O3146" i="1"/>
  <c r="O3145" i="1"/>
  <c r="O3144" i="1"/>
  <c r="O3143" i="1"/>
  <c r="O3142" i="1"/>
  <c r="O3141" i="1"/>
  <c r="O3140" i="1"/>
  <c r="O3139" i="1"/>
  <c r="O3138" i="1"/>
  <c r="O3137" i="1"/>
  <c r="O3136" i="1"/>
  <c r="O3135" i="1"/>
  <c r="O3134" i="1"/>
  <c r="O3133" i="1"/>
  <c r="O3132" i="1"/>
  <c r="O3131" i="1"/>
  <c r="O3130" i="1"/>
  <c r="O3129" i="1"/>
  <c r="O3128" i="1"/>
  <c r="O3127" i="1"/>
  <c r="O3126" i="1"/>
  <c r="O3125" i="1"/>
  <c r="O3124" i="1"/>
  <c r="O3123" i="1"/>
  <c r="O3122" i="1"/>
  <c r="O3121" i="1"/>
  <c r="O3120" i="1"/>
  <c r="O3119" i="1"/>
  <c r="O3118" i="1"/>
  <c r="O3117" i="1"/>
  <c r="O3116" i="1"/>
  <c r="O3115" i="1"/>
  <c r="O3114" i="1"/>
  <c r="O3113" i="1"/>
  <c r="O3112" i="1"/>
  <c r="O3111" i="1"/>
  <c r="O3110" i="1"/>
  <c r="O3109" i="1"/>
  <c r="O3108" i="1"/>
  <c r="O3107" i="1"/>
  <c r="O3106" i="1"/>
  <c r="O3105" i="1"/>
  <c r="O3104" i="1"/>
  <c r="O3103" i="1"/>
  <c r="O3102" i="1"/>
  <c r="O3101" i="1"/>
  <c r="O3100" i="1"/>
  <c r="O3099" i="1"/>
  <c r="O3098" i="1"/>
  <c r="O3097" i="1"/>
  <c r="O3096" i="1"/>
  <c r="O3095" i="1"/>
  <c r="O3094" i="1"/>
  <c r="O3093" i="1"/>
  <c r="O3092" i="1"/>
  <c r="O3091" i="1"/>
  <c r="O3090" i="1"/>
  <c r="O3089" i="1"/>
  <c r="O3088" i="1"/>
  <c r="O3087" i="1"/>
  <c r="O3086" i="1"/>
  <c r="O3085" i="1"/>
  <c r="O3084" i="1"/>
  <c r="O3083" i="1"/>
  <c r="O3082" i="1"/>
  <c r="O3081" i="1"/>
  <c r="O3080" i="1"/>
  <c r="O3079" i="1"/>
  <c r="O3078" i="1"/>
  <c r="O3077" i="1"/>
  <c r="O3076" i="1"/>
  <c r="O3075" i="1"/>
  <c r="O3074" i="1"/>
  <c r="O3073" i="1"/>
  <c r="O3072" i="1"/>
  <c r="O3071" i="1"/>
  <c r="O3070" i="1"/>
  <c r="O3069" i="1"/>
  <c r="O3068" i="1"/>
  <c r="O3067" i="1"/>
  <c r="O3066" i="1"/>
  <c r="O3065" i="1"/>
  <c r="O3064" i="1"/>
  <c r="O3063" i="1"/>
  <c r="O3062" i="1"/>
  <c r="O3061" i="1"/>
  <c r="O3060" i="1"/>
  <c r="O3059" i="1"/>
  <c r="O3058" i="1"/>
  <c r="O3057" i="1"/>
  <c r="O3056" i="1"/>
  <c r="O3055" i="1"/>
  <c r="O3054" i="1"/>
  <c r="O3053" i="1"/>
  <c r="O3052" i="1"/>
  <c r="O3051" i="1"/>
  <c r="O3050" i="1"/>
  <c r="O3049" i="1"/>
  <c r="O3048" i="1"/>
  <c r="O3047" i="1"/>
  <c r="O3046" i="1"/>
  <c r="O3045" i="1"/>
  <c r="O3044" i="1"/>
  <c r="O3043" i="1"/>
  <c r="O3042" i="1"/>
  <c r="O3041" i="1"/>
  <c r="O3040" i="1"/>
  <c r="O3039" i="1"/>
  <c r="O3038" i="1"/>
  <c r="O3037" i="1"/>
  <c r="O3036" i="1"/>
  <c r="O3035" i="1"/>
  <c r="O3034" i="1"/>
  <c r="O3033" i="1"/>
  <c r="O3032" i="1"/>
  <c r="O3031" i="1"/>
  <c r="O3030" i="1"/>
  <c r="O3029" i="1"/>
  <c r="O3028" i="1"/>
  <c r="O3027" i="1"/>
  <c r="O3026" i="1"/>
  <c r="O3025" i="1"/>
  <c r="O3024" i="1"/>
  <c r="O3023" i="1"/>
  <c r="O3022" i="1"/>
  <c r="O3021" i="1"/>
  <c r="O3020" i="1"/>
  <c r="O3019" i="1"/>
  <c r="O3018" i="1"/>
  <c r="O3017" i="1"/>
  <c r="O3016" i="1"/>
  <c r="O3015" i="1"/>
  <c r="O3014" i="1"/>
  <c r="O3013" i="1"/>
  <c r="O3012" i="1"/>
  <c r="O3011" i="1"/>
  <c r="O3010" i="1"/>
  <c r="O3009" i="1"/>
  <c r="O3008" i="1"/>
  <c r="O3007" i="1"/>
  <c r="O3006" i="1"/>
  <c r="O3005" i="1"/>
  <c r="O3004" i="1"/>
  <c r="O3003" i="1"/>
  <c r="O3002" i="1"/>
  <c r="O3001" i="1"/>
  <c r="O3000" i="1"/>
  <c r="O2999" i="1"/>
  <c r="O2998" i="1"/>
  <c r="O2997" i="1"/>
  <c r="O2996" i="1"/>
  <c r="O2995" i="1"/>
  <c r="O2994" i="1"/>
  <c r="O2993" i="1"/>
  <c r="O2992" i="1"/>
  <c r="O2991" i="1"/>
  <c r="O2990" i="1"/>
  <c r="O2989" i="1"/>
  <c r="O2988" i="1"/>
  <c r="O2987" i="1"/>
  <c r="O2986" i="1"/>
  <c r="O2985" i="1"/>
  <c r="O2984" i="1"/>
  <c r="O2983" i="1"/>
  <c r="O2982" i="1"/>
  <c r="O2981" i="1"/>
  <c r="O2980" i="1"/>
  <c r="O2979" i="1"/>
  <c r="O2978" i="1"/>
  <c r="O2977" i="1"/>
  <c r="O2976" i="1"/>
  <c r="O2975" i="1"/>
  <c r="O2974" i="1"/>
  <c r="O2973" i="1"/>
  <c r="O2972" i="1"/>
  <c r="O2971" i="1"/>
  <c r="O2970" i="1"/>
  <c r="O2969" i="1"/>
  <c r="O2968" i="1"/>
  <c r="O2967" i="1"/>
  <c r="O2966" i="1"/>
  <c r="O2965" i="1"/>
  <c r="O2964" i="1"/>
  <c r="O2963" i="1"/>
  <c r="O2962" i="1"/>
  <c r="O2961" i="1"/>
  <c r="O2960" i="1"/>
  <c r="O2959" i="1"/>
  <c r="O2958" i="1"/>
  <c r="O2957" i="1"/>
  <c r="O2956" i="1"/>
  <c r="O2955" i="1"/>
  <c r="O2954" i="1"/>
  <c r="O2953" i="1"/>
  <c r="O2952" i="1"/>
  <c r="O2951" i="1"/>
  <c r="O2950" i="1"/>
  <c r="O2949" i="1"/>
  <c r="O2948" i="1"/>
  <c r="O2947" i="1"/>
  <c r="O2946" i="1"/>
  <c r="O2945" i="1"/>
  <c r="O2944" i="1"/>
  <c r="O2943" i="1"/>
  <c r="O2942" i="1"/>
  <c r="O2941" i="1"/>
  <c r="O2940" i="1"/>
  <c r="O2939" i="1"/>
  <c r="O2938" i="1"/>
  <c r="O2937" i="1"/>
  <c r="O2936" i="1"/>
  <c r="O2935" i="1"/>
  <c r="O2934" i="1"/>
  <c r="O2933" i="1"/>
  <c r="O2932" i="1"/>
  <c r="O2931" i="1"/>
  <c r="O2930" i="1"/>
  <c r="O2929" i="1"/>
  <c r="O2928" i="1"/>
  <c r="O2927" i="1"/>
  <c r="O2926" i="1"/>
  <c r="O2925" i="1"/>
  <c r="O2924" i="1"/>
  <c r="O2923" i="1"/>
  <c r="O2922" i="1"/>
  <c r="O2921" i="1"/>
  <c r="O2920" i="1"/>
  <c r="O2919" i="1"/>
  <c r="O2918" i="1"/>
  <c r="O2917" i="1"/>
  <c r="O2916" i="1"/>
  <c r="O2915" i="1"/>
  <c r="O2914" i="1"/>
  <c r="O2913" i="1"/>
  <c r="O2912" i="1"/>
  <c r="O2911" i="1"/>
  <c r="O2910" i="1"/>
  <c r="O2909" i="1"/>
  <c r="O2908" i="1"/>
  <c r="O2907" i="1"/>
  <c r="O2906" i="1"/>
  <c r="O2905" i="1"/>
  <c r="O2904" i="1"/>
  <c r="O2903" i="1"/>
  <c r="O2902" i="1"/>
  <c r="O2901" i="1"/>
  <c r="O2900" i="1"/>
  <c r="O2899" i="1"/>
  <c r="O2898" i="1"/>
  <c r="O2897" i="1"/>
  <c r="O2896" i="1"/>
  <c r="O2895" i="1"/>
  <c r="O2894" i="1"/>
  <c r="O2893" i="1"/>
  <c r="O2892" i="1"/>
  <c r="O2891" i="1"/>
  <c r="O2890" i="1"/>
  <c r="O2889" i="1"/>
  <c r="O2888" i="1"/>
  <c r="O2887" i="1"/>
  <c r="O2886" i="1"/>
  <c r="O2885" i="1"/>
  <c r="O2884" i="1"/>
  <c r="O2883" i="1"/>
  <c r="O2882" i="1"/>
  <c r="O2881" i="1"/>
  <c r="O2880" i="1"/>
  <c r="O2879" i="1"/>
  <c r="O2878" i="1"/>
  <c r="O2877" i="1"/>
  <c r="O2876" i="1"/>
  <c r="O2875" i="1"/>
  <c r="O2874" i="1"/>
  <c r="O2873" i="1"/>
  <c r="O2872" i="1"/>
  <c r="O2871" i="1"/>
  <c r="O2870" i="1"/>
  <c r="O2869" i="1"/>
  <c r="O2868" i="1"/>
  <c r="O2867" i="1"/>
  <c r="O2866" i="1"/>
  <c r="O2865" i="1"/>
  <c r="O2864" i="1"/>
  <c r="O2863" i="1"/>
  <c r="O2862" i="1"/>
  <c r="O2861" i="1"/>
  <c r="O2860" i="1"/>
  <c r="O2859" i="1"/>
  <c r="O2858" i="1"/>
  <c r="O2857" i="1"/>
  <c r="O2856" i="1"/>
  <c r="O2855" i="1"/>
  <c r="O2854" i="1"/>
  <c r="O2853" i="1"/>
  <c r="O2852" i="1"/>
  <c r="O2851" i="1"/>
  <c r="O2850" i="1"/>
  <c r="O2849" i="1"/>
  <c r="O2848" i="1"/>
  <c r="O2847" i="1"/>
  <c r="O2846" i="1"/>
  <c r="O2845" i="1"/>
  <c r="O2844" i="1"/>
  <c r="O2843" i="1"/>
  <c r="O2842" i="1"/>
  <c r="O2841" i="1"/>
  <c r="O2840" i="1"/>
  <c r="O2839" i="1"/>
  <c r="O2838" i="1"/>
  <c r="O2837" i="1"/>
  <c r="O2836" i="1"/>
  <c r="O2835" i="1"/>
  <c r="O2834" i="1"/>
  <c r="O2833" i="1"/>
  <c r="O2832" i="1"/>
  <c r="O2831" i="1"/>
  <c r="O2830" i="1"/>
  <c r="O2829" i="1"/>
  <c r="O2828" i="1"/>
  <c r="O2827" i="1"/>
  <c r="O2826" i="1"/>
  <c r="O2825" i="1"/>
  <c r="O2824" i="1"/>
  <c r="O2823" i="1"/>
  <c r="O2822" i="1"/>
  <c r="O2821" i="1"/>
  <c r="O2820" i="1"/>
  <c r="O2819" i="1"/>
  <c r="O2818" i="1"/>
  <c r="O2817" i="1"/>
  <c r="O2816" i="1"/>
  <c r="O2815" i="1"/>
  <c r="O2814" i="1"/>
  <c r="O2813" i="1"/>
  <c r="O2812" i="1"/>
  <c r="O2811" i="1"/>
  <c r="O2810" i="1"/>
  <c r="O2809" i="1"/>
  <c r="O2808" i="1"/>
  <c r="O2807" i="1"/>
  <c r="O2806" i="1"/>
  <c r="O2805" i="1"/>
  <c r="O2804" i="1"/>
  <c r="O2803" i="1"/>
  <c r="O2802" i="1"/>
  <c r="O2801" i="1"/>
  <c r="O2800" i="1"/>
  <c r="O2799" i="1"/>
  <c r="O2798" i="1"/>
  <c r="O2797" i="1"/>
  <c r="O2796" i="1"/>
  <c r="O2795" i="1"/>
  <c r="O2794" i="1"/>
  <c r="O2793" i="1"/>
  <c r="O2792" i="1"/>
  <c r="O2791" i="1"/>
  <c r="O2790" i="1"/>
  <c r="O2789" i="1"/>
  <c r="O2788" i="1"/>
  <c r="O2787" i="1"/>
  <c r="O2786" i="1"/>
  <c r="O2785" i="1"/>
  <c r="O2784" i="1"/>
  <c r="O2783" i="1"/>
  <c r="O2782" i="1"/>
  <c r="O2781" i="1"/>
  <c r="O2780" i="1"/>
  <c r="O2779" i="1"/>
  <c r="O2778" i="1"/>
  <c r="O2777" i="1"/>
  <c r="O2776" i="1"/>
  <c r="O2775" i="1"/>
  <c r="O2774" i="1"/>
  <c r="O2773" i="1"/>
  <c r="O2772" i="1"/>
  <c r="O2771" i="1"/>
  <c r="O2770" i="1"/>
  <c r="O2769" i="1"/>
  <c r="O2768" i="1"/>
  <c r="O2767" i="1"/>
  <c r="O2766" i="1"/>
  <c r="O2765" i="1"/>
  <c r="O2764" i="1"/>
  <c r="O2763" i="1"/>
  <c r="O2762" i="1"/>
  <c r="O2761" i="1"/>
  <c r="O2760" i="1"/>
  <c r="O2759" i="1"/>
  <c r="O2758" i="1"/>
  <c r="O2757" i="1"/>
  <c r="O2756" i="1"/>
  <c r="O2755" i="1"/>
  <c r="O2754" i="1"/>
  <c r="O2753" i="1"/>
  <c r="O2752" i="1"/>
  <c r="O2751" i="1"/>
  <c r="O2750" i="1"/>
  <c r="O2749" i="1"/>
  <c r="O2748" i="1"/>
  <c r="O2747" i="1"/>
  <c r="O2746" i="1"/>
  <c r="O2745" i="1"/>
  <c r="O2744" i="1"/>
  <c r="O2743" i="1"/>
  <c r="O2742" i="1"/>
  <c r="O2741" i="1"/>
  <c r="O2740" i="1"/>
  <c r="O2739" i="1"/>
  <c r="O2738" i="1"/>
  <c r="O2737" i="1"/>
  <c r="O2736" i="1"/>
  <c r="O2735" i="1"/>
  <c r="O2734" i="1"/>
  <c r="O2733" i="1"/>
  <c r="O2732" i="1"/>
  <c r="O2731" i="1"/>
  <c r="O2730" i="1"/>
  <c r="O2729" i="1"/>
  <c r="O2728" i="1"/>
  <c r="O2727" i="1"/>
  <c r="O2726" i="1"/>
  <c r="O2725" i="1"/>
  <c r="O2724" i="1"/>
  <c r="O2723" i="1"/>
  <c r="O2722" i="1"/>
  <c r="O2721" i="1"/>
  <c r="O2720" i="1"/>
  <c r="O2719" i="1"/>
  <c r="O2718" i="1"/>
  <c r="O2717" i="1"/>
  <c r="O2716" i="1"/>
  <c r="O2715" i="1"/>
  <c r="O2714" i="1"/>
  <c r="O2713" i="1"/>
  <c r="O2712" i="1"/>
  <c r="O2711" i="1"/>
  <c r="O2710" i="1"/>
  <c r="O2709" i="1"/>
  <c r="O2708" i="1"/>
  <c r="O2707" i="1"/>
  <c r="O2706" i="1"/>
  <c r="O2705" i="1"/>
  <c r="O2704" i="1"/>
  <c r="O2703" i="1"/>
  <c r="O2702" i="1"/>
  <c r="O2701" i="1"/>
  <c r="O2700" i="1"/>
  <c r="O2699" i="1"/>
  <c r="O2698" i="1"/>
  <c r="O2697" i="1"/>
  <c r="O2696" i="1"/>
  <c r="O2695" i="1"/>
  <c r="O2694" i="1"/>
  <c r="O2693" i="1"/>
  <c r="O2692" i="1"/>
  <c r="O2691" i="1"/>
  <c r="O2690" i="1"/>
  <c r="O2689" i="1"/>
  <c r="O2688" i="1"/>
  <c r="O2687" i="1"/>
  <c r="O2686" i="1"/>
  <c r="O2685" i="1"/>
  <c r="O2684" i="1"/>
  <c r="O2683" i="1"/>
  <c r="O2682" i="1"/>
  <c r="O2681" i="1"/>
  <c r="O2680" i="1"/>
  <c r="O2679" i="1"/>
  <c r="O2678" i="1"/>
  <c r="O2677" i="1"/>
  <c r="O2676" i="1"/>
  <c r="O2675" i="1"/>
  <c r="O2674" i="1"/>
  <c r="O2673" i="1"/>
  <c r="O2672" i="1"/>
  <c r="O2671" i="1"/>
  <c r="O2670" i="1"/>
  <c r="O2669" i="1"/>
  <c r="O2668" i="1"/>
  <c r="O2667" i="1"/>
  <c r="O2666" i="1"/>
  <c r="O2665" i="1"/>
  <c r="O2664" i="1"/>
  <c r="O2663" i="1"/>
  <c r="O2662" i="1"/>
  <c r="O2661" i="1"/>
  <c r="O2660" i="1"/>
  <c r="O2659" i="1"/>
  <c r="O2658" i="1"/>
  <c r="O2657" i="1"/>
  <c r="O2656" i="1"/>
  <c r="O2655" i="1"/>
  <c r="O2654" i="1"/>
  <c r="O2653" i="1"/>
  <c r="O2652" i="1"/>
  <c r="O2651" i="1"/>
  <c r="O2650" i="1"/>
  <c r="O2649" i="1"/>
  <c r="O2648" i="1"/>
  <c r="O2647" i="1"/>
  <c r="O2646" i="1"/>
  <c r="O2645" i="1"/>
  <c r="O2644" i="1"/>
  <c r="O2643" i="1"/>
  <c r="O2642" i="1"/>
  <c r="O2641" i="1"/>
  <c r="O2640" i="1"/>
  <c r="O2639" i="1"/>
  <c r="O2638" i="1"/>
  <c r="O2637" i="1"/>
  <c r="O2636" i="1"/>
  <c r="O2635" i="1"/>
  <c r="O2634" i="1"/>
  <c r="O2633" i="1"/>
  <c r="O2632" i="1"/>
  <c r="O2631" i="1"/>
  <c r="O2630" i="1"/>
  <c r="O2629" i="1"/>
  <c r="O2628" i="1"/>
  <c r="O2627" i="1"/>
  <c r="O2626" i="1"/>
  <c r="O2625" i="1"/>
  <c r="O2624" i="1"/>
  <c r="O2623" i="1"/>
  <c r="O2622" i="1"/>
  <c r="O2621" i="1"/>
  <c r="O2620" i="1"/>
  <c r="O2619" i="1"/>
  <c r="O2618" i="1"/>
  <c r="O2617" i="1"/>
  <c r="O2616" i="1"/>
  <c r="O2615" i="1"/>
  <c r="O2614" i="1"/>
  <c r="O2613" i="1"/>
  <c r="O2612" i="1"/>
  <c r="O2611" i="1"/>
  <c r="O2610" i="1"/>
  <c r="O2609" i="1"/>
  <c r="O2608" i="1"/>
  <c r="O2607" i="1"/>
  <c r="O2606" i="1"/>
  <c r="O2605" i="1"/>
  <c r="O2604" i="1"/>
  <c r="O2603" i="1"/>
  <c r="O2602" i="1"/>
  <c r="O2601" i="1"/>
  <c r="O2600" i="1"/>
  <c r="O2599" i="1"/>
  <c r="O2598" i="1"/>
  <c r="O2597" i="1"/>
  <c r="O2596" i="1"/>
  <c r="O2595" i="1"/>
  <c r="O2594" i="1"/>
  <c r="O2593" i="1"/>
  <c r="O2592" i="1"/>
  <c r="O2591" i="1"/>
  <c r="O2590" i="1"/>
  <c r="O2589" i="1"/>
  <c r="O2588" i="1"/>
  <c r="O2587" i="1"/>
  <c r="O2586" i="1"/>
  <c r="O2585" i="1"/>
  <c r="O2584" i="1"/>
  <c r="O2583" i="1"/>
  <c r="O2582" i="1"/>
  <c r="O2581" i="1"/>
  <c r="O2580" i="1"/>
  <c r="O2579" i="1"/>
  <c r="O2578" i="1"/>
  <c r="O2577" i="1"/>
  <c r="O2576" i="1"/>
  <c r="O2575" i="1"/>
  <c r="O2574" i="1"/>
  <c r="O2573" i="1"/>
  <c r="O2572" i="1"/>
  <c r="O2571" i="1"/>
  <c r="O2570" i="1"/>
  <c r="O2569" i="1"/>
  <c r="O2568" i="1"/>
  <c r="O2567" i="1"/>
  <c r="O2566" i="1"/>
  <c r="O2565" i="1"/>
  <c r="O2564" i="1"/>
  <c r="O2563" i="1"/>
  <c r="O2562" i="1"/>
  <c r="O2561" i="1"/>
  <c r="O2560" i="1"/>
  <c r="O2559" i="1"/>
  <c r="O2558" i="1"/>
  <c r="O2557" i="1"/>
  <c r="O2556" i="1"/>
  <c r="O2555" i="1"/>
  <c r="O2554" i="1"/>
  <c r="O2553" i="1"/>
  <c r="O2552" i="1"/>
  <c r="O2551" i="1"/>
  <c r="O2550" i="1"/>
  <c r="O2549" i="1"/>
  <c r="O2548" i="1"/>
  <c r="O2547" i="1"/>
  <c r="O2546" i="1"/>
  <c r="O2545" i="1"/>
  <c r="O2544" i="1"/>
  <c r="O2543" i="1"/>
  <c r="O2542" i="1"/>
  <c r="O2541" i="1"/>
  <c r="O2540" i="1"/>
  <c r="O2539" i="1"/>
  <c r="O2538" i="1"/>
  <c r="O2537" i="1"/>
  <c r="O2536" i="1"/>
  <c r="O2535" i="1"/>
  <c r="O2534" i="1"/>
  <c r="O2533" i="1"/>
  <c r="O2532" i="1"/>
  <c r="O2531" i="1"/>
  <c r="O2530" i="1"/>
  <c r="O2529" i="1"/>
  <c r="O2528" i="1"/>
  <c r="O2527" i="1"/>
  <c r="O2526" i="1"/>
  <c r="O2525" i="1"/>
  <c r="O2524" i="1"/>
  <c r="O2523" i="1"/>
  <c r="O2522" i="1"/>
  <c r="O2521" i="1"/>
  <c r="O2520" i="1"/>
  <c r="O2519" i="1"/>
  <c r="O2518" i="1"/>
  <c r="O2517" i="1"/>
  <c r="O2516" i="1"/>
  <c r="O2515" i="1"/>
  <c r="O2514" i="1"/>
  <c r="O2513" i="1"/>
  <c r="O2512" i="1"/>
  <c r="O2511" i="1"/>
  <c r="O2510" i="1"/>
  <c r="O2509" i="1"/>
  <c r="O2508" i="1"/>
  <c r="O2507" i="1"/>
  <c r="O2506" i="1"/>
  <c r="O2505" i="1"/>
  <c r="O2504" i="1"/>
  <c r="O2503" i="1"/>
  <c r="O2502" i="1"/>
  <c r="O2501" i="1"/>
  <c r="O2500" i="1"/>
  <c r="O2499" i="1"/>
  <c r="O2498" i="1"/>
  <c r="O2497" i="1"/>
  <c r="O2496" i="1"/>
  <c r="O2495" i="1"/>
  <c r="O2494" i="1"/>
  <c r="O2493" i="1"/>
  <c r="O2492" i="1"/>
  <c r="O2491" i="1"/>
  <c r="O2490" i="1"/>
  <c r="O2489" i="1"/>
  <c r="O2488" i="1"/>
  <c r="O2487" i="1"/>
  <c r="O2486" i="1"/>
  <c r="O2485" i="1"/>
  <c r="O2484" i="1"/>
  <c r="O2483" i="1"/>
  <c r="O2482" i="1"/>
  <c r="O2481" i="1"/>
  <c r="O2480" i="1"/>
  <c r="O2479" i="1"/>
  <c r="O2478" i="1"/>
  <c r="O2477" i="1"/>
  <c r="O2476" i="1"/>
  <c r="O2475" i="1"/>
  <c r="O2474" i="1"/>
  <c r="O2473" i="1"/>
  <c r="O2472" i="1"/>
  <c r="O2471" i="1"/>
  <c r="O2470" i="1"/>
  <c r="O2469" i="1"/>
  <c r="O2468" i="1"/>
  <c r="O2467" i="1"/>
  <c r="O2466" i="1"/>
  <c r="O2465" i="1"/>
  <c r="O2464" i="1"/>
  <c r="O2463" i="1"/>
  <c r="O2462" i="1"/>
  <c r="O2461" i="1"/>
  <c r="O2460" i="1"/>
  <c r="O2459" i="1"/>
  <c r="O2458" i="1"/>
  <c r="O2457" i="1"/>
  <c r="O2456" i="1"/>
  <c r="O2455" i="1"/>
  <c r="O2454" i="1"/>
  <c r="O2453" i="1"/>
  <c r="O2452" i="1"/>
  <c r="O2451" i="1"/>
  <c r="O2450" i="1"/>
  <c r="O2449" i="1"/>
  <c r="O2448" i="1"/>
  <c r="O2447" i="1"/>
  <c r="O2446" i="1"/>
  <c r="O2445" i="1"/>
  <c r="O2444" i="1"/>
  <c r="O2443" i="1"/>
  <c r="O2442" i="1"/>
  <c r="O2441" i="1"/>
  <c r="O2440" i="1"/>
  <c r="O2439" i="1"/>
  <c r="O2438" i="1"/>
  <c r="O2437" i="1"/>
  <c r="O2436" i="1"/>
  <c r="O2435" i="1"/>
  <c r="O2434" i="1"/>
  <c r="O2433" i="1"/>
  <c r="O2432" i="1"/>
  <c r="O2431" i="1"/>
  <c r="O2430" i="1"/>
  <c r="O2429" i="1"/>
  <c r="O2428" i="1"/>
  <c r="O2427" i="1"/>
  <c r="O2426" i="1"/>
  <c r="O2425" i="1"/>
  <c r="O2424" i="1"/>
  <c r="O2423" i="1"/>
  <c r="O2422" i="1"/>
  <c r="O2421" i="1"/>
  <c r="O2420" i="1"/>
  <c r="O2419" i="1"/>
  <c r="O2418" i="1"/>
  <c r="O2417" i="1"/>
  <c r="O2416" i="1"/>
  <c r="O2415" i="1"/>
  <c r="O2414" i="1"/>
  <c r="O2413" i="1"/>
  <c r="O2412" i="1"/>
  <c r="O2411" i="1"/>
  <c r="O2410" i="1"/>
  <c r="O2409" i="1"/>
  <c r="O2408" i="1"/>
  <c r="O2407" i="1"/>
  <c r="O2406" i="1"/>
  <c r="O2405" i="1"/>
  <c r="O2404" i="1"/>
  <c r="O2403" i="1"/>
  <c r="O2402" i="1"/>
  <c r="O2401" i="1"/>
  <c r="O2400" i="1"/>
  <c r="O2399" i="1"/>
  <c r="O2398" i="1"/>
  <c r="O2397" i="1"/>
  <c r="O2396" i="1"/>
  <c r="O2395" i="1"/>
  <c r="O2394" i="1"/>
  <c r="O2393" i="1"/>
  <c r="O2392" i="1"/>
  <c r="O2391" i="1"/>
  <c r="O2390" i="1"/>
  <c r="O2389" i="1"/>
  <c r="O2388" i="1"/>
  <c r="O2387" i="1"/>
  <c r="O2386" i="1"/>
  <c r="O2385" i="1"/>
  <c r="O2384" i="1"/>
  <c r="O2383" i="1"/>
  <c r="O2382" i="1"/>
  <c r="O2381" i="1"/>
  <c r="O2380" i="1"/>
  <c r="O2379" i="1"/>
  <c r="O2378" i="1"/>
  <c r="O2377" i="1"/>
  <c r="O2376" i="1"/>
  <c r="O2375" i="1"/>
  <c r="O2374" i="1"/>
  <c r="O2373" i="1"/>
  <c r="O2372" i="1"/>
  <c r="O2371" i="1"/>
  <c r="O2370" i="1"/>
  <c r="O2369" i="1"/>
  <c r="O2368" i="1"/>
  <c r="O2367" i="1"/>
  <c r="O2366" i="1"/>
  <c r="O2365" i="1"/>
  <c r="O2364" i="1"/>
  <c r="O2363" i="1"/>
  <c r="O2362" i="1"/>
  <c r="O2361" i="1"/>
  <c r="O2360" i="1"/>
  <c r="O2359" i="1"/>
  <c r="O2358" i="1"/>
  <c r="O2357" i="1"/>
  <c r="O2356" i="1"/>
  <c r="O2355" i="1"/>
  <c r="O2354" i="1"/>
  <c r="O2353" i="1"/>
  <c r="O2352" i="1"/>
  <c r="O2351" i="1"/>
  <c r="O2350" i="1"/>
  <c r="O2349" i="1"/>
  <c r="O2348" i="1"/>
  <c r="O2347" i="1"/>
  <c r="O2346" i="1"/>
  <c r="O2345" i="1"/>
  <c r="O2344" i="1"/>
  <c r="O2343" i="1"/>
  <c r="O2342" i="1"/>
  <c r="O2341" i="1"/>
  <c r="O2340" i="1"/>
  <c r="O2339" i="1"/>
  <c r="O2338" i="1"/>
  <c r="O2337" i="1"/>
  <c r="O2336" i="1"/>
  <c r="O2335" i="1"/>
  <c r="O2334" i="1"/>
  <c r="O2333" i="1"/>
  <c r="O2332" i="1"/>
  <c r="O2331" i="1"/>
  <c r="O2330" i="1"/>
  <c r="O2329" i="1"/>
  <c r="O2328" i="1"/>
  <c r="O2327" i="1"/>
  <c r="O2326" i="1"/>
  <c r="O2325" i="1"/>
  <c r="O2324" i="1"/>
  <c r="O2323" i="1"/>
  <c r="O2322" i="1"/>
  <c r="O2321" i="1"/>
  <c r="O2320" i="1"/>
  <c r="O2319" i="1"/>
  <c r="O2318" i="1"/>
  <c r="O2317" i="1"/>
  <c r="O2316" i="1"/>
  <c r="O2315" i="1"/>
  <c r="O2314" i="1"/>
  <c r="O2313" i="1"/>
  <c r="O2312" i="1"/>
  <c r="O2311" i="1"/>
  <c r="O2310" i="1"/>
  <c r="O2309" i="1"/>
  <c r="O2308" i="1"/>
  <c r="O2307" i="1"/>
  <c r="O2306" i="1"/>
  <c r="O2305" i="1"/>
  <c r="O2304" i="1"/>
  <c r="O2303" i="1"/>
  <c r="O2302" i="1"/>
  <c r="O2301" i="1"/>
  <c r="O2300" i="1"/>
  <c r="O2299" i="1"/>
  <c r="O2298" i="1"/>
  <c r="O2297" i="1"/>
  <c r="O2296" i="1"/>
  <c r="O2295" i="1"/>
  <c r="O2294" i="1"/>
  <c r="O2293" i="1"/>
  <c r="O2292" i="1"/>
  <c r="O2291" i="1"/>
  <c r="O2290" i="1"/>
  <c r="O2289" i="1"/>
  <c r="O2288" i="1"/>
  <c r="O2287" i="1"/>
  <c r="O2286" i="1"/>
  <c r="O2285" i="1"/>
  <c r="O2284" i="1"/>
  <c r="O2283" i="1"/>
  <c r="O2282" i="1"/>
  <c r="O2281" i="1"/>
  <c r="O2280" i="1"/>
  <c r="O2279" i="1"/>
  <c r="O2278" i="1"/>
  <c r="O2277" i="1"/>
  <c r="O2276" i="1"/>
  <c r="O2275" i="1"/>
  <c r="O2274" i="1"/>
  <c r="O2273" i="1"/>
  <c r="O2272" i="1"/>
  <c r="O2271" i="1"/>
  <c r="O2270" i="1"/>
  <c r="O2269" i="1"/>
  <c r="O2268" i="1"/>
  <c r="O2267" i="1"/>
  <c r="O2266" i="1"/>
  <c r="O2265" i="1"/>
  <c r="O2264" i="1"/>
  <c r="O2263" i="1"/>
  <c r="O2262" i="1"/>
  <c r="O2261" i="1"/>
  <c r="O2260" i="1"/>
  <c r="O2259" i="1"/>
  <c r="O2258" i="1"/>
  <c r="O2257" i="1"/>
  <c r="O2256" i="1"/>
  <c r="O2255" i="1"/>
  <c r="O2254" i="1"/>
  <c r="O2253" i="1"/>
  <c r="O2252" i="1"/>
  <c r="O2251" i="1"/>
  <c r="O2250" i="1"/>
  <c r="O2249" i="1"/>
  <c r="O2248" i="1"/>
  <c r="O2247" i="1"/>
  <c r="O2246" i="1"/>
  <c r="O2245" i="1"/>
  <c r="O2244" i="1"/>
  <c r="O2243" i="1"/>
  <c r="O2242" i="1"/>
  <c r="O2241" i="1"/>
  <c r="O2240" i="1"/>
  <c r="O2239" i="1"/>
  <c r="O2238" i="1"/>
  <c r="O2237" i="1"/>
  <c r="O2236" i="1"/>
  <c r="O2235" i="1"/>
  <c r="O2234" i="1"/>
  <c r="O2233" i="1"/>
  <c r="O2232" i="1"/>
  <c r="O2231" i="1"/>
  <c r="O2230" i="1"/>
  <c r="O2229" i="1"/>
  <c r="O2228" i="1"/>
  <c r="O2227" i="1"/>
  <c r="O2226" i="1"/>
  <c r="O2225" i="1"/>
  <c r="O2224" i="1"/>
  <c r="O2223" i="1"/>
  <c r="O2222" i="1"/>
  <c r="O2221" i="1"/>
  <c r="O2220" i="1"/>
  <c r="O2219" i="1"/>
  <c r="O2218" i="1"/>
  <c r="O2217" i="1"/>
  <c r="O2216" i="1"/>
  <c r="O2215" i="1"/>
  <c r="O2214" i="1"/>
  <c r="O2213" i="1"/>
  <c r="O2212" i="1"/>
  <c r="O2211" i="1"/>
  <c r="O2210" i="1"/>
  <c r="O2209" i="1"/>
  <c r="O2208" i="1"/>
  <c r="O2207" i="1"/>
  <c r="O2206" i="1"/>
  <c r="O2205" i="1"/>
  <c r="O2204" i="1"/>
  <c r="O2203" i="1"/>
  <c r="O2202" i="1"/>
  <c r="O2201" i="1"/>
  <c r="O2200" i="1"/>
  <c r="O2199" i="1"/>
  <c r="O2198" i="1"/>
  <c r="O2197" i="1"/>
  <c r="O2196" i="1"/>
  <c r="O2195" i="1"/>
  <c r="O2194" i="1"/>
  <c r="O2193" i="1"/>
  <c r="O2192" i="1"/>
  <c r="O2191" i="1"/>
  <c r="O2190" i="1"/>
  <c r="O2189" i="1"/>
  <c r="O2188" i="1"/>
  <c r="O2187" i="1"/>
  <c r="O2186" i="1"/>
  <c r="O2185" i="1"/>
  <c r="O2184" i="1"/>
  <c r="O2183" i="1"/>
  <c r="O2182" i="1"/>
  <c r="O2181" i="1"/>
  <c r="O2180" i="1"/>
  <c r="O2179" i="1"/>
  <c r="O2178" i="1"/>
  <c r="O2177" i="1"/>
  <c r="O2176" i="1"/>
  <c r="O2175" i="1"/>
  <c r="O2174" i="1"/>
  <c r="O2173" i="1"/>
  <c r="O2172" i="1"/>
  <c r="O2171" i="1"/>
  <c r="O2170" i="1"/>
  <c r="O2169" i="1"/>
  <c r="O2168" i="1"/>
  <c r="O2167" i="1"/>
  <c r="O2166" i="1"/>
  <c r="O2165" i="1"/>
  <c r="O2164" i="1"/>
  <c r="O2163" i="1"/>
  <c r="O2162" i="1"/>
  <c r="O2161" i="1"/>
  <c r="O2160" i="1"/>
  <c r="O2159" i="1"/>
  <c r="O2158" i="1"/>
  <c r="O2157" i="1"/>
  <c r="O2156" i="1"/>
  <c r="O2155" i="1"/>
  <c r="O2154" i="1"/>
  <c r="O2153" i="1"/>
  <c r="O2152" i="1"/>
  <c r="O2151" i="1"/>
  <c r="O2150" i="1"/>
  <c r="O2149" i="1"/>
  <c r="O2148" i="1"/>
  <c r="O2147" i="1"/>
  <c r="O2146" i="1"/>
  <c r="O2145" i="1"/>
  <c r="O2144" i="1"/>
  <c r="O2143" i="1"/>
  <c r="O2142" i="1"/>
  <c r="O2141" i="1"/>
  <c r="O2140" i="1"/>
  <c r="O2139" i="1"/>
  <c r="O2138" i="1"/>
  <c r="O2137" i="1"/>
  <c r="O2136" i="1"/>
  <c r="O2135" i="1"/>
  <c r="O2134" i="1"/>
  <c r="O2133" i="1"/>
  <c r="O2132" i="1"/>
  <c r="O2131" i="1"/>
  <c r="O2130" i="1"/>
  <c r="O2129" i="1"/>
  <c r="O2128" i="1"/>
  <c r="O2127" i="1"/>
  <c r="O2126" i="1"/>
  <c r="O2125" i="1"/>
  <c r="O2124" i="1"/>
  <c r="O2123" i="1"/>
  <c r="O2122" i="1"/>
  <c r="O2121" i="1"/>
  <c r="O2120" i="1"/>
  <c r="O2119" i="1"/>
  <c r="O2118" i="1"/>
  <c r="O2117" i="1"/>
  <c r="O2116" i="1"/>
  <c r="O2115" i="1"/>
  <c r="O2114" i="1"/>
  <c r="O2113" i="1"/>
  <c r="O2112" i="1"/>
  <c r="O2111" i="1"/>
  <c r="O2110" i="1"/>
  <c r="O2109" i="1"/>
  <c r="O2108" i="1"/>
  <c r="O2107" i="1"/>
  <c r="O2106" i="1"/>
  <c r="O2105" i="1"/>
  <c r="O2104" i="1"/>
  <c r="O2103" i="1"/>
  <c r="O2102" i="1"/>
  <c r="O2101" i="1"/>
  <c r="O2100" i="1"/>
  <c r="O2099" i="1"/>
  <c r="O2098" i="1"/>
  <c r="O2097" i="1"/>
  <c r="O2096" i="1"/>
  <c r="O2095" i="1"/>
  <c r="O2094" i="1"/>
  <c r="O2093" i="1"/>
  <c r="O2092" i="1"/>
  <c r="O2091" i="1"/>
  <c r="O2090" i="1"/>
  <c r="O2089" i="1"/>
  <c r="O2088" i="1"/>
  <c r="O2087" i="1"/>
  <c r="O2086" i="1"/>
  <c r="O2085" i="1"/>
  <c r="O2084" i="1"/>
  <c r="O2083" i="1"/>
  <c r="O2082" i="1"/>
  <c r="O2081" i="1"/>
  <c r="O2080" i="1"/>
  <c r="O2079" i="1"/>
  <c r="O2078" i="1"/>
  <c r="O2077" i="1"/>
  <c r="O2076" i="1"/>
  <c r="O2075" i="1"/>
  <c r="O2074" i="1"/>
  <c r="O2073" i="1"/>
  <c r="O2072" i="1"/>
  <c r="O2071" i="1"/>
  <c r="O2070" i="1"/>
  <c r="O2069" i="1"/>
  <c r="O2068" i="1"/>
  <c r="O2067" i="1"/>
  <c r="O2066" i="1"/>
  <c r="O2065" i="1"/>
  <c r="O2064" i="1"/>
  <c r="O2063" i="1"/>
  <c r="O2062" i="1"/>
  <c r="O2061" i="1"/>
  <c r="O2060" i="1"/>
  <c r="O2059" i="1"/>
  <c r="O2058" i="1"/>
  <c r="O2057" i="1"/>
  <c r="O2056" i="1"/>
  <c r="O2055" i="1"/>
  <c r="O2054" i="1"/>
  <c r="O2053" i="1"/>
  <c r="O2052" i="1"/>
  <c r="O2051" i="1"/>
  <c r="O2050" i="1"/>
  <c r="O2049" i="1"/>
  <c r="O2048" i="1"/>
  <c r="O2047" i="1"/>
  <c r="O2046" i="1"/>
  <c r="O2045" i="1"/>
  <c r="O2044" i="1"/>
  <c r="O2043" i="1"/>
  <c r="O2042" i="1"/>
  <c r="O2041" i="1"/>
  <c r="O2040" i="1"/>
  <c r="O2039" i="1"/>
  <c r="O2038" i="1"/>
  <c r="O2037" i="1"/>
  <c r="O2036" i="1"/>
  <c r="O2035" i="1"/>
  <c r="O2034" i="1"/>
  <c r="O2033" i="1"/>
  <c r="O2032" i="1"/>
  <c r="O2031" i="1"/>
  <c r="O2030" i="1"/>
  <c r="O2029" i="1"/>
  <c r="O2028" i="1"/>
  <c r="O2027" i="1"/>
  <c r="O2026" i="1"/>
  <c r="O2025" i="1"/>
  <c r="O2024" i="1"/>
  <c r="O2023" i="1"/>
  <c r="O2022" i="1"/>
  <c r="O2021" i="1"/>
  <c r="O2020" i="1"/>
  <c r="O2019" i="1"/>
  <c r="O2018" i="1"/>
  <c r="O2017" i="1"/>
  <c r="O2016" i="1"/>
  <c r="O2015" i="1"/>
  <c r="O2014" i="1"/>
  <c r="O2013" i="1"/>
  <c r="O2012" i="1"/>
  <c r="O2011" i="1"/>
  <c r="O2010" i="1"/>
  <c r="O2009" i="1"/>
  <c r="O2008" i="1"/>
  <c r="O2007" i="1"/>
  <c r="O2006" i="1"/>
  <c r="O2005" i="1"/>
  <c r="O2004" i="1"/>
  <c r="O2003" i="1"/>
  <c r="O2002" i="1"/>
  <c r="O2001" i="1"/>
  <c r="O2000" i="1"/>
  <c r="O1999" i="1"/>
  <c r="O1998" i="1"/>
  <c r="O1997" i="1"/>
  <c r="O1996" i="1"/>
  <c r="O1995" i="1"/>
  <c r="O1994" i="1"/>
  <c r="O1993" i="1"/>
  <c r="O1992" i="1"/>
  <c r="O1991" i="1"/>
  <c r="O1990" i="1"/>
  <c r="O1989" i="1"/>
  <c r="O1988" i="1"/>
  <c r="O1987" i="1"/>
  <c r="O1986" i="1"/>
  <c r="O1985" i="1"/>
  <c r="O1984" i="1"/>
  <c r="O1983" i="1"/>
  <c r="O1982" i="1"/>
  <c r="O1981" i="1"/>
  <c r="O1980" i="1"/>
  <c r="O1979" i="1"/>
  <c r="O1978" i="1"/>
  <c r="O1977" i="1"/>
  <c r="O1976" i="1"/>
  <c r="O1975" i="1"/>
  <c r="O1974" i="1"/>
  <c r="O1973" i="1"/>
  <c r="O1972" i="1"/>
  <c r="O1971" i="1"/>
  <c r="O1970" i="1"/>
  <c r="O1969" i="1"/>
  <c r="O1968" i="1"/>
  <c r="O1967" i="1"/>
  <c r="O1966" i="1"/>
  <c r="O1965" i="1"/>
  <c r="O1964" i="1"/>
  <c r="O1963" i="1"/>
  <c r="O1962" i="1"/>
  <c r="O1961" i="1"/>
  <c r="O1960" i="1"/>
  <c r="O1959" i="1"/>
  <c r="O1958" i="1"/>
  <c r="O1957" i="1"/>
  <c r="O1956" i="1"/>
  <c r="O1955" i="1"/>
  <c r="O1954" i="1"/>
  <c r="O1953" i="1"/>
  <c r="O1952" i="1"/>
  <c r="O1951" i="1"/>
  <c r="O1950" i="1"/>
  <c r="O1949" i="1"/>
  <c r="O1948" i="1"/>
  <c r="O1947" i="1"/>
  <c r="O1946" i="1"/>
  <c r="O1945" i="1"/>
  <c r="O1944" i="1"/>
  <c r="O1943" i="1"/>
  <c r="O1942" i="1"/>
  <c r="O1941" i="1"/>
  <c r="O1940" i="1"/>
  <c r="O1939" i="1"/>
  <c r="O1938" i="1"/>
  <c r="O1937" i="1"/>
  <c r="O1936" i="1"/>
  <c r="O1935" i="1"/>
  <c r="O1934" i="1"/>
  <c r="O1933" i="1"/>
  <c r="O1932" i="1"/>
  <c r="O1931" i="1"/>
  <c r="O1930" i="1"/>
  <c r="O1929" i="1"/>
  <c r="O1928" i="1"/>
  <c r="O1927" i="1"/>
  <c r="O1926" i="1"/>
  <c r="O1925" i="1"/>
  <c r="O1924" i="1"/>
  <c r="O1923" i="1"/>
  <c r="O1922" i="1"/>
  <c r="O1921" i="1"/>
  <c r="O1920" i="1"/>
  <c r="O1919" i="1"/>
  <c r="O1918" i="1"/>
  <c r="O1917" i="1"/>
  <c r="O1916" i="1"/>
  <c r="O1915" i="1"/>
  <c r="O1914" i="1"/>
  <c r="O1913" i="1"/>
  <c r="O1912" i="1"/>
  <c r="O1911" i="1"/>
  <c r="O1910" i="1"/>
  <c r="O1909" i="1"/>
  <c r="O1908" i="1"/>
  <c r="O1907" i="1"/>
  <c r="O1906" i="1"/>
  <c r="O1905" i="1"/>
  <c r="O1904" i="1"/>
  <c r="O1903" i="1"/>
  <c r="O1902" i="1"/>
  <c r="O1901" i="1"/>
  <c r="O1900" i="1"/>
  <c r="O1899" i="1"/>
  <c r="O1898" i="1"/>
  <c r="O1897" i="1"/>
  <c r="O1896" i="1"/>
  <c r="O1895" i="1"/>
  <c r="O1894" i="1"/>
  <c r="O1893" i="1"/>
  <c r="O1892" i="1"/>
  <c r="O1891" i="1"/>
  <c r="O1890" i="1"/>
  <c r="O1889" i="1"/>
  <c r="O1888" i="1"/>
  <c r="O1887" i="1"/>
  <c r="O1886" i="1"/>
  <c r="O1885" i="1"/>
  <c r="O1884" i="1"/>
  <c r="O1883" i="1"/>
  <c r="O1882" i="1"/>
  <c r="O1881" i="1"/>
  <c r="O1880" i="1"/>
  <c r="O1879" i="1"/>
  <c r="O1878" i="1"/>
  <c r="O1877" i="1"/>
  <c r="O1876" i="1"/>
  <c r="O1875" i="1"/>
  <c r="O1874" i="1"/>
  <c r="O1873" i="1"/>
  <c r="O1872" i="1"/>
  <c r="O1871" i="1"/>
  <c r="O1870" i="1"/>
  <c r="O1869" i="1"/>
  <c r="O1868" i="1"/>
  <c r="O1867" i="1"/>
  <c r="O1866" i="1"/>
  <c r="O1865" i="1"/>
  <c r="O1864" i="1"/>
  <c r="O1863" i="1"/>
  <c r="O1862" i="1"/>
  <c r="O1861" i="1"/>
  <c r="O1860" i="1"/>
  <c r="O1859" i="1"/>
  <c r="O1858" i="1"/>
  <c r="O1857" i="1"/>
  <c r="O1856" i="1"/>
  <c r="O1855" i="1"/>
  <c r="O1854" i="1"/>
  <c r="O1853" i="1"/>
  <c r="O1852" i="1"/>
  <c r="O1851" i="1"/>
  <c r="O1850" i="1"/>
  <c r="O1849" i="1"/>
  <c r="O1848" i="1"/>
  <c r="O1847" i="1"/>
  <c r="O1846" i="1"/>
  <c r="O1845" i="1"/>
  <c r="O1844" i="1"/>
  <c r="O1843" i="1"/>
  <c r="O1842" i="1"/>
  <c r="O1841" i="1"/>
  <c r="O1840" i="1"/>
  <c r="O1839" i="1"/>
  <c r="O1838" i="1"/>
  <c r="O1837" i="1"/>
  <c r="O1836" i="1"/>
  <c r="O1835" i="1"/>
  <c r="O1834" i="1"/>
  <c r="O1833" i="1"/>
  <c r="O1832" i="1"/>
  <c r="O1831" i="1"/>
  <c r="O1830" i="1"/>
  <c r="O1829" i="1"/>
  <c r="O1828" i="1"/>
  <c r="O1827" i="1"/>
  <c r="O1826" i="1"/>
  <c r="O1825" i="1"/>
  <c r="O1824" i="1"/>
  <c r="O1823" i="1"/>
  <c r="O1822" i="1"/>
  <c r="O1821" i="1"/>
  <c r="O1820" i="1"/>
  <c r="O1819" i="1"/>
  <c r="O1818" i="1"/>
  <c r="O1817" i="1"/>
  <c r="O1816" i="1"/>
  <c r="O1815" i="1"/>
  <c r="O1814" i="1"/>
  <c r="O1813" i="1"/>
  <c r="O1812" i="1"/>
  <c r="O1811" i="1"/>
  <c r="O1810" i="1"/>
  <c r="O1809" i="1"/>
  <c r="O1808" i="1"/>
  <c r="O1807" i="1"/>
  <c r="O1806" i="1"/>
  <c r="O1805" i="1"/>
  <c r="O1804" i="1"/>
  <c r="O1803" i="1"/>
  <c r="O1802" i="1"/>
  <c r="O1801" i="1"/>
  <c r="O1800" i="1"/>
  <c r="O1799" i="1"/>
  <c r="O1798" i="1"/>
  <c r="O1797" i="1"/>
  <c r="O1796" i="1"/>
  <c r="O1795" i="1"/>
  <c r="O1794" i="1"/>
  <c r="O1793" i="1"/>
  <c r="O1792" i="1"/>
  <c r="O1791" i="1"/>
  <c r="O1790" i="1"/>
  <c r="O1789" i="1"/>
  <c r="O1788" i="1"/>
  <c r="O1787" i="1"/>
  <c r="O1786" i="1"/>
  <c r="O1785" i="1"/>
  <c r="O1784" i="1"/>
  <c r="O1783" i="1"/>
  <c r="O1782" i="1"/>
  <c r="O1781" i="1"/>
  <c r="O1780" i="1"/>
  <c r="O1779" i="1"/>
  <c r="O1778" i="1"/>
  <c r="O1777" i="1"/>
  <c r="O1776" i="1"/>
  <c r="O1775" i="1"/>
  <c r="O1774" i="1"/>
  <c r="O1773" i="1"/>
  <c r="O1772" i="1"/>
  <c r="O1771" i="1"/>
  <c r="O1770" i="1"/>
  <c r="O1769" i="1"/>
  <c r="O1768" i="1"/>
  <c r="O1767" i="1"/>
  <c r="O1766" i="1"/>
  <c r="O1765" i="1"/>
  <c r="O1764" i="1"/>
  <c r="O1763" i="1"/>
  <c r="O1762" i="1"/>
  <c r="O1761" i="1"/>
  <c r="O1760" i="1"/>
  <c r="O1759" i="1"/>
  <c r="O1758" i="1"/>
  <c r="O1757" i="1"/>
  <c r="O1756" i="1"/>
  <c r="O1755" i="1"/>
  <c r="O1754" i="1"/>
  <c r="O1753" i="1"/>
  <c r="O1752" i="1"/>
  <c r="O1751" i="1"/>
  <c r="O1750" i="1"/>
  <c r="O1749" i="1"/>
  <c r="O1748" i="1"/>
  <c r="O1747" i="1"/>
  <c r="O1746" i="1"/>
  <c r="O1745" i="1"/>
  <c r="O1744" i="1"/>
  <c r="O1743" i="1"/>
  <c r="O1742" i="1"/>
  <c r="O1741" i="1"/>
  <c r="O1740" i="1"/>
  <c r="O1739" i="1"/>
  <c r="O1738" i="1"/>
  <c r="O1737" i="1"/>
  <c r="O1736" i="1"/>
  <c r="O1735" i="1"/>
  <c r="O1734" i="1"/>
  <c r="O1733" i="1"/>
  <c r="O1732" i="1"/>
  <c r="O1731" i="1"/>
  <c r="O1730" i="1"/>
  <c r="O1729" i="1"/>
  <c r="O1728" i="1"/>
  <c r="O1727" i="1"/>
  <c r="O1726" i="1"/>
  <c r="O1725" i="1"/>
  <c r="O1724" i="1"/>
  <c r="O1723" i="1"/>
  <c r="O1722" i="1"/>
  <c r="O1721" i="1"/>
  <c r="O1720" i="1"/>
  <c r="O1719" i="1"/>
  <c r="O1718" i="1"/>
  <c r="O1717" i="1"/>
  <c r="O1716" i="1"/>
  <c r="O1715" i="1"/>
  <c r="O1714" i="1"/>
  <c r="O1713" i="1"/>
  <c r="O1712" i="1"/>
  <c r="O1711" i="1"/>
  <c r="O1710" i="1"/>
  <c r="O1709" i="1"/>
  <c r="O1708" i="1"/>
  <c r="O1707" i="1"/>
  <c r="O1706" i="1"/>
  <c r="O1705" i="1"/>
  <c r="O1704" i="1"/>
  <c r="O1703" i="1"/>
  <c r="O1702" i="1"/>
  <c r="O1701" i="1"/>
  <c r="O1700" i="1"/>
  <c r="O1699" i="1"/>
  <c r="O1698" i="1"/>
  <c r="O1697" i="1"/>
  <c r="O1696" i="1"/>
  <c r="O1695" i="1"/>
  <c r="O1694" i="1"/>
  <c r="O1693" i="1"/>
  <c r="O1692" i="1"/>
  <c r="O1691" i="1"/>
  <c r="O1690" i="1"/>
  <c r="O1689" i="1"/>
  <c r="O1688" i="1"/>
  <c r="O1687" i="1"/>
  <c r="O1686" i="1"/>
  <c r="O1685" i="1"/>
  <c r="O1684" i="1"/>
  <c r="O1683" i="1"/>
  <c r="O1682" i="1"/>
  <c r="O1681" i="1"/>
  <c r="O1680" i="1"/>
  <c r="O1679" i="1"/>
  <c r="O1678" i="1"/>
  <c r="O1677" i="1"/>
  <c r="O1676" i="1"/>
  <c r="O1675" i="1"/>
  <c r="O1674" i="1"/>
  <c r="O1673" i="1"/>
  <c r="O1672" i="1"/>
  <c r="O1671" i="1"/>
  <c r="O1670" i="1"/>
  <c r="O1669" i="1"/>
  <c r="O1668" i="1"/>
  <c r="O1667" i="1"/>
  <c r="O1666" i="1"/>
  <c r="O1665" i="1"/>
  <c r="O1664" i="1"/>
  <c r="O1663" i="1"/>
  <c r="O1662" i="1"/>
  <c r="O1661" i="1"/>
  <c r="O1660" i="1"/>
  <c r="O1659" i="1"/>
  <c r="O1658" i="1"/>
  <c r="O1657" i="1"/>
  <c r="O1656" i="1"/>
  <c r="O1655" i="1"/>
  <c r="O1654" i="1"/>
  <c r="O1653" i="1"/>
  <c r="O1652" i="1"/>
  <c r="O1651" i="1"/>
  <c r="O1650" i="1"/>
  <c r="O1649" i="1"/>
  <c r="O1648" i="1"/>
  <c r="O1647" i="1"/>
  <c r="O1646" i="1"/>
  <c r="O1645" i="1"/>
  <c r="O1644" i="1"/>
  <c r="O1643" i="1"/>
  <c r="O1642" i="1"/>
  <c r="O1641" i="1"/>
  <c r="O1640" i="1"/>
  <c r="O1639" i="1"/>
  <c r="O1638" i="1"/>
  <c r="O1637" i="1"/>
  <c r="O1636" i="1"/>
  <c r="O1635" i="1"/>
  <c r="O1634" i="1"/>
  <c r="O1633" i="1"/>
  <c r="O1632" i="1"/>
  <c r="O1631" i="1"/>
  <c r="O1630" i="1"/>
  <c r="O1629" i="1"/>
  <c r="O1628" i="1"/>
  <c r="O1627" i="1"/>
  <c r="O1626" i="1"/>
  <c r="O1625" i="1"/>
  <c r="O1624" i="1"/>
  <c r="O1623" i="1"/>
  <c r="O1622" i="1"/>
  <c r="O1621" i="1"/>
  <c r="O1620" i="1"/>
  <c r="O1619" i="1"/>
  <c r="O1618" i="1"/>
  <c r="O1617" i="1"/>
  <c r="O1616" i="1"/>
  <c r="O1615" i="1"/>
  <c r="O1614" i="1"/>
  <c r="O1613" i="1"/>
  <c r="O1612" i="1"/>
  <c r="O1611" i="1"/>
  <c r="O1610" i="1"/>
  <c r="O1609" i="1"/>
  <c r="O1608" i="1"/>
  <c r="O1607" i="1"/>
  <c r="O1606" i="1"/>
  <c r="O1605" i="1"/>
  <c r="O1604" i="1"/>
  <c r="O1603" i="1"/>
  <c r="O1602" i="1"/>
  <c r="O1601" i="1"/>
  <c r="O1600" i="1"/>
  <c r="O1599" i="1"/>
  <c r="O1598" i="1"/>
  <c r="O1597" i="1"/>
  <c r="O1596" i="1"/>
  <c r="O1595" i="1"/>
  <c r="O1594" i="1"/>
  <c r="O1593" i="1"/>
  <c r="O1592" i="1"/>
  <c r="O1591" i="1"/>
  <c r="O1590" i="1"/>
  <c r="O1589" i="1"/>
  <c r="O1588" i="1"/>
  <c r="O1587" i="1"/>
  <c r="O1586" i="1"/>
  <c r="O1585" i="1"/>
  <c r="O1584" i="1"/>
  <c r="O1583" i="1"/>
  <c r="O1582" i="1"/>
  <c r="O1581" i="1"/>
  <c r="O1580" i="1"/>
  <c r="O1579" i="1"/>
  <c r="O1578" i="1"/>
  <c r="O1577" i="1"/>
  <c r="O1576" i="1"/>
  <c r="O1575" i="1"/>
  <c r="O1574" i="1"/>
  <c r="O1573" i="1"/>
  <c r="O1572" i="1"/>
  <c r="O1571" i="1"/>
  <c r="O1570" i="1"/>
  <c r="O1569" i="1"/>
  <c r="O1568" i="1"/>
  <c r="O1567" i="1"/>
  <c r="O1566" i="1"/>
  <c r="O1565" i="1"/>
  <c r="O1564" i="1"/>
  <c r="O1563" i="1"/>
  <c r="O1562" i="1"/>
  <c r="O1561" i="1"/>
  <c r="O1560" i="1"/>
  <c r="O1559" i="1"/>
  <c r="O1558" i="1"/>
  <c r="O1557" i="1"/>
  <c r="O1556" i="1"/>
  <c r="O1555" i="1"/>
  <c r="O1554" i="1"/>
  <c r="O1553" i="1"/>
  <c r="O1552" i="1"/>
  <c r="O1551" i="1"/>
  <c r="O1550" i="1"/>
  <c r="O1549" i="1"/>
  <c r="O1548" i="1"/>
  <c r="O1547" i="1"/>
  <c r="O1546" i="1"/>
  <c r="O1545" i="1"/>
  <c r="O1544" i="1"/>
  <c r="O1543" i="1"/>
  <c r="O1542" i="1"/>
  <c r="O1541" i="1"/>
  <c r="O1540" i="1"/>
  <c r="O1539" i="1"/>
  <c r="O1538" i="1"/>
  <c r="O1537" i="1"/>
  <c r="O1536" i="1"/>
  <c r="O1535" i="1"/>
  <c r="O1534" i="1"/>
  <c r="O1533" i="1"/>
  <c r="O1532" i="1"/>
  <c r="O1531" i="1"/>
  <c r="O1530" i="1"/>
  <c r="O1529" i="1"/>
  <c r="O1528" i="1"/>
  <c r="O1527" i="1"/>
  <c r="O1526" i="1"/>
  <c r="O1525" i="1"/>
  <c r="O1524" i="1"/>
  <c r="O1523" i="1"/>
  <c r="O1522" i="1"/>
  <c r="O1521" i="1"/>
  <c r="O1520" i="1"/>
  <c r="O1519" i="1"/>
  <c r="O1518" i="1"/>
  <c r="O1517" i="1"/>
  <c r="O1516" i="1"/>
  <c r="O1515" i="1"/>
  <c r="O1514" i="1"/>
  <c r="O1513" i="1"/>
  <c r="O1512" i="1"/>
  <c r="O1511" i="1"/>
  <c r="O1510" i="1"/>
  <c r="O1509" i="1"/>
  <c r="O1508" i="1"/>
  <c r="O1507" i="1"/>
  <c r="O1506" i="1"/>
  <c r="O1505" i="1"/>
  <c r="O1504" i="1"/>
  <c r="O1503" i="1"/>
  <c r="O1502" i="1"/>
  <c r="O1501" i="1"/>
  <c r="O1500" i="1"/>
  <c r="O1499" i="1"/>
  <c r="O1498" i="1"/>
  <c r="O1497" i="1"/>
  <c r="O1496" i="1"/>
  <c r="O1495" i="1"/>
  <c r="O1494" i="1"/>
  <c r="O1493" i="1"/>
  <c r="O1492" i="1"/>
  <c r="O1491" i="1"/>
  <c r="O1490" i="1"/>
  <c r="O1489" i="1"/>
  <c r="O1488" i="1"/>
  <c r="O1487" i="1"/>
  <c r="O1486" i="1"/>
  <c r="O1485" i="1"/>
  <c r="O1484" i="1"/>
  <c r="O1483" i="1"/>
  <c r="O1482" i="1"/>
  <c r="O1481" i="1"/>
  <c r="O1480" i="1"/>
  <c r="O1479" i="1"/>
  <c r="O1478" i="1"/>
  <c r="O1477" i="1"/>
  <c r="O1476" i="1"/>
  <c r="O1475" i="1"/>
  <c r="O1474" i="1"/>
  <c r="O1473" i="1"/>
  <c r="O1472" i="1"/>
  <c r="O1471" i="1"/>
  <c r="O1470" i="1"/>
  <c r="O1469" i="1"/>
  <c r="O1468" i="1"/>
  <c r="O1467" i="1"/>
  <c r="O1466" i="1"/>
  <c r="O1465" i="1"/>
  <c r="O1464" i="1"/>
  <c r="O1463" i="1"/>
  <c r="O1462" i="1"/>
  <c r="O1461" i="1"/>
  <c r="O1460" i="1"/>
  <c r="O1459" i="1"/>
  <c r="O1458" i="1"/>
  <c r="O1457" i="1"/>
  <c r="O1456" i="1"/>
  <c r="O1455" i="1"/>
  <c r="O1454" i="1"/>
  <c r="O1453" i="1"/>
  <c r="O1452" i="1"/>
  <c r="O1451" i="1"/>
  <c r="O1450" i="1"/>
  <c r="O1449" i="1"/>
  <c r="O1448" i="1"/>
  <c r="O1447" i="1"/>
  <c r="O1446" i="1"/>
  <c r="O1445" i="1"/>
  <c r="O1444" i="1"/>
  <c r="O1443" i="1"/>
  <c r="O1442" i="1"/>
  <c r="O1441" i="1"/>
  <c r="O1440" i="1"/>
  <c r="O1439" i="1"/>
  <c r="O1438" i="1"/>
  <c r="O1437" i="1"/>
  <c r="O1436" i="1"/>
  <c r="O1435" i="1"/>
  <c r="O1434" i="1"/>
  <c r="O1433" i="1"/>
  <c r="O1432" i="1"/>
  <c r="O1431" i="1"/>
  <c r="O1430" i="1"/>
  <c r="O1429" i="1"/>
  <c r="O1428" i="1"/>
  <c r="O1427" i="1"/>
  <c r="O1426" i="1"/>
  <c r="O1425" i="1"/>
  <c r="O1424" i="1"/>
  <c r="O1423" i="1"/>
  <c r="O1422" i="1"/>
  <c r="O1421" i="1"/>
  <c r="O1420" i="1"/>
  <c r="O1419" i="1"/>
  <c r="O1418" i="1"/>
  <c r="O1417" i="1"/>
  <c r="O1416" i="1"/>
  <c r="O1415" i="1"/>
  <c r="O1414" i="1"/>
  <c r="O1413" i="1"/>
  <c r="O1412" i="1"/>
  <c r="O1411" i="1"/>
  <c r="O1410" i="1"/>
  <c r="O1409" i="1"/>
  <c r="O1408" i="1"/>
  <c r="O1407" i="1"/>
  <c r="O1406" i="1"/>
  <c r="O1405" i="1"/>
  <c r="O1404" i="1"/>
  <c r="O1403" i="1"/>
  <c r="O1402" i="1"/>
  <c r="O1401" i="1"/>
  <c r="O1400" i="1"/>
  <c r="O1399" i="1"/>
  <c r="O1398" i="1"/>
  <c r="O1397" i="1"/>
  <c r="O1396" i="1"/>
  <c r="O1395" i="1"/>
  <c r="O1394" i="1"/>
  <c r="O1393" i="1"/>
  <c r="O1392" i="1"/>
  <c r="O1391" i="1"/>
  <c r="O1390" i="1"/>
  <c r="O1389" i="1"/>
  <c r="O1388" i="1"/>
  <c r="O1387" i="1"/>
  <c r="O1386" i="1"/>
  <c r="O1385" i="1"/>
  <c r="O1384" i="1"/>
  <c r="O1383" i="1"/>
  <c r="O1382" i="1"/>
  <c r="O1381" i="1"/>
  <c r="O1380" i="1"/>
  <c r="O1379" i="1"/>
  <c r="O1378" i="1"/>
  <c r="O1377" i="1"/>
  <c r="O1376" i="1"/>
  <c r="O1375" i="1"/>
  <c r="O1374" i="1"/>
  <c r="O1373" i="1"/>
  <c r="O1372" i="1"/>
  <c r="O1371" i="1"/>
  <c r="O1370" i="1"/>
  <c r="O1369" i="1"/>
  <c r="O1368" i="1"/>
  <c r="O1367" i="1"/>
  <c r="O1366" i="1"/>
  <c r="O1365" i="1"/>
  <c r="O1364" i="1"/>
  <c r="O1363" i="1"/>
  <c r="O1362" i="1"/>
  <c r="O1361" i="1"/>
  <c r="O1360" i="1"/>
  <c r="O1359" i="1"/>
  <c r="O1358" i="1"/>
  <c r="O1357" i="1"/>
  <c r="O1356" i="1"/>
  <c r="O1355" i="1"/>
  <c r="O1354" i="1"/>
  <c r="O1353" i="1"/>
  <c r="O1352" i="1"/>
  <c r="O1351" i="1"/>
  <c r="O1350" i="1"/>
  <c r="O1349" i="1"/>
  <c r="O1348" i="1"/>
  <c r="O1347" i="1"/>
  <c r="O1346" i="1"/>
  <c r="O1345" i="1"/>
  <c r="O1344" i="1"/>
  <c r="O1343" i="1"/>
  <c r="O1342" i="1"/>
  <c r="O1341" i="1"/>
  <c r="O1340" i="1"/>
  <c r="O1339" i="1"/>
  <c r="O1338" i="1"/>
  <c r="O1337" i="1"/>
  <c r="O1336" i="1"/>
  <c r="O1335" i="1"/>
  <c r="O1334" i="1"/>
  <c r="O1333" i="1"/>
  <c r="O1332" i="1"/>
  <c r="O1331" i="1"/>
  <c r="O1330" i="1"/>
  <c r="O1329" i="1"/>
  <c r="O1328" i="1"/>
  <c r="O1327" i="1"/>
  <c r="O1326" i="1"/>
  <c r="O1325" i="1"/>
  <c r="O1324" i="1"/>
  <c r="O1323" i="1"/>
  <c r="O1322" i="1"/>
  <c r="O1321" i="1"/>
  <c r="O1320" i="1"/>
  <c r="O1319" i="1"/>
  <c r="O1318" i="1"/>
  <c r="O1317" i="1"/>
  <c r="O1316" i="1"/>
  <c r="O1315" i="1"/>
  <c r="O1314" i="1"/>
  <c r="O1313" i="1"/>
  <c r="O1312" i="1"/>
  <c r="O1311" i="1"/>
  <c r="O1310" i="1"/>
  <c r="O1309" i="1"/>
  <c r="O1308" i="1"/>
  <c r="O1307" i="1"/>
  <c r="O1306" i="1"/>
  <c r="O1305" i="1"/>
  <c r="O1304" i="1"/>
  <c r="O1303" i="1"/>
  <c r="O1302" i="1"/>
  <c r="O1301" i="1"/>
  <c r="O1300" i="1"/>
  <c r="O1299" i="1"/>
  <c r="O1298" i="1"/>
  <c r="O1297" i="1"/>
  <c r="O1296" i="1"/>
  <c r="O1295" i="1"/>
  <c r="O1294" i="1"/>
  <c r="O1293" i="1"/>
  <c r="O1292" i="1"/>
  <c r="O1291" i="1"/>
  <c r="O1290" i="1"/>
  <c r="O1289" i="1"/>
  <c r="O1288" i="1"/>
  <c r="O1287" i="1"/>
  <c r="O1286" i="1"/>
  <c r="O1285" i="1"/>
  <c r="O1284" i="1"/>
  <c r="O1283" i="1"/>
  <c r="O1282" i="1"/>
  <c r="O1281" i="1"/>
  <c r="O1280" i="1"/>
  <c r="O1279" i="1"/>
  <c r="O1278" i="1"/>
  <c r="O1277" i="1"/>
  <c r="O1276" i="1"/>
  <c r="O1275" i="1"/>
  <c r="O1274" i="1"/>
  <c r="O1273" i="1"/>
  <c r="O1272" i="1"/>
  <c r="O1271" i="1"/>
  <c r="O1270" i="1"/>
  <c r="O1269" i="1"/>
  <c r="O1268" i="1"/>
  <c r="O1267" i="1"/>
  <c r="O1266" i="1"/>
  <c r="O1265" i="1"/>
  <c r="O1264" i="1"/>
  <c r="O1263" i="1"/>
  <c r="O1262" i="1"/>
  <c r="O1261" i="1"/>
  <c r="O1260" i="1"/>
  <c r="O1259" i="1"/>
  <c r="O1258" i="1"/>
  <c r="O1257" i="1"/>
  <c r="O1256" i="1"/>
  <c r="O1255" i="1"/>
  <c r="O1254" i="1"/>
  <c r="O1253" i="1"/>
  <c r="O1252" i="1"/>
  <c r="O1251" i="1"/>
  <c r="O1250" i="1"/>
  <c r="O1249" i="1"/>
  <c r="O1248" i="1"/>
  <c r="O1247" i="1"/>
  <c r="O1246" i="1"/>
  <c r="O1245" i="1"/>
  <c r="O1244" i="1"/>
  <c r="O1243" i="1"/>
  <c r="O1242" i="1"/>
  <c r="O1241" i="1"/>
  <c r="O1240" i="1"/>
  <c r="O1239" i="1"/>
  <c r="O1238" i="1"/>
  <c r="O1237" i="1"/>
  <c r="O1236" i="1"/>
  <c r="O1235" i="1"/>
  <c r="O1234" i="1"/>
  <c r="O1233" i="1"/>
  <c r="O1232" i="1"/>
  <c r="O1231" i="1"/>
  <c r="O1230" i="1"/>
  <c r="O1229" i="1"/>
  <c r="O1228" i="1"/>
  <c r="O1227" i="1"/>
  <c r="O1226" i="1"/>
  <c r="O1225" i="1"/>
  <c r="O1224" i="1"/>
  <c r="O1223" i="1"/>
  <c r="O1222" i="1"/>
  <c r="O1221" i="1"/>
  <c r="O1220" i="1"/>
  <c r="O1219" i="1"/>
  <c r="O1218" i="1"/>
  <c r="O1217" i="1"/>
  <c r="O1216" i="1"/>
  <c r="O1215" i="1"/>
  <c r="O1214" i="1"/>
  <c r="O1213" i="1"/>
  <c r="O1212" i="1"/>
  <c r="O1211" i="1"/>
  <c r="O1210" i="1"/>
  <c r="O1209" i="1"/>
  <c r="O1208" i="1"/>
  <c r="O1207" i="1"/>
  <c r="O1206" i="1"/>
  <c r="O1205" i="1"/>
  <c r="O1204" i="1"/>
  <c r="O1203" i="1"/>
  <c r="O1202" i="1"/>
  <c r="O1201" i="1"/>
  <c r="O1200" i="1"/>
  <c r="O1199" i="1"/>
  <c r="O1198" i="1"/>
  <c r="O1197" i="1"/>
  <c r="O1196" i="1"/>
  <c r="O1195" i="1"/>
  <c r="O1194" i="1"/>
  <c r="O1193" i="1"/>
  <c r="O1192" i="1"/>
  <c r="O1191" i="1"/>
  <c r="O1190" i="1"/>
  <c r="O1189" i="1"/>
  <c r="O1188" i="1"/>
  <c r="O1187" i="1"/>
  <c r="O1186" i="1"/>
  <c r="O1185" i="1"/>
  <c r="O1184" i="1"/>
  <c r="O1183" i="1"/>
  <c r="O1182" i="1"/>
  <c r="O1181" i="1"/>
  <c r="O1180" i="1"/>
  <c r="O1179" i="1"/>
  <c r="O1178" i="1"/>
  <c r="O1177" i="1"/>
  <c r="O1176" i="1"/>
  <c r="O1175" i="1"/>
  <c r="O1174" i="1"/>
  <c r="O1173" i="1"/>
  <c r="O1172" i="1"/>
  <c r="O1171" i="1"/>
  <c r="O1170" i="1"/>
  <c r="O1169" i="1"/>
  <c r="O1168" i="1"/>
  <c r="O1167" i="1"/>
  <c r="O1166" i="1"/>
  <c r="O1165" i="1"/>
  <c r="O1164" i="1"/>
  <c r="O1163" i="1"/>
  <c r="O1162" i="1"/>
  <c r="O1161" i="1"/>
  <c r="O1160" i="1"/>
  <c r="O1159" i="1"/>
  <c r="O1158" i="1"/>
  <c r="O1157" i="1"/>
  <c r="O1156" i="1"/>
  <c r="O1155" i="1"/>
  <c r="O1154" i="1"/>
  <c r="O1153" i="1"/>
  <c r="O1152" i="1"/>
  <c r="O1151" i="1"/>
  <c r="O1150" i="1"/>
  <c r="O1149" i="1"/>
  <c r="O1148" i="1"/>
  <c r="O1147" i="1"/>
  <c r="O1146" i="1"/>
  <c r="O1145" i="1"/>
  <c r="O1144" i="1"/>
  <c r="O1143" i="1"/>
  <c r="O1142" i="1"/>
  <c r="O1141" i="1"/>
  <c r="O1140" i="1"/>
  <c r="O1139" i="1"/>
  <c r="O1138" i="1"/>
  <c r="O1137" i="1"/>
  <c r="O1136" i="1"/>
  <c r="O1135" i="1"/>
  <c r="O1134" i="1"/>
  <c r="O1133" i="1"/>
  <c r="O1132" i="1"/>
  <c r="O1131" i="1"/>
  <c r="O1130" i="1"/>
  <c r="O1129" i="1"/>
  <c r="O1128" i="1"/>
  <c r="O1127" i="1"/>
  <c r="O1126" i="1"/>
  <c r="O1125" i="1"/>
  <c r="O1124" i="1"/>
  <c r="O1123" i="1"/>
  <c r="O1122" i="1"/>
  <c r="O1121" i="1"/>
  <c r="O1120" i="1"/>
  <c r="O1119" i="1"/>
  <c r="O1118" i="1"/>
  <c r="O1117" i="1"/>
  <c r="O1116" i="1"/>
  <c r="O1115" i="1"/>
  <c r="O1114" i="1"/>
  <c r="O1113" i="1"/>
  <c r="O1112" i="1"/>
  <c r="O1111" i="1"/>
  <c r="O1110" i="1"/>
  <c r="O1109" i="1"/>
  <c r="O1108" i="1"/>
  <c r="O1107" i="1"/>
  <c r="O1106" i="1"/>
  <c r="O1105" i="1"/>
  <c r="O1104" i="1"/>
  <c r="O1103" i="1"/>
  <c r="O1102" i="1"/>
  <c r="O1101" i="1"/>
  <c r="O1100" i="1"/>
  <c r="O1099" i="1"/>
  <c r="O1098" i="1"/>
  <c r="O1097" i="1"/>
  <c r="O1096" i="1"/>
  <c r="O1095" i="1"/>
  <c r="O1094" i="1"/>
  <c r="O1093" i="1"/>
  <c r="O1092" i="1"/>
  <c r="O1091" i="1"/>
  <c r="O1090" i="1"/>
  <c r="O1089" i="1"/>
  <c r="O1088" i="1"/>
  <c r="O1087" i="1"/>
  <c r="O1086" i="1"/>
  <c r="O1085" i="1"/>
  <c r="O1084" i="1"/>
  <c r="O1083" i="1"/>
  <c r="O1082" i="1"/>
  <c r="O1081" i="1"/>
  <c r="O1080" i="1"/>
  <c r="O1079" i="1"/>
  <c r="O1078" i="1"/>
  <c r="O1077" i="1"/>
  <c r="O1076" i="1"/>
  <c r="O1075" i="1"/>
  <c r="O1074" i="1"/>
  <c r="O1073" i="1"/>
  <c r="O1072" i="1"/>
  <c r="O1071" i="1"/>
  <c r="O1070" i="1"/>
  <c r="O1069" i="1"/>
  <c r="O1068" i="1"/>
  <c r="O1067" i="1"/>
  <c r="O1066" i="1"/>
  <c r="O1065" i="1"/>
  <c r="O1064" i="1"/>
  <c r="O1063" i="1"/>
  <c r="O1062" i="1"/>
  <c r="O1061" i="1"/>
  <c r="O1060" i="1"/>
  <c r="O1059" i="1"/>
  <c r="O1058" i="1"/>
  <c r="O1057" i="1"/>
  <c r="O1056" i="1"/>
  <c r="O1055" i="1"/>
  <c r="O1054" i="1"/>
  <c r="O1053" i="1"/>
  <c r="O1052" i="1"/>
  <c r="O1051" i="1"/>
  <c r="O1050" i="1"/>
  <c r="O1049" i="1"/>
  <c r="O1048" i="1"/>
  <c r="O1047" i="1"/>
  <c r="O1046" i="1"/>
  <c r="O1045" i="1"/>
  <c r="O1044" i="1"/>
  <c r="O1043" i="1"/>
  <c r="O1042" i="1"/>
  <c r="O1041" i="1"/>
  <c r="O1040" i="1"/>
  <c r="O1039" i="1"/>
  <c r="O1038" i="1"/>
  <c r="O1037" i="1"/>
  <c r="O1036" i="1"/>
  <c r="O1035" i="1"/>
  <c r="O1034" i="1"/>
  <c r="O1033" i="1"/>
  <c r="O1032" i="1"/>
  <c r="O1031" i="1"/>
  <c r="O1030" i="1"/>
  <c r="O1029" i="1"/>
  <c r="O1028" i="1"/>
  <c r="O1027" i="1"/>
  <c r="O1026" i="1"/>
  <c r="O1025" i="1"/>
  <c r="O1024" i="1"/>
  <c r="O1023" i="1"/>
  <c r="O1022" i="1"/>
  <c r="O1021" i="1"/>
  <c r="O1020" i="1"/>
  <c r="O1019" i="1"/>
  <c r="O1018" i="1"/>
  <c r="O1017" i="1"/>
  <c r="O1016" i="1"/>
  <c r="O1015" i="1"/>
  <c r="O1014" i="1"/>
  <c r="O1013" i="1"/>
  <c r="O1012" i="1"/>
  <c r="O1011" i="1"/>
  <c r="O1010" i="1"/>
  <c r="O1009" i="1"/>
  <c r="O1008" i="1"/>
  <c r="O1007" i="1"/>
  <c r="O1006" i="1"/>
  <c r="O1005" i="1"/>
  <c r="O1004" i="1"/>
  <c r="O1003" i="1"/>
  <c r="O1002" i="1"/>
  <c r="O1001" i="1"/>
  <c r="O1000" i="1"/>
  <c r="O999" i="1"/>
  <c r="O998" i="1"/>
  <c r="O997" i="1"/>
  <c r="O996" i="1"/>
  <c r="O995" i="1"/>
  <c r="O994" i="1"/>
  <c r="O993" i="1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O955" i="1"/>
  <c r="O954" i="1"/>
  <c r="O953" i="1"/>
  <c r="O952" i="1"/>
  <c r="O951" i="1"/>
  <c r="O950" i="1"/>
  <c r="O949" i="1"/>
  <c r="O948" i="1"/>
  <c r="O947" i="1"/>
  <c r="O946" i="1"/>
  <c r="O945" i="1"/>
  <c r="O944" i="1"/>
  <c r="O943" i="1"/>
  <c r="O942" i="1"/>
  <c r="O941" i="1"/>
  <c r="O940" i="1"/>
  <c r="O939" i="1"/>
  <c r="O938" i="1"/>
  <c r="O937" i="1"/>
  <c r="O936" i="1"/>
  <c r="O935" i="1"/>
  <c r="O934" i="1"/>
  <c r="O933" i="1"/>
  <c r="O932" i="1"/>
  <c r="O931" i="1"/>
  <c r="O930" i="1"/>
  <c r="O929" i="1"/>
  <c r="O928" i="1"/>
  <c r="O927" i="1"/>
  <c r="O926" i="1"/>
  <c r="O925" i="1"/>
  <c r="O924" i="1"/>
  <c r="O923" i="1"/>
  <c r="O922" i="1"/>
  <c r="O921" i="1"/>
  <c r="O920" i="1"/>
  <c r="O919" i="1"/>
  <c r="O918" i="1"/>
  <c r="O917" i="1"/>
  <c r="O916" i="1"/>
  <c r="O915" i="1"/>
  <c r="O914" i="1"/>
  <c r="O913" i="1"/>
  <c r="O912" i="1"/>
  <c r="O911" i="1"/>
  <c r="O910" i="1"/>
  <c r="O909" i="1"/>
  <c r="O908" i="1"/>
  <c r="O907" i="1"/>
  <c r="O906" i="1"/>
  <c r="O905" i="1"/>
  <c r="O904" i="1"/>
  <c r="O903" i="1"/>
  <c r="O902" i="1"/>
  <c r="O901" i="1"/>
  <c r="O900" i="1"/>
  <c r="O899" i="1"/>
  <c r="O898" i="1"/>
  <c r="O897" i="1"/>
  <c r="O896" i="1"/>
  <c r="O895" i="1"/>
  <c r="O894" i="1"/>
  <c r="O893" i="1"/>
  <c r="O892" i="1"/>
  <c r="O891" i="1"/>
  <c r="O890" i="1"/>
  <c r="O889" i="1"/>
  <c r="O888" i="1"/>
  <c r="O887" i="1"/>
  <c r="O886" i="1"/>
  <c r="O885" i="1"/>
  <c r="O884" i="1"/>
  <c r="O883" i="1"/>
  <c r="O882" i="1"/>
  <c r="O881" i="1"/>
  <c r="O880" i="1"/>
  <c r="O879" i="1"/>
  <c r="O878" i="1"/>
  <c r="O877" i="1"/>
  <c r="O876" i="1"/>
  <c r="O875" i="1"/>
  <c r="O874" i="1"/>
  <c r="O873" i="1"/>
  <c r="O872" i="1"/>
  <c r="O871" i="1"/>
  <c r="O870" i="1"/>
  <c r="O869" i="1"/>
  <c r="O868" i="1"/>
  <c r="O867" i="1"/>
  <c r="O866" i="1"/>
  <c r="O865" i="1"/>
  <c r="O864" i="1"/>
  <c r="O863" i="1"/>
  <c r="O862" i="1"/>
  <c r="O861" i="1"/>
  <c r="O860" i="1"/>
  <c r="O859" i="1"/>
  <c r="O858" i="1"/>
  <c r="O857" i="1"/>
  <c r="O856" i="1"/>
  <c r="O855" i="1"/>
  <c r="O854" i="1"/>
  <c r="O853" i="1"/>
  <c r="O852" i="1"/>
  <c r="O851" i="1"/>
  <c r="O850" i="1"/>
  <c r="O849" i="1"/>
  <c r="O848" i="1"/>
  <c r="O847" i="1"/>
  <c r="O846" i="1"/>
  <c r="O845" i="1"/>
  <c r="O844" i="1"/>
  <c r="O843" i="1"/>
  <c r="O842" i="1"/>
  <c r="O841" i="1"/>
  <c r="O840" i="1"/>
  <c r="O839" i="1"/>
  <c r="O838" i="1"/>
  <c r="O837" i="1"/>
  <c r="O836" i="1"/>
  <c r="O835" i="1"/>
  <c r="O834" i="1"/>
  <c r="O833" i="1"/>
  <c r="O832" i="1"/>
  <c r="O831" i="1"/>
  <c r="O830" i="1"/>
  <c r="O829" i="1"/>
  <c r="O828" i="1"/>
  <c r="O827" i="1"/>
  <c r="O826" i="1"/>
  <c r="O825" i="1"/>
  <c r="O824" i="1"/>
  <c r="O823" i="1"/>
  <c r="O822" i="1"/>
  <c r="O821" i="1"/>
  <c r="O820" i="1"/>
  <c r="O819" i="1"/>
  <c r="O818" i="1"/>
  <c r="O817" i="1"/>
  <c r="O816" i="1"/>
  <c r="O815" i="1"/>
  <c r="O814" i="1"/>
  <c r="O813" i="1"/>
  <c r="O812" i="1"/>
  <c r="O811" i="1"/>
  <c r="O810" i="1"/>
  <c r="O809" i="1"/>
  <c r="O808" i="1"/>
  <c r="O807" i="1"/>
  <c r="O806" i="1"/>
  <c r="O805" i="1"/>
  <c r="O804" i="1"/>
  <c r="O803" i="1"/>
  <c r="O802" i="1"/>
  <c r="O801" i="1"/>
  <c r="O800" i="1"/>
  <c r="O799" i="1"/>
  <c r="O798" i="1"/>
  <c r="O797" i="1"/>
  <c r="O796" i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/>
  <c r="O748" i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8" i="1"/>
  <c r="O417" i="1"/>
  <c r="O416" i="1"/>
  <c r="O415" i="1"/>
  <c r="O414" i="1"/>
  <c r="O413" i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/>
  <c r="O118" i="1"/>
  <c r="O117" i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N263" i="1"/>
  <c r="M3455" i="1"/>
  <c r="M3454" i="1"/>
  <c r="M3453" i="1"/>
  <c r="M3452" i="1"/>
  <c r="M3451" i="1"/>
  <c r="M3450" i="1"/>
  <c r="M3449" i="1"/>
  <c r="M3448" i="1"/>
  <c r="M3447" i="1"/>
  <c r="M3446" i="1"/>
  <c r="M3445" i="1"/>
  <c r="M3444" i="1"/>
  <c r="M3443" i="1"/>
  <c r="M3442" i="1"/>
  <c r="M3441" i="1"/>
  <c r="N3441" i="1" s="1"/>
  <c r="M3440" i="1"/>
  <c r="M3439" i="1"/>
  <c r="M3438" i="1"/>
  <c r="M3437" i="1"/>
  <c r="M3436" i="1"/>
  <c r="M3435" i="1"/>
  <c r="N3435" i="1" s="1"/>
  <c r="M3434" i="1"/>
  <c r="M3433" i="1"/>
  <c r="M3432" i="1"/>
  <c r="M3431" i="1"/>
  <c r="M3430" i="1"/>
  <c r="M3429" i="1"/>
  <c r="M3428" i="1"/>
  <c r="M3427" i="1"/>
  <c r="M3426" i="1"/>
  <c r="M3425" i="1"/>
  <c r="M3424" i="1"/>
  <c r="M3423" i="1"/>
  <c r="M3422" i="1"/>
  <c r="M3421" i="1"/>
  <c r="M3420" i="1"/>
  <c r="M3419" i="1"/>
  <c r="M3418" i="1"/>
  <c r="N3418" i="1" s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4" i="1"/>
  <c r="M3393" i="1"/>
  <c r="M3392" i="1"/>
  <c r="M3391" i="1"/>
  <c r="M3390" i="1"/>
  <c r="M3389" i="1"/>
  <c r="M3388" i="1"/>
  <c r="M3387" i="1"/>
  <c r="M3386" i="1"/>
  <c r="M3385" i="1"/>
  <c r="M3384" i="1"/>
  <c r="M3383" i="1"/>
  <c r="M3382" i="1"/>
  <c r="M3381" i="1"/>
  <c r="M3380" i="1"/>
  <c r="M3379" i="1"/>
  <c r="N3379" i="1" s="1"/>
  <c r="M3378" i="1"/>
  <c r="M3377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N3362" i="1" s="1"/>
  <c r="M3361" i="1"/>
  <c r="N3361" i="1" s="1"/>
  <c r="M3360" i="1"/>
  <c r="M3359" i="1"/>
  <c r="M3358" i="1"/>
  <c r="M3357" i="1"/>
  <c r="M3356" i="1"/>
  <c r="M3355" i="1"/>
  <c r="M3354" i="1"/>
  <c r="M3353" i="1"/>
  <c r="M3352" i="1"/>
  <c r="N3352" i="1" s="1"/>
  <c r="M3351" i="1"/>
  <c r="N3351" i="1" s="1"/>
  <c r="M3350" i="1"/>
  <c r="M3349" i="1"/>
  <c r="N3349" i="1" s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3" i="1"/>
  <c r="M3322" i="1"/>
  <c r="M3321" i="1"/>
  <c r="M3320" i="1"/>
  <c r="M3319" i="1"/>
  <c r="M3318" i="1"/>
  <c r="M3317" i="1"/>
  <c r="M3316" i="1"/>
  <c r="M3315" i="1"/>
  <c r="M3314" i="1"/>
  <c r="M3313" i="1"/>
  <c r="M3312" i="1"/>
  <c r="M3311" i="1"/>
  <c r="M3310" i="1"/>
  <c r="M3309" i="1"/>
  <c r="M3308" i="1"/>
  <c r="M3307" i="1"/>
  <c r="M3306" i="1"/>
  <c r="M3305" i="1"/>
  <c r="M3304" i="1"/>
  <c r="M3303" i="1"/>
  <c r="M3302" i="1"/>
  <c r="M3301" i="1"/>
  <c r="M3300" i="1"/>
  <c r="M3299" i="1"/>
  <c r="M3298" i="1"/>
  <c r="M3297" i="1"/>
  <c r="M3296" i="1"/>
  <c r="M3295" i="1"/>
  <c r="N3295" i="1" s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70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3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5" i="1"/>
  <c r="N3235" i="1" s="1"/>
  <c r="M3234" i="1"/>
  <c r="M3233" i="1"/>
  <c r="M3232" i="1"/>
  <c r="N3232" i="1" s="1"/>
  <c r="M3231" i="1"/>
  <c r="M3230" i="1"/>
  <c r="M3229" i="1"/>
  <c r="M3228" i="1"/>
  <c r="M3227" i="1"/>
  <c r="M3226" i="1"/>
  <c r="M3225" i="1"/>
  <c r="M3224" i="1"/>
  <c r="M3223" i="1"/>
  <c r="M3222" i="1"/>
  <c r="M3221" i="1"/>
  <c r="M3220" i="1"/>
  <c r="M3219" i="1"/>
  <c r="M3218" i="1"/>
  <c r="M3217" i="1"/>
  <c r="M3216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9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8" i="1"/>
  <c r="M3177" i="1"/>
  <c r="M3176" i="1"/>
  <c r="M3175" i="1"/>
  <c r="M3174" i="1"/>
  <c r="M3173" i="1"/>
  <c r="M3172" i="1"/>
  <c r="M3171" i="1"/>
  <c r="M3170" i="1"/>
  <c r="M3169" i="1"/>
  <c r="M3168" i="1"/>
  <c r="M3167" i="1"/>
  <c r="M3166" i="1"/>
  <c r="M3165" i="1"/>
  <c r="N3165" i="1" s="1"/>
  <c r="M3164" i="1"/>
  <c r="M3163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7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N3115" i="1" s="1"/>
  <c r="M3114" i="1"/>
  <c r="M3113" i="1"/>
  <c r="M3112" i="1"/>
  <c r="M3111" i="1"/>
  <c r="M3110" i="1"/>
  <c r="M3109" i="1"/>
  <c r="M3108" i="1"/>
  <c r="M3107" i="1"/>
  <c r="M3106" i="1"/>
  <c r="M3105" i="1"/>
  <c r="M3104" i="1"/>
  <c r="M3103" i="1"/>
  <c r="M3102" i="1"/>
  <c r="M3101" i="1"/>
  <c r="M3100" i="1"/>
  <c r="M3099" i="1"/>
  <c r="M3098" i="1"/>
  <c r="M3097" i="1"/>
  <c r="M3096" i="1"/>
  <c r="M3095" i="1"/>
  <c r="M3094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6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1" i="1"/>
  <c r="N3061" i="1" s="1"/>
  <c r="M3060" i="1"/>
  <c r="M3059" i="1"/>
  <c r="M3058" i="1"/>
  <c r="N3058" i="1" s="1"/>
  <c r="M3057" i="1"/>
  <c r="M3056" i="1"/>
  <c r="M3055" i="1"/>
  <c r="M3054" i="1"/>
  <c r="M3053" i="1"/>
  <c r="M3052" i="1"/>
  <c r="M3051" i="1"/>
  <c r="M3050" i="1"/>
  <c r="M3049" i="1"/>
  <c r="M3048" i="1"/>
  <c r="M3047" i="1"/>
  <c r="M3046" i="1"/>
  <c r="M3045" i="1"/>
  <c r="M3044" i="1"/>
  <c r="M3043" i="1"/>
  <c r="M3042" i="1"/>
  <c r="M3041" i="1"/>
  <c r="N3041" i="1" s="1"/>
  <c r="M3040" i="1"/>
  <c r="M3039" i="1"/>
  <c r="M3038" i="1"/>
  <c r="N3038" i="1" s="1"/>
  <c r="M3037" i="1"/>
  <c r="M3036" i="1"/>
  <c r="M3035" i="1"/>
  <c r="M3034" i="1"/>
  <c r="M3033" i="1"/>
  <c r="M3032" i="1"/>
  <c r="M3031" i="1"/>
  <c r="M3030" i="1"/>
  <c r="M3029" i="1"/>
  <c r="M3028" i="1"/>
  <c r="M3027" i="1"/>
  <c r="N3027" i="1" s="1"/>
  <c r="M3026" i="1"/>
  <c r="M3025" i="1"/>
  <c r="N3025" i="1" s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9" i="1"/>
  <c r="M3008" i="1"/>
  <c r="M3007" i="1"/>
  <c r="M3006" i="1"/>
  <c r="M3005" i="1"/>
  <c r="M3004" i="1"/>
  <c r="M3003" i="1"/>
  <c r="M3002" i="1"/>
  <c r="M3001" i="1"/>
  <c r="M3000" i="1"/>
  <c r="M2999" i="1"/>
  <c r="M2998" i="1"/>
  <c r="M2997" i="1"/>
  <c r="M2996" i="1"/>
  <c r="M2995" i="1"/>
  <c r="M2994" i="1"/>
  <c r="N2994" i="1" s="1"/>
  <c r="M2993" i="1"/>
  <c r="M2992" i="1"/>
  <c r="M2991" i="1"/>
  <c r="M2990" i="1"/>
  <c r="M2989" i="1"/>
  <c r="M2988" i="1"/>
  <c r="M2987" i="1"/>
  <c r="M2986" i="1"/>
  <c r="M2985" i="1"/>
  <c r="M2984" i="1"/>
  <c r="M2983" i="1"/>
  <c r="N2983" i="1" s="1"/>
  <c r="M2982" i="1"/>
  <c r="M2981" i="1"/>
  <c r="M2980" i="1"/>
  <c r="N2980" i="1" s="1"/>
  <c r="M2979" i="1"/>
  <c r="N2979" i="1" s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2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30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6" i="1"/>
  <c r="M2915" i="1"/>
  <c r="M2914" i="1"/>
  <c r="M2913" i="1"/>
  <c r="M2912" i="1"/>
  <c r="M2911" i="1"/>
  <c r="N2911" i="1" s="1"/>
  <c r="M2910" i="1"/>
  <c r="M2909" i="1"/>
  <c r="M2908" i="1"/>
  <c r="M2907" i="1"/>
  <c r="M2906" i="1"/>
  <c r="M2905" i="1"/>
  <c r="M2904" i="1"/>
  <c r="M2903" i="1"/>
  <c r="M2902" i="1"/>
  <c r="M2901" i="1"/>
  <c r="M2900" i="1"/>
  <c r="M2899" i="1"/>
  <c r="M2898" i="1"/>
  <c r="M2897" i="1"/>
  <c r="M2896" i="1"/>
  <c r="M2895" i="1"/>
  <c r="M2894" i="1"/>
  <c r="M2893" i="1"/>
  <c r="M2892" i="1"/>
  <c r="N2892" i="1" s="1"/>
  <c r="M2891" i="1"/>
  <c r="M2890" i="1"/>
  <c r="M2889" i="1"/>
  <c r="M2888" i="1"/>
  <c r="M2887" i="1"/>
  <c r="M2886" i="1"/>
  <c r="M2885" i="1"/>
  <c r="M2884" i="1"/>
  <c r="M2883" i="1"/>
  <c r="M2882" i="1"/>
  <c r="M2881" i="1"/>
  <c r="M2880" i="1"/>
  <c r="M2879" i="1"/>
  <c r="M2878" i="1"/>
  <c r="M2877" i="1"/>
  <c r="M2876" i="1"/>
  <c r="M2875" i="1"/>
  <c r="M2874" i="1"/>
  <c r="M2873" i="1"/>
  <c r="M2872" i="1"/>
  <c r="M2871" i="1"/>
  <c r="M2870" i="1"/>
  <c r="M2869" i="1"/>
  <c r="M2868" i="1"/>
  <c r="M2867" i="1"/>
  <c r="M2866" i="1"/>
  <c r="M2865" i="1"/>
  <c r="M2864" i="1"/>
  <c r="M2863" i="1"/>
  <c r="M2862" i="1"/>
  <c r="M2861" i="1"/>
  <c r="M2860" i="1"/>
  <c r="M2859" i="1"/>
  <c r="M2858" i="1"/>
  <c r="M2857" i="1"/>
  <c r="M2856" i="1"/>
  <c r="M2855" i="1"/>
  <c r="M2854" i="1"/>
  <c r="M2853" i="1"/>
  <c r="M2852" i="1"/>
  <c r="M2851" i="1"/>
  <c r="M2850" i="1"/>
  <c r="M2849" i="1"/>
  <c r="M2848" i="1"/>
  <c r="N2848" i="1" s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30" i="1"/>
  <c r="M2829" i="1"/>
  <c r="M2828" i="1"/>
  <c r="M2827" i="1"/>
  <c r="M2826" i="1"/>
  <c r="M2825" i="1"/>
  <c r="M2824" i="1"/>
  <c r="M2823" i="1"/>
  <c r="M2822" i="1"/>
  <c r="M2821" i="1"/>
  <c r="N2821" i="1" s="1"/>
  <c r="M2820" i="1"/>
  <c r="M2819" i="1"/>
  <c r="M2818" i="1"/>
  <c r="M2817" i="1"/>
  <c r="M2816" i="1"/>
  <c r="M2815" i="1"/>
  <c r="M2814" i="1"/>
  <c r="M2813" i="1"/>
  <c r="M2812" i="1"/>
  <c r="M2811" i="1"/>
  <c r="M2810" i="1"/>
  <c r="M2809" i="1"/>
  <c r="M2808" i="1"/>
  <c r="M2807" i="1"/>
  <c r="M2806" i="1"/>
  <c r="M2805" i="1"/>
  <c r="M2804" i="1"/>
  <c r="M2803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90" i="1"/>
  <c r="M2789" i="1"/>
  <c r="M2788" i="1"/>
  <c r="M2787" i="1"/>
  <c r="M2786" i="1"/>
  <c r="M2785" i="1"/>
  <c r="M2784" i="1"/>
  <c r="M2783" i="1"/>
  <c r="M2782" i="1"/>
  <c r="M2781" i="1"/>
  <c r="M2780" i="1"/>
  <c r="M2779" i="1"/>
  <c r="M2778" i="1"/>
  <c r="M2777" i="1"/>
  <c r="M2776" i="1"/>
  <c r="M2775" i="1"/>
  <c r="M2774" i="1"/>
  <c r="M2773" i="1"/>
  <c r="M2772" i="1"/>
  <c r="M2771" i="1"/>
  <c r="M2770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4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1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10" i="1"/>
  <c r="M2709" i="1"/>
  <c r="M2708" i="1"/>
  <c r="M2707" i="1"/>
  <c r="M2706" i="1"/>
  <c r="M2705" i="1"/>
  <c r="M2704" i="1"/>
  <c r="M2703" i="1"/>
  <c r="M2702" i="1"/>
  <c r="M2701" i="1"/>
  <c r="M2700" i="1"/>
  <c r="M2699" i="1"/>
  <c r="M2698" i="1"/>
  <c r="M2697" i="1"/>
  <c r="M2696" i="1"/>
  <c r="M2695" i="1"/>
  <c r="M2694" i="1"/>
  <c r="M2693" i="1"/>
  <c r="M2692" i="1"/>
  <c r="M2691" i="1"/>
  <c r="M2690" i="1"/>
  <c r="M2689" i="1"/>
  <c r="M2688" i="1"/>
  <c r="M2687" i="1"/>
  <c r="M2686" i="1"/>
  <c r="M2685" i="1"/>
  <c r="M2684" i="1"/>
  <c r="M2683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9" i="1"/>
  <c r="M2668" i="1"/>
  <c r="M2667" i="1"/>
  <c r="M2666" i="1"/>
  <c r="M2665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N2653" i="1" s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N2640" i="1" s="1"/>
  <c r="M2639" i="1"/>
  <c r="M2638" i="1"/>
  <c r="M2637" i="1"/>
  <c r="M2636" i="1"/>
  <c r="M2635" i="1"/>
  <c r="M2634" i="1"/>
  <c r="M2633" i="1"/>
  <c r="M2632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4" i="1"/>
  <c r="M2583" i="1"/>
  <c r="M2582" i="1"/>
  <c r="M2581" i="1"/>
  <c r="M2580" i="1"/>
  <c r="N2580" i="1" s="1"/>
  <c r="M2579" i="1"/>
  <c r="N2579" i="1" s="1"/>
  <c r="M2578" i="1"/>
  <c r="M2577" i="1"/>
  <c r="M2576" i="1"/>
  <c r="M2575" i="1"/>
  <c r="M2574" i="1"/>
  <c r="M2573" i="1"/>
  <c r="M2572" i="1"/>
  <c r="M2571" i="1"/>
  <c r="N2571" i="1" s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3" i="1"/>
  <c r="M2542" i="1"/>
  <c r="M2541" i="1"/>
  <c r="M2540" i="1"/>
  <c r="M2539" i="1"/>
  <c r="M2538" i="1"/>
  <c r="N2538" i="1" s="1"/>
  <c r="M2537" i="1"/>
  <c r="M2536" i="1"/>
  <c r="M2535" i="1"/>
  <c r="M2534" i="1"/>
  <c r="M2533" i="1"/>
  <c r="M2532" i="1"/>
  <c r="M2531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7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4" i="1"/>
  <c r="M2503" i="1"/>
  <c r="M2502" i="1"/>
  <c r="M2501" i="1"/>
  <c r="M2500" i="1"/>
  <c r="M2499" i="1"/>
  <c r="M2498" i="1"/>
  <c r="M2497" i="1"/>
  <c r="M2496" i="1"/>
  <c r="M2495" i="1"/>
  <c r="N2495" i="1" s="1"/>
  <c r="M2494" i="1"/>
  <c r="M2493" i="1"/>
  <c r="M2492" i="1"/>
  <c r="M2491" i="1"/>
  <c r="M2490" i="1"/>
  <c r="M2489" i="1"/>
  <c r="M2488" i="1"/>
  <c r="M2487" i="1"/>
  <c r="M2486" i="1"/>
  <c r="M2485" i="1"/>
  <c r="M2484" i="1"/>
  <c r="M2483" i="1"/>
  <c r="M2482" i="1"/>
  <c r="M2481" i="1"/>
  <c r="M2480" i="1"/>
  <c r="M2479" i="1"/>
  <c r="M2478" i="1"/>
  <c r="M2477" i="1"/>
  <c r="M2476" i="1"/>
  <c r="M2475" i="1"/>
  <c r="M2474" i="1"/>
  <c r="M2473" i="1"/>
  <c r="M2472" i="1"/>
  <c r="M2471" i="1"/>
  <c r="M2470" i="1"/>
  <c r="M2469" i="1"/>
  <c r="M2468" i="1"/>
  <c r="M2467" i="1"/>
  <c r="M2466" i="1"/>
  <c r="M2465" i="1"/>
  <c r="M2464" i="1"/>
  <c r="M2463" i="1"/>
  <c r="N2463" i="1" s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N2418" i="1" s="1"/>
  <c r="M2417" i="1"/>
  <c r="M2416" i="1"/>
  <c r="M2415" i="1"/>
  <c r="M2414" i="1"/>
  <c r="M2413" i="1"/>
  <c r="M2412" i="1"/>
  <c r="M2411" i="1"/>
  <c r="M2410" i="1"/>
  <c r="M2409" i="1"/>
  <c r="N2409" i="1" s="1"/>
  <c r="M2408" i="1"/>
  <c r="M2407" i="1"/>
  <c r="M2406" i="1"/>
  <c r="M2405" i="1"/>
  <c r="M2404" i="1"/>
  <c r="M2403" i="1"/>
  <c r="M2402" i="1"/>
  <c r="M2401" i="1"/>
  <c r="M2400" i="1"/>
  <c r="M2399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N2372" i="1" s="1"/>
  <c r="M2371" i="1"/>
  <c r="M2370" i="1"/>
  <c r="M2369" i="1"/>
  <c r="M2368" i="1"/>
  <c r="M2367" i="1"/>
  <c r="M2366" i="1"/>
  <c r="M2365" i="1"/>
  <c r="M2364" i="1"/>
  <c r="M2363" i="1"/>
  <c r="M2362" i="1"/>
  <c r="M2361" i="1"/>
  <c r="N2361" i="1" s="1"/>
  <c r="M2360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5" i="1"/>
  <c r="M2344" i="1"/>
  <c r="M2343" i="1"/>
  <c r="M2342" i="1"/>
  <c r="M2341" i="1"/>
  <c r="M2340" i="1"/>
  <c r="M2339" i="1"/>
  <c r="M2338" i="1"/>
  <c r="M2337" i="1"/>
  <c r="M2336" i="1"/>
  <c r="M2335" i="1"/>
  <c r="M2334" i="1"/>
  <c r="M2333" i="1"/>
  <c r="N2333" i="1" s="1"/>
  <c r="M2332" i="1"/>
  <c r="M2331" i="1"/>
  <c r="M2330" i="1"/>
  <c r="M2329" i="1"/>
  <c r="M2328" i="1"/>
  <c r="M2327" i="1"/>
  <c r="M2326" i="1"/>
  <c r="M2325" i="1"/>
  <c r="M2324" i="1"/>
  <c r="M2323" i="1"/>
  <c r="M2322" i="1"/>
  <c r="M2321" i="1"/>
  <c r="M2320" i="1"/>
  <c r="M2319" i="1"/>
  <c r="M2318" i="1"/>
  <c r="M2317" i="1"/>
  <c r="M2316" i="1"/>
  <c r="M2315" i="1"/>
  <c r="M2314" i="1"/>
  <c r="M2313" i="1"/>
  <c r="M2312" i="1"/>
  <c r="M2311" i="1"/>
  <c r="M2310" i="1"/>
  <c r="M2309" i="1"/>
  <c r="M2308" i="1"/>
  <c r="M2307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7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N2270" i="1" s="1"/>
  <c r="M2269" i="1"/>
  <c r="M2268" i="1"/>
  <c r="M2267" i="1"/>
  <c r="M2266" i="1"/>
  <c r="M2265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2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N2227" i="1" s="1"/>
  <c r="M2226" i="1"/>
  <c r="M2225" i="1"/>
  <c r="M2224" i="1"/>
  <c r="M2223" i="1"/>
  <c r="M2222" i="1"/>
  <c r="N2222" i="1" s="1"/>
  <c r="M2221" i="1"/>
  <c r="M2220" i="1"/>
  <c r="M2219" i="1"/>
  <c r="M2218" i="1"/>
  <c r="N2218" i="1" s="1"/>
  <c r="M2217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N2201" i="1" s="1"/>
  <c r="M2200" i="1"/>
  <c r="M2199" i="1"/>
  <c r="M2198" i="1"/>
  <c r="M2197" i="1"/>
  <c r="M2196" i="1"/>
  <c r="M2195" i="1"/>
  <c r="M2194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7" i="1"/>
  <c r="M2176" i="1"/>
  <c r="M2175" i="1"/>
  <c r="N2175" i="1" s="1"/>
  <c r="M2174" i="1"/>
  <c r="M2173" i="1"/>
  <c r="M2172" i="1"/>
  <c r="M2171" i="1"/>
  <c r="M2170" i="1"/>
  <c r="M2169" i="1"/>
  <c r="M2168" i="1"/>
  <c r="N2168" i="1" s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N2143" i="1" s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8" i="1"/>
  <c r="M2117" i="1"/>
  <c r="M2116" i="1"/>
  <c r="M2115" i="1"/>
  <c r="M2114" i="1"/>
  <c r="M2113" i="1"/>
  <c r="M2112" i="1"/>
  <c r="M2111" i="1"/>
  <c r="M2110" i="1"/>
  <c r="M2109" i="1"/>
  <c r="M2108" i="1"/>
  <c r="M2107" i="1"/>
  <c r="N2107" i="1" s="1"/>
  <c r="M2106" i="1"/>
  <c r="N2106" i="1" s="1"/>
  <c r="M2105" i="1"/>
  <c r="N2105" i="1" s="1"/>
  <c r="M2104" i="1"/>
  <c r="N2104" i="1" s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6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7" i="1"/>
  <c r="M2046" i="1"/>
  <c r="M2045" i="1"/>
  <c r="M2044" i="1"/>
  <c r="M2043" i="1"/>
  <c r="M2042" i="1"/>
  <c r="M2041" i="1"/>
  <c r="M2040" i="1"/>
  <c r="N2040" i="1" s="1"/>
  <c r="M2039" i="1"/>
  <c r="M2038" i="1"/>
  <c r="M2037" i="1"/>
  <c r="M2036" i="1"/>
  <c r="M2035" i="1"/>
  <c r="M2034" i="1"/>
  <c r="M2033" i="1"/>
  <c r="M2032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4" i="1"/>
  <c r="M2013" i="1"/>
  <c r="M2012" i="1"/>
  <c r="M2011" i="1"/>
  <c r="M2010" i="1"/>
  <c r="M2009" i="1"/>
  <c r="M2008" i="1"/>
  <c r="M2007" i="1"/>
  <c r="M2006" i="1"/>
  <c r="M2005" i="1"/>
  <c r="M2004" i="1"/>
  <c r="M2003" i="1"/>
  <c r="M2002" i="1"/>
  <c r="M2001" i="1"/>
  <c r="M2000" i="1"/>
  <c r="M1999" i="1"/>
  <c r="M1998" i="1"/>
  <c r="M1997" i="1"/>
  <c r="M1996" i="1"/>
  <c r="M1995" i="1"/>
  <c r="M1994" i="1"/>
  <c r="M1993" i="1"/>
  <c r="N1993" i="1" s="1"/>
  <c r="M1992" i="1"/>
  <c r="M1991" i="1"/>
  <c r="M1990" i="1"/>
  <c r="M1989" i="1"/>
  <c r="M1988" i="1"/>
  <c r="M1987" i="1"/>
  <c r="M1986" i="1"/>
  <c r="M1985" i="1"/>
  <c r="M1984" i="1"/>
  <c r="M1983" i="1"/>
  <c r="M1982" i="1"/>
  <c r="M1981" i="1"/>
  <c r="M1980" i="1"/>
  <c r="M1979" i="1"/>
  <c r="M1978" i="1"/>
  <c r="M1977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9" i="1"/>
  <c r="M1958" i="1"/>
  <c r="M1957" i="1"/>
  <c r="M1956" i="1"/>
  <c r="M1955" i="1"/>
  <c r="M1954" i="1"/>
  <c r="M1953" i="1"/>
  <c r="M1952" i="1"/>
  <c r="M1951" i="1"/>
  <c r="M1950" i="1"/>
  <c r="M1949" i="1"/>
  <c r="M1948" i="1"/>
  <c r="M1947" i="1"/>
  <c r="M1946" i="1"/>
  <c r="N1946" i="1" s="1"/>
  <c r="M1945" i="1"/>
  <c r="N1945" i="1" s="1"/>
  <c r="M1944" i="1"/>
  <c r="M1943" i="1"/>
  <c r="M1942" i="1"/>
  <c r="M1941" i="1"/>
  <c r="M1940" i="1"/>
  <c r="M1939" i="1"/>
  <c r="M1938" i="1"/>
  <c r="M1937" i="1"/>
  <c r="M1936" i="1"/>
  <c r="M1935" i="1"/>
  <c r="M1934" i="1"/>
  <c r="N1934" i="1" s="1"/>
  <c r="M1933" i="1"/>
  <c r="M1932" i="1"/>
  <c r="M1931" i="1"/>
  <c r="M1930" i="1"/>
  <c r="M1929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N1917" i="1" s="1"/>
  <c r="M1916" i="1"/>
  <c r="M1915" i="1"/>
  <c r="M1914" i="1"/>
  <c r="M1913" i="1"/>
  <c r="M1912" i="1"/>
  <c r="M1911" i="1"/>
  <c r="M1910" i="1"/>
  <c r="M1909" i="1"/>
  <c r="M1908" i="1"/>
  <c r="M1907" i="1"/>
  <c r="M1906" i="1"/>
  <c r="M1905" i="1"/>
  <c r="M1904" i="1"/>
  <c r="M1903" i="1"/>
  <c r="N1903" i="1" s="1"/>
  <c r="M1902" i="1"/>
  <c r="M1901" i="1"/>
  <c r="N1901" i="1" s="1"/>
  <c r="M1900" i="1"/>
  <c r="M1899" i="1"/>
  <c r="M1898" i="1"/>
  <c r="M1897" i="1"/>
  <c r="N1897" i="1" s="1"/>
  <c r="M1896" i="1"/>
  <c r="N1896" i="1" s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8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9" i="1"/>
  <c r="M1838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N1822" i="1" s="1"/>
  <c r="M1821" i="1"/>
  <c r="M1820" i="1"/>
  <c r="M1819" i="1"/>
  <c r="M1818" i="1"/>
  <c r="M1817" i="1"/>
  <c r="N1817" i="1" s="1"/>
  <c r="M1816" i="1"/>
  <c r="M1815" i="1"/>
  <c r="M1814" i="1"/>
  <c r="M1813" i="1"/>
  <c r="M1812" i="1"/>
  <c r="M1811" i="1"/>
  <c r="M1810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6" i="1"/>
  <c r="M1795" i="1"/>
  <c r="M1794" i="1"/>
  <c r="M1793" i="1"/>
  <c r="M1792" i="1"/>
  <c r="M1791" i="1"/>
  <c r="M1790" i="1"/>
  <c r="M1789" i="1"/>
  <c r="M1788" i="1"/>
  <c r="N1788" i="1" s="1"/>
  <c r="M1787" i="1"/>
  <c r="N1787" i="1" s="1"/>
  <c r="M1786" i="1"/>
  <c r="M1785" i="1"/>
  <c r="M1784" i="1"/>
  <c r="M1783" i="1"/>
  <c r="M1782" i="1"/>
  <c r="M1781" i="1"/>
  <c r="M1780" i="1"/>
  <c r="M1779" i="1"/>
  <c r="M1778" i="1"/>
  <c r="M1777" i="1"/>
  <c r="M1776" i="1"/>
  <c r="M1775" i="1"/>
  <c r="M1774" i="1"/>
  <c r="M1773" i="1"/>
  <c r="N1773" i="1" s="1"/>
  <c r="M1772" i="1"/>
  <c r="M1771" i="1"/>
  <c r="N1771" i="1" s="1"/>
  <c r="M1770" i="1"/>
  <c r="M1769" i="1"/>
  <c r="M1768" i="1"/>
  <c r="M1767" i="1"/>
  <c r="M1766" i="1"/>
  <c r="M1765" i="1"/>
  <c r="M1764" i="1"/>
  <c r="M1763" i="1"/>
  <c r="M1762" i="1"/>
  <c r="M1761" i="1"/>
  <c r="M1760" i="1"/>
  <c r="M1759" i="1"/>
  <c r="M1758" i="1"/>
  <c r="M1757" i="1"/>
  <c r="M1756" i="1"/>
  <c r="M1755" i="1"/>
  <c r="M1754" i="1"/>
  <c r="M1753" i="1"/>
  <c r="M1752" i="1"/>
  <c r="M1751" i="1"/>
  <c r="N1751" i="1" s="1"/>
  <c r="M1750" i="1"/>
  <c r="N1750" i="1" s="1"/>
  <c r="M1749" i="1"/>
  <c r="M1748" i="1"/>
  <c r="N1748" i="1" s="1"/>
  <c r="M1747" i="1"/>
  <c r="M1746" i="1"/>
  <c r="M1745" i="1"/>
  <c r="M1744" i="1"/>
  <c r="N1744" i="1" s="1"/>
  <c r="M1743" i="1"/>
  <c r="M1742" i="1"/>
  <c r="N1742" i="1" s="1"/>
  <c r="M1741" i="1"/>
  <c r="N1741" i="1" s="1"/>
  <c r="M1740" i="1"/>
  <c r="N1740" i="1" s="1"/>
  <c r="M1739" i="1"/>
  <c r="N1739" i="1" s="1"/>
  <c r="M1738" i="1"/>
  <c r="M1737" i="1"/>
  <c r="M1736" i="1"/>
  <c r="M1735" i="1"/>
  <c r="M1734" i="1"/>
  <c r="M1733" i="1"/>
  <c r="M1732" i="1"/>
  <c r="M1731" i="1"/>
  <c r="N1731" i="1" s="1"/>
  <c r="M1730" i="1"/>
  <c r="M1729" i="1"/>
  <c r="M1728" i="1"/>
  <c r="N1728" i="1" s="1"/>
  <c r="M1727" i="1"/>
  <c r="N1727" i="1" s="1"/>
  <c r="M1726" i="1"/>
  <c r="N1726" i="1" s="1"/>
  <c r="M1725" i="1"/>
  <c r="M1724" i="1"/>
  <c r="M1723" i="1"/>
  <c r="M1722" i="1"/>
  <c r="N1722" i="1" s="1"/>
  <c r="M1721" i="1"/>
  <c r="M1720" i="1"/>
  <c r="M1719" i="1"/>
  <c r="M1718" i="1"/>
  <c r="M1717" i="1"/>
  <c r="M1716" i="1"/>
  <c r="M1715" i="1"/>
  <c r="M1714" i="1"/>
  <c r="M1713" i="1"/>
  <c r="M1712" i="1"/>
  <c r="N1712" i="1" s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3" i="1"/>
  <c r="M1682" i="1"/>
  <c r="M1681" i="1"/>
  <c r="M1680" i="1"/>
  <c r="M1679" i="1"/>
  <c r="M1678" i="1"/>
  <c r="M1677" i="1"/>
  <c r="M1676" i="1"/>
  <c r="M1675" i="1"/>
  <c r="M1674" i="1"/>
  <c r="M1673" i="1"/>
  <c r="M1672" i="1"/>
  <c r="N1672" i="1" s="1"/>
  <c r="M1671" i="1"/>
  <c r="N1671" i="1" s="1"/>
  <c r="M1670" i="1"/>
  <c r="N1670" i="1" s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N1653" i="1" s="1"/>
  <c r="M1652" i="1"/>
  <c r="N1652" i="1" s="1"/>
  <c r="M1651" i="1"/>
  <c r="M1650" i="1"/>
  <c r="M1649" i="1"/>
  <c r="M1648" i="1"/>
  <c r="M1647" i="1"/>
  <c r="M1646" i="1"/>
  <c r="M1645" i="1"/>
  <c r="M1644" i="1"/>
  <c r="M1643" i="1"/>
  <c r="M1642" i="1"/>
  <c r="M1641" i="1"/>
  <c r="M1640" i="1"/>
  <c r="M1639" i="1"/>
  <c r="M1638" i="1"/>
  <c r="M1637" i="1"/>
  <c r="M1636" i="1"/>
  <c r="M1635" i="1"/>
  <c r="M1634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6" i="1"/>
  <c r="M1615" i="1"/>
  <c r="M1614" i="1"/>
  <c r="M1613" i="1"/>
  <c r="M1612" i="1"/>
  <c r="M1611" i="1"/>
  <c r="M1610" i="1"/>
  <c r="M1609" i="1"/>
  <c r="M1608" i="1"/>
  <c r="M1607" i="1"/>
  <c r="M1606" i="1"/>
  <c r="M1605" i="1"/>
  <c r="M1604" i="1"/>
  <c r="M1603" i="1"/>
  <c r="N1603" i="1" s="1"/>
  <c r="M1602" i="1"/>
  <c r="N1602" i="1" s="1"/>
  <c r="M1601" i="1"/>
  <c r="M1600" i="1"/>
  <c r="M1599" i="1"/>
  <c r="M1598" i="1"/>
  <c r="M1597" i="1"/>
  <c r="N1597" i="1" s="1"/>
  <c r="M1596" i="1"/>
  <c r="M1595" i="1"/>
  <c r="M1594" i="1"/>
  <c r="M1593" i="1"/>
  <c r="M1592" i="1"/>
  <c r="M1591" i="1"/>
  <c r="M1590" i="1"/>
  <c r="M1589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N1565" i="1" s="1"/>
  <c r="M1564" i="1"/>
  <c r="N1564" i="1" s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8" i="1"/>
  <c r="M1547" i="1"/>
  <c r="M1546" i="1"/>
  <c r="M1545" i="1"/>
  <c r="M1544" i="1"/>
  <c r="M1543" i="1"/>
  <c r="M1542" i="1"/>
  <c r="M1541" i="1"/>
  <c r="M1540" i="1"/>
  <c r="M1539" i="1"/>
  <c r="M1538" i="1"/>
  <c r="M1537" i="1"/>
  <c r="M1536" i="1"/>
  <c r="N1536" i="1" s="1"/>
  <c r="M1535" i="1"/>
  <c r="M1534" i="1"/>
  <c r="N1534" i="1" s="1"/>
  <c r="M1533" i="1"/>
  <c r="M1532" i="1"/>
  <c r="M1531" i="1"/>
  <c r="N1531" i="1" s="1"/>
  <c r="M1530" i="1"/>
  <c r="N1530" i="1" s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5" i="1"/>
  <c r="M1504" i="1"/>
  <c r="M1503" i="1"/>
  <c r="M1502" i="1"/>
  <c r="M1501" i="1"/>
  <c r="M1500" i="1"/>
  <c r="M1499" i="1"/>
  <c r="N1499" i="1" s="1"/>
  <c r="M1498" i="1"/>
  <c r="N1498" i="1" s="1"/>
  <c r="M1497" i="1"/>
  <c r="M1496" i="1"/>
  <c r="M1495" i="1"/>
  <c r="M1494" i="1"/>
  <c r="N1494" i="1" s="1"/>
  <c r="M1493" i="1"/>
  <c r="M1492" i="1"/>
  <c r="N1492" i="1" s="1"/>
  <c r="M1491" i="1"/>
  <c r="N1491" i="1" s="1"/>
  <c r="M1490" i="1"/>
  <c r="M1489" i="1"/>
  <c r="M1488" i="1"/>
  <c r="M1487" i="1"/>
  <c r="M1486" i="1"/>
  <c r="N1486" i="1" s="1"/>
  <c r="M1485" i="1"/>
  <c r="M1484" i="1"/>
  <c r="M1483" i="1"/>
  <c r="M1482" i="1"/>
  <c r="N1482" i="1" s="1"/>
  <c r="M1481" i="1"/>
  <c r="M1480" i="1"/>
  <c r="M1479" i="1"/>
  <c r="M1478" i="1"/>
  <c r="M1477" i="1"/>
  <c r="M1476" i="1"/>
  <c r="M1475" i="1"/>
  <c r="M1474" i="1"/>
  <c r="M1473" i="1"/>
  <c r="M1472" i="1"/>
  <c r="N1472" i="1" s="1"/>
  <c r="M1471" i="1"/>
  <c r="M1470" i="1"/>
  <c r="M1469" i="1"/>
  <c r="M1468" i="1"/>
  <c r="M1467" i="1"/>
  <c r="M1466" i="1"/>
  <c r="M1465" i="1"/>
  <c r="M1464" i="1"/>
  <c r="M1463" i="1"/>
  <c r="M1462" i="1"/>
  <c r="M1461" i="1"/>
  <c r="M1460" i="1"/>
  <c r="M1459" i="1"/>
  <c r="M1458" i="1"/>
  <c r="M1457" i="1"/>
  <c r="M1456" i="1"/>
  <c r="M1455" i="1"/>
  <c r="M1454" i="1"/>
  <c r="M1453" i="1"/>
  <c r="N1453" i="1" s="1"/>
  <c r="M1452" i="1"/>
  <c r="N1452" i="1" s="1"/>
  <c r="M1451" i="1"/>
  <c r="M1450" i="1"/>
  <c r="M1449" i="1"/>
  <c r="M1448" i="1"/>
  <c r="M1447" i="1"/>
  <c r="M1446" i="1"/>
  <c r="N1446" i="1" s="1"/>
  <c r="M1445" i="1"/>
  <c r="M1444" i="1"/>
  <c r="M1443" i="1"/>
  <c r="M1442" i="1"/>
  <c r="N1442" i="1" s="1"/>
  <c r="M1441" i="1"/>
  <c r="N1441" i="1" s="1"/>
  <c r="M1440" i="1"/>
  <c r="M1439" i="1"/>
  <c r="M1438" i="1"/>
  <c r="N1438" i="1" s="1"/>
  <c r="M1437" i="1"/>
  <c r="M1436" i="1"/>
  <c r="M1435" i="1"/>
  <c r="M1434" i="1"/>
  <c r="M1433" i="1"/>
  <c r="M1432" i="1"/>
  <c r="M1431" i="1"/>
  <c r="M1430" i="1"/>
  <c r="M1429" i="1"/>
  <c r="M1428" i="1"/>
  <c r="M1427" i="1"/>
  <c r="M1426" i="1"/>
  <c r="N1426" i="1" s="1"/>
  <c r="M1425" i="1"/>
  <c r="N1425" i="1" s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4" i="1"/>
  <c r="M1393" i="1"/>
  <c r="N1393" i="1" s="1"/>
  <c r="M1392" i="1"/>
  <c r="M1391" i="1"/>
  <c r="M1390" i="1"/>
  <c r="N1390" i="1" s="1"/>
  <c r="M1389" i="1"/>
  <c r="M1388" i="1"/>
  <c r="N1388" i="1" s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3" i="1"/>
  <c r="M1372" i="1"/>
  <c r="M1371" i="1"/>
  <c r="M1370" i="1"/>
  <c r="M1369" i="1"/>
  <c r="M1368" i="1"/>
  <c r="M1367" i="1"/>
  <c r="M1366" i="1"/>
  <c r="M1365" i="1"/>
  <c r="M1364" i="1"/>
  <c r="M1363" i="1"/>
  <c r="N1363" i="1" s="1"/>
  <c r="M1362" i="1"/>
  <c r="M1361" i="1"/>
  <c r="M1360" i="1"/>
  <c r="M1359" i="1"/>
  <c r="M1358" i="1"/>
  <c r="M1357" i="1"/>
  <c r="M1356" i="1"/>
  <c r="M1355" i="1"/>
  <c r="M1354" i="1"/>
  <c r="M1353" i="1"/>
  <c r="M1352" i="1"/>
  <c r="M1351" i="1"/>
  <c r="M1350" i="1"/>
  <c r="M1349" i="1"/>
  <c r="M1348" i="1"/>
  <c r="M1347" i="1"/>
  <c r="M1346" i="1"/>
  <c r="M1345" i="1"/>
  <c r="N1345" i="1" s="1"/>
  <c r="M1344" i="1"/>
  <c r="M1343" i="1"/>
  <c r="M1342" i="1"/>
  <c r="M1341" i="1"/>
  <c r="M1340" i="1"/>
  <c r="M1339" i="1"/>
  <c r="N1339" i="1" s="1"/>
  <c r="M1338" i="1"/>
  <c r="M1337" i="1"/>
  <c r="M1336" i="1"/>
  <c r="N1336" i="1" s="1"/>
  <c r="M1335" i="1"/>
  <c r="M1334" i="1"/>
  <c r="M1333" i="1"/>
  <c r="M1332" i="1"/>
  <c r="M1331" i="1"/>
  <c r="M1330" i="1"/>
  <c r="M1329" i="1"/>
  <c r="M1328" i="1"/>
  <c r="M1327" i="1"/>
  <c r="M1326" i="1"/>
  <c r="M1325" i="1"/>
  <c r="M1324" i="1"/>
  <c r="M1323" i="1"/>
  <c r="M1322" i="1"/>
  <c r="M1321" i="1"/>
  <c r="M1320" i="1"/>
  <c r="M1319" i="1"/>
  <c r="M1318" i="1"/>
  <c r="M1317" i="1"/>
  <c r="M1316" i="1"/>
  <c r="M1315" i="1"/>
  <c r="M1314" i="1"/>
  <c r="M1313" i="1"/>
  <c r="M1312" i="1"/>
  <c r="M1311" i="1"/>
  <c r="M1310" i="1"/>
  <c r="M1309" i="1"/>
  <c r="M1308" i="1"/>
  <c r="M1307" i="1"/>
  <c r="N1307" i="1" s="1"/>
  <c r="M1306" i="1"/>
  <c r="M1305" i="1"/>
  <c r="M1304" i="1"/>
  <c r="M1303" i="1"/>
  <c r="M1302" i="1"/>
  <c r="N1302" i="1" s="1"/>
  <c r="M1301" i="1"/>
  <c r="M1300" i="1"/>
  <c r="M1299" i="1"/>
  <c r="M1298" i="1"/>
  <c r="M1297" i="1"/>
  <c r="M1296" i="1"/>
  <c r="M1295" i="1"/>
  <c r="M1294" i="1"/>
  <c r="M1293" i="1"/>
  <c r="M1292" i="1"/>
  <c r="M1291" i="1"/>
  <c r="N1291" i="1" s="1"/>
  <c r="M1290" i="1"/>
  <c r="M1289" i="1"/>
  <c r="M1288" i="1"/>
  <c r="M1287" i="1"/>
  <c r="M1286" i="1"/>
  <c r="M1285" i="1"/>
  <c r="M1284" i="1"/>
  <c r="M1283" i="1"/>
  <c r="M1282" i="1"/>
  <c r="M1281" i="1"/>
  <c r="M1280" i="1"/>
  <c r="M1279" i="1"/>
  <c r="M1278" i="1"/>
  <c r="M1277" i="1"/>
  <c r="N1277" i="1" s="1"/>
  <c r="M1276" i="1"/>
  <c r="N1276" i="1" s="1"/>
  <c r="M1275" i="1"/>
  <c r="M1274" i="1"/>
  <c r="M1273" i="1"/>
  <c r="M1272" i="1"/>
  <c r="N1272" i="1" s="1"/>
  <c r="M1271" i="1"/>
  <c r="M1270" i="1"/>
  <c r="M1269" i="1"/>
  <c r="M1268" i="1"/>
  <c r="M1267" i="1"/>
  <c r="M1266" i="1"/>
  <c r="M1265" i="1"/>
  <c r="M1264" i="1"/>
  <c r="M1263" i="1"/>
  <c r="M1262" i="1"/>
  <c r="N1262" i="1" s="1"/>
  <c r="M1261" i="1"/>
  <c r="M1260" i="1"/>
  <c r="M1259" i="1"/>
  <c r="M1258" i="1"/>
  <c r="M1257" i="1"/>
  <c r="M1256" i="1"/>
  <c r="M1255" i="1"/>
  <c r="M1254" i="1"/>
  <c r="M1253" i="1"/>
  <c r="M1252" i="1"/>
  <c r="N1252" i="1" s="1"/>
  <c r="M1251" i="1"/>
  <c r="M1250" i="1"/>
  <c r="M1249" i="1"/>
  <c r="M1248" i="1"/>
  <c r="M1247" i="1"/>
  <c r="M1246" i="1"/>
  <c r="M1245" i="1"/>
  <c r="M1244" i="1"/>
  <c r="M1243" i="1"/>
  <c r="M1242" i="1"/>
  <c r="M1241" i="1"/>
  <c r="M1240" i="1"/>
  <c r="N1240" i="1" s="1"/>
  <c r="M1239" i="1"/>
  <c r="N1239" i="1" s="1"/>
  <c r="M1238" i="1"/>
  <c r="M1237" i="1"/>
  <c r="M1236" i="1"/>
  <c r="M1235" i="1"/>
  <c r="M1234" i="1"/>
  <c r="M1233" i="1"/>
  <c r="M1232" i="1"/>
  <c r="M1231" i="1"/>
  <c r="N1231" i="1" s="1"/>
  <c r="M1230" i="1"/>
  <c r="M1229" i="1"/>
  <c r="M1228" i="1"/>
  <c r="N1228" i="1" s="1"/>
  <c r="M1227" i="1"/>
  <c r="M1226" i="1"/>
  <c r="M1225" i="1"/>
  <c r="M1224" i="1"/>
  <c r="M1223" i="1"/>
  <c r="M1222" i="1"/>
  <c r="M1221" i="1"/>
  <c r="M1220" i="1"/>
  <c r="M1219" i="1"/>
  <c r="M1218" i="1"/>
  <c r="M1217" i="1"/>
  <c r="M1216" i="1"/>
  <c r="N1216" i="1" s="1"/>
  <c r="M1215" i="1"/>
  <c r="M1214" i="1"/>
  <c r="M1213" i="1"/>
  <c r="M1212" i="1"/>
  <c r="M1211" i="1"/>
  <c r="M1210" i="1"/>
  <c r="M1209" i="1"/>
  <c r="M1208" i="1"/>
  <c r="M1207" i="1"/>
  <c r="M1206" i="1"/>
  <c r="M1205" i="1"/>
  <c r="M1204" i="1"/>
  <c r="M1203" i="1"/>
  <c r="M1202" i="1"/>
  <c r="M1201" i="1"/>
  <c r="M1200" i="1"/>
  <c r="M1199" i="1"/>
  <c r="N1199" i="1" s="1"/>
  <c r="M1198" i="1"/>
  <c r="N1198" i="1" s="1"/>
  <c r="M1197" i="1"/>
  <c r="M1196" i="1"/>
  <c r="M1195" i="1"/>
  <c r="M1194" i="1"/>
  <c r="M1193" i="1"/>
  <c r="M1192" i="1"/>
  <c r="M1191" i="1"/>
  <c r="M1190" i="1"/>
  <c r="M1189" i="1"/>
  <c r="M1188" i="1"/>
  <c r="M1187" i="1"/>
  <c r="N1187" i="1" s="1"/>
  <c r="M1186" i="1"/>
  <c r="M1185" i="1"/>
  <c r="M1184" i="1"/>
  <c r="M1183" i="1"/>
  <c r="M1182" i="1"/>
  <c r="N1182" i="1" s="1"/>
  <c r="M1181" i="1"/>
  <c r="N1181" i="1" s="1"/>
  <c r="M1180" i="1"/>
  <c r="M1179" i="1"/>
  <c r="M1178" i="1"/>
  <c r="N1178" i="1" s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N1158" i="1" s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N1143" i="1" s="1"/>
  <c r="M1142" i="1"/>
  <c r="M1141" i="1"/>
  <c r="M1140" i="1"/>
  <c r="N1140" i="1" s="1"/>
  <c r="M1139" i="1"/>
  <c r="N1139" i="1" s="1"/>
  <c r="M1138" i="1"/>
  <c r="N1138" i="1" s="1"/>
  <c r="M1137" i="1"/>
  <c r="N1137" i="1" s="1"/>
  <c r="M1136" i="1"/>
  <c r="N1136" i="1" s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N1123" i="1" s="1"/>
  <c r="M1122" i="1"/>
  <c r="M1121" i="1"/>
  <c r="M1120" i="1"/>
  <c r="N1120" i="1" s="1"/>
  <c r="M1119" i="1"/>
  <c r="M1118" i="1"/>
  <c r="N1118" i="1" s="1"/>
  <c r="M1117" i="1"/>
  <c r="M1116" i="1"/>
  <c r="M1115" i="1"/>
  <c r="M1114" i="1"/>
  <c r="M1113" i="1"/>
  <c r="M1112" i="1"/>
  <c r="M1111" i="1"/>
  <c r="M1110" i="1"/>
  <c r="M1109" i="1"/>
  <c r="N1109" i="1" s="1"/>
  <c r="M1108" i="1"/>
  <c r="N1108" i="1" s="1"/>
  <c r="M1107" i="1"/>
  <c r="N1107" i="1" s="1"/>
  <c r="M1106" i="1"/>
  <c r="N1106" i="1" s="1"/>
  <c r="M1105" i="1"/>
  <c r="N1105" i="1" s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N1086" i="1" s="1"/>
  <c r="M1085" i="1"/>
  <c r="M1084" i="1"/>
  <c r="N1084" i="1" s="1"/>
  <c r="M1083" i="1"/>
  <c r="M1082" i="1"/>
  <c r="N1082" i="1" s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N1066" i="1" s="1"/>
  <c r="M1065" i="1"/>
  <c r="M1064" i="1"/>
  <c r="N1064" i="1" s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N1042" i="1" s="1"/>
  <c r="M1041" i="1"/>
  <c r="M1040" i="1"/>
  <c r="N1040" i="1" s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N1027" i="1" s="1"/>
  <c r="M1026" i="1"/>
  <c r="M1025" i="1"/>
  <c r="M1024" i="1"/>
  <c r="M1023" i="1"/>
  <c r="M1022" i="1"/>
  <c r="M1021" i="1"/>
  <c r="M1020" i="1"/>
  <c r="N1020" i="1" s="1"/>
  <c r="M1019" i="1"/>
  <c r="N1019" i="1" s="1"/>
  <c r="M1018" i="1"/>
  <c r="M1017" i="1"/>
  <c r="M1016" i="1"/>
  <c r="M1015" i="1"/>
  <c r="M1014" i="1"/>
  <c r="M1013" i="1"/>
  <c r="M1012" i="1"/>
  <c r="M1011" i="1"/>
  <c r="N1011" i="1" s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N989" i="1" s="1"/>
  <c r="M988" i="1"/>
  <c r="M987" i="1"/>
  <c r="M986" i="1"/>
  <c r="M985" i="1"/>
  <c r="M984" i="1"/>
  <c r="M983" i="1"/>
  <c r="M982" i="1"/>
  <c r="M981" i="1"/>
  <c r="N981" i="1" s="1"/>
  <c r="M980" i="1"/>
  <c r="M979" i="1"/>
  <c r="M978" i="1"/>
  <c r="M977" i="1"/>
  <c r="M976" i="1"/>
  <c r="M975" i="1"/>
  <c r="M974" i="1"/>
  <c r="N974" i="1" s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N961" i="1" s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N948" i="1" s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N933" i="1" s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N920" i="1" s="1"/>
  <c r="M919" i="1"/>
  <c r="M918" i="1"/>
  <c r="M917" i="1"/>
  <c r="M916" i="1"/>
  <c r="M915" i="1"/>
  <c r="M914" i="1"/>
  <c r="N914" i="1" s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N897" i="1" s="1"/>
  <c r="M896" i="1"/>
  <c r="N896" i="1" s="1"/>
  <c r="M895" i="1"/>
  <c r="M894" i="1"/>
  <c r="M893" i="1"/>
  <c r="M892" i="1"/>
  <c r="M891" i="1"/>
  <c r="M890" i="1"/>
  <c r="M889" i="1"/>
  <c r="M888" i="1"/>
  <c r="M887" i="1"/>
  <c r="M886" i="1"/>
  <c r="M885" i="1"/>
  <c r="N885" i="1" s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N871" i="1" s="1"/>
  <c r="M870" i="1"/>
  <c r="N870" i="1" s="1"/>
  <c r="M869" i="1"/>
  <c r="M868" i="1"/>
  <c r="M867" i="1"/>
  <c r="M866" i="1"/>
  <c r="M865" i="1"/>
  <c r="M864" i="1"/>
  <c r="M863" i="1"/>
  <c r="N863" i="1" s="1"/>
  <c r="M862" i="1"/>
  <c r="M861" i="1"/>
  <c r="M860" i="1"/>
  <c r="M859" i="1"/>
  <c r="M858" i="1"/>
  <c r="M857" i="1"/>
  <c r="M856" i="1"/>
  <c r="M855" i="1"/>
  <c r="M854" i="1"/>
  <c r="N854" i="1" s="1"/>
  <c r="M853" i="1"/>
  <c r="N853" i="1" s="1"/>
  <c r="M852" i="1"/>
  <c r="M851" i="1"/>
  <c r="N851" i="1" s="1"/>
  <c r="M850" i="1"/>
  <c r="M849" i="1"/>
  <c r="M848" i="1"/>
  <c r="M847" i="1"/>
  <c r="M846" i="1"/>
  <c r="M845" i="1"/>
  <c r="M844" i="1"/>
  <c r="N844" i="1" s="1"/>
  <c r="M843" i="1"/>
  <c r="N843" i="1" s="1"/>
  <c r="M842" i="1"/>
  <c r="N842" i="1" s="1"/>
  <c r="M841" i="1"/>
  <c r="N841" i="1" s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N822" i="1" s="1"/>
  <c r="M821" i="1"/>
  <c r="M820" i="1"/>
  <c r="M819" i="1"/>
  <c r="M818" i="1"/>
  <c r="M817" i="1"/>
  <c r="M816" i="1"/>
  <c r="M815" i="1"/>
  <c r="M814" i="1"/>
  <c r="M813" i="1"/>
  <c r="N813" i="1" s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5" i="1"/>
  <c r="M784" i="1"/>
  <c r="N784" i="1" s="1"/>
  <c r="M783" i="1"/>
  <c r="M782" i="1"/>
  <c r="N782" i="1" s="1"/>
  <c r="M781" i="1"/>
  <c r="N781" i="1" s="1"/>
  <c r="M780" i="1"/>
  <c r="N780" i="1" s="1"/>
  <c r="M779" i="1"/>
  <c r="M778" i="1"/>
  <c r="M777" i="1"/>
  <c r="M776" i="1"/>
  <c r="M775" i="1"/>
  <c r="N775" i="1" s="1"/>
  <c r="M774" i="1"/>
  <c r="M773" i="1"/>
  <c r="M772" i="1"/>
  <c r="M771" i="1"/>
  <c r="M770" i="1"/>
  <c r="M769" i="1"/>
  <c r="N769" i="1" s="1"/>
  <c r="M768" i="1"/>
  <c r="N768" i="1" s="1"/>
  <c r="M767" i="1"/>
  <c r="M766" i="1"/>
  <c r="M765" i="1"/>
  <c r="M764" i="1"/>
  <c r="M763" i="1"/>
  <c r="M762" i="1"/>
  <c r="M761" i="1"/>
  <c r="M760" i="1"/>
  <c r="N760" i="1" s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N741" i="1" s="1"/>
  <c r="M740" i="1"/>
  <c r="M739" i="1"/>
  <c r="N739" i="1" s="1"/>
  <c r="M738" i="1"/>
  <c r="M737" i="1"/>
  <c r="M736" i="1"/>
  <c r="M735" i="1"/>
  <c r="M734" i="1"/>
  <c r="N734" i="1" s="1"/>
  <c r="M733" i="1"/>
  <c r="N733" i="1" s="1"/>
  <c r="M732" i="1"/>
  <c r="M731" i="1"/>
  <c r="N731" i="1" s="1"/>
  <c r="M730" i="1"/>
  <c r="M729" i="1"/>
  <c r="M728" i="1"/>
  <c r="N728" i="1" s="1"/>
  <c r="M727" i="1"/>
  <c r="M726" i="1"/>
  <c r="M725" i="1"/>
  <c r="M724" i="1"/>
  <c r="M723" i="1"/>
  <c r="M722" i="1"/>
  <c r="N722" i="1" s="1"/>
  <c r="M721" i="1"/>
  <c r="M720" i="1"/>
  <c r="N720" i="1" s="1"/>
  <c r="M719" i="1"/>
  <c r="M718" i="1"/>
  <c r="M717" i="1"/>
  <c r="M716" i="1"/>
  <c r="N716" i="1" s="1"/>
  <c r="M715" i="1"/>
  <c r="M714" i="1"/>
  <c r="N714" i="1" s="1"/>
  <c r="M713" i="1"/>
  <c r="M712" i="1"/>
  <c r="M711" i="1"/>
  <c r="M710" i="1"/>
  <c r="M709" i="1"/>
  <c r="M708" i="1"/>
  <c r="M707" i="1"/>
  <c r="M706" i="1"/>
  <c r="N706" i="1" s="1"/>
  <c r="M705" i="1"/>
  <c r="N705" i="1" s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N683" i="1" s="1"/>
  <c r="M682" i="1"/>
  <c r="M681" i="1"/>
  <c r="M680" i="1"/>
  <c r="M679" i="1"/>
  <c r="M678" i="1"/>
  <c r="M677" i="1"/>
  <c r="M676" i="1"/>
  <c r="M675" i="1"/>
  <c r="M674" i="1"/>
  <c r="M673" i="1"/>
  <c r="M672" i="1"/>
  <c r="N672" i="1" s="1"/>
  <c r="M671" i="1"/>
  <c r="M670" i="1"/>
  <c r="N670" i="1" s="1"/>
  <c r="M669" i="1"/>
  <c r="M668" i="1"/>
  <c r="M667" i="1"/>
  <c r="N667" i="1" s="1"/>
  <c r="M666" i="1"/>
  <c r="N666" i="1" s="1"/>
  <c r="M665" i="1"/>
  <c r="M664" i="1"/>
  <c r="M663" i="1"/>
  <c r="M662" i="1"/>
  <c r="N662" i="1" s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N636" i="1" s="1"/>
  <c r="M635" i="1"/>
  <c r="M634" i="1"/>
  <c r="M633" i="1"/>
  <c r="M632" i="1"/>
  <c r="M631" i="1"/>
  <c r="M630" i="1"/>
  <c r="M629" i="1"/>
  <c r="M628" i="1"/>
  <c r="M627" i="1"/>
  <c r="N627" i="1" s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N606" i="1" s="1"/>
  <c r="M605" i="1"/>
  <c r="M604" i="1"/>
  <c r="M603" i="1"/>
  <c r="M602" i="1"/>
  <c r="N602" i="1" s="1"/>
  <c r="M601" i="1"/>
  <c r="M600" i="1"/>
  <c r="M599" i="1"/>
  <c r="N599" i="1" s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N552" i="1" s="1"/>
  <c r="M551" i="1"/>
  <c r="M550" i="1"/>
  <c r="M549" i="1"/>
  <c r="M548" i="1"/>
  <c r="M547" i="1"/>
  <c r="M546" i="1"/>
  <c r="N546" i="1" s="1"/>
  <c r="M545" i="1"/>
  <c r="M544" i="1"/>
  <c r="M543" i="1"/>
  <c r="M542" i="1"/>
  <c r="M541" i="1"/>
  <c r="M540" i="1"/>
  <c r="M539" i="1"/>
  <c r="M538" i="1"/>
  <c r="M537" i="1"/>
  <c r="N537" i="1" s="1"/>
  <c r="M536" i="1"/>
  <c r="M535" i="1"/>
  <c r="M534" i="1"/>
  <c r="M533" i="1"/>
  <c r="M532" i="1"/>
  <c r="M531" i="1"/>
  <c r="M530" i="1"/>
  <c r="M529" i="1"/>
  <c r="M528" i="1"/>
  <c r="M527" i="1"/>
  <c r="N527" i="1" s="1"/>
  <c r="M526" i="1"/>
  <c r="N526" i="1" s="1"/>
  <c r="M525" i="1"/>
  <c r="M524" i="1"/>
  <c r="M523" i="1"/>
  <c r="N523" i="1" s="1"/>
  <c r="M522" i="1"/>
  <c r="N522" i="1" s="1"/>
  <c r="M521" i="1"/>
  <c r="N521" i="1" s="1"/>
  <c r="M520" i="1"/>
  <c r="N520" i="1" s="1"/>
  <c r="M519" i="1"/>
  <c r="M518" i="1"/>
  <c r="N518" i="1" s="1"/>
  <c r="M517" i="1"/>
  <c r="N517" i="1" s="1"/>
  <c r="M516" i="1"/>
  <c r="M515" i="1"/>
  <c r="M514" i="1"/>
  <c r="M513" i="1"/>
  <c r="N513" i="1" s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N479" i="1" s="1"/>
  <c r="M478" i="1"/>
  <c r="M477" i="1"/>
  <c r="M476" i="1"/>
  <c r="M475" i="1"/>
  <c r="M474" i="1"/>
  <c r="M473" i="1"/>
  <c r="M472" i="1"/>
  <c r="M471" i="1"/>
  <c r="M470" i="1"/>
  <c r="M469" i="1"/>
  <c r="N469" i="1" s="1"/>
  <c r="M468" i="1"/>
  <c r="N468" i="1" s="1"/>
  <c r="M467" i="1"/>
  <c r="M466" i="1"/>
  <c r="M465" i="1"/>
  <c r="N465" i="1" s="1"/>
  <c r="M464" i="1"/>
  <c r="M463" i="1"/>
  <c r="M462" i="1"/>
  <c r="N462" i="1" s="1"/>
  <c r="M461" i="1"/>
  <c r="M460" i="1"/>
  <c r="M459" i="1"/>
  <c r="M458" i="1"/>
  <c r="M457" i="1"/>
  <c r="N457" i="1" s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N442" i="1" s="1"/>
  <c r="M441" i="1"/>
  <c r="N441" i="1" s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N395" i="1" s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N363" i="1" s="1"/>
  <c r="M362" i="1"/>
  <c r="N362" i="1" s="1"/>
  <c r="M361" i="1"/>
  <c r="M360" i="1"/>
  <c r="M359" i="1"/>
  <c r="M358" i="1"/>
  <c r="M357" i="1"/>
  <c r="M356" i="1"/>
  <c r="M355" i="1"/>
  <c r="M354" i="1"/>
  <c r="M353" i="1"/>
  <c r="M352" i="1"/>
  <c r="M351" i="1"/>
  <c r="N351" i="1" s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N335" i="1" s="1"/>
  <c r="M334" i="1"/>
  <c r="M333" i="1"/>
  <c r="M332" i="1"/>
  <c r="M331" i="1"/>
  <c r="M330" i="1"/>
  <c r="M329" i="1"/>
  <c r="M328" i="1"/>
  <c r="M327" i="1"/>
  <c r="M326" i="1"/>
  <c r="M325" i="1"/>
  <c r="M324" i="1"/>
  <c r="N324" i="1" s="1"/>
  <c r="M323" i="1"/>
  <c r="M322" i="1"/>
  <c r="M321" i="1"/>
  <c r="M320" i="1"/>
  <c r="N320" i="1" s="1"/>
  <c r="M319" i="1"/>
  <c r="N319" i="1" s="1"/>
  <c r="M318" i="1"/>
  <c r="N318" i="1" s="1"/>
  <c r="M317" i="1"/>
  <c r="N317" i="1" s="1"/>
  <c r="M316" i="1"/>
  <c r="N316" i="1" s="1"/>
  <c r="M315" i="1"/>
  <c r="N315" i="1" s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N286" i="1" s="1"/>
  <c r="M285" i="1"/>
  <c r="M284" i="1"/>
  <c r="M283" i="1"/>
  <c r="M282" i="1"/>
  <c r="M281" i="1"/>
  <c r="M280" i="1"/>
  <c r="M279" i="1"/>
  <c r="N279" i="1" s="1"/>
  <c r="M278" i="1"/>
  <c r="N278" i="1" s="1"/>
  <c r="M277" i="1"/>
  <c r="M276" i="1"/>
  <c r="M275" i="1"/>
  <c r="M274" i="1"/>
  <c r="M273" i="1"/>
  <c r="M272" i="1"/>
  <c r="N272" i="1" s="1"/>
  <c r="M271" i="1"/>
  <c r="N271" i="1" s="1"/>
  <c r="M270" i="1"/>
  <c r="M269" i="1"/>
  <c r="M268" i="1"/>
  <c r="M267" i="1"/>
  <c r="M266" i="1"/>
  <c r="M265" i="1"/>
  <c r="N265" i="1" s="1"/>
  <c r="M264" i="1"/>
  <c r="N264" i="1" s="1"/>
  <c r="M263" i="1"/>
  <c r="M262" i="1"/>
  <c r="N262" i="1" s="1"/>
  <c r="M261" i="1"/>
  <c r="N261" i="1" s="1"/>
  <c r="M260" i="1"/>
  <c r="N260" i="1" s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N236" i="1" s="1"/>
  <c r="M235" i="1"/>
  <c r="M234" i="1"/>
  <c r="M233" i="1"/>
  <c r="M232" i="1"/>
  <c r="M231" i="1"/>
  <c r="M230" i="1"/>
  <c r="N230" i="1" s="1"/>
  <c r="M229" i="1"/>
  <c r="M228" i="1"/>
  <c r="M227" i="1"/>
  <c r="M226" i="1"/>
  <c r="M225" i="1"/>
  <c r="M224" i="1"/>
  <c r="M223" i="1"/>
  <c r="M222" i="1"/>
  <c r="M221" i="1"/>
  <c r="M220" i="1"/>
  <c r="N220" i="1" s="1"/>
  <c r="M219" i="1"/>
  <c r="M218" i="1"/>
  <c r="N218" i="1" s="1"/>
  <c r="M217" i="1"/>
  <c r="M216" i="1"/>
  <c r="M215" i="1"/>
  <c r="N215" i="1" s="1"/>
  <c r="M214" i="1"/>
  <c r="M213" i="1"/>
  <c r="M212" i="1"/>
  <c r="N212" i="1" s="1"/>
  <c r="M211" i="1"/>
  <c r="N211" i="1" s="1"/>
  <c r="M210" i="1"/>
  <c r="M209" i="1"/>
  <c r="M208" i="1"/>
  <c r="M207" i="1"/>
  <c r="M206" i="1"/>
  <c r="M205" i="1"/>
  <c r="N205" i="1" s="1"/>
  <c r="M204" i="1"/>
  <c r="N204" i="1" s="1"/>
  <c r="M203" i="1"/>
  <c r="M202" i="1"/>
  <c r="M201" i="1"/>
  <c r="M200" i="1"/>
  <c r="N200" i="1" s="1"/>
  <c r="M199" i="1"/>
  <c r="M198" i="1"/>
  <c r="N198" i="1" s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N183" i="1" s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N169" i="1" s="1"/>
  <c r="M168" i="1"/>
  <c r="M167" i="1"/>
  <c r="N167" i="1" s="1"/>
  <c r="M166" i="1"/>
  <c r="N166" i="1" s="1"/>
  <c r="M165" i="1"/>
  <c r="M164" i="1"/>
  <c r="M163" i="1"/>
  <c r="M162" i="1"/>
  <c r="M161" i="1"/>
  <c r="M160" i="1"/>
  <c r="M159" i="1"/>
  <c r="M158" i="1"/>
  <c r="N158" i="1" s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N143" i="1" s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N128" i="1" s="1"/>
  <c r="M127" i="1"/>
  <c r="M126" i="1"/>
  <c r="M125" i="1"/>
  <c r="N125" i="1" s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N111" i="1" s="1"/>
  <c r="M110" i="1"/>
  <c r="M109" i="1"/>
  <c r="N109" i="1" s="1"/>
  <c r="M108" i="1"/>
  <c r="M107" i="1"/>
  <c r="M106" i="1"/>
  <c r="N106" i="1" s="1"/>
  <c r="M105" i="1"/>
  <c r="M104" i="1"/>
  <c r="M103" i="1"/>
  <c r="M102" i="1"/>
  <c r="M101" i="1"/>
  <c r="M100" i="1"/>
  <c r="M99" i="1"/>
  <c r="M98" i="1"/>
  <c r="N98" i="1" s="1"/>
  <c r="M97" i="1"/>
  <c r="N97" i="1" s="1"/>
  <c r="M96" i="1"/>
  <c r="M95" i="1"/>
  <c r="N95" i="1" s="1"/>
  <c r="M94" i="1"/>
  <c r="N94" i="1" s="1"/>
  <c r="M93" i="1"/>
  <c r="M92" i="1"/>
  <c r="M91" i="1"/>
  <c r="M90" i="1"/>
  <c r="M89" i="1"/>
  <c r="M88" i="1"/>
  <c r="M87" i="1"/>
  <c r="M86" i="1"/>
  <c r="M85" i="1"/>
  <c r="M84" i="1"/>
  <c r="M83" i="1"/>
  <c r="M82" i="1"/>
  <c r="N82" i="1" s="1"/>
  <c r="M81" i="1"/>
  <c r="N81" i="1" s="1"/>
  <c r="M80" i="1"/>
  <c r="N80" i="1" s="1"/>
  <c r="M79" i="1"/>
  <c r="M78" i="1"/>
  <c r="M77" i="1"/>
  <c r="M76" i="1"/>
  <c r="M75" i="1"/>
  <c r="M74" i="1"/>
  <c r="N74" i="1" s="1"/>
  <c r="M73" i="1"/>
  <c r="M72" i="1"/>
  <c r="M71" i="1"/>
  <c r="M70" i="1"/>
  <c r="M69" i="1"/>
  <c r="M68" i="1"/>
  <c r="M67" i="1"/>
  <c r="N67" i="1" s="1"/>
  <c r="M66" i="1"/>
  <c r="M65" i="1"/>
  <c r="N65" i="1" s="1"/>
  <c r="M64" i="1"/>
  <c r="M63" i="1"/>
  <c r="M62" i="1"/>
  <c r="N62" i="1" s="1"/>
  <c r="M61" i="1"/>
  <c r="M60" i="1"/>
  <c r="N60" i="1" s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N45" i="1" s="1"/>
  <c r="M44" i="1"/>
  <c r="N44" i="1" s="1"/>
  <c r="M43" i="1"/>
  <c r="M42" i="1"/>
  <c r="N42" i="1" s="1"/>
  <c r="M41" i="1"/>
  <c r="M40" i="1"/>
  <c r="N40" i="1" s="1"/>
  <c r="M39" i="1"/>
  <c r="N39" i="1" s="1"/>
  <c r="M38" i="1"/>
  <c r="M37" i="1"/>
  <c r="M36" i="1"/>
  <c r="M35" i="1"/>
  <c r="M34" i="1"/>
  <c r="M33" i="1"/>
  <c r="M32" i="1"/>
  <c r="N32" i="1" s="1"/>
  <c r="M31" i="1"/>
  <c r="M30" i="1"/>
  <c r="M29" i="1"/>
  <c r="M28" i="1"/>
  <c r="M27" i="1"/>
  <c r="M26" i="1"/>
  <c r="M25" i="1"/>
  <c r="M24" i="1"/>
  <c r="N24" i="1" s="1"/>
  <c r="M23" i="1"/>
  <c r="M22" i="1"/>
  <c r="M21" i="1"/>
  <c r="M20" i="1"/>
  <c r="M19" i="1"/>
  <c r="M18" i="1"/>
  <c r="M17" i="1"/>
  <c r="M16" i="1"/>
  <c r="M15" i="1"/>
  <c r="M14" i="1"/>
  <c r="M13" i="1"/>
  <c r="N13" i="1" s="1"/>
  <c r="M12" i="1"/>
  <c r="N12" i="1" s="1"/>
  <c r="M11" i="1"/>
  <c r="N11" i="1" s="1"/>
  <c r="M10" i="1"/>
  <c r="M9" i="1"/>
  <c r="N9" i="1" s="1"/>
  <c r="M8" i="1"/>
  <c r="M7" i="1"/>
  <c r="M6" i="1"/>
  <c r="M5" i="1"/>
  <c r="N5" i="1" s="1"/>
  <c r="M4" i="1"/>
  <c r="N4" i="1" s="1"/>
  <c r="M3" i="1"/>
  <c r="M2" i="1"/>
  <c r="L3455" i="1"/>
  <c r="L3454" i="1"/>
  <c r="L3453" i="1"/>
  <c r="L3452" i="1"/>
  <c r="L3451" i="1"/>
  <c r="L3450" i="1"/>
  <c r="L3449" i="1"/>
  <c r="L3448" i="1"/>
  <c r="L3447" i="1"/>
  <c r="L3446" i="1"/>
  <c r="L3445" i="1"/>
  <c r="L3444" i="1"/>
  <c r="L3443" i="1"/>
  <c r="L3442" i="1"/>
  <c r="L3441" i="1"/>
  <c r="L3440" i="1"/>
  <c r="L3439" i="1"/>
  <c r="L3438" i="1"/>
  <c r="L3437" i="1"/>
  <c r="L3436" i="1"/>
  <c r="L3435" i="1"/>
  <c r="L3434" i="1"/>
  <c r="L3433" i="1"/>
  <c r="L3432" i="1"/>
  <c r="L3431" i="1"/>
  <c r="L3430" i="1"/>
  <c r="L3429" i="1"/>
  <c r="L3428" i="1"/>
  <c r="L3427" i="1"/>
  <c r="L3426" i="1"/>
  <c r="L3425" i="1"/>
  <c r="L3424" i="1"/>
  <c r="L3423" i="1"/>
  <c r="L3422" i="1"/>
  <c r="L3421" i="1"/>
  <c r="L3420" i="1"/>
  <c r="L3419" i="1"/>
  <c r="L3418" i="1"/>
  <c r="L3417" i="1"/>
  <c r="L3416" i="1"/>
  <c r="L3415" i="1"/>
  <c r="L3414" i="1"/>
  <c r="L3413" i="1"/>
  <c r="L3412" i="1"/>
  <c r="L3411" i="1"/>
  <c r="L3410" i="1"/>
  <c r="L3409" i="1"/>
  <c r="L3408" i="1"/>
  <c r="L3407" i="1"/>
  <c r="L3406" i="1"/>
  <c r="L3405" i="1"/>
  <c r="L3404" i="1"/>
  <c r="L3403" i="1"/>
  <c r="L3402" i="1"/>
  <c r="L3401" i="1"/>
  <c r="L3400" i="1"/>
  <c r="L3399" i="1"/>
  <c r="L3398" i="1"/>
  <c r="L3397" i="1"/>
  <c r="L3396" i="1"/>
  <c r="L3395" i="1"/>
  <c r="L3394" i="1"/>
  <c r="L3393" i="1"/>
  <c r="L3392" i="1"/>
  <c r="L3391" i="1"/>
  <c r="L3390" i="1"/>
  <c r="L3389" i="1"/>
  <c r="L3388" i="1"/>
  <c r="L3387" i="1"/>
  <c r="L3386" i="1"/>
  <c r="L3385" i="1"/>
  <c r="L3384" i="1"/>
  <c r="L3383" i="1"/>
  <c r="L3382" i="1"/>
  <c r="L3381" i="1"/>
  <c r="L3380" i="1"/>
  <c r="L3379" i="1"/>
  <c r="L3378" i="1"/>
  <c r="L3377" i="1"/>
  <c r="L3376" i="1"/>
  <c r="L3375" i="1"/>
  <c r="L3374" i="1"/>
  <c r="L3373" i="1"/>
  <c r="L3372" i="1"/>
  <c r="L3371" i="1"/>
  <c r="L3370" i="1"/>
  <c r="L3369" i="1"/>
  <c r="L3368" i="1"/>
  <c r="L3367" i="1"/>
  <c r="L3366" i="1"/>
  <c r="L3365" i="1"/>
  <c r="L3364" i="1"/>
  <c r="L3363" i="1"/>
  <c r="L3362" i="1"/>
  <c r="L3361" i="1"/>
  <c r="L3360" i="1"/>
  <c r="L3359" i="1"/>
  <c r="L3358" i="1"/>
  <c r="L3357" i="1"/>
  <c r="L3356" i="1"/>
  <c r="L3355" i="1"/>
  <c r="L3354" i="1"/>
  <c r="L3353" i="1"/>
  <c r="L3352" i="1"/>
  <c r="L3351" i="1"/>
  <c r="L3350" i="1"/>
  <c r="L3349" i="1"/>
  <c r="L3348" i="1"/>
  <c r="L3347" i="1"/>
  <c r="L3346" i="1"/>
  <c r="L3345" i="1"/>
  <c r="L3344" i="1"/>
  <c r="L3343" i="1"/>
  <c r="L3342" i="1"/>
  <c r="L3341" i="1"/>
  <c r="L3340" i="1"/>
  <c r="L3339" i="1"/>
  <c r="L3338" i="1"/>
  <c r="L3337" i="1"/>
  <c r="L3336" i="1"/>
  <c r="L3335" i="1"/>
  <c r="L3334" i="1"/>
  <c r="L3333" i="1"/>
  <c r="L3332" i="1"/>
  <c r="L3331" i="1"/>
  <c r="L3330" i="1"/>
  <c r="L3329" i="1"/>
  <c r="L3328" i="1"/>
  <c r="L3327" i="1"/>
  <c r="L3326" i="1"/>
  <c r="L3325" i="1"/>
  <c r="L3324" i="1"/>
  <c r="L3323" i="1"/>
  <c r="L3322" i="1"/>
  <c r="L3321" i="1"/>
  <c r="L3320" i="1"/>
  <c r="L3319" i="1"/>
  <c r="L3318" i="1"/>
  <c r="L3317" i="1"/>
  <c r="L3316" i="1"/>
  <c r="L3315" i="1"/>
  <c r="L3314" i="1"/>
  <c r="L3313" i="1"/>
  <c r="L3312" i="1"/>
  <c r="L3311" i="1"/>
  <c r="L3310" i="1"/>
  <c r="L3309" i="1"/>
  <c r="L3308" i="1"/>
  <c r="L3307" i="1"/>
  <c r="L3306" i="1"/>
  <c r="L3305" i="1"/>
  <c r="L3304" i="1"/>
  <c r="L3303" i="1"/>
  <c r="L3302" i="1"/>
  <c r="L3301" i="1"/>
  <c r="L3300" i="1"/>
  <c r="L3299" i="1"/>
  <c r="L3298" i="1"/>
  <c r="L3297" i="1"/>
  <c r="L3296" i="1"/>
  <c r="L3295" i="1"/>
  <c r="L3294" i="1"/>
  <c r="L3293" i="1"/>
  <c r="L3292" i="1"/>
  <c r="L3291" i="1"/>
  <c r="L3290" i="1"/>
  <c r="L3289" i="1"/>
  <c r="L3288" i="1"/>
  <c r="L3287" i="1"/>
  <c r="L3286" i="1"/>
  <c r="L3285" i="1"/>
  <c r="L3284" i="1"/>
  <c r="L3283" i="1"/>
  <c r="L3282" i="1"/>
  <c r="L3281" i="1"/>
  <c r="L3280" i="1"/>
  <c r="L3279" i="1"/>
  <c r="L3278" i="1"/>
  <c r="L3277" i="1"/>
  <c r="L3276" i="1"/>
  <c r="L3275" i="1"/>
  <c r="L3274" i="1"/>
  <c r="L3273" i="1"/>
  <c r="L3272" i="1"/>
  <c r="L3271" i="1"/>
  <c r="L3270" i="1"/>
  <c r="L3269" i="1"/>
  <c r="L3268" i="1"/>
  <c r="L3267" i="1"/>
  <c r="L3266" i="1"/>
  <c r="L3265" i="1"/>
  <c r="L3264" i="1"/>
  <c r="L3263" i="1"/>
  <c r="L3262" i="1"/>
  <c r="L3261" i="1"/>
  <c r="L3260" i="1"/>
  <c r="L3259" i="1"/>
  <c r="L3258" i="1"/>
  <c r="L3257" i="1"/>
  <c r="L3256" i="1"/>
  <c r="L3255" i="1"/>
  <c r="L3254" i="1"/>
  <c r="L3253" i="1"/>
  <c r="L3252" i="1"/>
  <c r="L3251" i="1"/>
  <c r="L3250" i="1"/>
  <c r="L3249" i="1"/>
  <c r="L3248" i="1"/>
  <c r="L3247" i="1"/>
  <c r="L3246" i="1"/>
  <c r="L3245" i="1"/>
  <c r="L3244" i="1"/>
  <c r="L3243" i="1"/>
  <c r="L3242" i="1"/>
  <c r="L3241" i="1"/>
  <c r="L3240" i="1"/>
  <c r="L3239" i="1"/>
  <c r="L3238" i="1"/>
  <c r="L3237" i="1"/>
  <c r="L3236" i="1"/>
  <c r="L3235" i="1"/>
  <c r="L3234" i="1"/>
  <c r="L3233" i="1"/>
  <c r="L3232" i="1"/>
  <c r="L3231" i="1"/>
  <c r="L3230" i="1"/>
  <c r="L3229" i="1"/>
  <c r="L3228" i="1"/>
  <c r="L3227" i="1"/>
  <c r="L3226" i="1"/>
  <c r="L3225" i="1"/>
  <c r="L3224" i="1"/>
  <c r="L3223" i="1"/>
  <c r="L3222" i="1"/>
  <c r="L3221" i="1"/>
  <c r="L3220" i="1"/>
  <c r="L3219" i="1"/>
  <c r="L3218" i="1"/>
  <c r="L3217" i="1"/>
  <c r="L3216" i="1"/>
  <c r="L3215" i="1"/>
  <c r="L3214" i="1"/>
  <c r="L3213" i="1"/>
  <c r="L3212" i="1"/>
  <c r="L3211" i="1"/>
  <c r="L3210" i="1"/>
  <c r="L3209" i="1"/>
  <c r="L3208" i="1"/>
  <c r="L3207" i="1"/>
  <c r="L3206" i="1"/>
  <c r="L3205" i="1"/>
  <c r="L3204" i="1"/>
  <c r="L3203" i="1"/>
  <c r="L3202" i="1"/>
  <c r="L3201" i="1"/>
  <c r="L3200" i="1"/>
  <c r="L3199" i="1"/>
  <c r="L3198" i="1"/>
  <c r="L3197" i="1"/>
  <c r="L3196" i="1"/>
  <c r="L3195" i="1"/>
  <c r="L3194" i="1"/>
  <c r="L3193" i="1"/>
  <c r="L3192" i="1"/>
  <c r="L3191" i="1"/>
  <c r="L3190" i="1"/>
  <c r="L3189" i="1"/>
  <c r="L3188" i="1"/>
  <c r="L3187" i="1"/>
  <c r="L3186" i="1"/>
  <c r="L3185" i="1"/>
  <c r="L3184" i="1"/>
  <c r="L3183" i="1"/>
  <c r="L3182" i="1"/>
  <c r="L3181" i="1"/>
  <c r="L3180" i="1"/>
  <c r="L3179" i="1"/>
  <c r="L3178" i="1"/>
  <c r="L3177" i="1"/>
  <c r="L3176" i="1"/>
  <c r="L3175" i="1"/>
  <c r="L3174" i="1"/>
  <c r="L3173" i="1"/>
  <c r="L3172" i="1"/>
  <c r="L3171" i="1"/>
  <c r="L3170" i="1"/>
  <c r="L3169" i="1"/>
  <c r="L3168" i="1"/>
  <c r="L3167" i="1"/>
  <c r="L3166" i="1"/>
  <c r="L3165" i="1"/>
  <c r="L3164" i="1"/>
  <c r="L3163" i="1"/>
  <c r="L3162" i="1"/>
  <c r="L3161" i="1"/>
  <c r="L3160" i="1"/>
  <c r="L3159" i="1"/>
  <c r="L3158" i="1"/>
  <c r="L3157" i="1"/>
  <c r="L3156" i="1"/>
  <c r="L3155" i="1"/>
  <c r="L3154" i="1"/>
  <c r="L3153" i="1"/>
  <c r="L3152" i="1"/>
  <c r="L3151" i="1"/>
  <c r="L3150" i="1"/>
  <c r="L3149" i="1"/>
  <c r="L3148" i="1"/>
  <c r="L3147" i="1"/>
  <c r="L3146" i="1"/>
  <c r="L3145" i="1"/>
  <c r="L3144" i="1"/>
  <c r="L3143" i="1"/>
  <c r="L3142" i="1"/>
  <c r="L3141" i="1"/>
  <c r="L3140" i="1"/>
  <c r="L3139" i="1"/>
  <c r="L3138" i="1"/>
  <c r="L3137" i="1"/>
  <c r="L3136" i="1"/>
  <c r="L3135" i="1"/>
  <c r="L3134" i="1"/>
  <c r="L3133" i="1"/>
  <c r="L3132" i="1"/>
  <c r="L3131" i="1"/>
  <c r="L3130" i="1"/>
  <c r="L3129" i="1"/>
  <c r="L3128" i="1"/>
  <c r="L3127" i="1"/>
  <c r="L3126" i="1"/>
  <c r="L3125" i="1"/>
  <c r="L3124" i="1"/>
  <c r="L3123" i="1"/>
  <c r="L3122" i="1"/>
  <c r="L3121" i="1"/>
  <c r="L3120" i="1"/>
  <c r="L3119" i="1"/>
  <c r="L3118" i="1"/>
  <c r="L3117" i="1"/>
  <c r="L3116" i="1"/>
  <c r="L3115" i="1"/>
  <c r="L3114" i="1"/>
  <c r="L3113" i="1"/>
  <c r="L3112" i="1"/>
  <c r="L3111" i="1"/>
  <c r="L3110" i="1"/>
  <c r="L3109" i="1"/>
  <c r="L3108" i="1"/>
  <c r="L3107" i="1"/>
  <c r="L3106" i="1"/>
  <c r="L3105" i="1"/>
  <c r="L3104" i="1"/>
  <c r="L3103" i="1"/>
  <c r="L3102" i="1"/>
  <c r="L3101" i="1"/>
  <c r="L3100" i="1"/>
  <c r="L3099" i="1"/>
  <c r="L3098" i="1"/>
  <c r="L3097" i="1"/>
  <c r="L3096" i="1"/>
  <c r="L3095" i="1"/>
  <c r="L3094" i="1"/>
  <c r="L3093" i="1"/>
  <c r="L3092" i="1"/>
  <c r="L3091" i="1"/>
  <c r="L3090" i="1"/>
  <c r="L3089" i="1"/>
  <c r="L3088" i="1"/>
  <c r="L3087" i="1"/>
  <c r="L3086" i="1"/>
  <c r="L3085" i="1"/>
  <c r="L3084" i="1"/>
  <c r="L3083" i="1"/>
  <c r="L3082" i="1"/>
  <c r="L3081" i="1"/>
  <c r="L3080" i="1"/>
  <c r="L3079" i="1"/>
  <c r="L3078" i="1"/>
  <c r="L3077" i="1"/>
  <c r="L3076" i="1"/>
  <c r="L3075" i="1"/>
  <c r="L3074" i="1"/>
  <c r="L3073" i="1"/>
  <c r="L3072" i="1"/>
  <c r="L3071" i="1"/>
  <c r="L3070" i="1"/>
  <c r="L3069" i="1"/>
  <c r="L3068" i="1"/>
  <c r="L3067" i="1"/>
  <c r="L3066" i="1"/>
  <c r="L3065" i="1"/>
  <c r="L3064" i="1"/>
  <c r="L3063" i="1"/>
  <c r="L3062" i="1"/>
  <c r="L3061" i="1"/>
  <c r="L3060" i="1"/>
  <c r="L3059" i="1"/>
  <c r="L3058" i="1"/>
  <c r="L3057" i="1"/>
  <c r="L3056" i="1"/>
  <c r="L3055" i="1"/>
  <c r="L3054" i="1"/>
  <c r="L3053" i="1"/>
  <c r="L3052" i="1"/>
  <c r="L3051" i="1"/>
  <c r="L3050" i="1"/>
  <c r="L3049" i="1"/>
  <c r="L3048" i="1"/>
  <c r="L3047" i="1"/>
  <c r="L3046" i="1"/>
  <c r="L3045" i="1"/>
  <c r="L3044" i="1"/>
  <c r="L3043" i="1"/>
  <c r="L3042" i="1"/>
  <c r="L3041" i="1"/>
  <c r="L3040" i="1"/>
  <c r="L3039" i="1"/>
  <c r="L3038" i="1"/>
  <c r="L3037" i="1"/>
  <c r="L3036" i="1"/>
  <c r="L3035" i="1"/>
  <c r="L3034" i="1"/>
  <c r="L3033" i="1"/>
  <c r="L3032" i="1"/>
  <c r="L3031" i="1"/>
  <c r="L3030" i="1"/>
  <c r="L3029" i="1"/>
  <c r="L3028" i="1"/>
  <c r="L3027" i="1"/>
  <c r="L3026" i="1"/>
  <c r="L3025" i="1"/>
  <c r="L3024" i="1"/>
  <c r="L3023" i="1"/>
  <c r="L3022" i="1"/>
  <c r="L3021" i="1"/>
  <c r="L3020" i="1"/>
  <c r="L3019" i="1"/>
  <c r="L3018" i="1"/>
  <c r="L3017" i="1"/>
  <c r="L3016" i="1"/>
  <c r="L3015" i="1"/>
  <c r="L3014" i="1"/>
  <c r="L3013" i="1"/>
  <c r="L3012" i="1"/>
  <c r="L3011" i="1"/>
  <c r="L3010" i="1"/>
  <c r="L3009" i="1"/>
  <c r="L3008" i="1"/>
  <c r="L3007" i="1"/>
  <c r="L3006" i="1"/>
  <c r="L3005" i="1"/>
  <c r="L3004" i="1"/>
  <c r="L3003" i="1"/>
  <c r="L3002" i="1"/>
  <c r="L3001" i="1"/>
  <c r="L3000" i="1"/>
  <c r="L2999" i="1"/>
  <c r="L2998" i="1"/>
  <c r="L2997" i="1"/>
  <c r="L2996" i="1"/>
  <c r="L2995" i="1"/>
  <c r="L2994" i="1"/>
  <c r="L2993" i="1"/>
  <c r="L2992" i="1"/>
  <c r="L2991" i="1"/>
  <c r="L2990" i="1"/>
  <c r="L2989" i="1"/>
  <c r="L2988" i="1"/>
  <c r="L2987" i="1"/>
  <c r="L2986" i="1"/>
  <c r="L2985" i="1"/>
  <c r="L2984" i="1"/>
  <c r="L2983" i="1"/>
  <c r="L2982" i="1"/>
  <c r="L2981" i="1"/>
  <c r="L2980" i="1"/>
  <c r="L2979" i="1"/>
  <c r="L2978" i="1"/>
  <c r="L2977" i="1"/>
  <c r="L2976" i="1"/>
  <c r="L2975" i="1"/>
  <c r="L2974" i="1"/>
  <c r="L2973" i="1"/>
  <c r="L2972" i="1"/>
  <c r="L2971" i="1"/>
  <c r="L2970" i="1"/>
  <c r="L2969" i="1"/>
  <c r="L2968" i="1"/>
  <c r="L2967" i="1"/>
  <c r="L2966" i="1"/>
  <c r="L2965" i="1"/>
  <c r="L2964" i="1"/>
  <c r="L2963" i="1"/>
  <c r="L2962" i="1"/>
  <c r="L2961" i="1"/>
  <c r="L2960" i="1"/>
  <c r="L2959" i="1"/>
  <c r="L2958" i="1"/>
  <c r="L2957" i="1"/>
  <c r="L2956" i="1"/>
  <c r="L2955" i="1"/>
  <c r="L2954" i="1"/>
  <c r="L2953" i="1"/>
  <c r="L2952" i="1"/>
  <c r="L2951" i="1"/>
  <c r="L2950" i="1"/>
  <c r="L2949" i="1"/>
  <c r="L2948" i="1"/>
  <c r="L2947" i="1"/>
  <c r="L2946" i="1"/>
  <c r="L2945" i="1"/>
  <c r="L2944" i="1"/>
  <c r="L2943" i="1"/>
  <c r="L2942" i="1"/>
  <c r="L2941" i="1"/>
  <c r="L2940" i="1"/>
  <c r="L2939" i="1"/>
  <c r="L2938" i="1"/>
  <c r="L2937" i="1"/>
  <c r="L2936" i="1"/>
  <c r="L2935" i="1"/>
  <c r="L2934" i="1"/>
  <c r="L2933" i="1"/>
  <c r="L2932" i="1"/>
  <c r="L2931" i="1"/>
  <c r="L2930" i="1"/>
  <c r="L2929" i="1"/>
  <c r="L2928" i="1"/>
  <c r="L2927" i="1"/>
  <c r="L2926" i="1"/>
  <c r="L2925" i="1"/>
  <c r="L2924" i="1"/>
  <c r="L2923" i="1"/>
  <c r="L2922" i="1"/>
  <c r="L2921" i="1"/>
  <c r="L2920" i="1"/>
  <c r="L2919" i="1"/>
  <c r="L2918" i="1"/>
  <c r="L2917" i="1"/>
  <c r="L2916" i="1"/>
  <c r="L2915" i="1"/>
  <c r="L2914" i="1"/>
  <c r="L2913" i="1"/>
  <c r="L2912" i="1"/>
  <c r="L2911" i="1"/>
  <c r="L2910" i="1"/>
  <c r="L2909" i="1"/>
  <c r="L2908" i="1"/>
  <c r="L2907" i="1"/>
  <c r="L2906" i="1"/>
  <c r="L2905" i="1"/>
  <c r="L2904" i="1"/>
  <c r="L2903" i="1"/>
  <c r="L2902" i="1"/>
  <c r="L2901" i="1"/>
  <c r="L2900" i="1"/>
  <c r="L2899" i="1"/>
  <c r="L2898" i="1"/>
  <c r="L2897" i="1"/>
  <c r="L2896" i="1"/>
  <c r="L2895" i="1"/>
  <c r="L2894" i="1"/>
  <c r="L2893" i="1"/>
  <c r="L2892" i="1"/>
  <c r="L2891" i="1"/>
  <c r="L2890" i="1"/>
  <c r="L2889" i="1"/>
  <c r="L2888" i="1"/>
  <c r="L2887" i="1"/>
  <c r="L2886" i="1"/>
  <c r="L2885" i="1"/>
  <c r="L2884" i="1"/>
  <c r="L2883" i="1"/>
  <c r="L2882" i="1"/>
  <c r="L2881" i="1"/>
  <c r="L2880" i="1"/>
  <c r="L2879" i="1"/>
  <c r="L2878" i="1"/>
  <c r="L2877" i="1"/>
  <c r="L2876" i="1"/>
  <c r="L2875" i="1"/>
  <c r="L2874" i="1"/>
  <c r="L2873" i="1"/>
  <c r="L2872" i="1"/>
  <c r="L2871" i="1"/>
  <c r="L2870" i="1"/>
  <c r="L2869" i="1"/>
  <c r="L2868" i="1"/>
  <c r="L2867" i="1"/>
  <c r="L2866" i="1"/>
  <c r="L2865" i="1"/>
  <c r="L2864" i="1"/>
  <c r="L2863" i="1"/>
  <c r="L2862" i="1"/>
  <c r="L2861" i="1"/>
  <c r="L2860" i="1"/>
  <c r="L2859" i="1"/>
  <c r="L2858" i="1"/>
  <c r="L2857" i="1"/>
  <c r="L2856" i="1"/>
  <c r="L2855" i="1"/>
  <c r="L2854" i="1"/>
  <c r="L2853" i="1"/>
  <c r="L2852" i="1"/>
  <c r="L2851" i="1"/>
  <c r="L2850" i="1"/>
  <c r="L2849" i="1"/>
  <c r="L2848" i="1"/>
  <c r="L2847" i="1"/>
  <c r="L2846" i="1"/>
  <c r="L2845" i="1"/>
  <c r="L2844" i="1"/>
  <c r="L2843" i="1"/>
  <c r="L2842" i="1"/>
  <c r="L2841" i="1"/>
  <c r="L2840" i="1"/>
  <c r="L2839" i="1"/>
  <c r="L2838" i="1"/>
  <c r="L2837" i="1"/>
  <c r="L2836" i="1"/>
  <c r="L2835" i="1"/>
  <c r="L2834" i="1"/>
  <c r="L2833" i="1"/>
  <c r="L2832" i="1"/>
  <c r="L2831" i="1"/>
  <c r="L2830" i="1"/>
  <c r="L2829" i="1"/>
  <c r="L2828" i="1"/>
  <c r="L2827" i="1"/>
  <c r="L2826" i="1"/>
  <c r="L2825" i="1"/>
  <c r="L2824" i="1"/>
  <c r="L2823" i="1"/>
  <c r="L2822" i="1"/>
  <c r="L2821" i="1"/>
  <c r="L2820" i="1"/>
  <c r="L2819" i="1"/>
  <c r="L2818" i="1"/>
  <c r="L2817" i="1"/>
  <c r="L2816" i="1"/>
  <c r="L2815" i="1"/>
  <c r="L2814" i="1"/>
  <c r="L2813" i="1"/>
  <c r="L2812" i="1"/>
  <c r="L2811" i="1"/>
  <c r="L2810" i="1"/>
  <c r="L2809" i="1"/>
  <c r="L2808" i="1"/>
  <c r="L2807" i="1"/>
  <c r="L2806" i="1"/>
  <c r="L2805" i="1"/>
  <c r="L2804" i="1"/>
  <c r="L2803" i="1"/>
  <c r="L2802" i="1"/>
  <c r="L2801" i="1"/>
  <c r="L2800" i="1"/>
  <c r="L2799" i="1"/>
  <c r="L2798" i="1"/>
  <c r="L2797" i="1"/>
  <c r="L2796" i="1"/>
  <c r="L2795" i="1"/>
  <c r="L2794" i="1"/>
  <c r="L2793" i="1"/>
  <c r="L2792" i="1"/>
  <c r="L2791" i="1"/>
  <c r="L2790" i="1"/>
  <c r="L2789" i="1"/>
  <c r="L2788" i="1"/>
  <c r="L2787" i="1"/>
  <c r="L2786" i="1"/>
  <c r="L2785" i="1"/>
  <c r="L2784" i="1"/>
  <c r="L2783" i="1"/>
  <c r="L2782" i="1"/>
  <c r="L2781" i="1"/>
  <c r="L2780" i="1"/>
  <c r="L2779" i="1"/>
  <c r="L2778" i="1"/>
  <c r="L2777" i="1"/>
  <c r="L2776" i="1"/>
  <c r="L2775" i="1"/>
  <c r="L2774" i="1"/>
  <c r="L2773" i="1"/>
  <c r="L2772" i="1"/>
  <c r="L2771" i="1"/>
  <c r="L2770" i="1"/>
  <c r="L2769" i="1"/>
  <c r="L2768" i="1"/>
  <c r="L2767" i="1"/>
  <c r="L2766" i="1"/>
  <c r="L2765" i="1"/>
  <c r="L2764" i="1"/>
  <c r="L2763" i="1"/>
  <c r="L2762" i="1"/>
  <c r="L2761" i="1"/>
  <c r="L2760" i="1"/>
  <c r="L2759" i="1"/>
  <c r="L2758" i="1"/>
  <c r="L2757" i="1"/>
  <c r="L2756" i="1"/>
  <c r="L2755" i="1"/>
  <c r="L2754" i="1"/>
  <c r="L2753" i="1"/>
  <c r="L2752" i="1"/>
  <c r="L2751" i="1"/>
  <c r="L2750" i="1"/>
  <c r="L2749" i="1"/>
  <c r="L2748" i="1"/>
  <c r="L2747" i="1"/>
  <c r="L2746" i="1"/>
  <c r="L2745" i="1"/>
  <c r="L2744" i="1"/>
  <c r="L2743" i="1"/>
  <c r="L2742" i="1"/>
  <c r="L2741" i="1"/>
  <c r="L2740" i="1"/>
  <c r="L2739" i="1"/>
  <c r="L2738" i="1"/>
  <c r="L2737" i="1"/>
  <c r="L2736" i="1"/>
  <c r="L2735" i="1"/>
  <c r="L2734" i="1"/>
  <c r="L2733" i="1"/>
  <c r="L2732" i="1"/>
  <c r="L2731" i="1"/>
  <c r="L2730" i="1"/>
  <c r="L2729" i="1"/>
  <c r="L2728" i="1"/>
  <c r="L2727" i="1"/>
  <c r="L2726" i="1"/>
  <c r="L2725" i="1"/>
  <c r="L2724" i="1"/>
  <c r="L2723" i="1"/>
  <c r="L2722" i="1"/>
  <c r="L2721" i="1"/>
  <c r="L2720" i="1"/>
  <c r="L2719" i="1"/>
  <c r="L2718" i="1"/>
  <c r="L2717" i="1"/>
  <c r="L2716" i="1"/>
  <c r="L2715" i="1"/>
  <c r="L2714" i="1"/>
  <c r="L2713" i="1"/>
  <c r="L2712" i="1"/>
  <c r="L2711" i="1"/>
  <c r="L2710" i="1"/>
  <c r="L2709" i="1"/>
  <c r="L2708" i="1"/>
  <c r="L2707" i="1"/>
  <c r="L2706" i="1"/>
  <c r="L2705" i="1"/>
  <c r="L2704" i="1"/>
  <c r="L2703" i="1"/>
  <c r="L2702" i="1"/>
  <c r="L2701" i="1"/>
  <c r="L2700" i="1"/>
  <c r="L2699" i="1"/>
  <c r="L2698" i="1"/>
  <c r="L2697" i="1"/>
  <c r="L2696" i="1"/>
  <c r="L2695" i="1"/>
  <c r="L2694" i="1"/>
  <c r="L2693" i="1"/>
  <c r="L2692" i="1"/>
  <c r="L2691" i="1"/>
  <c r="L2690" i="1"/>
  <c r="L2689" i="1"/>
  <c r="L2688" i="1"/>
  <c r="L2687" i="1"/>
  <c r="L2686" i="1"/>
  <c r="L2685" i="1"/>
  <c r="L2684" i="1"/>
  <c r="L2683" i="1"/>
  <c r="L2682" i="1"/>
  <c r="L2681" i="1"/>
  <c r="L2680" i="1"/>
  <c r="L2679" i="1"/>
  <c r="L2678" i="1"/>
  <c r="L2677" i="1"/>
  <c r="L2676" i="1"/>
  <c r="L2675" i="1"/>
  <c r="L2674" i="1"/>
  <c r="L2673" i="1"/>
  <c r="L2672" i="1"/>
  <c r="L2671" i="1"/>
  <c r="L2670" i="1"/>
  <c r="L2669" i="1"/>
  <c r="L2668" i="1"/>
  <c r="L2667" i="1"/>
  <c r="L2666" i="1"/>
  <c r="L2665" i="1"/>
  <c r="L2664" i="1"/>
  <c r="L2663" i="1"/>
  <c r="L2662" i="1"/>
  <c r="L2661" i="1"/>
  <c r="L2660" i="1"/>
  <c r="L2659" i="1"/>
  <c r="L2658" i="1"/>
  <c r="L2657" i="1"/>
  <c r="L2656" i="1"/>
  <c r="L2655" i="1"/>
  <c r="L2654" i="1"/>
  <c r="L2653" i="1"/>
  <c r="L2652" i="1"/>
  <c r="L2651" i="1"/>
  <c r="L2650" i="1"/>
  <c r="L2649" i="1"/>
  <c r="L2648" i="1"/>
  <c r="L2647" i="1"/>
  <c r="L2646" i="1"/>
  <c r="L2645" i="1"/>
  <c r="L2644" i="1"/>
  <c r="L2643" i="1"/>
  <c r="L2642" i="1"/>
  <c r="L2641" i="1"/>
  <c r="L2640" i="1"/>
  <c r="L2639" i="1"/>
  <c r="L2638" i="1"/>
  <c r="L2637" i="1"/>
  <c r="L2636" i="1"/>
  <c r="L2635" i="1"/>
  <c r="L2634" i="1"/>
  <c r="L2633" i="1"/>
  <c r="L2632" i="1"/>
  <c r="L2631" i="1"/>
  <c r="L2630" i="1"/>
  <c r="L2629" i="1"/>
  <c r="L2628" i="1"/>
  <c r="L2627" i="1"/>
  <c r="L2626" i="1"/>
  <c r="L2625" i="1"/>
  <c r="L2624" i="1"/>
  <c r="L2623" i="1"/>
  <c r="L2622" i="1"/>
  <c r="L2621" i="1"/>
  <c r="L2620" i="1"/>
  <c r="L2619" i="1"/>
  <c r="L2618" i="1"/>
  <c r="L2617" i="1"/>
  <c r="L2616" i="1"/>
  <c r="L2615" i="1"/>
  <c r="L2614" i="1"/>
  <c r="L2613" i="1"/>
  <c r="L2612" i="1"/>
  <c r="L2611" i="1"/>
  <c r="L2610" i="1"/>
  <c r="L2609" i="1"/>
  <c r="L2608" i="1"/>
  <c r="L2607" i="1"/>
  <c r="L2606" i="1"/>
  <c r="L2605" i="1"/>
  <c r="L2604" i="1"/>
  <c r="L2603" i="1"/>
  <c r="L2602" i="1"/>
  <c r="L2601" i="1"/>
  <c r="L2600" i="1"/>
  <c r="L2599" i="1"/>
  <c r="L2598" i="1"/>
  <c r="L2597" i="1"/>
  <c r="L2596" i="1"/>
  <c r="L2595" i="1"/>
  <c r="L2594" i="1"/>
  <c r="L2593" i="1"/>
  <c r="L2592" i="1"/>
  <c r="L2591" i="1"/>
  <c r="L2590" i="1"/>
  <c r="L2589" i="1"/>
  <c r="L2588" i="1"/>
  <c r="L2587" i="1"/>
  <c r="L2586" i="1"/>
  <c r="L2585" i="1"/>
  <c r="L2584" i="1"/>
  <c r="L2583" i="1"/>
  <c r="L2582" i="1"/>
  <c r="L2581" i="1"/>
  <c r="L2580" i="1"/>
  <c r="L2579" i="1"/>
  <c r="L2578" i="1"/>
  <c r="L2577" i="1"/>
  <c r="L2576" i="1"/>
  <c r="L2575" i="1"/>
  <c r="L2574" i="1"/>
  <c r="L2573" i="1"/>
  <c r="L2572" i="1"/>
  <c r="L2571" i="1"/>
  <c r="L2570" i="1"/>
  <c r="L2569" i="1"/>
  <c r="L2568" i="1"/>
  <c r="L2567" i="1"/>
  <c r="L2566" i="1"/>
  <c r="L2565" i="1"/>
  <c r="L2564" i="1"/>
  <c r="L2563" i="1"/>
  <c r="L2562" i="1"/>
  <c r="L2561" i="1"/>
  <c r="L2560" i="1"/>
  <c r="L2559" i="1"/>
  <c r="L2558" i="1"/>
  <c r="L2557" i="1"/>
  <c r="L2556" i="1"/>
  <c r="L2555" i="1"/>
  <c r="L2554" i="1"/>
  <c r="L2553" i="1"/>
  <c r="L2552" i="1"/>
  <c r="L2551" i="1"/>
  <c r="L2550" i="1"/>
  <c r="L2549" i="1"/>
  <c r="L2548" i="1"/>
  <c r="L2547" i="1"/>
  <c r="L2546" i="1"/>
  <c r="L2545" i="1"/>
  <c r="L2544" i="1"/>
  <c r="L2543" i="1"/>
  <c r="L2542" i="1"/>
  <c r="L2541" i="1"/>
  <c r="L2540" i="1"/>
  <c r="L2539" i="1"/>
  <c r="L2538" i="1"/>
  <c r="L2537" i="1"/>
  <c r="L2536" i="1"/>
  <c r="L2535" i="1"/>
  <c r="L2534" i="1"/>
  <c r="L2533" i="1"/>
  <c r="L2532" i="1"/>
  <c r="L2531" i="1"/>
  <c r="L2530" i="1"/>
  <c r="L2529" i="1"/>
  <c r="L2528" i="1"/>
  <c r="L2527" i="1"/>
  <c r="L2526" i="1"/>
  <c r="L2525" i="1"/>
  <c r="L2524" i="1"/>
  <c r="L2523" i="1"/>
  <c r="L2522" i="1"/>
  <c r="L2521" i="1"/>
  <c r="L2520" i="1"/>
  <c r="L2519" i="1"/>
  <c r="L2518" i="1"/>
  <c r="L2517" i="1"/>
  <c r="L2516" i="1"/>
  <c r="L2515" i="1"/>
  <c r="L2514" i="1"/>
  <c r="L2513" i="1"/>
  <c r="L2512" i="1"/>
  <c r="L2511" i="1"/>
  <c r="L2510" i="1"/>
  <c r="L2509" i="1"/>
  <c r="L2508" i="1"/>
  <c r="L2507" i="1"/>
  <c r="L2506" i="1"/>
  <c r="L2505" i="1"/>
  <c r="L2504" i="1"/>
  <c r="L2503" i="1"/>
  <c r="L2502" i="1"/>
  <c r="L2501" i="1"/>
  <c r="L2500" i="1"/>
  <c r="L2499" i="1"/>
  <c r="L2498" i="1"/>
  <c r="L2497" i="1"/>
  <c r="L2496" i="1"/>
  <c r="L2495" i="1"/>
  <c r="L2494" i="1"/>
  <c r="L2493" i="1"/>
  <c r="L2492" i="1"/>
  <c r="L2491" i="1"/>
  <c r="L2490" i="1"/>
  <c r="L2489" i="1"/>
  <c r="L2488" i="1"/>
  <c r="L2487" i="1"/>
  <c r="L2486" i="1"/>
  <c r="L2485" i="1"/>
  <c r="L2484" i="1"/>
  <c r="L2483" i="1"/>
  <c r="L2482" i="1"/>
  <c r="L2481" i="1"/>
  <c r="L2480" i="1"/>
  <c r="L2479" i="1"/>
  <c r="L2478" i="1"/>
  <c r="L2477" i="1"/>
  <c r="L2476" i="1"/>
  <c r="L2475" i="1"/>
  <c r="L2474" i="1"/>
  <c r="L2473" i="1"/>
  <c r="L2472" i="1"/>
  <c r="L2471" i="1"/>
  <c r="L2470" i="1"/>
  <c r="L2469" i="1"/>
  <c r="L2468" i="1"/>
  <c r="L2467" i="1"/>
  <c r="L2466" i="1"/>
  <c r="L2465" i="1"/>
  <c r="L2464" i="1"/>
  <c r="L2463" i="1"/>
  <c r="L2462" i="1"/>
  <c r="L2461" i="1"/>
  <c r="L2460" i="1"/>
  <c r="L2459" i="1"/>
  <c r="L2458" i="1"/>
  <c r="L2457" i="1"/>
  <c r="L2456" i="1"/>
  <c r="L2455" i="1"/>
  <c r="L2454" i="1"/>
  <c r="L2453" i="1"/>
  <c r="L2452" i="1"/>
  <c r="L2451" i="1"/>
  <c r="L2450" i="1"/>
  <c r="L2449" i="1"/>
  <c r="L2448" i="1"/>
  <c r="L2447" i="1"/>
  <c r="L2446" i="1"/>
  <c r="L2445" i="1"/>
  <c r="L2444" i="1"/>
  <c r="L2443" i="1"/>
  <c r="L2442" i="1"/>
  <c r="L2441" i="1"/>
  <c r="L2440" i="1"/>
  <c r="L2439" i="1"/>
  <c r="L2438" i="1"/>
  <c r="L2437" i="1"/>
  <c r="L2436" i="1"/>
  <c r="L2435" i="1"/>
  <c r="L2434" i="1"/>
  <c r="L2433" i="1"/>
  <c r="L2432" i="1"/>
  <c r="L2431" i="1"/>
  <c r="L2430" i="1"/>
  <c r="L2429" i="1"/>
  <c r="L2428" i="1"/>
  <c r="L2427" i="1"/>
  <c r="L2426" i="1"/>
  <c r="L2425" i="1"/>
  <c r="L2424" i="1"/>
  <c r="L2423" i="1"/>
  <c r="L2422" i="1"/>
  <c r="L2421" i="1"/>
  <c r="L2420" i="1"/>
  <c r="L2419" i="1"/>
  <c r="L2418" i="1"/>
  <c r="L2417" i="1"/>
  <c r="L2416" i="1"/>
  <c r="L2415" i="1"/>
  <c r="L2414" i="1"/>
  <c r="L2413" i="1"/>
  <c r="L2412" i="1"/>
  <c r="L2411" i="1"/>
  <c r="L2410" i="1"/>
  <c r="L2409" i="1"/>
  <c r="L2408" i="1"/>
  <c r="L2407" i="1"/>
  <c r="L2406" i="1"/>
  <c r="L2405" i="1"/>
  <c r="L2404" i="1"/>
  <c r="L2403" i="1"/>
  <c r="L2402" i="1"/>
  <c r="L2401" i="1"/>
  <c r="L2400" i="1"/>
  <c r="L2399" i="1"/>
  <c r="L2398" i="1"/>
  <c r="L2397" i="1"/>
  <c r="L2396" i="1"/>
  <c r="L2395" i="1"/>
  <c r="L2394" i="1"/>
  <c r="L2393" i="1"/>
  <c r="L2392" i="1"/>
  <c r="L2391" i="1"/>
  <c r="L2390" i="1"/>
  <c r="L2389" i="1"/>
  <c r="L2388" i="1"/>
  <c r="L2387" i="1"/>
  <c r="L2386" i="1"/>
  <c r="L2385" i="1"/>
  <c r="L2384" i="1"/>
  <c r="L2383" i="1"/>
  <c r="L2382" i="1"/>
  <c r="L2381" i="1"/>
  <c r="L2380" i="1"/>
  <c r="L2379" i="1"/>
  <c r="L2378" i="1"/>
  <c r="L2377" i="1"/>
  <c r="L2376" i="1"/>
  <c r="L2375" i="1"/>
  <c r="L2374" i="1"/>
  <c r="L2373" i="1"/>
  <c r="L2372" i="1"/>
  <c r="L2371" i="1"/>
  <c r="L2370" i="1"/>
  <c r="L2369" i="1"/>
  <c r="L2368" i="1"/>
  <c r="L2367" i="1"/>
  <c r="L2366" i="1"/>
  <c r="L2365" i="1"/>
  <c r="L2364" i="1"/>
  <c r="L2363" i="1"/>
  <c r="L2362" i="1"/>
  <c r="L2361" i="1"/>
  <c r="L2360" i="1"/>
  <c r="L2359" i="1"/>
  <c r="L2358" i="1"/>
  <c r="L2357" i="1"/>
  <c r="L2356" i="1"/>
  <c r="L2355" i="1"/>
  <c r="L2354" i="1"/>
  <c r="L2353" i="1"/>
  <c r="L2352" i="1"/>
  <c r="L2351" i="1"/>
  <c r="L2350" i="1"/>
  <c r="L2349" i="1"/>
  <c r="L2348" i="1"/>
  <c r="L2347" i="1"/>
  <c r="L2346" i="1"/>
  <c r="L2345" i="1"/>
  <c r="L2344" i="1"/>
  <c r="L2343" i="1"/>
  <c r="L2342" i="1"/>
  <c r="L2341" i="1"/>
  <c r="L2340" i="1"/>
  <c r="L2339" i="1"/>
  <c r="L2338" i="1"/>
  <c r="L2337" i="1"/>
  <c r="L2336" i="1"/>
  <c r="L2335" i="1"/>
  <c r="L2334" i="1"/>
  <c r="L2333" i="1"/>
  <c r="L2332" i="1"/>
  <c r="L2331" i="1"/>
  <c r="L2330" i="1"/>
  <c r="L2329" i="1"/>
  <c r="L2328" i="1"/>
  <c r="L2327" i="1"/>
  <c r="L2326" i="1"/>
  <c r="L2325" i="1"/>
  <c r="L2324" i="1"/>
  <c r="L2323" i="1"/>
  <c r="L2322" i="1"/>
  <c r="L2321" i="1"/>
  <c r="L2320" i="1"/>
  <c r="L2319" i="1"/>
  <c r="L2318" i="1"/>
  <c r="L2317" i="1"/>
  <c r="L2316" i="1"/>
  <c r="L2315" i="1"/>
  <c r="L2314" i="1"/>
  <c r="L2313" i="1"/>
  <c r="L2312" i="1"/>
  <c r="L2311" i="1"/>
  <c r="L2310" i="1"/>
  <c r="L2309" i="1"/>
  <c r="L2308" i="1"/>
  <c r="L2307" i="1"/>
  <c r="L2306" i="1"/>
  <c r="L2305" i="1"/>
  <c r="L2304" i="1"/>
  <c r="L2303" i="1"/>
  <c r="L2302" i="1"/>
  <c r="L2301" i="1"/>
  <c r="L2300" i="1"/>
  <c r="L2299" i="1"/>
  <c r="L2298" i="1"/>
  <c r="L2297" i="1"/>
  <c r="L2296" i="1"/>
  <c r="L2295" i="1"/>
  <c r="L2294" i="1"/>
  <c r="L2293" i="1"/>
  <c r="L2292" i="1"/>
  <c r="L2291" i="1"/>
  <c r="L2290" i="1"/>
  <c r="L2289" i="1"/>
  <c r="L2288" i="1"/>
  <c r="L2287" i="1"/>
  <c r="L2286" i="1"/>
  <c r="L2285" i="1"/>
  <c r="L2284" i="1"/>
  <c r="L2283" i="1"/>
  <c r="L2282" i="1"/>
  <c r="L2281" i="1"/>
  <c r="L2280" i="1"/>
  <c r="L2279" i="1"/>
  <c r="L2278" i="1"/>
  <c r="L2277" i="1"/>
  <c r="L2276" i="1"/>
  <c r="L2275" i="1"/>
  <c r="L2274" i="1"/>
  <c r="L2273" i="1"/>
  <c r="L2272" i="1"/>
  <c r="L2271" i="1"/>
  <c r="L2270" i="1"/>
  <c r="L2269" i="1"/>
  <c r="L2268" i="1"/>
  <c r="L2267" i="1"/>
  <c r="L2266" i="1"/>
  <c r="L2265" i="1"/>
  <c r="L2264" i="1"/>
  <c r="L2263" i="1"/>
  <c r="L2262" i="1"/>
  <c r="L2261" i="1"/>
  <c r="L2260" i="1"/>
  <c r="L2259" i="1"/>
  <c r="L2258" i="1"/>
  <c r="L2257" i="1"/>
  <c r="L2256" i="1"/>
  <c r="L2255" i="1"/>
  <c r="L2254" i="1"/>
  <c r="L2253" i="1"/>
  <c r="L2252" i="1"/>
  <c r="L2251" i="1"/>
  <c r="L2250" i="1"/>
  <c r="L2249" i="1"/>
  <c r="L2248" i="1"/>
  <c r="L2247" i="1"/>
  <c r="L2246" i="1"/>
  <c r="L2245" i="1"/>
  <c r="L2244" i="1"/>
  <c r="L2243" i="1"/>
  <c r="L2242" i="1"/>
  <c r="L2241" i="1"/>
  <c r="L2240" i="1"/>
  <c r="L2239" i="1"/>
  <c r="L2238" i="1"/>
  <c r="L2237" i="1"/>
  <c r="L2236" i="1"/>
  <c r="L2235" i="1"/>
  <c r="L2234" i="1"/>
  <c r="L2233" i="1"/>
  <c r="L2232" i="1"/>
  <c r="L2231" i="1"/>
  <c r="L2230" i="1"/>
  <c r="L2229" i="1"/>
  <c r="L2228" i="1"/>
  <c r="L2227" i="1"/>
  <c r="L2226" i="1"/>
  <c r="L2225" i="1"/>
  <c r="L2224" i="1"/>
  <c r="L2223" i="1"/>
  <c r="L2222" i="1"/>
  <c r="L2221" i="1"/>
  <c r="L2220" i="1"/>
  <c r="L2219" i="1"/>
  <c r="L2218" i="1"/>
  <c r="L2217" i="1"/>
  <c r="L2216" i="1"/>
  <c r="L2215" i="1"/>
  <c r="L2214" i="1"/>
  <c r="L2213" i="1"/>
  <c r="L2212" i="1"/>
  <c r="L2211" i="1"/>
  <c r="L2210" i="1"/>
  <c r="L2209" i="1"/>
  <c r="L2208" i="1"/>
  <c r="L2207" i="1"/>
  <c r="L2206" i="1"/>
  <c r="L2205" i="1"/>
  <c r="L2204" i="1"/>
  <c r="L2203" i="1"/>
  <c r="L2202" i="1"/>
  <c r="L2201" i="1"/>
  <c r="L2200" i="1"/>
  <c r="L2199" i="1"/>
  <c r="L2198" i="1"/>
  <c r="L2197" i="1"/>
  <c r="L2196" i="1"/>
  <c r="L2195" i="1"/>
  <c r="L2194" i="1"/>
  <c r="L2193" i="1"/>
  <c r="L2192" i="1"/>
  <c r="L2191" i="1"/>
  <c r="L2190" i="1"/>
  <c r="L2189" i="1"/>
  <c r="L2188" i="1"/>
  <c r="L2187" i="1"/>
  <c r="L2186" i="1"/>
  <c r="L2185" i="1"/>
  <c r="L2184" i="1"/>
  <c r="L2183" i="1"/>
  <c r="L2182" i="1"/>
  <c r="L2181" i="1"/>
  <c r="L2180" i="1"/>
  <c r="L2179" i="1"/>
  <c r="L2178" i="1"/>
  <c r="L2177" i="1"/>
  <c r="L2176" i="1"/>
  <c r="L2175" i="1"/>
  <c r="L2174" i="1"/>
  <c r="L2173" i="1"/>
  <c r="L2172" i="1"/>
  <c r="L2171" i="1"/>
  <c r="L2170" i="1"/>
  <c r="L2169" i="1"/>
  <c r="L2168" i="1"/>
  <c r="L2167" i="1"/>
  <c r="L2166" i="1"/>
  <c r="L2165" i="1"/>
  <c r="L2164" i="1"/>
  <c r="L2163" i="1"/>
  <c r="L2162" i="1"/>
  <c r="L2161" i="1"/>
  <c r="L2160" i="1"/>
  <c r="L2159" i="1"/>
  <c r="L2158" i="1"/>
  <c r="L2157" i="1"/>
  <c r="L2156" i="1"/>
  <c r="L2155" i="1"/>
  <c r="L2154" i="1"/>
  <c r="L2153" i="1"/>
  <c r="L2152" i="1"/>
  <c r="L2151" i="1"/>
  <c r="L2150" i="1"/>
  <c r="L2149" i="1"/>
  <c r="L2148" i="1"/>
  <c r="L2147" i="1"/>
  <c r="L2146" i="1"/>
  <c r="L2145" i="1"/>
  <c r="L2144" i="1"/>
  <c r="L2143" i="1"/>
  <c r="L2142" i="1"/>
  <c r="L2141" i="1"/>
  <c r="L2140" i="1"/>
  <c r="L2139" i="1"/>
  <c r="L2138" i="1"/>
  <c r="L2137" i="1"/>
  <c r="L2136" i="1"/>
  <c r="L2135" i="1"/>
  <c r="L2134" i="1"/>
  <c r="L2133" i="1"/>
  <c r="L2132" i="1"/>
  <c r="L2131" i="1"/>
  <c r="L2130" i="1"/>
  <c r="L2129" i="1"/>
  <c r="L2128" i="1"/>
  <c r="L2127" i="1"/>
  <c r="L2126" i="1"/>
  <c r="L2125" i="1"/>
  <c r="L2124" i="1"/>
  <c r="L2123" i="1"/>
  <c r="L2122" i="1"/>
  <c r="L2121" i="1"/>
  <c r="L2120" i="1"/>
  <c r="L2119" i="1"/>
  <c r="L2118" i="1"/>
  <c r="L2117" i="1"/>
  <c r="L2116" i="1"/>
  <c r="L2115" i="1"/>
  <c r="L2114" i="1"/>
  <c r="L2113" i="1"/>
  <c r="L2112" i="1"/>
  <c r="L2111" i="1"/>
  <c r="L2110" i="1"/>
  <c r="L2109" i="1"/>
  <c r="L2108" i="1"/>
  <c r="L2107" i="1"/>
  <c r="L2106" i="1"/>
  <c r="L2105" i="1"/>
  <c r="L2104" i="1"/>
  <c r="L2103" i="1"/>
  <c r="L2102" i="1"/>
  <c r="L2101" i="1"/>
  <c r="L2100" i="1"/>
  <c r="L2099" i="1"/>
  <c r="L2098" i="1"/>
  <c r="L2097" i="1"/>
  <c r="L2096" i="1"/>
  <c r="L2095" i="1"/>
  <c r="L2094" i="1"/>
  <c r="L2093" i="1"/>
  <c r="L2092" i="1"/>
  <c r="L2091" i="1"/>
  <c r="L2090" i="1"/>
  <c r="L2089" i="1"/>
  <c r="L2088" i="1"/>
  <c r="L2087" i="1"/>
  <c r="L2086" i="1"/>
  <c r="L2085" i="1"/>
  <c r="L2084" i="1"/>
  <c r="L2083" i="1"/>
  <c r="L2082" i="1"/>
  <c r="L2081" i="1"/>
  <c r="L2080" i="1"/>
  <c r="L2079" i="1"/>
  <c r="L2078" i="1"/>
  <c r="L2077" i="1"/>
  <c r="L2076" i="1"/>
  <c r="L2075" i="1"/>
  <c r="L2074" i="1"/>
  <c r="L2073" i="1"/>
  <c r="L2072" i="1"/>
  <c r="L2071" i="1"/>
  <c r="L2070" i="1"/>
  <c r="L2069" i="1"/>
  <c r="L2068" i="1"/>
  <c r="L2067" i="1"/>
  <c r="L2066" i="1"/>
  <c r="L2065" i="1"/>
  <c r="L2064" i="1"/>
  <c r="L2063" i="1"/>
  <c r="L2062" i="1"/>
  <c r="L2061" i="1"/>
  <c r="L2060" i="1"/>
  <c r="L2059" i="1"/>
  <c r="L2058" i="1"/>
  <c r="L2057" i="1"/>
  <c r="L2056" i="1"/>
  <c r="L2055" i="1"/>
  <c r="L2054" i="1"/>
  <c r="L2053" i="1"/>
  <c r="L2052" i="1"/>
  <c r="L2051" i="1"/>
  <c r="L2050" i="1"/>
  <c r="L2049" i="1"/>
  <c r="L2048" i="1"/>
  <c r="L2047" i="1"/>
  <c r="L2046" i="1"/>
  <c r="L2045" i="1"/>
  <c r="L2044" i="1"/>
  <c r="L2043" i="1"/>
  <c r="L2042" i="1"/>
  <c r="L2041" i="1"/>
  <c r="L2040" i="1"/>
  <c r="L2039" i="1"/>
  <c r="L2038" i="1"/>
  <c r="L2037" i="1"/>
  <c r="L2036" i="1"/>
  <c r="L2035" i="1"/>
  <c r="L2034" i="1"/>
  <c r="L2033" i="1"/>
  <c r="L2032" i="1"/>
  <c r="L2031" i="1"/>
  <c r="L2030" i="1"/>
  <c r="L2029" i="1"/>
  <c r="L2028" i="1"/>
  <c r="L2027" i="1"/>
  <c r="L2026" i="1"/>
  <c r="L2025" i="1"/>
  <c r="L2024" i="1"/>
  <c r="L2023" i="1"/>
  <c r="L2022" i="1"/>
  <c r="L2021" i="1"/>
  <c r="L2020" i="1"/>
  <c r="L2019" i="1"/>
  <c r="L2018" i="1"/>
  <c r="L2017" i="1"/>
  <c r="L2016" i="1"/>
  <c r="L2015" i="1"/>
  <c r="L2014" i="1"/>
  <c r="L2013" i="1"/>
  <c r="L2012" i="1"/>
  <c r="L2011" i="1"/>
  <c r="L2010" i="1"/>
  <c r="L2009" i="1"/>
  <c r="L2008" i="1"/>
  <c r="L2007" i="1"/>
  <c r="L2006" i="1"/>
  <c r="L2005" i="1"/>
  <c r="L2004" i="1"/>
  <c r="L2003" i="1"/>
  <c r="L2002" i="1"/>
  <c r="L2001" i="1"/>
  <c r="L2000" i="1"/>
  <c r="L1999" i="1"/>
  <c r="L1998" i="1"/>
  <c r="L1997" i="1"/>
  <c r="L1996" i="1"/>
  <c r="L1995" i="1"/>
  <c r="L1994" i="1"/>
  <c r="L1993" i="1"/>
  <c r="L1992" i="1"/>
  <c r="L1991" i="1"/>
  <c r="L1990" i="1"/>
  <c r="L1989" i="1"/>
  <c r="L1988" i="1"/>
  <c r="L1987" i="1"/>
  <c r="L1986" i="1"/>
  <c r="L1985" i="1"/>
  <c r="L1984" i="1"/>
  <c r="L1983" i="1"/>
  <c r="L1982" i="1"/>
  <c r="L1981" i="1"/>
  <c r="L1980" i="1"/>
  <c r="L1979" i="1"/>
  <c r="L1978" i="1"/>
  <c r="L1977" i="1"/>
  <c r="L1976" i="1"/>
  <c r="L1975" i="1"/>
  <c r="L1974" i="1"/>
  <c r="L1973" i="1"/>
  <c r="L1972" i="1"/>
  <c r="L1971" i="1"/>
  <c r="L1970" i="1"/>
  <c r="L1969" i="1"/>
  <c r="L1968" i="1"/>
  <c r="L1967" i="1"/>
  <c r="L1966" i="1"/>
  <c r="L1965" i="1"/>
  <c r="L1964" i="1"/>
  <c r="L1963" i="1"/>
  <c r="L1962" i="1"/>
  <c r="L1961" i="1"/>
  <c r="L1960" i="1"/>
  <c r="L1959" i="1"/>
  <c r="L1958" i="1"/>
  <c r="L1957" i="1"/>
  <c r="L1956" i="1"/>
  <c r="L1955" i="1"/>
  <c r="L1954" i="1"/>
  <c r="L1953" i="1"/>
  <c r="L1952" i="1"/>
  <c r="L1951" i="1"/>
  <c r="L1950" i="1"/>
  <c r="L1949" i="1"/>
  <c r="L1948" i="1"/>
  <c r="L1947" i="1"/>
  <c r="L1946" i="1"/>
  <c r="L1945" i="1"/>
  <c r="L1944" i="1"/>
  <c r="L1943" i="1"/>
  <c r="L1942" i="1"/>
  <c r="L1941" i="1"/>
  <c r="L1940" i="1"/>
  <c r="L1939" i="1"/>
  <c r="L1938" i="1"/>
  <c r="L1937" i="1"/>
  <c r="L1936" i="1"/>
  <c r="L1935" i="1"/>
  <c r="L1934" i="1"/>
  <c r="L1933" i="1"/>
  <c r="L1932" i="1"/>
  <c r="L1931" i="1"/>
  <c r="L1930" i="1"/>
  <c r="L1929" i="1"/>
  <c r="L1928" i="1"/>
  <c r="L1927" i="1"/>
  <c r="L1926" i="1"/>
  <c r="L1925" i="1"/>
  <c r="L1924" i="1"/>
  <c r="L1923" i="1"/>
  <c r="L1922" i="1"/>
  <c r="L1921" i="1"/>
  <c r="L1920" i="1"/>
  <c r="L1919" i="1"/>
  <c r="L1918" i="1"/>
  <c r="L1917" i="1"/>
  <c r="L1916" i="1"/>
  <c r="L1915" i="1"/>
  <c r="L1914" i="1"/>
  <c r="L1913" i="1"/>
  <c r="L1912" i="1"/>
  <c r="L1911" i="1"/>
  <c r="L1910" i="1"/>
  <c r="L1909" i="1"/>
  <c r="L1908" i="1"/>
  <c r="L1907" i="1"/>
  <c r="L1906" i="1"/>
  <c r="L1905" i="1"/>
  <c r="L1904" i="1"/>
  <c r="L1903" i="1"/>
  <c r="L1902" i="1"/>
  <c r="L1901" i="1"/>
  <c r="L1900" i="1"/>
  <c r="L1899" i="1"/>
  <c r="L1898" i="1"/>
  <c r="L1897" i="1"/>
  <c r="L1896" i="1"/>
  <c r="L1895" i="1"/>
  <c r="L1894" i="1"/>
  <c r="L1893" i="1"/>
  <c r="L1892" i="1"/>
  <c r="L1891" i="1"/>
  <c r="L1890" i="1"/>
  <c r="L1889" i="1"/>
  <c r="L1888" i="1"/>
  <c r="L1887" i="1"/>
  <c r="L1886" i="1"/>
  <c r="L1885" i="1"/>
  <c r="L1884" i="1"/>
  <c r="L1883" i="1"/>
  <c r="L1882" i="1"/>
  <c r="L1881" i="1"/>
  <c r="L1880" i="1"/>
  <c r="L1879" i="1"/>
  <c r="L1878" i="1"/>
  <c r="L1877" i="1"/>
  <c r="L1876" i="1"/>
  <c r="L1875" i="1"/>
  <c r="L1874" i="1"/>
  <c r="L1873" i="1"/>
  <c r="L1872" i="1"/>
  <c r="L1871" i="1"/>
  <c r="L1870" i="1"/>
  <c r="L1869" i="1"/>
  <c r="L1868" i="1"/>
  <c r="L1867" i="1"/>
  <c r="L1866" i="1"/>
  <c r="L1865" i="1"/>
  <c r="L1864" i="1"/>
  <c r="L1863" i="1"/>
  <c r="L1862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9" i="1"/>
  <c r="L1848" i="1"/>
  <c r="L1847" i="1"/>
  <c r="L1846" i="1"/>
  <c r="L1845" i="1"/>
  <c r="L1844" i="1"/>
  <c r="L1843" i="1"/>
  <c r="L1842" i="1"/>
  <c r="L1841" i="1"/>
  <c r="L1840" i="1"/>
  <c r="L1839" i="1"/>
  <c r="L1838" i="1"/>
  <c r="L1837" i="1"/>
  <c r="L1836" i="1"/>
  <c r="L1835" i="1"/>
  <c r="L1834" i="1"/>
  <c r="L1833" i="1"/>
  <c r="L1832" i="1"/>
  <c r="L1831" i="1"/>
  <c r="L1830" i="1"/>
  <c r="L1829" i="1"/>
  <c r="L1828" i="1"/>
  <c r="L1827" i="1"/>
  <c r="L1826" i="1"/>
  <c r="L1825" i="1"/>
  <c r="L1824" i="1"/>
  <c r="L1823" i="1"/>
  <c r="L1822" i="1"/>
  <c r="L1821" i="1"/>
  <c r="L1820" i="1"/>
  <c r="L1819" i="1"/>
  <c r="L1818" i="1"/>
  <c r="L1817" i="1"/>
  <c r="L1816" i="1"/>
  <c r="L1815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802" i="1"/>
  <c r="L1801" i="1"/>
  <c r="L1800" i="1"/>
  <c r="L1799" i="1"/>
  <c r="L1798" i="1"/>
  <c r="L1797" i="1"/>
  <c r="L1796" i="1"/>
  <c r="L1795" i="1"/>
  <c r="L1794" i="1"/>
  <c r="L1793" i="1"/>
  <c r="L1792" i="1"/>
  <c r="L1791" i="1"/>
  <c r="L1790" i="1"/>
  <c r="L1789" i="1"/>
  <c r="L1788" i="1"/>
  <c r="L1787" i="1"/>
  <c r="L1786" i="1"/>
  <c r="L1785" i="1"/>
  <c r="L1784" i="1"/>
  <c r="L1783" i="1"/>
  <c r="L1782" i="1"/>
  <c r="L1781" i="1"/>
  <c r="L1780" i="1"/>
  <c r="L1779" i="1"/>
  <c r="L1778" i="1"/>
  <c r="L1777" i="1"/>
  <c r="L1776" i="1"/>
  <c r="L1775" i="1"/>
  <c r="L1774" i="1"/>
  <c r="L1773" i="1"/>
  <c r="L1772" i="1"/>
  <c r="L1771" i="1"/>
  <c r="L1770" i="1"/>
  <c r="L1769" i="1"/>
  <c r="L1768" i="1"/>
  <c r="L1767" i="1"/>
  <c r="L1766" i="1"/>
  <c r="L1765" i="1"/>
  <c r="L1764" i="1"/>
  <c r="L1763" i="1"/>
  <c r="L1762" i="1"/>
  <c r="L1761" i="1"/>
  <c r="L1760" i="1"/>
  <c r="L1759" i="1"/>
  <c r="L1758" i="1"/>
  <c r="L1757" i="1"/>
  <c r="L1756" i="1"/>
  <c r="L1755" i="1"/>
  <c r="L1754" i="1"/>
  <c r="L1753" i="1"/>
  <c r="L1752" i="1"/>
  <c r="L1751" i="1"/>
  <c r="L1750" i="1"/>
  <c r="L1749" i="1"/>
  <c r="L1748" i="1"/>
  <c r="L1747" i="1"/>
  <c r="L1746" i="1"/>
  <c r="L1745" i="1"/>
  <c r="L1744" i="1"/>
  <c r="L1743" i="1"/>
  <c r="L1742" i="1"/>
  <c r="L1741" i="1"/>
  <c r="L1740" i="1"/>
  <c r="L1739" i="1"/>
  <c r="L1738" i="1"/>
  <c r="L1737" i="1"/>
  <c r="L1736" i="1"/>
  <c r="L1735" i="1"/>
  <c r="L1734" i="1"/>
  <c r="L1733" i="1"/>
  <c r="L1732" i="1"/>
  <c r="L1731" i="1"/>
  <c r="L1730" i="1"/>
  <c r="L1729" i="1"/>
  <c r="L1728" i="1"/>
  <c r="L1727" i="1"/>
  <c r="L1726" i="1"/>
  <c r="L1725" i="1"/>
  <c r="L1724" i="1"/>
  <c r="L1723" i="1"/>
  <c r="L1722" i="1"/>
  <c r="L1721" i="1"/>
  <c r="L1720" i="1"/>
  <c r="L1719" i="1"/>
  <c r="L1718" i="1"/>
  <c r="L1717" i="1"/>
  <c r="L1716" i="1"/>
  <c r="L1715" i="1"/>
  <c r="L1714" i="1"/>
  <c r="L1713" i="1"/>
  <c r="L1712" i="1"/>
  <c r="L1711" i="1"/>
  <c r="L1710" i="1"/>
  <c r="L1709" i="1"/>
  <c r="L1708" i="1"/>
  <c r="L1707" i="1"/>
  <c r="L1706" i="1"/>
  <c r="L1705" i="1"/>
  <c r="L1704" i="1"/>
  <c r="L1703" i="1"/>
  <c r="L1702" i="1"/>
  <c r="L1701" i="1"/>
  <c r="L1700" i="1"/>
  <c r="L1699" i="1"/>
  <c r="L1698" i="1"/>
  <c r="L1697" i="1"/>
  <c r="L1696" i="1"/>
  <c r="L1695" i="1"/>
  <c r="L1694" i="1"/>
  <c r="L1693" i="1"/>
  <c r="L1692" i="1"/>
  <c r="L1691" i="1"/>
  <c r="L1690" i="1"/>
  <c r="L1689" i="1"/>
  <c r="L1688" i="1"/>
  <c r="L1687" i="1"/>
  <c r="L1686" i="1"/>
  <c r="L1685" i="1"/>
  <c r="L1684" i="1"/>
  <c r="L1683" i="1"/>
  <c r="L1682" i="1"/>
  <c r="L1681" i="1"/>
  <c r="L1680" i="1"/>
  <c r="L1679" i="1"/>
  <c r="L1678" i="1"/>
  <c r="L1677" i="1"/>
  <c r="L1676" i="1"/>
  <c r="L1675" i="1"/>
  <c r="L1674" i="1"/>
  <c r="L1673" i="1"/>
  <c r="L1672" i="1"/>
  <c r="L1671" i="1"/>
  <c r="L1670" i="1"/>
  <c r="L1669" i="1"/>
  <c r="L1668" i="1"/>
  <c r="L1667" i="1"/>
  <c r="L1666" i="1"/>
  <c r="L1665" i="1"/>
  <c r="L1664" i="1"/>
  <c r="L1663" i="1"/>
  <c r="L1662" i="1"/>
  <c r="L1661" i="1"/>
  <c r="L1660" i="1"/>
  <c r="L1659" i="1"/>
  <c r="L1658" i="1"/>
  <c r="L1657" i="1"/>
  <c r="L1656" i="1"/>
  <c r="L1655" i="1"/>
  <c r="L1654" i="1"/>
  <c r="L1653" i="1"/>
  <c r="L1652" i="1"/>
  <c r="L1651" i="1"/>
  <c r="L1650" i="1"/>
  <c r="L1649" i="1"/>
  <c r="L1648" i="1"/>
  <c r="L1647" i="1"/>
  <c r="L1646" i="1"/>
  <c r="L1645" i="1"/>
  <c r="L1644" i="1"/>
  <c r="L1643" i="1"/>
  <c r="L1642" i="1"/>
  <c r="L1641" i="1"/>
  <c r="L1640" i="1"/>
  <c r="L1639" i="1"/>
  <c r="L1638" i="1"/>
  <c r="L1637" i="1"/>
  <c r="L1636" i="1"/>
  <c r="L1635" i="1"/>
  <c r="L1634" i="1"/>
  <c r="L1633" i="1"/>
  <c r="L1632" i="1"/>
  <c r="L1631" i="1"/>
  <c r="L1630" i="1"/>
  <c r="L1629" i="1"/>
  <c r="L1628" i="1"/>
  <c r="L1627" i="1"/>
  <c r="L1626" i="1"/>
  <c r="L1625" i="1"/>
  <c r="L1624" i="1"/>
  <c r="L1623" i="1"/>
  <c r="L1622" i="1"/>
  <c r="L1621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605" i="1"/>
  <c r="L1604" i="1"/>
  <c r="L1603" i="1"/>
  <c r="L1602" i="1"/>
  <c r="L1601" i="1"/>
  <c r="L1600" i="1"/>
  <c r="L1599" i="1"/>
  <c r="L1598" i="1"/>
  <c r="L1597" i="1"/>
  <c r="L1596" i="1"/>
  <c r="L1595" i="1"/>
  <c r="L1594" i="1"/>
  <c r="L1593" i="1"/>
  <c r="L1592" i="1"/>
  <c r="L1591" i="1"/>
  <c r="L1590" i="1"/>
  <c r="L1589" i="1"/>
  <c r="L1588" i="1"/>
  <c r="L1587" i="1"/>
  <c r="L1586" i="1"/>
  <c r="L1585" i="1"/>
  <c r="L1584" i="1"/>
  <c r="L1583" i="1"/>
  <c r="L1582" i="1"/>
  <c r="L1581" i="1"/>
  <c r="L1580" i="1"/>
  <c r="L1579" i="1"/>
  <c r="L1578" i="1"/>
  <c r="L1577" i="1"/>
  <c r="L1576" i="1"/>
  <c r="L1575" i="1"/>
  <c r="L1574" i="1"/>
  <c r="L1573" i="1"/>
  <c r="L1572" i="1"/>
  <c r="L1571" i="1"/>
  <c r="L1570" i="1"/>
  <c r="L1569" i="1"/>
  <c r="L1568" i="1"/>
  <c r="L1567" i="1"/>
  <c r="L1566" i="1"/>
  <c r="L1565" i="1"/>
  <c r="L1564" i="1"/>
  <c r="L1563" i="1"/>
  <c r="L1562" i="1"/>
  <c r="L1561" i="1"/>
  <c r="L1560" i="1"/>
  <c r="L1559" i="1"/>
  <c r="L1558" i="1"/>
  <c r="L1557" i="1"/>
  <c r="L1556" i="1"/>
  <c r="L1555" i="1"/>
  <c r="L1554" i="1"/>
  <c r="L1553" i="1"/>
  <c r="L1552" i="1"/>
  <c r="L1551" i="1"/>
  <c r="L1550" i="1"/>
  <c r="L1549" i="1"/>
  <c r="L1548" i="1"/>
  <c r="L1547" i="1"/>
  <c r="L1546" i="1"/>
  <c r="L1545" i="1"/>
  <c r="L1544" i="1"/>
  <c r="L1543" i="1"/>
  <c r="L1542" i="1"/>
  <c r="L1541" i="1"/>
  <c r="L1540" i="1"/>
  <c r="L1539" i="1"/>
  <c r="L1538" i="1"/>
  <c r="L1537" i="1"/>
  <c r="L1536" i="1"/>
  <c r="L1535" i="1"/>
  <c r="L1534" i="1"/>
  <c r="L1533" i="1"/>
  <c r="L1532" i="1"/>
  <c r="L1531" i="1"/>
  <c r="L1530" i="1"/>
  <c r="L1529" i="1"/>
  <c r="L1528" i="1"/>
  <c r="L1527" i="1"/>
  <c r="L1526" i="1"/>
  <c r="L1525" i="1"/>
  <c r="L1524" i="1"/>
  <c r="L1523" i="1"/>
  <c r="L1522" i="1"/>
  <c r="L1521" i="1"/>
  <c r="L1520" i="1"/>
  <c r="L1519" i="1"/>
  <c r="L1518" i="1"/>
  <c r="L1517" i="1"/>
  <c r="L1516" i="1"/>
  <c r="L1515" i="1"/>
  <c r="L1514" i="1"/>
  <c r="L1513" i="1"/>
  <c r="L1512" i="1"/>
  <c r="L1511" i="1"/>
  <c r="L1510" i="1"/>
  <c r="L1509" i="1"/>
  <c r="L1508" i="1"/>
  <c r="L1507" i="1"/>
  <c r="L1506" i="1"/>
  <c r="L1505" i="1"/>
  <c r="L1504" i="1"/>
  <c r="L1503" i="1"/>
  <c r="L1502" i="1"/>
  <c r="L1501" i="1"/>
  <c r="L1500" i="1"/>
  <c r="L1499" i="1"/>
  <c r="L1498" i="1"/>
  <c r="L1497" i="1"/>
  <c r="L1496" i="1"/>
  <c r="L1495" i="1"/>
  <c r="L1494" i="1"/>
  <c r="L1493" i="1"/>
  <c r="L1492" i="1"/>
  <c r="L1491" i="1"/>
  <c r="L1490" i="1"/>
  <c r="L1489" i="1"/>
  <c r="L1488" i="1"/>
  <c r="L1487" i="1"/>
  <c r="L1486" i="1"/>
  <c r="L1485" i="1"/>
  <c r="L1484" i="1"/>
  <c r="L1483" i="1"/>
  <c r="L1482" i="1"/>
  <c r="L1481" i="1"/>
  <c r="L1480" i="1"/>
  <c r="L1479" i="1"/>
  <c r="L1478" i="1"/>
  <c r="L1477" i="1"/>
  <c r="L1476" i="1"/>
  <c r="L1475" i="1"/>
  <c r="L1474" i="1"/>
  <c r="L1473" i="1"/>
  <c r="L1472" i="1"/>
  <c r="L1471" i="1"/>
  <c r="L1470" i="1"/>
  <c r="L1469" i="1"/>
  <c r="L1468" i="1"/>
  <c r="L1467" i="1"/>
  <c r="L1466" i="1"/>
  <c r="L1465" i="1"/>
  <c r="L1464" i="1"/>
  <c r="L1463" i="1"/>
  <c r="L1462" i="1"/>
  <c r="L1461" i="1"/>
  <c r="L1460" i="1"/>
  <c r="L1459" i="1"/>
  <c r="L1458" i="1"/>
  <c r="L1457" i="1"/>
  <c r="L1456" i="1"/>
  <c r="L1455" i="1"/>
  <c r="L1454" i="1"/>
  <c r="L1453" i="1"/>
  <c r="L1452" i="1"/>
  <c r="L1451" i="1"/>
  <c r="L1450" i="1"/>
  <c r="L1449" i="1"/>
  <c r="L1448" i="1"/>
  <c r="L1447" i="1"/>
  <c r="L1446" i="1"/>
  <c r="L1445" i="1"/>
  <c r="L1444" i="1"/>
  <c r="L1443" i="1"/>
  <c r="L1442" i="1"/>
  <c r="L1441" i="1"/>
  <c r="L1440" i="1"/>
  <c r="L1439" i="1"/>
  <c r="L1438" i="1"/>
  <c r="L1437" i="1"/>
  <c r="L1436" i="1"/>
  <c r="L1435" i="1"/>
  <c r="L1434" i="1"/>
  <c r="L1433" i="1"/>
  <c r="L1432" i="1"/>
  <c r="L1431" i="1"/>
  <c r="L1430" i="1"/>
  <c r="L1429" i="1"/>
  <c r="L1428" i="1"/>
  <c r="L1427" i="1"/>
  <c r="L1426" i="1"/>
  <c r="L1425" i="1"/>
  <c r="L1424" i="1"/>
  <c r="L1423" i="1"/>
  <c r="L1422" i="1"/>
  <c r="L1421" i="1"/>
  <c r="L1420" i="1"/>
  <c r="L1419" i="1"/>
  <c r="L1418" i="1"/>
  <c r="L1417" i="1"/>
  <c r="L1416" i="1"/>
  <c r="L1415" i="1"/>
  <c r="L1414" i="1"/>
  <c r="L1413" i="1"/>
  <c r="L1412" i="1"/>
  <c r="L1411" i="1"/>
  <c r="L1410" i="1"/>
  <c r="L1409" i="1"/>
  <c r="L1408" i="1"/>
  <c r="L1407" i="1"/>
  <c r="L1406" i="1"/>
  <c r="L1405" i="1"/>
  <c r="L1404" i="1"/>
  <c r="L1403" i="1"/>
  <c r="L1402" i="1"/>
  <c r="L1401" i="1"/>
  <c r="L1400" i="1"/>
  <c r="L1399" i="1"/>
  <c r="L1398" i="1"/>
  <c r="L1397" i="1"/>
  <c r="L1396" i="1"/>
  <c r="L1395" i="1"/>
  <c r="L1394" i="1"/>
  <c r="L1393" i="1"/>
  <c r="L1392" i="1"/>
  <c r="L1391" i="1"/>
  <c r="L1390" i="1"/>
  <c r="L1389" i="1"/>
  <c r="L1388" i="1"/>
  <c r="L1387" i="1"/>
  <c r="L1386" i="1"/>
  <c r="L1385" i="1"/>
  <c r="L1384" i="1"/>
  <c r="L1383" i="1"/>
  <c r="L1382" i="1"/>
  <c r="L1381" i="1"/>
  <c r="L1380" i="1"/>
  <c r="L1379" i="1"/>
  <c r="L1378" i="1"/>
  <c r="L1377" i="1"/>
  <c r="L1376" i="1"/>
  <c r="L1375" i="1"/>
  <c r="L1374" i="1"/>
  <c r="L1373" i="1"/>
  <c r="L1372" i="1"/>
  <c r="L1371" i="1"/>
  <c r="L1370" i="1"/>
  <c r="L1369" i="1"/>
  <c r="L1368" i="1"/>
  <c r="L1367" i="1"/>
  <c r="L1366" i="1"/>
  <c r="L1365" i="1"/>
  <c r="L1364" i="1"/>
  <c r="L1363" i="1"/>
  <c r="L1362" i="1"/>
  <c r="L1361" i="1"/>
  <c r="L1360" i="1"/>
  <c r="L1359" i="1"/>
  <c r="L1358" i="1"/>
  <c r="L1357" i="1"/>
  <c r="L1356" i="1"/>
  <c r="L1355" i="1"/>
  <c r="L1354" i="1"/>
  <c r="L1353" i="1"/>
  <c r="L1352" i="1"/>
  <c r="L1351" i="1"/>
  <c r="L1350" i="1"/>
  <c r="L1349" i="1"/>
  <c r="L1348" i="1"/>
  <c r="L1347" i="1"/>
  <c r="L1346" i="1"/>
  <c r="L1345" i="1"/>
  <c r="L1344" i="1"/>
  <c r="L1343" i="1"/>
  <c r="L1342" i="1"/>
  <c r="L1341" i="1"/>
  <c r="L1340" i="1"/>
  <c r="L1339" i="1"/>
  <c r="L1338" i="1"/>
  <c r="L1337" i="1"/>
  <c r="L1336" i="1"/>
  <c r="L1335" i="1"/>
  <c r="L1334" i="1"/>
  <c r="L1333" i="1"/>
  <c r="L1332" i="1"/>
  <c r="L1331" i="1"/>
  <c r="L1330" i="1"/>
  <c r="L1329" i="1"/>
  <c r="L1328" i="1"/>
  <c r="L1327" i="1"/>
  <c r="L1326" i="1"/>
  <c r="L1325" i="1"/>
  <c r="L1324" i="1"/>
  <c r="L1323" i="1"/>
  <c r="L1322" i="1"/>
  <c r="L1321" i="1"/>
  <c r="L1320" i="1"/>
  <c r="L1319" i="1"/>
  <c r="L1318" i="1"/>
  <c r="L1317" i="1"/>
  <c r="L1316" i="1"/>
  <c r="L1315" i="1"/>
  <c r="L1314" i="1"/>
  <c r="L1313" i="1"/>
  <c r="L1312" i="1"/>
  <c r="L1311" i="1"/>
  <c r="L1310" i="1"/>
  <c r="L1309" i="1"/>
  <c r="L1308" i="1"/>
  <c r="L1307" i="1"/>
  <c r="L1306" i="1"/>
  <c r="L1305" i="1"/>
  <c r="L1304" i="1"/>
  <c r="L1303" i="1"/>
  <c r="L1302" i="1"/>
  <c r="L1301" i="1"/>
  <c r="L1300" i="1"/>
  <c r="L1299" i="1"/>
  <c r="L1298" i="1"/>
  <c r="L1297" i="1"/>
  <c r="L1296" i="1"/>
  <c r="L1295" i="1"/>
  <c r="L1294" i="1"/>
  <c r="L1293" i="1"/>
  <c r="L1292" i="1"/>
  <c r="L1291" i="1"/>
  <c r="L1290" i="1"/>
  <c r="L1289" i="1"/>
  <c r="L1288" i="1"/>
  <c r="L1287" i="1"/>
  <c r="L1286" i="1"/>
  <c r="L1285" i="1"/>
  <c r="L1284" i="1"/>
  <c r="L1283" i="1"/>
  <c r="L1282" i="1"/>
  <c r="L1281" i="1"/>
  <c r="L1280" i="1"/>
  <c r="L1279" i="1"/>
  <c r="L1278" i="1"/>
  <c r="L1277" i="1"/>
  <c r="L1276" i="1"/>
  <c r="L1275" i="1"/>
  <c r="L1274" i="1"/>
  <c r="L1273" i="1"/>
  <c r="L1272" i="1"/>
  <c r="L1271" i="1"/>
  <c r="L1270" i="1"/>
  <c r="L1269" i="1"/>
  <c r="L1268" i="1"/>
  <c r="L1267" i="1"/>
  <c r="L1266" i="1"/>
  <c r="L1265" i="1"/>
  <c r="L1264" i="1"/>
  <c r="L1263" i="1"/>
  <c r="L1262" i="1"/>
  <c r="L1261" i="1"/>
  <c r="L1260" i="1"/>
  <c r="L1259" i="1"/>
  <c r="L1258" i="1"/>
  <c r="L1257" i="1"/>
  <c r="L1256" i="1"/>
  <c r="L1255" i="1"/>
  <c r="L1254" i="1"/>
  <c r="L1253" i="1"/>
  <c r="L1252" i="1"/>
  <c r="L1251" i="1"/>
  <c r="L1250" i="1"/>
  <c r="L1249" i="1"/>
  <c r="L1248" i="1"/>
  <c r="L1247" i="1"/>
  <c r="L1246" i="1"/>
  <c r="L1245" i="1"/>
  <c r="L1244" i="1"/>
  <c r="L1243" i="1"/>
  <c r="L1242" i="1"/>
  <c r="L1241" i="1"/>
  <c r="L1240" i="1"/>
  <c r="L1239" i="1"/>
  <c r="L1238" i="1"/>
  <c r="L1237" i="1"/>
  <c r="L1236" i="1"/>
  <c r="L1235" i="1"/>
  <c r="L1234" i="1"/>
  <c r="L1233" i="1"/>
  <c r="L1232" i="1"/>
  <c r="L1231" i="1"/>
  <c r="L1230" i="1"/>
  <c r="L1229" i="1"/>
  <c r="L1228" i="1"/>
  <c r="L1227" i="1"/>
  <c r="L1226" i="1"/>
  <c r="L1225" i="1"/>
  <c r="L1224" i="1"/>
  <c r="L1223" i="1"/>
  <c r="L1222" i="1"/>
  <c r="L1221" i="1"/>
  <c r="L1220" i="1"/>
  <c r="L1219" i="1"/>
  <c r="L1218" i="1"/>
  <c r="L1217" i="1"/>
  <c r="L1216" i="1"/>
  <c r="L1215" i="1"/>
  <c r="L1214" i="1"/>
  <c r="L1213" i="1"/>
  <c r="L1212" i="1"/>
  <c r="L1211" i="1"/>
  <c r="L1210" i="1"/>
  <c r="L1209" i="1"/>
  <c r="L1208" i="1"/>
  <c r="L1207" i="1"/>
  <c r="L1206" i="1"/>
  <c r="L1205" i="1"/>
  <c r="L1204" i="1"/>
  <c r="L1203" i="1"/>
  <c r="L1202" i="1"/>
  <c r="L1201" i="1"/>
  <c r="L1200" i="1"/>
  <c r="L1199" i="1"/>
  <c r="L1198" i="1"/>
  <c r="L1197" i="1"/>
  <c r="L1196" i="1"/>
  <c r="L1195" i="1"/>
  <c r="L1194" i="1"/>
  <c r="L1193" i="1"/>
  <c r="L1192" i="1"/>
  <c r="L1191" i="1"/>
  <c r="L1190" i="1"/>
  <c r="L1189" i="1"/>
  <c r="L1188" i="1"/>
  <c r="L1187" i="1"/>
  <c r="L1186" i="1"/>
  <c r="L1185" i="1"/>
  <c r="L1184" i="1"/>
  <c r="L1183" i="1"/>
  <c r="L1182" i="1"/>
  <c r="L1181" i="1"/>
  <c r="L1180" i="1"/>
  <c r="L1179" i="1"/>
  <c r="L1178" i="1"/>
  <c r="L1177" i="1"/>
  <c r="L1176" i="1"/>
  <c r="L1175" i="1"/>
  <c r="L1174" i="1"/>
  <c r="L1173" i="1"/>
  <c r="L1172" i="1"/>
  <c r="L1171" i="1"/>
  <c r="L1170" i="1"/>
  <c r="L1169" i="1"/>
  <c r="L1168" i="1"/>
  <c r="L1167" i="1"/>
  <c r="L1166" i="1"/>
  <c r="L1165" i="1"/>
  <c r="L1164" i="1"/>
  <c r="L1163" i="1"/>
  <c r="L1162" i="1"/>
  <c r="L1161" i="1"/>
  <c r="L1160" i="1"/>
  <c r="L1159" i="1"/>
  <c r="L1158" i="1"/>
  <c r="L1157" i="1"/>
  <c r="L1156" i="1"/>
  <c r="L1155" i="1"/>
  <c r="L1154" i="1"/>
  <c r="L1153" i="1"/>
  <c r="L1152" i="1"/>
  <c r="L1151" i="1"/>
  <c r="L1150" i="1"/>
  <c r="L1149" i="1"/>
  <c r="L1148" i="1"/>
  <c r="L1147" i="1"/>
  <c r="L1146" i="1"/>
  <c r="L1145" i="1"/>
  <c r="L1144" i="1"/>
  <c r="L1143" i="1"/>
  <c r="L1142" i="1"/>
  <c r="L1141" i="1"/>
  <c r="L1140" i="1"/>
  <c r="L1139" i="1"/>
  <c r="L1138" i="1"/>
  <c r="L1137" i="1"/>
  <c r="L1136" i="1"/>
  <c r="L1135" i="1"/>
  <c r="L1134" i="1"/>
  <c r="L1133" i="1"/>
  <c r="L1132" i="1"/>
  <c r="L1131" i="1"/>
  <c r="L1130" i="1"/>
  <c r="L1129" i="1"/>
  <c r="L1128" i="1"/>
  <c r="L1127" i="1"/>
  <c r="L1126" i="1"/>
  <c r="L1125" i="1"/>
  <c r="L1124" i="1"/>
  <c r="L1123" i="1"/>
  <c r="L1122" i="1"/>
  <c r="L1121" i="1"/>
  <c r="L1120" i="1"/>
  <c r="L1119" i="1"/>
  <c r="L1118" i="1"/>
  <c r="L1117" i="1"/>
  <c r="L1116" i="1"/>
  <c r="L1115" i="1"/>
  <c r="L1114" i="1"/>
  <c r="L1113" i="1"/>
  <c r="L1112" i="1"/>
  <c r="L1111" i="1"/>
  <c r="L1110" i="1"/>
  <c r="L1109" i="1"/>
  <c r="L1108" i="1"/>
  <c r="L1107" i="1"/>
  <c r="L1106" i="1"/>
  <c r="L1105" i="1"/>
  <c r="L1104" i="1"/>
  <c r="L1103" i="1"/>
  <c r="L1102" i="1"/>
  <c r="L1101" i="1"/>
  <c r="L1100" i="1"/>
  <c r="L1099" i="1"/>
  <c r="L1098" i="1"/>
  <c r="L1097" i="1"/>
  <c r="L1096" i="1"/>
  <c r="L1095" i="1"/>
  <c r="L1094" i="1"/>
  <c r="L1093" i="1"/>
  <c r="L1092" i="1"/>
  <c r="L1091" i="1"/>
  <c r="L1090" i="1"/>
  <c r="L1089" i="1"/>
  <c r="L1088" i="1"/>
  <c r="L1087" i="1"/>
  <c r="L1086" i="1"/>
  <c r="L1085" i="1"/>
  <c r="L1084" i="1"/>
  <c r="L1083" i="1"/>
  <c r="L1082" i="1"/>
  <c r="L1081" i="1"/>
  <c r="L1080" i="1"/>
  <c r="L1079" i="1"/>
  <c r="L1078" i="1"/>
  <c r="L1077" i="1"/>
  <c r="L1076" i="1"/>
  <c r="L1075" i="1"/>
  <c r="L1074" i="1"/>
  <c r="L1073" i="1"/>
  <c r="L1072" i="1"/>
  <c r="L1071" i="1"/>
  <c r="L1070" i="1"/>
  <c r="L1069" i="1"/>
  <c r="L1068" i="1"/>
  <c r="L1067" i="1"/>
  <c r="L1066" i="1"/>
  <c r="L1065" i="1"/>
  <c r="L1064" i="1"/>
  <c r="L1063" i="1"/>
  <c r="L1062" i="1"/>
  <c r="L1061" i="1"/>
  <c r="L1060" i="1"/>
  <c r="L1059" i="1"/>
  <c r="L1058" i="1"/>
  <c r="L1057" i="1"/>
  <c r="L1056" i="1"/>
  <c r="L1055" i="1"/>
  <c r="L1054" i="1"/>
  <c r="L1053" i="1"/>
  <c r="L1052" i="1"/>
  <c r="L1051" i="1"/>
  <c r="L1050" i="1"/>
  <c r="L1049" i="1"/>
  <c r="L1048" i="1"/>
  <c r="L1047" i="1"/>
  <c r="L1046" i="1"/>
  <c r="L1045" i="1"/>
  <c r="L1044" i="1"/>
  <c r="L1043" i="1"/>
  <c r="L1042" i="1"/>
  <c r="L1041" i="1"/>
  <c r="L1040" i="1"/>
  <c r="L1039" i="1"/>
  <c r="L1038" i="1"/>
  <c r="L1037" i="1"/>
  <c r="L1036" i="1"/>
  <c r="L1035" i="1"/>
  <c r="L1034" i="1"/>
  <c r="L1033" i="1"/>
  <c r="L1032" i="1"/>
  <c r="L1031" i="1"/>
  <c r="L1030" i="1"/>
  <c r="L1029" i="1"/>
  <c r="L1028" i="1"/>
  <c r="L1027" i="1"/>
  <c r="L1026" i="1"/>
  <c r="L1025" i="1"/>
  <c r="L1024" i="1"/>
  <c r="L1023" i="1"/>
  <c r="L1022" i="1"/>
  <c r="L1021" i="1"/>
  <c r="L1020" i="1"/>
  <c r="L1019" i="1"/>
  <c r="L1018" i="1"/>
  <c r="L1017" i="1"/>
  <c r="L1016" i="1"/>
  <c r="L1015" i="1"/>
  <c r="L1014" i="1"/>
  <c r="L1013" i="1"/>
  <c r="L1012" i="1"/>
  <c r="L1011" i="1"/>
  <c r="L1010" i="1"/>
  <c r="L1009" i="1"/>
  <c r="L1008" i="1"/>
  <c r="L1007" i="1"/>
  <c r="L1006" i="1"/>
  <c r="L1005" i="1"/>
  <c r="L1004" i="1"/>
  <c r="L1003" i="1"/>
  <c r="L1002" i="1"/>
  <c r="L1001" i="1"/>
  <c r="L1000" i="1"/>
  <c r="L999" i="1"/>
  <c r="L998" i="1"/>
  <c r="L997" i="1"/>
  <c r="L996" i="1"/>
  <c r="L995" i="1"/>
  <c r="L994" i="1"/>
  <c r="L993" i="1"/>
  <c r="L992" i="1"/>
  <c r="L991" i="1"/>
  <c r="L990" i="1"/>
  <c r="L989" i="1"/>
  <c r="L988" i="1"/>
  <c r="L987" i="1"/>
  <c r="L986" i="1"/>
  <c r="L985" i="1"/>
  <c r="L984" i="1"/>
  <c r="L983" i="1"/>
  <c r="L982" i="1"/>
  <c r="L981" i="1"/>
  <c r="L980" i="1"/>
  <c r="L979" i="1"/>
  <c r="L978" i="1"/>
  <c r="L977" i="1"/>
  <c r="L976" i="1"/>
  <c r="L975" i="1"/>
  <c r="L974" i="1"/>
  <c r="L973" i="1"/>
  <c r="L972" i="1"/>
  <c r="L971" i="1"/>
  <c r="L970" i="1"/>
  <c r="L969" i="1"/>
  <c r="L968" i="1"/>
  <c r="L967" i="1"/>
  <c r="L966" i="1"/>
  <c r="L965" i="1"/>
  <c r="L964" i="1"/>
  <c r="L963" i="1"/>
  <c r="L962" i="1"/>
  <c r="L961" i="1"/>
  <c r="L960" i="1"/>
  <c r="L959" i="1"/>
  <c r="L958" i="1"/>
  <c r="L957" i="1"/>
  <c r="L956" i="1"/>
  <c r="L955" i="1"/>
  <c r="L954" i="1"/>
  <c r="L953" i="1"/>
  <c r="L952" i="1"/>
  <c r="L951" i="1"/>
  <c r="L950" i="1"/>
  <c r="L949" i="1"/>
  <c r="L948" i="1"/>
  <c r="L947" i="1"/>
  <c r="L946" i="1"/>
  <c r="L945" i="1"/>
  <c r="L944" i="1"/>
  <c r="L943" i="1"/>
  <c r="L942" i="1"/>
  <c r="L941" i="1"/>
  <c r="L940" i="1"/>
  <c r="L939" i="1"/>
  <c r="L938" i="1"/>
  <c r="L937" i="1"/>
  <c r="L936" i="1"/>
  <c r="L935" i="1"/>
  <c r="L934" i="1"/>
  <c r="L933" i="1"/>
  <c r="L932" i="1"/>
  <c r="L931" i="1"/>
  <c r="L930" i="1"/>
  <c r="L929" i="1"/>
  <c r="L928" i="1"/>
  <c r="L927" i="1"/>
  <c r="L926" i="1"/>
  <c r="L925" i="1"/>
  <c r="L924" i="1"/>
  <c r="L923" i="1"/>
  <c r="L922" i="1"/>
  <c r="L921" i="1"/>
  <c r="L920" i="1"/>
  <c r="L919" i="1"/>
  <c r="L918" i="1"/>
  <c r="L917" i="1"/>
  <c r="L916" i="1"/>
  <c r="L915" i="1"/>
  <c r="L914" i="1"/>
  <c r="L913" i="1"/>
  <c r="L912" i="1"/>
  <c r="L911" i="1"/>
  <c r="L910" i="1"/>
  <c r="L909" i="1"/>
  <c r="L908" i="1"/>
  <c r="L907" i="1"/>
  <c r="L906" i="1"/>
  <c r="L905" i="1"/>
  <c r="L904" i="1"/>
  <c r="L903" i="1"/>
  <c r="L902" i="1"/>
  <c r="L901" i="1"/>
  <c r="L900" i="1"/>
  <c r="L899" i="1"/>
  <c r="L898" i="1"/>
  <c r="L897" i="1"/>
  <c r="L896" i="1"/>
  <c r="L895" i="1"/>
  <c r="L894" i="1"/>
  <c r="L893" i="1"/>
  <c r="L892" i="1"/>
  <c r="L891" i="1"/>
  <c r="L890" i="1"/>
  <c r="L889" i="1"/>
  <c r="L888" i="1"/>
  <c r="L887" i="1"/>
  <c r="L886" i="1"/>
  <c r="L885" i="1"/>
  <c r="L884" i="1"/>
  <c r="L883" i="1"/>
  <c r="L882" i="1"/>
  <c r="L881" i="1"/>
  <c r="L880" i="1"/>
  <c r="L879" i="1"/>
  <c r="L878" i="1"/>
  <c r="L877" i="1"/>
  <c r="L876" i="1"/>
  <c r="L875" i="1"/>
  <c r="L874" i="1"/>
  <c r="L873" i="1"/>
  <c r="L872" i="1"/>
  <c r="L871" i="1"/>
  <c r="L870" i="1"/>
  <c r="L869" i="1"/>
  <c r="L868" i="1"/>
  <c r="L867" i="1"/>
  <c r="L866" i="1"/>
  <c r="L865" i="1"/>
  <c r="L864" i="1"/>
  <c r="L863" i="1"/>
  <c r="L862" i="1"/>
  <c r="L861" i="1"/>
  <c r="L860" i="1"/>
  <c r="L859" i="1"/>
  <c r="L858" i="1"/>
  <c r="L857" i="1"/>
  <c r="L856" i="1"/>
  <c r="L855" i="1"/>
  <c r="L854" i="1"/>
  <c r="L853" i="1"/>
  <c r="L852" i="1"/>
  <c r="L851" i="1"/>
  <c r="L850" i="1"/>
  <c r="L849" i="1"/>
  <c r="L848" i="1"/>
  <c r="L847" i="1"/>
  <c r="L846" i="1"/>
  <c r="L845" i="1"/>
  <c r="L844" i="1"/>
  <c r="L843" i="1"/>
  <c r="L842" i="1"/>
  <c r="L841" i="1"/>
  <c r="L840" i="1"/>
  <c r="L839" i="1"/>
  <c r="L838" i="1"/>
  <c r="L837" i="1"/>
  <c r="L836" i="1"/>
  <c r="L835" i="1"/>
  <c r="L834" i="1"/>
  <c r="L833" i="1"/>
  <c r="L832" i="1"/>
  <c r="L831" i="1"/>
  <c r="L830" i="1"/>
  <c r="L829" i="1"/>
  <c r="L828" i="1"/>
  <c r="L827" i="1"/>
  <c r="L826" i="1"/>
  <c r="L825" i="1"/>
  <c r="L824" i="1"/>
  <c r="L823" i="1"/>
  <c r="L822" i="1"/>
  <c r="L821" i="1"/>
  <c r="L820" i="1"/>
  <c r="L819" i="1"/>
  <c r="L818" i="1"/>
  <c r="L817" i="1"/>
  <c r="L816" i="1"/>
  <c r="L815" i="1"/>
  <c r="L814" i="1"/>
  <c r="L813" i="1"/>
  <c r="L812" i="1"/>
  <c r="L811" i="1"/>
  <c r="L810" i="1"/>
  <c r="L809" i="1"/>
  <c r="L808" i="1"/>
  <c r="L807" i="1"/>
  <c r="L806" i="1"/>
  <c r="L805" i="1"/>
  <c r="L804" i="1"/>
  <c r="L803" i="1"/>
  <c r="L802" i="1"/>
  <c r="L801" i="1"/>
  <c r="L800" i="1"/>
  <c r="L799" i="1"/>
  <c r="L798" i="1"/>
  <c r="L797" i="1"/>
  <c r="L796" i="1"/>
  <c r="L795" i="1"/>
  <c r="L794" i="1"/>
  <c r="L793" i="1"/>
  <c r="L792" i="1"/>
  <c r="L791" i="1"/>
  <c r="L790" i="1"/>
  <c r="L789" i="1"/>
  <c r="L788" i="1"/>
  <c r="L787" i="1"/>
  <c r="L786" i="1"/>
  <c r="L785" i="1"/>
  <c r="L784" i="1"/>
  <c r="L783" i="1"/>
  <c r="L782" i="1"/>
  <c r="L781" i="1"/>
  <c r="L780" i="1"/>
  <c r="L779" i="1"/>
  <c r="L778" i="1"/>
  <c r="L777" i="1"/>
  <c r="L776" i="1"/>
  <c r="L775" i="1"/>
  <c r="L774" i="1"/>
  <c r="L773" i="1"/>
  <c r="L772" i="1"/>
  <c r="L771" i="1"/>
  <c r="L770" i="1"/>
  <c r="L769" i="1"/>
  <c r="L768" i="1"/>
  <c r="L767" i="1"/>
  <c r="L766" i="1"/>
  <c r="L765" i="1"/>
  <c r="L764" i="1"/>
  <c r="L763" i="1"/>
  <c r="L762" i="1"/>
  <c r="L761" i="1"/>
  <c r="L760" i="1"/>
  <c r="L759" i="1"/>
  <c r="L758" i="1"/>
  <c r="L757" i="1"/>
  <c r="L756" i="1"/>
  <c r="L755" i="1"/>
  <c r="L754" i="1"/>
  <c r="L753" i="1"/>
  <c r="L752" i="1"/>
  <c r="L751" i="1"/>
  <c r="L750" i="1"/>
  <c r="L749" i="1"/>
  <c r="L748" i="1"/>
  <c r="L747" i="1"/>
  <c r="L746" i="1"/>
  <c r="L745" i="1"/>
  <c r="L744" i="1"/>
  <c r="L743" i="1"/>
  <c r="L742" i="1"/>
  <c r="L741" i="1"/>
  <c r="L740" i="1"/>
  <c r="L739" i="1"/>
  <c r="L738" i="1"/>
  <c r="L737" i="1"/>
  <c r="L736" i="1"/>
  <c r="L735" i="1"/>
  <c r="L734" i="1"/>
  <c r="L733" i="1"/>
  <c r="L732" i="1"/>
  <c r="L731" i="1"/>
  <c r="L730" i="1"/>
  <c r="L729" i="1"/>
  <c r="L728" i="1"/>
  <c r="L727" i="1"/>
  <c r="L726" i="1"/>
  <c r="L725" i="1"/>
  <c r="L724" i="1"/>
  <c r="L723" i="1"/>
  <c r="L722" i="1"/>
  <c r="L721" i="1"/>
  <c r="L720" i="1"/>
  <c r="L719" i="1"/>
  <c r="L718" i="1"/>
  <c r="L717" i="1"/>
  <c r="L716" i="1"/>
  <c r="L715" i="1"/>
  <c r="L714" i="1"/>
  <c r="L713" i="1"/>
  <c r="L712" i="1"/>
  <c r="L711" i="1"/>
  <c r="L710" i="1"/>
  <c r="L709" i="1"/>
  <c r="L708" i="1"/>
  <c r="L707" i="1"/>
  <c r="L706" i="1"/>
  <c r="L705" i="1"/>
  <c r="L704" i="1"/>
  <c r="L703" i="1"/>
  <c r="L702" i="1"/>
  <c r="L701" i="1"/>
  <c r="L700" i="1"/>
  <c r="L699" i="1"/>
  <c r="L698" i="1"/>
  <c r="L697" i="1"/>
  <c r="L696" i="1"/>
  <c r="L695" i="1"/>
  <c r="L694" i="1"/>
  <c r="L693" i="1"/>
  <c r="L692" i="1"/>
  <c r="L691" i="1"/>
  <c r="L690" i="1"/>
  <c r="L689" i="1"/>
  <c r="L688" i="1"/>
  <c r="L687" i="1"/>
  <c r="L686" i="1"/>
  <c r="L685" i="1"/>
  <c r="L684" i="1"/>
  <c r="L683" i="1"/>
  <c r="L682" i="1"/>
  <c r="L681" i="1"/>
  <c r="L680" i="1"/>
  <c r="L679" i="1"/>
  <c r="L678" i="1"/>
  <c r="L677" i="1"/>
  <c r="L676" i="1"/>
  <c r="L675" i="1"/>
  <c r="L674" i="1"/>
  <c r="L673" i="1"/>
  <c r="L672" i="1"/>
  <c r="L671" i="1"/>
  <c r="L670" i="1"/>
  <c r="L669" i="1"/>
  <c r="L668" i="1"/>
  <c r="L667" i="1"/>
  <c r="L666" i="1"/>
  <c r="L665" i="1"/>
  <c r="L664" i="1"/>
  <c r="L663" i="1"/>
  <c r="L662" i="1"/>
  <c r="L661" i="1"/>
  <c r="L660" i="1"/>
  <c r="L659" i="1"/>
  <c r="L658" i="1"/>
  <c r="L657" i="1"/>
  <c r="L656" i="1"/>
  <c r="L655" i="1"/>
  <c r="L654" i="1"/>
  <c r="L653" i="1"/>
  <c r="L652" i="1"/>
  <c r="L651" i="1"/>
  <c r="L650" i="1"/>
  <c r="L649" i="1"/>
  <c r="L648" i="1"/>
  <c r="L647" i="1"/>
  <c r="L646" i="1"/>
  <c r="L645" i="1"/>
  <c r="L644" i="1"/>
  <c r="L643" i="1"/>
  <c r="L642" i="1"/>
  <c r="L641" i="1"/>
  <c r="L640" i="1"/>
  <c r="L639" i="1"/>
  <c r="L638" i="1"/>
  <c r="L637" i="1"/>
  <c r="L636" i="1"/>
  <c r="L635" i="1"/>
  <c r="L634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21" i="1"/>
  <c r="L620" i="1"/>
  <c r="L619" i="1"/>
  <c r="L618" i="1"/>
  <c r="L617" i="1"/>
  <c r="L616" i="1"/>
  <c r="L615" i="1"/>
  <c r="L614" i="1"/>
  <c r="L613" i="1"/>
  <c r="L612" i="1"/>
  <c r="L611" i="1"/>
  <c r="L610" i="1"/>
  <c r="L609" i="1"/>
  <c r="L608" i="1"/>
  <c r="L607" i="1"/>
  <c r="L606" i="1"/>
  <c r="L605" i="1"/>
  <c r="L604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91" i="1"/>
  <c r="L590" i="1"/>
  <c r="L589" i="1"/>
  <c r="L588" i="1"/>
  <c r="L587" i="1"/>
  <c r="L586" i="1"/>
  <c r="L585" i="1"/>
  <c r="L584" i="1"/>
  <c r="L583" i="1"/>
  <c r="L582" i="1"/>
  <c r="L581" i="1"/>
  <c r="L580" i="1"/>
  <c r="L579" i="1"/>
  <c r="L578" i="1"/>
  <c r="L577" i="1"/>
  <c r="L576" i="1"/>
  <c r="L575" i="1"/>
  <c r="L574" i="1"/>
  <c r="L573" i="1"/>
  <c r="L572" i="1"/>
  <c r="L571" i="1"/>
  <c r="L570" i="1"/>
  <c r="L569" i="1"/>
  <c r="L568" i="1"/>
  <c r="L567" i="1"/>
  <c r="L566" i="1"/>
  <c r="L565" i="1"/>
  <c r="L564" i="1"/>
  <c r="L563" i="1"/>
  <c r="L562" i="1"/>
  <c r="L561" i="1"/>
  <c r="L560" i="1"/>
  <c r="L559" i="1"/>
  <c r="L558" i="1"/>
  <c r="L557" i="1"/>
  <c r="L556" i="1"/>
  <c r="L555" i="1"/>
  <c r="L554" i="1"/>
  <c r="L553" i="1"/>
  <c r="L552" i="1"/>
  <c r="L551" i="1"/>
  <c r="L550" i="1"/>
  <c r="L549" i="1"/>
  <c r="L548" i="1"/>
  <c r="L547" i="1"/>
  <c r="L546" i="1"/>
  <c r="L545" i="1"/>
  <c r="L544" i="1"/>
  <c r="L543" i="1"/>
  <c r="L542" i="1"/>
  <c r="L541" i="1"/>
  <c r="L540" i="1"/>
  <c r="L539" i="1"/>
  <c r="L538" i="1"/>
  <c r="L537" i="1"/>
  <c r="L536" i="1"/>
  <c r="L535" i="1"/>
  <c r="L534" i="1"/>
  <c r="L533" i="1"/>
  <c r="L532" i="1"/>
  <c r="L531" i="1"/>
  <c r="L530" i="1"/>
  <c r="L529" i="1"/>
  <c r="L528" i="1"/>
  <c r="L527" i="1"/>
  <c r="L526" i="1"/>
  <c r="L525" i="1"/>
  <c r="L524" i="1"/>
  <c r="L523" i="1"/>
  <c r="L522" i="1"/>
  <c r="L521" i="1"/>
  <c r="L520" i="1"/>
  <c r="L519" i="1"/>
  <c r="L518" i="1"/>
  <c r="L517" i="1"/>
  <c r="L516" i="1"/>
  <c r="L515" i="1"/>
  <c r="L514" i="1"/>
  <c r="L513" i="1"/>
  <c r="L512" i="1"/>
  <c r="L511" i="1"/>
  <c r="L510" i="1"/>
  <c r="L509" i="1"/>
  <c r="L508" i="1"/>
  <c r="L507" i="1"/>
  <c r="L506" i="1"/>
  <c r="L505" i="1"/>
  <c r="L504" i="1"/>
  <c r="L503" i="1"/>
  <c r="L502" i="1"/>
  <c r="L501" i="1"/>
  <c r="L500" i="1"/>
  <c r="L499" i="1"/>
  <c r="L498" i="1"/>
  <c r="L497" i="1"/>
  <c r="L496" i="1"/>
  <c r="L495" i="1"/>
  <c r="L494" i="1"/>
  <c r="L493" i="1"/>
  <c r="L492" i="1"/>
  <c r="L491" i="1"/>
  <c r="L490" i="1"/>
  <c r="L489" i="1"/>
  <c r="L488" i="1"/>
  <c r="L487" i="1"/>
  <c r="L486" i="1"/>
  <c r="L485" i="1"/>
  <c r="L484" i="1"/>
  <c r="L483" i="1"/>
  <c r="L482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L255" i="1"/>
  <c r="L254" i="1"/>
  <c r="L253" i="1"/>
  <c r="L252" i="1"/>
  <c r="L251" i="1"/>
  <c r="L250" i="1"/>
  <c r="L249" i="1"/>
  <c r="L248" i="1"/>
  <c r="L247" i="1"/>
  <c r="L246" i="1"/>
  <c r="L245" i="1"/>
  <c r="L244" i="1"/>
  <c r="L243" i="1"/>
  <c r="L242" i="1"/>
  <c r="L241" i="1"/>
  <c r="L240" i="1"/>
  <c r="L239" i="1"/>
  <c r="L238" i="1"/>
  <c r="L237" i="1"/>
  <c r="L236" i="1"/>
  <c r="L235" i="1"/>
  <c r="L234" i="1"/>
  <c r="L233" i="1"/>
  <c r="L232" i="1"/>
  <c r="L231" i="1"/>
  <c r="L230" i="1"/>
  <c r="L229" i="1"/>
  <c r="L228" i="1"/>
  <c r="L227" i="1"/>
  <c r="L226" i="1"/>
  <c r="L225" i="1"/>
  <c r="L224" i="1"/>
  <c r="L223" i="1"/>
  <c r="L222" i="1"/>
  <c r="L221" i="1"/>
  <c r="L220" i="1"/>
  <c r="L219" i="1"/>
  <c r="L218" i="1"/>
  <c r="L217" i="1"/>
  <c r="L216" i="1"/>
  <c r="L215" i="1"/>
  <c r="L214" i="1"/>
  <c r="L213" i="1"/>
  <c r="L212" i="1"/>
  <c r="L211" i="1"/>
  <c r="L210" i="1"/>
  <c r="L209" i="1"/>
  <c r="L208" i="1"/>
  <c r="L207" i="1"/>
  <c r="L206" i="1"/>
  <c r="L205" i="1"/>
  <c r="L204" i="1"/>
  <c r="L203" i="1"/>
  <c r="L202" i="1"/>
  <c r="L201" i="1"/>
  <c r="L200" i="1"/>
  <c r="L199" i="1"/>
  <c r="L198" i="1"/>
  <c r="L197" i="1"/>
  <c r="L196" i="1"/>
  <c r="L195" i="1"/>
  <c r="L194" i="1"/>
  <c r="L193" i="1"/>
  <c r="L192" i="1"/>
  <c r="L191" i="1"/>
  <c r="L190" i="1"/>
  <c r="L189" i="1"/>
  <c r="L188" i="1"/>
  <c r="L187" i="1"/>
  <c r="L186" i="1"/>
  <c r="L185" i="1"/>
  <c r="L184" i="1"/>
  <c r="L183" i="1"/>
  <c r="L182" i="1"/>
  <c r="L181" i="1"/>
  <c r="L180" i="1"/>
  <c r="L179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6" i="1"/>
  <c r="L165" i="1"/>
  <c r="L164" i="1"/>
  <c r="L163" i="1"/>
  <c r="L162" i="1"/>
  <c r="L161" i="1"/>
  <c r="L160" i="1"/>
  <c r="L159" i="1"/>
  <c r="L158" i="1"/>
  <c r="L157" i="1"/>
  <c r="L156" i="1"/>
  <c r="L155" i="1"/>
  <c r="L154" i="1"/>
  <c r="L153" i="1"/>
  <c r="L152" i="1"/>
  <c r="L151" i="1"/>
  <c r="L150" i="1"/>
  <c r="L149" i="1"/>
  <c r="L148" i="1"/>
  <c r="L147" i="1"/>
  <c r="L146" i="1"/>
  <c r="L145" i="1"/>
  <c r="L144" i="1"/>
  <c r="L143" i="1"/>
  <c r="L142" i="1"/>
  <c r="L141" i="1"/>
  <c r="L140" i="1"/>
  <c r="L139" i="1"/>
  <c r="L138" i="1"/>
  <c r="L137" i="1"/>
  <c r="L136" i="1"/>
  <c r="L135" i="1"/>
  <c r="L134" i="1"/>
  <c r="L133" i="1"/>
  <c r="L132" i="1"/>
  <c r="L131" i="1"/>
  <c r="L130" i="1"/>
  <c r="L129" i="1"/>
  <c r="L128" i="1"/>
  <c r="L127" i="1"/>
  <c r="L126" i="1"/>
  <c r="L125" i="1"/>
  <c r="L124" i="1"/>
  <c r="L123" i="1"/>
  <c r="L122" i="1"/>
  <c r="L121" i="1"/>
  <c r="L120" i="1"/>
  <c r="L119" i="1"/>
  <c r="L118" i="1"/>
  <c r="L117" i="1"/>
  <c r="L116" i="1"/>
  <c r="L115" i="1"/>
  <c r="L114" i="1"/>
  <c r="L113" i="1"/>
  <c r="L112" i="1"/>
  <c r="L111" i="1"/>
  <c r="L11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2" i="1"/>
  <c r="K3455" i="1"/>
  <c r="K3454" i="1"/>
  <c r="K3453" i="1"/>
  <c r="K3452" i="1"/>
  <c r="K3451" i="1"/>
  <c r="K3450" i="1"/>
  <c r="K3449" i="1"/>
  <c r="K3448" i="1"/>
  <c r="K3447" i="1"/>
  <c r="K3446" i="1"/>
  <c r="K3445" i="1"/>
  <c r="K3444" i="1"/>
  <c r="K3443" i="1"/>
  <c r="K3442" i="1"/>
  <c r="K3441" i="1"/>
  <c r="K3440" i="1"/>
  <c r="K3439" i="1"/>
  <c r="K3438" i="1"/>
  <c r="K3437" i="1"/>
  <c r="K3436" i="1"/>
  <c r="K3435" i="1"/>
  <c r="K3434" i="1"/>
  <c r="K3433" i="1"/>
  <c r="K3432" i="1"/>
  <c r="K3431" i="1"/>
  <c r="K3430" i="1"/>
  <c r="K3429" i="1"/>
  <c r="K3428" i="1"/>
  <c r="K3427" i="1"/>
  <c r="K3426" i="1"/>
  <c r="K3425" i="1"/>
  <c r="K3424" i="1"/>
  <c r="K3423" i="1"/>
  <c r="K3422" i="1"/>
  <c r="K3421" i="1"/>
  <c r="K3420" i="1"/>
  <c r="K3419" i="1"/>
  <c r="K3418" i="1"/>
  <c r="K3417" i="1"/>
  <c r="K3416" i="1"/>
  <c r="K3415" i="1"/>
  <c r="K3414" i="1"/>
  <c r="K3413" i="1"/>
  <c r="K3412" i="1"/>
  <c r="K3411" i="1"/>
  <c r="K3410" i="1"/>
  <c r="K3409" i="1"/>
  <c r="K3408" i="1"/>
  <c r="K3407" i="1"/>
  <c r="K3406" i="1"/>
  <c r="K3405" i="1"/>
  <c r="K3404" i="1"/>
  <c r="K3403" i="1"/>
  <c r="K3402" i="1"/>
  <c r="K3401" i="1"/>
  <c r="K3400" i="1"/>
  <c r="K3399" i="1"/>
  <c r="K3398" i="1"/>
  <c r="K3397" i="1"/>
  <c r="K3396" i="1"/>
  <c r="K3395" i="1"/>
  <c r="K3394" i="1"/>
  <c r="K3393" i="1"/>
  <c r="K3392" i="1"/>
  <c r="K3391" i="1"/>
  <c r="K3390" i="1"/>
  <c r="K3389" i="1"/>
  <c r="K3388" i="1"/>
  <c r="K3387" i="1"/>
  <c r="K3386" i="1"/>
  <c r="K3385" i="1"/>
  <c r="K3384" i="1"/>
  <c r="K3383" i="1"/>
  <c r="K3382" i="1"/>
  <c r="K3381" i="1"/>
  <c r="K3380" i="1"/>
  <c r="K3379" i="1"/>
  <c r="K3378" i="1"/>
  <c r="K3377" i="1"/>
  <c r="K3376" i="1"/>
  <c r="K3375" i="1"/>
  <c r="K3374" i="1"/>
  <c r="K3373" i="1"/>
  <c r="K3372" i="1"/>
  <c r="K3371" i="1"/>
  <c r="K3370" i="1"/>
  <c r="K3369" i="1"/>
  <c r="K3368" i="1"/>
  <c r="K3367" i="1"/>
  <c r="K3366" i="1"/>
  <c r="K3365" i="1"/>
  <c r="K3364" i="1"/>
  <c r="K3363" i="1"/>
  <c r="K3362" i="1"/>
  <c r="K3361" i="1"/>
  <c r="K3360" i="1"/>
  <c r="K3359" i="1"/>
  <c r="K3358" i="1"/>
  <c r="K3357" i="1"/>
  <c r="K3356" i="1"/>
  <c r="K3355" i="1"/>
  <c r="K3354" i="1"/>
  <c r="K3353" i="1"/>
  <c r="K3352" i="1"/>
  <c r="K3351" i="1"/>
  <c r="K3350" i="1"/>
  <c r="K3349" i="1"/>
  <c r="K3348" i="1"/>
  <c r="K3347" i="1"/>
  <c r="K3346" i="1"/>
  <c r="K3345" i="1"/>
  <c r="K3344" i="1"/>
  <c r="K3343" i="1"/>
  <c r="K3342" i="1"/>
  <c r="K3341" i="1"/>
  <c r="K3340" i="1"/>
  <c r="K3339" i="1"/>
  <c r="K3338" i="1"/>
  <c r="K3337" i="1"/>
  <c r="K3336" i="1"/>
  <c r="K3335" i="1"/>
  <c r="K3334" i="1"/>
  <c r="K3333" i="1"/>
  <c r="K3332" i="1"/>
  <c r="K3331" i="1"/>
  <c r="K3330" i="1"/>
  <c r="K3329" i="1"/>
  <c r="K3328" i="1"/>
  <c r="K3327" i="1"/>
  <c r="K3326" i="1"/>
  <c r="K3325" i="1"/>
  <c r="K3324" i="1"/>
  <c r="K3323" i="1"/>
  <c r="K3322" i="1"/>
  <c r="K3321" i="1"/>
  <c r="K3320" i="1"/>
  <c r="K3319" i="1"/>
  <c r="K3318" i="1"/>
  <c r="K3317" i="1"/>
  <c r="K3316" i="1"/>
  <c r="K3315" i="1"/>
  <c r="K3314" i="1"/>
  <c r="K3313" i="1"/>
  <c r="K3312" i="1"/>
  <c r="K3311" i="1"/>
  <c r="K3310" i="1"/>
  <c r="K3309" i="1"/>
  <c r="K3308" i="1"/>
  <c r="K3307" i="1"/>
  <c r="K3306" i="1"/>
  <c r="K3305" i="1"/>
  <c r="K3304" i="1"/>
  <c r="K3303" i="1"/>
  <c r="K3302" i="1"/>
  <c r="K3301" i="1"/>
  <c r="K3300" i="1"/>
  <c r="K3299" i="1"/>
  <c r="K3298" i="1"/>
  <c r="K3297" i="1"/>
  <c r="K3296" i="1"/>
  <c r="K3295" i="1"/>
  <c r="K3294" i="1"/>
  <c r="K3293" i="1"/>
  <c r="K3292" i="1"/>
  <c r="K3291" i="1"/>
  <c r="K3290" i="1"/>
  <c r="K3289" i="1"/>
  <c r="K3288" i="1"/>
  <c r="K3287" i="1"/>
  <c r="K3286" i="1"/>
  <c r="K3285" i="1"/>
  <c r="K3284" i="1"/>
  <c r="K3283" i="1"/>
  <c r="K3282" i="1"/>
  <c r="K3281" i="1"/>
  <c r="K3280" i="1"/>
  <c r="K3279" i="1"/>
  <c r="K3278" i="1"/>
  <c r="K3277" i="1"/>
  <c r="K3276" i="1"/>
  <c r="K3275" i="1"/>
  <c r="K3274" i="1"/>
  <c r="K3273" i="1"/>
  <c r="K3272" i="1"/>
  <c r="K3271" i="1"/>
  <c r="K3270" i="1"/>
  <c r="K3269" i="1"/>
  <c r="K3268" i="1"/>
  <c r="K3267" i="1"/>
  <c r="K3266" i="1"/>
  <c r="K3265" i="1"/>
  <c r="K3264" i="1"/>
  <c r="K3263" i="1"/>
  <c r="K3262" i="1"/>
  <c r="K3261" i="1"/>
  <c r="K3260" i="1"/>
  <c r="K3259" i="1"/>
  <c r="K3258" i="1"/>
  <c r="K3257" i="1"/>
  <c r="K3256" i="1"/>
  <c r="N3256" i="1" s="1"/>
  <c r="K3255" i="1"/>
  <c r="K3254" i="1"/>
  <c r="K3253" i="1"/>
  <c r="K3252" i="1"/>
  <c r="K3251" i="1"/>
  <c r="K3250" i="1"/>
  <c r="K3249" i="1"/>
  <c r="K3248" i="1"/>
  <c r="K3247" i="1"/>
  <c r="K3246" i="1"/>
  <c r="K3245" i="1"/>
  <c r="K3244" i="1"/>
  <c r="K3243" i="1"/>
  <c r="K3242" i="1"/>
  <c r="K3241" i="1"/>
  <c r="K3240" i="1"/>
  <c r="K3239" i="1"/>
  <c r="K3238" i="1"/>
  <c r="K3237" i="1"/>
  <c r="K3236" i="1"/>
  <c r="K3235" i="1"/>
  <c r="K3234" i="1"/>
  <c r="K3233" i="1"/>
  <c r="K3232" i="1"/>
  <c r="K3231" i="1"/>
  <c r="K3230" i="1"/>
  <c r="K3229" i="1"/>
  <c r="K3228" i="1"/>
  <c r="K3227" i="1"/>
  <c r="K3226" i="1"/>
  <c r="K3225" i="1"/>
  <c r="K3224" i="1"/>
  <c r="K3223" i="1"/>
  <c r="K3222" i="1"/>
  <c r="K3221" i="1"/>
  <c r="K3220" i="1"/>
  <c r="K3219" i="1"/>
  <c r="K3218" i="1"/>
  <c r="K3217" i="1"/>
  <c r="K3216" i="1"/>
  <c r="K3215" i="1"/>
  <c r="K3214" i="1"/>
  <c r="K3213" i="1"/>
  <c r="K3212" i="1"/>
  <c r="K3211" i="1"/>
  <c r="K3210" i="1"/>
  <c r="K3209" i="1"/>
  <c r="K3208" i="1"/>
  <c r="K3207" i="1"/>
  <c r="K3206" i="1"/>
  <c r="K3205" i="1"/>
  <c r="K3204" i="1"/>
  <c r="K3203" i="1"/>
  <c r="K3202" i="1"/>
  <c r="K3201" i="1"/>
  <c r="K3200" i="1"/>
  <c r="K3199" i="1"/>
  <c r="K3198" i="1"/>
  <c r="K3197" i="1"/>
  <c r="K3196" i="1"/>
  <c r="K3195" i="1"/>
  <c r="K3194" i="1"/>
  <c r="K3193" i="1"/>
  <c r="K3192" i="1"/>
  <c r="K3191" i="1"/>
  <c r="K3190" i="1"/>
  <c r="K3189" i="1"/>
  <c r="K3188" i="1"/>
  <c r="K3187" i="1"/>
  <c r="K3186" i="1"/>
  <c r="K3185" i="1"/>
  <c r="K3184" i="1"/>
  <c r="K3183" i="1"/>
  <c r="K3182" i="1"/>
  <c r="K3181" i="1"/>
  <c r="K3180" i="1"/>
  <c r="K3179" i="1"/>
  <c r="K3178" i="1"/>
  <c r="K3177" i="1"/>
  <c r="K3176" i="1"/>
  <c r="K3175" i="1"/>
  <c r="K3174" i="1"/>
  <c r="K3173" i="1"/>
  <c r="K3172" i="1"/>
  <c r="K3171" i="1"/>
  <c r="K3170" i="1"/>
  <c r="K3169" i="1"/>
  <c r="K3168" i="1"/>
  <c r="K3167" i="1"/>
  <c r="K3166" i="1"/>
  <c r="K3165" i="1"/>
  <c r="K3164" i="1"/>
  <c r="K3163" i="1"/>
  <c r="K3162" i="1"/>
  <c r="K3161" i="1"/>
  <c r="K3160" i="1"/>
  <c r="K3159" i="1"/>
  <c r="K3158" i="1"/>
  <c r="K3157" i="1"/>
  <c r="K3156" i="1"/>
  <c r="K3155" i="1"/>
  <c r="K3154" i="1"/>
  <c r="K3153" i="1"/>
  <c r="K3152" i="1"/>
  <c r="K3151" i="1"/>
  <c r="K3150" i="1"/>
  <c r="K3149" i="1"/>
  <c r="K3148" i="1"/>
  <c r="K3147" i="1"/>
  <c r="K3146" i="1"/>
  <c r="K3145" i="1"/>
  <c r="K3144" i="1"/>
  <c r="K3143" i="1"/>
  <c r="K3142" i="1"/>
  <c r="K3141" i="1"/>
  <c r="K3140" i="1"/>
  <c r="K3139" i="1"/>
  <c r="K3138" i="1"/>
  <c r="K3137" i="1"/>
  <c r="K3136" i="1"/>
  <c r="K3135" i="1"/>
  <c r="K3134" i="1"/>
  <c r="K3133" i="1"/>
  <c r="K3132" i="1"/>
  <c r="K3131" i="1"/>
  <c r="K3130" i="1"/>
  <c r="K3129" i="1"/>
  <c r="K3128" i="1"/>
  <c r="K3127" i="1"/>
  <c r="K3126" i="1"/>
  <c r="K3125" i="1"/>
  <c r="K3124" i="1"/>
  <c r="K3123" i="1"/>
  <c r="K3122" i="1"/>
  <c r="K3121" i="1"/>
  <c r="K3120" i="1"/>
  <c r="K3119" i="1"/>
  <c r="K3118" i="1"/>
  <c r="K3117" i="1"/>
  <c r="K3116" i="1"/>
  <c r="K3115" i="1"/>
  <c r="K3114" i="1"/>
  <c r="K3113" i="1"/>
  <c r="K3112" i="1"/>
  <c r="K3111" i="1"/>
  <c r="K3110" i="1"/>
  <c r="K3109" i="1"/>
  <c r="K3108" i="1"/>
  <c r="K3107" i="1"/>
  <c r="K3106" i="1"/>
  <c r="K3105" i="1"/>
  <c r="K3104" i="1"/>
  <c r="K3103" i="1"/>
  <c r="K3102" i="1"/>
  <c r="K3101" i="1"/>
  <c r="K3100" i="1"/>
  <c r="K3099" i="1"/>
  <c r="K3098" i="1"/>
  <c r="K3097" i="1"/>
  <c r="K3096" i="1"/>
  <c r="K3095" i="1"/>
  <c r="K3094" i="1"/>
  <c r="K3093" i="1"/>
  <c r="K3092" i="1"/>
  <c r="K3091" i="1"/>
  <c r="K3090" i="1"/>
  <c r="K3089" i="1"/>
  <c r="K3088" i="1"/>
  <c r="K3087" i="1"/>
  <c r="K3086" i="1"/>
  <c r="K3085" i="1"/>
  <c r="K3084" i="1"/>
  <c r="K3083" i="1"/>
  <c r="K3082" i="1"/>
  <c r="K3081" i="1"/>
  <c r="K3080" i="1"/>
  <c r="K3079" i="1"/>
  <c r="K3078" i="1"/>
  <c r="K3077" i="1"/>
  <c r="K3076" i="1"/>
  <c r="K3075" i="1"/>
  <c r="K3074" i="1"/>
  <c r="K3073" i="1"/>
  <c r="K3072" i="1"/>
  <c r="K3071" i="1"/>
  <c r="K3070" i="1"/>
  <c r="K3069" i="1"/>
  <c r="K3068" i="1"/>
  <c r="K3067" i="1"/>
  <c r="K3066" i="1"/>
  <c r="K3065" i="1"/>
  <c r="N3065" i="1" s="1"/>
  <c r="K3064" i="1"/>
  <c r="K3063" i="1"/>
  <c r="K3062" i="1"/>
  <c r="K3061" i="1"/>
  <c r="K3060" i="1"/>
  <c r="K3059" i="1"/>
  <c r="K3058" i="1"/>
  <c r="K3057" i="1"/>
  <c r="K3056" i="1"/>
  <c r="K3055" i="1"/>
  <c r="K3054" i="1"/>
  <c r="K3053" i="1"/>
  <c r="K3052" i="1"/>
  <c r="K3051" i="1"/>
  <c r="K3050" i="1"/>
  <c r="K3049" i="1"/>
  <c r="K3048" i="1"/>
  <c r="K3047" i="1"/>
  <c r="K3046" i="1"/>
  <c r="K3045" i="1"/>
  <c r="K3044" i="1"/>
  <c r="K3043" i="1"/>
  <c r="K3042" i="1"/>
  <c r="K3041" i="1"/>
  <c r="K3040" i="1"/>
  <c r="K3039" i="1"/>
  <c r="K3038" i="1"/>
  <c r="K3037" i="1"/>
  <c r="K3036" i="1"/>
  <c r="K3035" i="1"/>
  <c r="K3034" i="1"/>
  <c r="K3033" i="1"/>
  <c r="K3032" i="1"/>
  <c r="K3031" i="1"/>
  <c r="K3030" i="1"/>
  <c r="K3029" i="1"/>
  <c r="K3028" i="1"/>
  <c r="K3027" i="1"/>
  <c r="K3026" i="1"/>
  <c r="K3025" i="1"/>
  <c r="K3024" i="1"/>
  <c r="K3023" i="1"/>
  <c r="K3022" i="1"/>
  <c r="K3021" i="1"/>
  <c r="K3020" i="1"/>
  <c r="K3019" i="1"/>
  <c r="K3018" i="1"/>
  <c r="K3017" i="1"/>
  <c r="K3016" i="1"/>
  <c r="K3015" i="1"/>
  <c r="K3014" i="1"/>
  <c r="K3013" i="1"/>
  <c r="K3012" i="1"/>
  <c r="K3011" i="1"/>
  <c r="K3010" i="1"/>
  <c r="K3009" i="1"/>
  <c r="K3008" i="1"/>
  <c r="K3007" i="1"/>
  <c r="K3006" i="1"/>
  <c r="K3005" i="1"/>
  <c r="K3004" i="1"/>
  <c r="K3003" i="1"/>
  <c r="K3002" i="1"/>
  <c r="K3001" i="1"/>
  <c r="K3000" i="1"/>
  <c r="K2999" i="1"/>
  <c r="K2998" i="1"/>
  <c r="K2997" i="1"/>
  <c r="K2996" i="1"/>
  <c r="K2995" i="1"/>
  <c r="K2994" i="1"/>
  <c r="K2993" i="1"/>
  <c r="N2993" i="1" s="1"/>
  <c r="K2992" i="1"/>
  <c r="K2991" i="1"/>
  <c r="K2990" i="1"/>
  <c r="K2989" i="1"/>
  <c r="K2988" i="1"/>
  <c r="K2987" i="1"/>
  <c r="K2986" i="1"/>
  <c r="K2985" i="1"/>
  <c r="K2984" i="1"/>
  <c r="K2983" i="1"/>
  <c r="K2982" i="1"/>
  <c r="K2981" i="1"/>
  <c r="K2980" i="1"/>
  <c r="K2979" i="1"/>
  <c r="K2978" i="1"/>
  <c r="K2977" i="1"/>
  <c r="K2976" i="1"/>
  <c r="K2975" i="1"/>
  <c r="K2974" i="1"/>
  <c r="K2973" i="1"/>
  <c r="K2972" i="1"/>
  <c r="K2971" i="1"/>
  <c r="K2970" i="1"/>
  <c r="K2969" i="1"/>
  <c r="K2968" i="1"/>
  <c r="K2967" i="1"/>
  <c r="K2966" i="1"/>
  <c r="K2965" i="1"/>
  <c r="K2964" i="1"/>
  <c r="K2963" i="1"/>
  <c r="K2962" i="1"/>
  <c r="K2961" i="1"/>
  <c r="K2960" i="1"/>
  <c r="K2959" i="1"/>
  <c r="K2958" i="1"/>
  <c r="K2957" i="1"/>
  <c r="K2956" i="1"/>
  <c r="K2955" i="1"/>
  <c r="K2954" i="1"/>
  <c r="K2953" i="1"/>
  <c r="K2952" i="1"/>
  <c r="K2951" i="1"/>
  <c r="K2950" i="1"/>
  <c r="K2949" i="1"/>
  <c r="K2948" i="1"/>
  <c r="K2947" i="1"/>
  <c r="K2946" i="1"/>
  <c r="K2945" i="1"/>
  <c r="K2944" i="1"/>
  <c r="K2943" i="1"/>
  <c r="K2942" i="1"/>
  <c r="K2941" i="1"/>
  <c r="K2940" i="1"/>
  <c r="K2939" i="1"/>
  <c r="K2938" i="1"/>
  <c r="K2937" i="1"/>
  <c r="K2936" i="1"/>
  <c r="K2935" i="1"/>
  <c r="K2934" i="1"/>
  <c r="K2933" i="1"/>
  <c r="K2932" i="1"/>
  <c r="K2931" i="1"/>
  <c r="K2930" i="1"/>
  <c r="K2929" i="1"/>
  <c r="K2928" i="1"/>
  <c r="K2927" i="1"/>
  <c r="K2926" i="1"/>
  <c r="K2925" i="1"/>
  <c r="K2924" i="1"/>
  <c r="K2923" i="1"/>
  <c r="K2922" i="1"/>
  <c r="K2921" i="1"/>
  <c r="K2920" i="1"/>
  <c r="K2919" i="1"/>
  <c r="K2918" i="1"/>
  <c r="K2917" i="1"/>
  <c r="K2916" i="1"/>
  <c r="K2915" i="1"/>
  <c r="K2914" i="1"/>
  <c r="K2913" i="1"/>
  <c r="N2913" i="1" s="1"/>
  <c r="K2912" i="1"/>
  <c r="K2911" i="1"/>
  <c r="K2910" i="1"/>
  <c r="K2909" i="1"/>
  <c r="K2908" i="1"/>
  <c r="K2907" i="1"/>
  <c r="K2906" i="1"/>
  <c r="K2905" i="1"/>
  <c r="K2904" i="1"/>
  <c r="K2903" i="1"/>
  <c r="K2902" i="1"/>
  <c r="K2901" i="1"/>
  <c r="K2900" i="1"/>
  <c r="K2899" i="1"/>
  <c r="K2898" i="1"/>
  <c r="K2897" i="1"/>
  <c r="K2896" i="1"/>
  <c r="K2895" i="1"/>
  <c r="K2894" i="1"/>
  <c r="K2893" i="1"/>
  <c r="K2892" i="1"/>
  <c r="K2891" i="1"/>
  <c r="K2890" i="1"/>
  <c r="K2889" i="1"/>
  <c r="K2888" i="1"/>
  <c r="K2887" i="1"/>
  <c r="K2886" i="1"/>
  <c r="K2885" i="1"/>
  <c r="K2884" i="1"/>
  <c r="K2883" i="1"/>
  <c r="K2882" i="1"/>
  <c r="K2881" i="1"/>
  <c r="K2880" i="1"/>
  <c r="K2879" i="1"/>
  <c r="K2878" i="1"/>
  <c r="K2877" i="1"/>
  <c r="K2876" i="1"/>
  <c r="K2875" i="1"/>
  <c r="K2874" i="1"/>
  <c r="K2873" i="1"/>
  <c r="K2872" i="1"/>
  <c r="K2871" i="1"/>
  <c r="K2870" i="1"/>
  <c r="K2869" i="1"/>
  <c r="K2868" i="1"/>
  <c r="K2867" i="1"/>
  <c r="K2866" i="1"/>
  <c r="K2865" i="1"/>
  <c r="K2864" i="1"/>
  <c r="K2863" i="1"/>
  <c r="K2862" i="1"/>
  <c r="K2861" i="1"/>
  <c r="K2860" i="1"/>
  <c r="K2859" i="1"/>
  <c r="K2858" i="1"/>
  <c r="K2857" i="1"/>
  <c r="K2856" i="1"/>
  <c r="K2855" i="1"/>
  <c r="K2854" i="1"/>
  <c r="K2853" i="1"/>
  <c r="K2852" i="1"/>
  <c r="K2851" i="1"/>
  <c r="K2850" i="1"/>
  <c r="K2849" i="1"/>
  <c r="K2848" i="1"/>
  <c r="K2847" i="1"/>
  <c r="K2846" i="1"/>
  <c r="K2845" i="1"/>
  <c r="K2844" i="1"/>
  <c r="K2843" i="1"/>
  <c r="K2842" i="1"/>
  <c r="K2841" i="1"/>
  <c r="K2840" i="1"/>
  <c r="K2839" i="1"/>
  <c r="K2838" i="1"/>
  <c r="K2837" i="1"/>
  <c r="N2837" i="1" s="1"/>
  <c r="K2836" i="1"/>
  <c r="K2835" i="1"/>
  <c r="K2834" i="1"/>
  <c r="K2833" i="1"/>
  <c r="K2832" i="1"/>
  <c r="K2831" i="1"/>
  <c r="K2830" i="1"/>
  <c r="K2829" i="1"/>
  <c r="K2828" i="1"/>
  <c r="K2827" i="1"/>
  <c r="K2826" i="1"/>
  <c r="K2825" i="1"/>
  <c r="K2824" i="1"/>
  <c r="K2823" i="1"/>
  <c r="K2822" i="1"/>
  <c r="K2821" i="1"/>
  <c r="K2820" i="1"/>
  <c r="K2819" i="1"/>
  <c r="K2818" i="1"/>
  <c r="K2817" i="1"/>
  <c r="K2816" i="1"/>
  <c r="K2815" i="1"/>
  <c r="K2814" i="1"/>
  <c r="K2813" i="1"/>
  <c r="K2812" i="1"/>
  <c r="K2811" i="1"/>
  <c r="K2810" i="1"/>
  <c r="K2809" i="1"/>
  <c r="K2808" i="1"/>
  <c r="K2807" i="1"/>
  <c r="K2806" i="1"/>
  <c r="K2805" i="1"/>
  <c r="K2804" i="1"/>
  <c r="K2803" i="1"/>
  <c r="K2802" i="1"/>
  <c r="K2801" i="1"/>
  <c r="K2800" i="1"/>
  <c r="K2799" i="1"/>
  <c r="K2798" i="1"/>
  <c r="K2797" i="1"/>
  <c r="K2796" i="1"/>
  <c r="K2795" i="1"/>
  <c r="K2794" i="1"/>
  <c r="K2793" i="1"/>
  <c r="K2792" i="1"/>
  <c r="K2791" i="1"/>
  <c r="K2790" i="1"/>
  <c r="K2789" i="1"/>
  <c r="K2788" i="1"/>
  <c r="K2787" i="1"/>
  <c r="K2786" i="1"/>
  <c r="K2785" i="1"/>
  <c r="K2784" i="1"/>
  <c r="K2783" i="1"/>
  <c r="K2782" i="1"/>
  <c r="K2781" i="1"/>
  <c r="K2780" i="1"/>
  <c r="K2779" i="1"/>
  <c r="K2778" i="1"/>
  <c r="K2777" i="1"/>
  <c r="K2776" i="1"/>
  <c r="K2775" i="1"/>
  <c r="K2774" i="1"/>
  <c r="K2773" i="1"/>
  <c r="K2772" i="1"/>
  <c r="K2771" i="1"/>
  <c r="K2770" i="1"/>
  <c r="K2769" i="1"/>
  <c r="K2768" i="1"/>
  <c r="K2767" i="1"/>
  <c r="K2766" i="1"/>
  <c r="K2765" i="1"/>
  <c r="K2764" i="1"/>
  <c r="K2763" i="1"/>
  <c r="K2762" i="1"/>
  <c r="K2761" i="1"/>
  <c r="K2760" i="1"/>
  <c r="K2759" i="1"/>
  <c r="K2758" i="1"/>
  <c r="K2757" i="1"/>
  <c r="K2756" i="1"/>
  <c r="K2755" i="1"/>
  <c r="K2754" i="1"/>
  <c r="K2753" i="1"/>
  <c r="K2752" i="1"/>
  <c r="K2751" i="1"/>
  <c r="K2750" i="1"/>
  <c r="K2749" i="1"/>
  <c r="K2748" i="1"/>
  <c r="K2747" i="1"/>
  <c r="K2746" i="1"/>
  <c r="K2745" i="1"/>
  <c r="K2744" i="1"/>
  <c r="K2743" i="1"/>
  <c r="K2742" i="1"/>
  <c r="K2741" i="1"/>
  <c r="K2740" i="1"/>
  <c r="K2739" i="1"/>
  <c r="K2738" i="1"/>
  <c r="K2737" i="1"/>
  <c r="K2736" i="1"/>
  <c r="K2735" i="1"/>
  <c r="K2734" i="1"/>
  <c r="K2733" i="1"/>
  <c r="K2732" i="1"/>
  <c r="K2731" i="1"/>
  <c r="K2730" i="1"/>
  <c r="K2729" i="1"/>
  <c r="K2728" i="1"/>
  <c r="K2727" i="1"/>
  <c r="K2726" i="1"/>
  <c r="K2725" i="1"/>
  <c r="K2724" i="1"/>
  <c r="K2723" i="1"/>
  <c r="K2722" i="1"/>
  <c r="K2721" i="1"/>
  <c r="K2720" i="1"/>
  <c r="K2719" i="1"/>
  <c r="K2718" i="1"/>
  <c r="K2717" i="1"/>
  <c r="K2716" i="1"/>
  <c r="K2715" i="1"/>
  <c r="K2714" i="1"/>
  <c r="K2713" i="1"/>
  <c r="K2712" i="1"/>
  <c r="K2711" i="1"/>
  <c r="K2710" i="1"/>
  <c r="K2709" i="1"/>
  <c r="K2708" i="1"/>
  <c r="K2707" i="1"/>
  <c r="K2706" i="1"/>
  <c r="K2705" i="1"/>
  <c r="K2704" i="1"/>
  <c r="K2703" i="1"/>
  <c r="K2702" i="1"/>
  <c r="K2701" i="1"/>
  <c r="K2700" i="1"/>
  <c r="K2699" i="1"/>
  <c r="K2698" i="1"/>
  <c r="K2697" i="1"/>
  <c r="K2696" i="1"/>
  <c r="K2695" i="1"/>
  <c r="K2694" i="1"/>
  <c r="K2693" i="1"/>
  <c r="K2692" i="1"/>
  <c r="K2691" i="1"/>
  <c r="K2690" i="1"/>
  <c r="K2689" i="1"/>
  <c r="K2688" i="1"/>
  <c r="K2687" i="1"/>
  <c r="K2686" i="1"/>
  <c r="K2685" i="1"/>
  <c r="K2684" i="1"/>
  <c r="K2683" i="1"/>
  <c r="K2682" i="1"/>
  <c r="K2681" i="1"/>
  <c r="K2680" i="1"/>
  <c r="K2679" i="1"/>
  <c r="K2678" i="1"/>
  <c r="K2677" i="1"/>
  <c r="K2676" i="1"/>
  <c r="K2675" i="1"/>
  <c r="K2674" i="1"/>
  <c r="K2673" i="1"/>
  <c r="K2672" i="1"/>
  <c r="K2671" i="1"/>
  <c r="K2670" i="1"/>
  <c r="K2669" i="1"/>
  <c r="K2668" i="1"/>
  <c r="K2667" i="1"/>
  <c r="K2666" i="1"/>
  <c r="K2665" i="1"/>
  <c r="K2664" i="1"/>
  <c r="K2663" i="1"/>
  <c r="K2662" i="1"/>
  <c r="K2661" i="1"/>
  <c r="K2660" i="1"/>
  <c r="K2659" i="1"/>
  <c r="K2658" i="1"/>
  <c r="K2657" i="1"/>
  <c r="K2656" i="1"/>
  <c r="K2655" i="1"/>
  <c r="K2654" i="1"/>
  <c r="K2653" i="1"/>
  <c r="K2652" i="1"/>
  <c r="K2651" i="1"/>
  <c r="K2650" i="1"/>
  <c r="K2649" i="1"/>
  <c r="K2648" i="1"/>
  <c r="K2647" i="1"/>
  <c r="K2646" i="1"/>
  <c r="K2645" i="1"/>
  <c r="K2644" i="1"/>
  <c r="K2643" i="1"/>
  <c r="K2642" i="1"/>
  <c r="K2641" i="1"/>
  <c r="K2640" i="1"/>
  <c r="K2639" i="1"/>
  <c r="K2638" i="1"/>
  <c r="K2637" i="1"/>
  <c r="K2636" i="1"/>
  <c r="K2635" i="1"/>
  <c r="K2634" i="1"/>
  <c r="K2633" i="1"/>
  <c r="K2632" i="1"/>
  <c r="K2631" i="1"/>
  <c r="K2630" i="1"/>
  <c r="K2629" i="1"/>
  <c r="K2628" i="1"/>
  <c r="K2627" i="1"/>
  <c r="K2626" i="1"/>
  <c r="K2625" i="1"/>
  <c r="K2624" i="1"/>
  <c r="K2623" i="1"/>
  <c r="K2622" i="1"/>
  <c r="K2621" i="1"/>
  <c r="K2620" i="1"/>
  <c r="K2619" i="1"/>
  <c r="K2618" i="1"/>
  <c r="K2617" i="1"/>
  <c r="K2616" i="1"/>
  <c r="K2615" i="1"/>
  <c r="K2614" i="1"/>
  <c r="K2613" i="1"/>
  <c r="K2612" i="1"/>
  <c r="K2611" i="1"/>
  <c r="K2610" i="1"/>
  <c r="K2609" i="1"/>
  <c r="K2608" i="1"/>
  <c r="K2607" i="1"/>
  <c r="K2606" i="1"/>
  <c r="K2605" i="1"/>
  <c r="K2604" i="1"/>
  <c r="K2603" i="1"/>
  <c r="K2602" i="1"/>
  <c r="K2601" i="1"/>
  <c r="K2600" i="1"/>
  <c r="K2599" i="1"/>
  <c r="K2598" i="1"/>
  <c r="K2597" i="1"/>
  <c r="K2596" i="1"/>
  <c r="K2595" i="1"/>
  <c r="K2594" i="1"/>
  <c r="K2593" i="1"/>
  <c r="K2592" i="1"/>
  <c r="N2592" i="1" s="1"/>
  <c r="K2591" i="1"/>
  <c r="K2590" i="1"/>
  <c r="K2589" i="1"/>
  <c r="K2588" i="1"/>
  <c r="K2587" i="1"/>
  <c r="K2586" i="1"/>
  <c r="K2585" i="1"/>
  <c r="K2584" i="1"/>
  <c r="K2583" i="1"/>
  <c r="K2582" i="1"/>
  <c r="K2581" i="1"/>
  <c r="K2580" i="1"/>
  <c r="K2579" i="1"/>
  <c r="K2578" i="1"/>
  <c r="K2577" i="1"/>
  <c r="K2576" i="1"/>
  <c r="K2575" i="1"/>
  <c r="K2574" i="1"/>
  <c r="K2573" i="1"/>
  <c r="K2572" i="1"/>
  <c r="K2571" i="1"/>
  <c r="K2570" i="1"/>
  <c r="K2569" i="1"/>
  <c r="K2568" i="1"/>
  <c r="K2567" i="1"/>
  <c r="K2566" i="1"/>
  <c r="K2565" i="1"/>
  <c r="K2564" i="1"/>
  <c r="K2563" i="1"/>
  <c r="K2562" i="1"/>
  <c r="K2561" i="1"/>
  <c r="K2560" i="1"/>
  <c r="K2559" i="1"/>
  <c r="K2558" i="1"/>
  <c r="K2557" i="1"/>
  <c r="K2556" i="1"/>
  <c r="K2555" i="1"/>
  <c r="K2554" i="1"/>
  <c r="K2553" i="1"/>
  <c r="K2552" i="1"/>
  <c r="K2551" i="1"/>
  <c r="K2550" i="1"/>
  <c r="K2549" i="1"/>
  <c r="K2548" i="1"/>
  <c r="K2547" i="1"/>
  <c r="K2546" i="1"/>
  <c r="K2545" i="1"/>
  <c r="K2544" i="1"/>
  <c r="K2543" i="1"/>
  <c r="K2542" i="1"/>
  <c r="K2541" i="1"/>
  <c r="K2540" i="1"/>
  <c r="K2539" i="1"/>
  <c r="K2538" i="1"/>
  <c r="K2537" i="1"/>
  <c r="K2536" i="1"/>
  <c r="K2535" i="1"/>
  <c r="K2534" i="1"/>
  <c r="K2533" i="1"/>
  <c r="K2532" i="1"/>
  <c r="K2531" i="1"/>
  <c r="K2530" i="1"/>
  <c r="K2529" i="1"/>
  <c r="K2528" i="1"/>
  <c r="K2527" i="1"/>
  <c r="K2526" i="1"/>
  <c r="K2525" i="1"/>
  <c r="K2524" i="1"/>
  <c r="K2523" i="1"/>
  <c r="K2522" i="1"/>
  <c r="K2521" i="1"/>
  <c r="K2520" i="1"/>
  <c r="K2519" i="1"/>
  <c r="K2518" i="1"/>
  <c r="K2517" i="1"/>
  <c r="K2516" i="1"/>
  <c r="K2515" i="1"/>
  <c r="K2514" i="1"/>
  <c r="K2513" i="1"/>
  <c r="K2512" i="1"/>
  <c r="K2511" i="1"/>
  <c r="K2510" i="1"/>
  <c r="K2509" i="1"/>
  <c r="K2508" i="1"/>
  <c r="K2507" i="1"/>
  <c r="K2506" i="1"/>
  <c r="K2505" i="1"/>
  <c r="K2504" i="1"/>
  <c r="K2503" i="1"/>
  <c r="K2502" i="1"/>
  <c r="K2501" i="1"/>
  <c r="K2500" i="1"/>
  <c r="K2499" i="1"/>
  <c r="K2498" i="1"/>
  <c r="K2497" i="1"/>
  <c r="K2496" i="1"/>
  <c r="K2495" i="1"/>
  <c r="K2494" i="1"/>
  <c r="K2493" i="1"/>
  <c r="K2492" i="1"/>
  <c r="K2491" i="1"/>
  <c r="K2490" i="1"/>
  <c r="K2489" i="1"/>
  <c r="K2488" i="1"/>
  <c r="K2487" i="1"/>
  <c r="K2486" i="1"/>
  <c r="K2485" i="1"/>
  <c r="K2484" i="1"/>
  <c r="K2483" i="1"/>
  <c r="K2482" i="1"/>
  <c r="K2481" i="1"/>
  <c r="K2480" i="1"/>
  <c r="K2479" i="1"/>
  <c r="K2478" i="1"/>
  <c r="K2477" i="1"/>
  <c r="K2476" i="1"/>
  <c r="K2475" i="1"/>
  <c r="K2474" i="1"/>
  <c r="K2473" i="1"/>
  <c r="K2472" i="1"/>
  <c r="K2471" i="1"/>
  <c r="K2470" i="1"/>
  <c r="K2469" i="1"/>
  <c r="K2468" i="1"/>
  <c r="K2467" i="1"/>
  <c r="K2466" i="1"/>
  <c r="K2465" i="1"/>
  <c r="K2464" i="1"/>
  <c r="K2463" i="1"/>
  <c r="K2462" i="1"/>
  <c r="K2461" i="1"/>
  <c r="K2460" i="1"/>
  <c r="K2459" i="1"/>
  <c r="K2458" i="1"/>
  <c r="K2457" i="1"/>
  <c r="K2456" i="1"/>
  <c r="K2455" i="1"/>
  <c r="K2454" i="1"/>
  <c r="K2453" i="1"/>
  <c r="K2452" i="1"/>
  <c r="K2451" i="1"/>
  <c r="K2450" i="1"/>
  <c r="K2449" i="1"/>
  <c r="K2448" i="1"/>
  <c r="K2447" i="1"/>
  <c r="K2446" i="1"/>
  <c r="K2445" i="1"/>
  <c r="K2444" i="1"/>
  <c r="K2443" i="1"/>
  <c r="K2442" i="1"/>
  <c r="K2441" i="1"/>
  <c r="K2440" i="1"/>
  <c r="K2439" i="1"/>
  <c r="K2438" i="1"/>
  <c r="K2437" i="1"/>
  <c r="K2436" i="1"/>
  <c r="K2435" i="1"/>
  <c r="K2434" i="1"/>
  <c r="K2433" i="1"/>
  <c r="K2432" i="1"/>
  <c r="K2431" i="1"/>
  <c r="K2430" i="1"/>
  <c r="K2429" i="1"/>
  <c r="K2428" i="1"/>
  <c r="K2427" i="1"/>
  <c r="K2426" i="1"/>
  <c r="K2425" i="1"/>
  <c r="K2424" i="1"/>
  <c r="K2423" i="1"/>
  <c r="K2422" i="1"/>
  <c r="K2421" i="1"/>
  <c r="K2420" i="1"/>
  <c r="K2419" i="1"/>
  <c r="K2418" i="1"/>
  <c r="K2417" i="1"/>
  <c r="K2416" i="1"/>
  <c r="K2415" i="1"/>
  <c r="K2414" i="1"/>
  <c r="K2413" i="1"/>
  <c r="K2412" i="1"/>
  <c r="K2411" i="1"/>
  <c r="K2410" i="1"/>
  <c r="K2409" i="1"/>
  <c r="K2408" i="1"/>
  <c r="K2407" i="1"/>
  <c r="K2406" i="1"/>
  <c r="K2405" i="1"/>
  <c r="K2404" i="1"/>
  <c r="K2403" i="1"/>
  <c r="K2402" i="1"/>
  <c r="K2401" i="1"/>
  <c r="K2400" i="1"/>
  <c r="K2399" i="1"/>
  <c r="K2398" i="1"/>
  <c r="K2397" i="1"/>
  <c r="K2396" i="1"/>
  <c r="K2395" i="1"/>
  <c r="K2394" i="1"/>
  <c r="K2393" i="1"/>
  <c r="K2392" i="1"/>
  <c r="K2391" i="1"/>
  <c r="K2390" i="1"/>
  <c r="K2389" i="1"/>
  <c r="K2388" i="1"/>
  <c r="K2387" i="1"/>
  <c r="K2386" i="1"/>
  <c r="K2385" i="1"/>
  <c r="K2384" i="1"/>
  <c r="K2383" i="1"/>
  <c r="K2382" i="1"/>
  <c r="K2381" i="1"/>
  <c r="K2380" i="1"/>
  <c r="K2379" i="1"/>
  <c r="K2378" i="1"/>
  <c r="K2377" i="1"/>
  <c r="K2376" i="1"/>
  <c r="K2375" i="1"/>
  <c r="K2374" i="1"/>
  <c r="K2373" i="1"/>
  <c r="K2372" i="1"/>
  <c r="K2371" i="1"/>
  <c r="K2370" i="1"/>
  <c r="K2369" i="1"/>
  <c r="K2368" i="1"/>
  <c r="K2367" i="1"/>
  <c r="K2366" i="1"/>
  <c r="K2365" i="1"/>
  <c r="K2364" i="1"/>
  <c r="K2363" i="1"/>
  <c r="K2362" i="1"/>
  <c r="K2361" i="1"/>
  <c r="K2360" i="1"/>
  <c r="K2359" i="1"/>
  <c r="K2358" i="1"/>
  <c r="K2357" i="1"/>
  <c r="K2356" i="1"/>
  <c r="K2355" i="1"/>
  <c r="K2354" i="1"/>
  <c r="K2353" i="1"/>
  <c r="K2352" i="1"/>
  <c r="K2351" i="1"/>
  <c r="K2350" i="1"/>
  <c r="K2349" i="1"/>
  <c r="K2348" i="1"/>
  <c r="K2347" i="1"/>
  <c r="K2346" i="1"/>
  <c r="K2345" i="1"/>
  <c r="K2344" i="1"/>
  <c r="K2343" i="1"/>
  <c r="K2342" i="1"/>
  <c r="K2341" i="1"/>
  <c r="K2340" i="1"/>
  <c r="K2339" i="1"/>
  <c r="K2338" i="1"/>
  <c r="K2337" i="1"/>
  <c r="K2336" i="1"/>
  <c r="K2335" i="1"/>
  <c r="K2334" i="1"/>
  <c r="K2333" i="1"/>
  <c r="K2332" i="1"/>
  <c r="K2331" i="1"/>
  <c r="K2330" i="1"/>
  <c r="K2329" i="1"/>
  <c r="K2328" i="1"/>
  <c r="K2327" i="1"/>
  <c r="K2326" i="1"/>
  <c r="K2325" i="1"/>
  <c r="K2324" i="1"/>
  <c r="K2323" i="1"/>
  <c r="K2322" i="1"/>
  <c r="K2321" i="1"/>
  <c r="K2320" i="1"/>
  <c r="K2319" i="1"/>
  <c r="K2318" i="1"/>
  <c r="K2317" i="1"/>
  <c r="K2316" i="1"/>
  <c r="K2315" i="1"/>
  <c r="K2314" i="1"/>
  <c r="K2313" i="1"/>
  <c r="K2312" i="1"/>
  <c r="K2311" i="1"/>
  <c r="K2310" i="1"/>
  <c r="K2309" i="1"/>
  <c r="K2308" i="1"/>
  <c r="K2307" i="1"/>
  <c r="K2306" i="1"/>
  <c r="K2305" i="1"/>
  <c r="K2304" i="1"/>
  <c r="K2303" i="1"/>
  <c r="K2302" i="1"/>
  <c r="K2301" i="1"/>
  <c r="K2300" i="1"/>
  <c r="K2299" i="1"/>
  <c r="K2298" i="1"/>
  <c r="K2297" i="1"/>
  <c r="K2296" i="1"/>
  <c r="K2295" i="1"/>
  <c r="K2294" i="1"/>
  <c r="K2293" i="1"/>
  <c r="K2292" i="1"/>
  <c r="K2291" i="1"/>
  <c r="K2290" i="1"/>
  <c r="K2289" i="1"/>
  <c r="K2288" i="1"/>
  <c r="K2287" i="1"/>
  <c r="K2286" i="1"/>
  <c r="K2285" i="1"/>
  <c r="K2284" i="1"/>
  <c r="K2283" i="1"/>
  <c r="K2282" i="1"/>
  <c r="K2281" i="1"/>
  <c r="K2280" i="1"/>
  <c r="K2279" i="1"/>
  <c r="K2278" i="1"/>
  <c r="K2277" i="1"/>
  <c r="K2276" i="1"/>
  <c r="K2275" i="1"/>
  <c r="K2274" i="1"/>
  <c r="K2273" i="1"/>
  <c r="K2272" i="1"/>
  <c r="K2271" i="1"/>
  <c r="K2270" i="1"/>
  <c r="K2269" i="1"/>
  <c r="K2268" i="1"/>
  <c r="K2267" i="1"/>
  <c r="K2266" i="1"/>
  <c r="K2265" i="1"/>
  <c r="K2264" i="1"/>
  <c r="K2263" i="1"/>
  <c r="K2262" i="1"/>
  <c r="K2261" i="1"/>
  <c r="K2260" i="1"/>
  <c r="K2259" i="1"/>
  <c r="K2258" i="1"/>
  <c r="K2257" i="1"/>
  <c r="K2256" i="1"/>
  <c r="K2255" i="1"/>
  <c r="K2254" i="1"/>
  <c r="K2253" i="1"/>
  <c r="K2252" i="1"/>
  <c r="K2251" i="1"/>
  <c r="K2250" i="1"/>
  <c r="K2249" i="1"/>
  <c r="K2248" i="1"/>
  <c r="K2247" i="1"/>
  <c r="K2246" i="1"/>
  <c r="K2245" i="1"/>
  <c r="K2244" i="1"/>
  <c r="K2243" i="1"/>
  <c r="K2242" i="1"/>
  <c r="K2241" i="1"/>
  <c r="K2240" i="1"/>
  <c r="K2239" i="1"/>
  <c r="K2238" i="1"/>
  <c r="K2237" i="1"/>
  <c r="K2236" i="1"/>
  <c r="K2235" i="1"/>
  <c r="K2234" i="1"/>
  <c r="K2233" i="1"/>
  <c r="K2232" i="1"/>
  <c r="K2231" i="1"/>
  <c r="K2230" i="1"/>
  <c r="K2229" i="1"/>
  <c r="K2228" i="1"/>
  <c r="K2227" i="1"/>
  <c r="K2226" i="1"/>
  <c r="K2225" i="1"/>
  <c r="K2224" i="1"/>
  <c r="K2223" i="1"/>
  <c r="K2222" i="1"/>
  <c r="K2221" i="1"/>
  <c r="K2220" i="1"/>
  <c r="K2219" i="1"/>
  <c r="K2218" i="1"/>
  <c r="K2217" i="1"/>
  <c r="K2216" i="1"/>
  <c r="K2215" i="1"/>
  <c r="K2214" i="1"/>
  <c r="K2213" i="1"/>
  <c r="K2212" i="1"/>
  <c r="K2211" i="1"/>
  <c r="K2210" i="1"/>
  <c r="K2209" i="1"/>
  <c r="K2208" i="1"/>
  <c r="K2207" i="1"/>
  <c r="K2206" i="1"/>
  <c r="K2205" i="1"/>
  <c r="K2204" i="1"/>
  <c r="K2203" i="1"/>
  <c r="K2202" i="1"/>
  <c r="K2201" i="1"/>
  <c r="K2200" i="1"/>
  <c r="K2199" i="1"/>
  <c r="K2198" i="1"/>
  <c r="K2197" i="1"/>
  <c r="K2196" i="1"/>
  <c r="K2195" i="1"/>
  <c r="K2194" i="1"/>
  <c r="K2193" i="1"/>
  <c r="K2192" i="1"/>
  <c r="K2191" i="1"/>
  <c r="K2190" i="1"/>
  <c r="K2189" i="1"/>
  <c r="K2188" i="1"/>
  <c r="K2187" i="1"/>
  <c r="K2186" i="1"/>
  <c r="K2185" i="1"/>
  <c r="K2184" i="1"/>
  <c r="K2183" i="1"/>
  <c r="K2182" i="1"/>
  <c r="K2181" i="1"/>
  <c r="K2180" i="1"/>
  <c r="K2179" i="1"/>
  <c r="K2178" i="1"/>
  <c r="K2177" i="1"/>
  <c r="K2176" i="1"/>
  <c r="K2175" i="1"/>
  <c r="K2174" i="1"/>
  <c r="K2173" i="1"/>
  <c r="K2172" i="1"/>
  <c r="K2171" i="1"/>
  <c r="K2170" i="1"/>
  <c r="K2169" i="1"/>
  <c r="K2168" i="1"/>
  <c r="K2167" i="1"/>
  <c r="K2166" i="1"/>
  <c r="K2165" i="1"/>
  <c r="K2164" i="1"/>
  <c r="K2163" i="1"/>
  <c r="K2162" i="1"/>
  <c r="K2161" i="1"/>
  <c r="K2160" i="1"/>
  <c r="K2159" i="1"/>
  <c r="K2158" i="1"/>
  <c r="K2157" i="1"/>
  <c r="K2156" i="1"/>
  <c r="K2155" i="1"/>
  <c r="K2154" i="1"/>
  <c r="K2153" i="1"/>
  <c r="K2152" i="1"/>
  <c r="K2151" i="1"/>
  <c r="K2150" i="1"/>
  <c r="K2149" i="1"/>
  <c r="K2148" i="1"/>
  <c r="K2147" i="1"/>
  <c r="K2146" i="1"/>
  <c r="K2145" i="1"/>
  <c r="K2144" i="1"/>
  <c r="K2143" i="1"/>
  <c r="K2142" i="1"/>
  <c r="K2141" i="1"/>
  <c r="K2140" i="1"/>
  <c r="K2139" i="1"/>
  <c r="K2138" i="1"/>
  <c r="K2137" i="1"/>
  <c r="K2136" i="1"/>
  <c r="K2135" i="1"/>
  <c r="K2134" i="1"/>
  <c r="K2133" i="1"/>
  <c r="K2132" i="1"/>
  <c r="K2131" i="1"/>
  <c r="K2130" i="1"/>
  <c r="K2129" i="1"/>
  <c r="K2128" i="1"/>
  <c r="K2127" i="1"/>
  <c r="K2126" i="1"/>
  <c r="K2125" i="1"/>
  <c r="K2124" i="1"/>
  <c r="K2123" i="1"/>
  <c r="K2122" i="1"/>
  <c r="K2121" i="1"/>
  <c r="K2120" i="1"/>
  <c r="K2119" i="1"/>
  <c r="K2118" i="1"/>
  <c r="K2117" i="1"/>
  <c r="K2116" i="1"/>
  <c r="K2115" i="1"/>
  <c r="K2114" i="1"/>
  <c r="K2113" i="1"/>
  <c r="K2112" i="1"/>
  <c r="K2111" i="1"/>
  <c r="K2110" i="1"/>
  <c r="K2109" i="1"/>
  <c r="K2108" i="1"/>
  <c r="K2107" i="1"/>
  <c r="K2106" i="1"/>
  <c r="K2105" i="1"/>
  <c r="K2104" i="1"/>
  <c r="K2103" i="1"/>
  <c r="K2102" i="1"/>
  <c r="K2101" i="1"/>
  <c r="K2100" i="1"/>
  <c r="K2099" i="1"/>
  <c r="K2098" i="1"/>
  <c r="K2097" i="1"/>
  <c r="K2096" i="1"/>
  <c r="K2095" i="1"/>
  <c r="K2094" i="1"/>
  <c r="K2093" i="1"/>
  <c r="K2092" i="1"/>
  <c r="K2091" i="1"/>
  <c r="K2090" i="1"/>
  <c r="K2089" i="1"/>
  <c r="K2088" i="1"/>
  <c r="K2087" i="1"/>
  <c r="K2086" i="1"/>
  <c r="K2085" i="1"/>
  <c r="K2084" i="1"/>
  <c r="K2083" i="1"/>
  <c r="K2082" i="1"/>
  <c r="K2081" i="1"/>
  <c r="K2080" i="1"/>
  <c r="K2079" i="1"/>
  <c r="K2078" i="1"/>
  <c r="K2077" i="1"/>
  <c r="K2076" i="1"/>
  <c r="K2075" i="1"/>
  <c r="K2074" i="1"/>
  <c r="K2073" i="1"/>
  <c r="K2072" i="1"/>
  <c r="K2071" i="1"/>
  <c r="K2070" i="1"/>
  <c r="K2069" i="1"/>
  <c r="K2068" i="1"/>
  <c r="K2067" i="1"/>
  <c r="K2066" i="1"/>
  <c r="K2065" i="1"/>
  <c r="K2064" i="1"/>
  <c r="K2063" i="1"/>
  <c r="K2062" i="1"/>
  <c r="K2061" i="1"/>
  <c r="K2060" i="1"/>
  <c r="K2059" i="1"/>
  <c r="K2058" i="1"/>
  <c r="K2057" i="1"/>
  <c r="K2056" i="1"/>
  <c r="K2055" i="1"/>
  <c r="K2054" i="1"/>
  <c r="K2053" i="1"/>
  <c r="K2052" i="1"/>
  <c r="K2051" i="1"/>
  <c r="K2050" i="1"/>
  <c r="K2049" i="1"/>
  <c r="K2048" i="1"/>
  <c r="K2047" i="1"/>
  <c r="K2046" i="1"/>
  <c r="K2045" i="1"/>
  <c r="K2044" i="1"/>
  <c r="K2043" i="1"/>
  <c r="K2042" i="1"/>
  <c r="K2041" i="1"/>
  <c r="K2040" i="1"/>
  <c r="K2039" i="1"/>
  <c r="K2038" i="1"/>
  <c r="K2037" i="1"/>
  <c r="K2036" i="1"/>
  <c r="K2035" i="1"/>
  <c r="K2034" i="1"/>
  <c r="K2033" i="1"/>
  <c r="K2032" i="1"/>
  <c r="K2031" i="1"/>
  <c r="K2030" i="1"/>
  <c r="K2029" i="1"/>
  <c r="K2028" i="1"/>
  <c r="K2027" i="1"/>
  <c r="K2026" i="1"/>
  <c r="K2025" i="1"/>
  <c r="K2024" i="1"/>
  <c r="K2023" i="1"/>
  <c r="K2022" i="1"/>
  <c r="K2021" i="1"/>
  <c r="K2020" i="1"/>
  <c r="K2019" i="1"/>
  <c r="K2018" i="1"/>
  <c r="K2017" i="1"/>
  <c r="K2016" i="1"/>
  <c r="K2015" i="1"/>
  <c r="K2014" i="1"/>
  <c r="K2013" i="1"/>
  <c r="K2012" i="1"/>
  <c r="K2011" i="1"/>
  <c r="K2010" i="1"/>
  <c r="K2009" i="1"/>
  <c r="K2008" i="1"/>
  <c r="K2007" i="1"/>
  <c r="K2006" i="1"/>
  <c r="K2005" i="1"/>
  <c r="K2004" i="1"/>
  <c r="K2003" i="1"/>
  <c r="K2002" i="1"/>
  <c r="K2001" i="1"/>
  <c r="K2000" i="1"/>
  <c r="K1999" i="1"/>
  <c r="K1998" i="1"/>
  <c r="K1997" i="1"/>
  <c r="K1996" i="1"/>
  <c r="K1995" i="1"/>
  <c r="K1994" i="1"/>
  <c r="K1993" i="1"/>
  <c r="K1992" i="1"/>
  <c r="K1991" i="1"/>
  <c r="K1990" i="1"/>
  <c r="K1989" i="1"/>
  <c r="K1988" i="1"/>
  <c r="K1987" i="1"/>
  <c r="K1986" i="1"/>
  <c r="K1985" i="1"/>
  <c r="K1984" i="1"/>
  <c r="K1983" i="1"/>
  <c r="K1982" i="1"/>
  <c r="K1981" i="1"/>
  <c r="K1980" i="1"/>
  <c r="K1979" i="1"/>
  <c r="K1978" i="1"/>
  <c r="K1977" i="1"/>
  <c r="K1976" i="1"/>
  <c r="K1975" i="1"/>
  <c r="K1974" i="1"/>
  <c r="K1973" i="1"/>
  <c r="K1972" i="1"/>
  <c r="K1971" i="1"/>
  <c r="K1970" i="1"/>
  <c r="K1969" i="1"/>
  <c r="K1968" i="1"/>
  <c r="K1967" i="1"/>
  <c r="K1966" i="1"/>
  <c r="K1965" i="1"/>
  <c r="K1964" i="1"/>
  <c r="K1963" i="1"/>
  <c r="K1962" i="1"/>
  <c r="K1961" i="1"/>
  <c r="K1960" i="1"/>
  <c r="K1959" i="1"/>
  <c r="K1958" i="1"/>
  <c r="K1957" i="1"/>
  <c r="K1956" i="1"/>
  <c r="K1955" i="1"/>
  <c r="K1954" i="1"/>
  <c r="K1953" i="1"/>
  <c r="K1952" i="1"/>
  <c r="K1951" i="1"/>
  <c r="K1950" i="1"/>
  <c r="K1949" i="1"/>
  <c r="K1948" i="1"/>
  <c r="K1947" i="1"/>
  <c r="K1946" i="1"/>
  <c r="K1945" i="1"/>
  <c r="K1944" i="1"/>
  <c r="K1943" i="1"/>
  <c r="K1942" i="1"/>
  <c r="K1941" i="1"/>
  <c r="K1940" i="1"/>
  <c r="K1939" i="1"/>
  <c r="K1938" i="1"/>
  <c r="K1937" i="1"/>
  <c r="K1936" i="1"/>
  <c r="K1935" i="1"/>
  <c r="K1934" i="1"/>
  <c r="K1933" i="1"/>
  <c r="K1932" i="1"/>
  <c r="K1931" i="1"/>
  <c r="K1930" i="1"/>
  <c r="K1929" i="1"/>
  <c r="K1928" i="1"/>
  <c r="K1927" i="1"/>
  <c r="K1926" i="1"/>
  <c r="K1925" i="1"/>
  <c r="K1924" i="1"/>
  <c r="K1923" i="1"/>
  <c r="K1922" i="1"/>
  <c r="K1921" i="1"/>
  <c r="K1920" i="1"/>
  <c r="K1919" i="1"/>
  <c r="K1918" i="1"/>
  <c r="K1917" i="1"/>
  <c r="K1916" i="1"/>
  <c r="K1915" i="1"/>
  <c r="K1914" i="1"/>
  <c r="K1913" i="1"/>
  <c r="K1912" i="1"/>
  <c r="K1911" i="1"/>
  <c r="K1910" i="1"/>
  <c r="K1909" i="1"/>
  <c r="K1908" i="1"/>
  <c r="K1907" i="1"/>
  <c r="K1906" i="1"/>
  <c r="K1905" i="1"/>
  <c r="K1904" i="1"/>
  <c r="K1903" i="1"/>
  <c r="K1902" i="1"/>
  <c r="K1901" i="1"/>
  <c r="K1900" i="1"/>
  <c r="K1899" i="1"/>
  <c r="K1898" i="1"/>
  <c r="K1897" i="1"/>
  <c r="K1896" i="1"/>
  <c r="K1895" i="1"/>
  <c r="K1894" i="1"/>
  <c r="K1893" i="1"/>
  <c r="K1892" i="1"/>
  <c r="K1891" i="1"/>
  <c r="K1890" i="1"/>
  <c r="K1889" i="1"/>
  <c r="K1888" i="1"/>
  <c r="K1887" i="1"/>
  <c r="K1886" i="1"/>
  <c r="K1885" i="1"/>
  <c r="K1884" i="1"/>
  <c r="K1883" i="1"/>
  <c r="K1882" i="1"/>
  <c r="K1881" i="1"/>
  <c r="K1880" i="1"/>
  <c r="K1879" i="1"/>
  <c r="K1878" i="1"/>
  <c r="K1877" i="1"/>
  <c r="K1876" i="1"/>
  <c r="K1875" i="1"/>
  <c r="K1874" i="1"/>
  <c r="K1873" i="1"/>
  <c r="K1872" i="1"/>
  <c r="K1871" i="1"/>
  <c r="K1870" i="1"/>
  <c r="K1869" i="1"/>
  <c r="K1868" i="1"/>
  <c r="K1867" i="1"/>
  <c r="K1866" i="1"/>
  <c r="K1865" i="1"/>
  <c r="K1864" i="1"/>
  <c r="K1863" i="1"/>
  <c r="K1862" i="1"/>
  <c r="K1861" i="1"/>
  <c r="K1860" i="1"/>
  <c r="K1859" i="1"/>
  <c r="K1858" i="1"/>
  <c r="K1857" i="1"/>
  <c r="K1856" i="1"/>
  <c r="K1855" i="1"/>
  <c r="K1854" i="1"/>
  <c r="K1853" i="1"/>
  <c r="K1852" i="1"/>
  <c r="K1851" i="1"/>
  <c r="K1850" i="1"/>
  <c r="K1849" i="1"/>
  <c r="K1848" i="1"/>
  <c r="K1847" i="1"/>
  <c r="K1846" i="1"/>
  <c r="K1845" i="1"/>
  <c r="K1844" i="1"/>
  <c r="K1843" i="1"/>
  <c r="K1842" i="1"/>
  <c r="K1841" i="1"/>
  <c r="K1840" i="1"/>
  <c r="K1839" i="1"/>
  <c r="K1838" i="1"/>
  <c r="K1837" i="1"/>
  <c r="K1836" i="1"/>
  <c r="K1835" i="1"/>
  <c r="K1834" i="1"/>
  <c r="K1833" i="1"/>
  <c r="K1832" i="1"/>
  <c r="K1831" i="1"/>
  <c r="K1830" i="1"/>
  <c r="K1829" i="1"/>
  <c r="K1828" i="1"/>
  <c r="K1827" i="1"/>
  <c r="K1826" i="1"/>
  <c r="K1825" i="1"/>
  <c r="K1824" i="1"/>
  <c r="K1823" i="1"/>
  <c r="K1822" i="1"/>
  <c r="K1821" i="1"/>
  <c r="K1820" i="1"/>
  <c r="K1819" i="1"/>
  <c r="K1818" i="1"/>
  <c r="K1817" i="1"/>
  <c r="K1816" i="1"/>
  <c r="K1815" i="1"/>
  <c r="K1814" i="1"/>
  <c r="K1813" i="1"/>
  <c r="K1812" i="1"/>
  <c r="K1811" i="1"/>
  <c r="K1810" i="1"/>
  <c r="K1809" i="1"/>
  <c r="K1808" i="1"/>
  <c r="K1807" i="1"/>
  <c r="K1806" i="1"/>
  <c r="K1805" i="1"/>
  <c r="K1804" i="1"/>
  <c r="K1803" i="1"/>
  <c r="K1802" i="1"/>
  <c r="K1801" i="1"/>
  <c r="K1800" i="1"/>
  <c r="K1799" i="1"/>
  <c r="K1798" i="1"/>
  <c r="K1797" i="1"/>
  <c r="K1796" i="1"/>
  <c r="K1795" i="1"/>
  <c r="K1794" i="1"/>
  <c r="K1793" i="1"/>
  <c r="K1792" i="1"/>
  <c r="K1791" i="1"/>
  <c r="K1790" i="1"/>
  <c r="K1789" i="1"/>
  <c r="K1788" i="1"/>
  <c r="K1787" i="1"/>
  <c r="K1786" i="1"/>
  <c r="K1785" i="1"/>
  <c r="K1784" i="1"/>
  <c r="K1783" i="1"/>
  <c r="K1782" i="1"/>
  <c r="K1781" i="1"/>
  <c r="K1780" i="1"/>
  <c r="K1779" i="1"/>
  <c r="K1778" i="1"/>
  <c r="K1777" i="1"/>
  <c r="K1776" i="1"/>
  <c r="K1775" i="1"/>
  <c r="K1774" i="1"/>
  <c r="K1773" i="1"/>
  <c r="K1772" i="1"/>
  <c r="K1771" i="1"/>
  <c r="K1770" i="1"/>
  <c r="K1769" i="1"/>
  <c r="K1768" i="1"/>
  <c r="K1767" i="1"/>
  <c r="K1766" i="1"/>
  <c r="K1765" i="1"/>
  <c r="K1764" i="1"/>
  <c r="K1763" i="1"/>
  <c r="K1762" i="1"/>
  <c r="K1761" i="1"/>
  <c r="K1760" i="1"/>
  <c r="K1759" i="1"/>
  <c r="K1758" i="1"/>
  <c r="K1757" i="1"/>
  <c r="K1756" i="1"/>
  <c r="K1755" i="1"/>
  <c r="K1754" i="1"/>
  <c r="K1753" i="1"/>
  <c r="K1752" i="1"/>
  <c r="K1751" i="1"/>
  <c r="K1750" i="1"/>
  <c r="K1749" i="1"/>
  <c r="K1748" i="1"/>
  <c r="K1747" i="1"/>
  <c r="K1746" i="1"/>
  <c r="K1745" i="1"/>
  <c r="K1744" i="1"/>
  <c r="K1743" i="1"/>
  <c r="K1742" i="1"/>
  <c r="K1741" i="1"/>
  <c r="K1740" i="1"/>
  <c r="K1739" i="1"/>
  <c r="K1738" i="1"/>
  <c r="K1737" i="1"/>
  <c r="K1736" i="1"/>
  <c r="K1735" i="1"/>
  <c r="K1734" i="1"/>
  <c r="K1733" i="1"/>
  <c r="K1732" i="1"/>
  <c r="K1731" i="1"/>
  <c r="K1730" i="1"/>
  <c r="K1729" i="1"/>
  <c r="K1728" i="1"/>
  <c r="K1727" i="1"/>
  <c r="K1726" i="1"/>
  <c r="K1725" i="1"/>
  <c r="K1724" i="1"/>
  <c r="K1723" i="1"/>
  <c r="K1722" i="1"/>
  <c r="K1721" i="1"/>
  <c r="K1720" i="1"/>
  <c r="K1719" i="1"/>
  <c r="K1718" i="1"/>
  <c r="K1717" i="1"/>
  <c r="K1716" i="1"/>
  <c r="K1715" i="1"/>
  <c r="K1714" i="1"/>
  <c r="K1713" i="1"/>
  <c r="K1712" i="1"/>
  <c r="K1711" i="1"/>
  <c r="K1710" i="1"/>
  <c r="K1709" i="1"/>
  <c r="K1708" i="1"/>
  <c r="K1707" i="1"/>
  <c r="K1706" i="1"/>
  <c r="K1705" i="1"/>
  <c r="K1704" i="1"/>
  <c r="K1703" i="1"/>
  <c r="K1702" i="1"/>
  <c r="K1701" i="1"/>
  <c r="K1700" i="1"/>
  <c r="K1699" i="1"/>
  <c r="K1698" i="1"/>
  <c r="K1697" i="1"/>
  <c r="K1696" i="1"/>
  <c r="K1695" i="1"/>
  <c r="K1694" i="1"/>
  <c r="K1693" i="1"/>
  <c r="K1692" i="1"/>
  <c r="K1691" i="1"/>
  <c r="K1690" i="1"/>
  <c r="K1689" i="1"/>
  <c r="K1688" i="1"/>
  <c r="K1687" i="1"/>
  <c r="K1686" i="1"/>
  <c r="K1685" i="1"/>
  <c r="K1684" i="1"/>
  <c r="K1683" i="1"/>
  <c r="K1682" i="1"/>
  <c r="K1681" i="1"/>
  <c r="K1680" i="1"/>
  <c r="K1679" i="1"/>
  <c r="K1678" i="1"/>
  <c r="K1677" i="1"/>
  <c r="K1676" i="1"/>
  <c r="K1675" i="1"/>
  <c r="K1674" i="1"/>
  <c r="K1673" i="1"/>
  <c r="K1672" i="1"/>
  <c r="K1671" i="1"/>
  <c r="K1670" i="1"/>
  <c r="K1669" i="1"/>
  <c r="K1668" i="1"/>
  <c r="K1667" i="1"/>
  <c r="K1666" i="1"/>
  <c r="K1665" i="1"/>
  <c r="K1664" i="1"/>
  <c r="K1663" i="1"/>
  <c r="K1662" i="1"/>
  <c r="K1661" i="1"/>
  <c r="K1660" i="1"/>
  <c r="K1659" i="1"/>
  <c r="K1658" i="1"/>
  <c r="K1657" i="1"/>
  <c r="K1656" i="1"/>
  <c r="K1655" i="1"/>
  <c r="K1654" i="1"/>
  <c r="K1653" i="1"/>
  <c r="K1652" i="1"/>
  <c r="K1651" i="1"/>
  <c r="K1650" i="1"/>
  <c r="K1649" i="1"/>
  <c r="K1648" i="1"/>
  <c r="K1647" i="1"/>
  <c r="K1646" i="1"/>
  <c r="K1645" i="1"/>
  <c r="K1644" i="1"/>
  <c r="K1643" i="1"/>
  <c r="K1642" i="1"/>
  <c r="K1641" i="1"/>
  <c r="K1640" i="1"/>
  <c r="K1639" i="1"/>
  <c r="K1638" i="1"/>
  <c r="K1637" i="1"/>
  <c r="K1636" i="1"/>
  <c r="K1635" i="1"/>
  <c r="K1634" i="1"/>
  <c r="K1633" i="1"/>
  <c r="K1632" i="1"/>
  <c r="K1631" i="1"/>
  <c r="K1630" i="1"/>
  <c r="K1629" i="1"/>
  <c r="K1628" i="1"/>
  <c r="K1627" i="1"/>
  <c r="K1626" i="1"/>
  <c r="K1625" i="1"/>
  <c r="K1624" i="1"/>
  <c r="K1623" i="1"/>
  <c r="K1622" i="1"/>
  <c r="K1621" i="1"/>
  <c r="K1620" i="1"/>
  <c r="K1619" i="1"/>
  <c r="K1618" i="1"/>
  <c r="K1617" i="1"/>
  <c r="K1616" i="1"/>
  <c r="K1615" i="1"/>
  <c r="K1614" i="1"/>
  <c r="K1613" i="1"/>
  <c r="K1612" i="1"/>
  <c r="K1611" i="1"/>
  <c r="K1610" i="1"/>
  <c r="K1609" i="1"/>
  <c r="K1608" i="1"/>
  <c r="K1607" i="1"/>
  <c r="K1606" i="1"/>
  <c r="K1605" i="1"/>
  <c r="K1604" i="1"/>
  <c r="K1603" i="1"/>
  <c r="K1602" i="1"/>
  <c r="K1601" i="1"/>
  <c r="K1600" i="1"/>
  <c r="K1599" i="1"/>
  <c r="K1598" i="1"/>
  <c r="K1597" i="1"/>
  <c r="K1596" i="1"/>
  <c r="K1595" i="1"/>
  <c r="K1594" i="1"/>
  <c r="K1593" i="1"/>
  <c r="K1592" i="1"/>
  <c r="K1591" i="1"/>
  <c r="K1590" i="1"/>
  <c r="K1589" i="1"/>
  <c r="K1588" i="1"/>
  <c r="K1587" i="1"/>
  <c r="K1586" i="1"/>
  <c r="K1585" i="1"/>
  <c r="K1584" i="1"/>
  <c r="K1583" i="1"/>
  <c r="K1582" i="1"/>
  <c r="K1581" i="1"/>
  <c r="K1580" i="1"/>
  <c r="K1579" i="1"/>
  <c r="K1578" i="1"/>
  <c r="K1577" i="1"/>
  <c r="K1576" i="1"/>
  <c r="K1575" i="1"/>
  <c r="K1574" i="1"/>
  <c r="K1573" i="1"/>
  <c r="K1572" i="1"/>
  <c r="K1571" i="1"/>
  <c r="K1570" i="1"/>
  <c r="K1569" i="1"/>
  <c r="K1568" i="1"/>
  <c r="K1567" i="1"/>
  <c r="K1566" i="1"/>
  <c r="K1565" i="1"/>
  <c r="K1564" i="1"/>
  <c r="K1563" i="1"/>
  <c r="K1562" i="1"/>
  <c r="K1561" i="1"/>
  <c r="K1560" i="1"/>
  <c r="K1559" i="1"/>
  <c r="K1558" i="1"/>
  <c r="K1557" i="1"/>
  <c r="K1556" i="1"/>
  <c r="K1555" i="1"/>
  <c r="K1554" i="1"/>
  <c r="K1553" i="1"/>
  <c r="K1552" i="1"/>
  <c r="K1551" i="1"/>
  <c r="K1550" i="1"/>
  <c r="K1549" i="1"/>
  <c r="K1548" i="1"/>
  <c r="K1547" i="1"/>
  <c r="K1546" i="1"/>
  <c r="K1545" i="1"/>
  <c r="K1544" i="1"/>
  <c r="K1543" i="1"/>
  <c r="K1542" i="1"/>
  <c r="K1541" i="1"/>
  <c r="K1540" i="1"/>
  <c r="K1539" i="1"/>
  <c r="K1538" i="1"/>
  <c r="K1537" i="1"/>
  <c r="K1536" i="1"/>
  <c r="K1535" i="1"/>
  <c r="K1534" i="1"/>
  <c r="K1533" i="1"/>
  <c r="K1532" i="1"/>
  <c r="K1531" i="1"/>
  <c r="K1530" i="1"/>
  <c r="K1529" i="1"/>
  <c r="K1528" i="1"/>
  <c r="K1527" i="1"/>
  <c r="K1526" i="1"/>
  <c r="K1525" i="1"/>
  <c r="K1524" i="1"/>
  <c r="K1523" i="1"/>
  <c r="K1522" i="1"/>
  <c r="K1521" i="1"/>
  <c r="K1520" i="1"/>
  <c r="K1519" i="1"/>
  <c r="K1518" i="1"/>
  <c r="K1517" i="1"/>
  <c r="K1516" i="1"/>
  <c r="K1515" i="1"/>
  <c r="K1514" i="1"/>
  <c r="K1513" i="1"/>
  <c r="K1512" i="1"/>
  <c r="K1511" i="1"/>
  <c r="K1510" i="1"/>
  <c r="K1509" i="1"/>
  <c r="K1508" i="1"/>
  <c r="K1507" i="1"/>
  <c r="K1506" i="1"/>
  <c r="K1505" i="1"/>
  <c r="K1504" i="1"/>
  <c r="K1503" i="1"/>
  <c r="K1502" i="1"/>
  <c r="K1501" i="1"/>
  <c r="K1500" i="1"/>
  <c r="K1499" i="1"/>
  <c r="K1498" i="1"/>
  <c r="K1497" i="1"/>
  <c r="K1496" i="1"/>
  <c r="K1495" i="1"/>
  <c r="K1494" i="1"/>
  <c r="K1493" i="1"/>
  <c r="K1492" i="1"/>
  <c r="K1491" i="1"/>
  <c r="K1490" i="1"/>
  <c r="K1489" i="1"/>
  <c r="K1488" i="1"/>
  <c r="K1487" i="1"/>
  <c r="K1486" i="1"/>
  <c r="K1485" i="1"/>
  <c r="K1484" i="1"/>
  <c r="K1483" i="1"/>
  <c r="K1482" i="1"/>
  <c r="K1481" i="1"/>
  <c r="K1480" i="1"/>
  <c r="K1479" i="1"/>
  <c r="K1478" i="1"/>
  <c r="K1477" i="1"/>
  <c r="K1476" i="1"/>
  <c r="K1475" i="1"/>
  <c r="K1474" i="1"/>
  <c r="K1473" i="1"/>
  <c r="K1472" i="1"/>
  <c r="K1471" i="1"/>
  <c r="K1470" i="1"/>
  <c r="K1469" i="1"/>
  <c r="K1468" i="1"/>
  <c r="K1467" i="1"/>
  <c r="K1466" i="1"/>
  <c r="K1465" i="1"/>
  <c r="K1464" i="1"/>
  <c r="K1463" i="1"/>
  <c r="K1462" i="1"/>
  <c r="K1461" i="1"/>
  <c r="K1460" i="1"/>
  <c r="K1459" i="1"/>
  <c r="K1458" i="1"/>
  <c r="K1457" i="1"/>
  <c r="K1456" i="1"/>
  <c r="K1455" i="1"/>
  <c r="K1454" i="1"/>
  <c r="K1453" i="1"/>
  <c r="K1452" i="1"/>
  <c r="K1451" i="1"/>
  <c r="K1450" i="1"/>
  <c r="K1449" i="1"/>
  <c r="K1448" i="1"/>
  <c r="K1447" i="1"/>
  <c r="K1446" i="1"/>
  <c r="K1445" i="1"/>
  <c r="K1444" i="1"/>
  <c r="K1443" i="1"/>
  <c r="K1442" i="1"/>
  <c r="K1441" i="1"/>
  <c r="K1440" i="1"/>
  <c r="K1439" i="1"/>
  <c r="K1438" i="1"/>
  <c r="K1437" i="1"/>
  <c r="K1436" i="1"/>
  <c r="K1435" i="1"/>
  <c r="K1434" i="1"/>
  <c r="K1433" i="1"/>
  <c r="K1432" i="1"/>
  <c r="K1431" i="1"/>
  <c r="K1430" i="1"/>
  <c r="K1429" i="1"/>
  <c r="K1428" i="1"/>
  <c r="K1427" i="1"/>
  <c r="K1426" i="1"/>
  <c r="K1425" i="1"/>
  <c r="K1424" i="1"/>
  <c r="K1423" i="1"/>
  <c r="K1422" i="1"/>
  <c r="K1421" i="1"/>
  <c r="K1420" i="1"/>
  <c r="K1419" i="1"/>
  <c r="K1418" i="1"/>
  <c r="K1417" i="1"/>
  <c r="K1416" i="1"/>
  <c r="K1415" i="1"/>
  <c r="K1414" i="1"/>
  <c r="K1413" i="1"/>
  <c r="K1412" i="1"/>
  <c r="K1411" i="1"/>
  <c r="K1410" i="1"/>
  <c r="K1409" i="1"/>
  <c r="K1408" i="1"/>
  <c r="K1407" i="1"/>
  <c r="K1406" i="1"/>
  <c r="K1405" i="1"/>
  <c r="K1404" i="1"/>
  <c r="K1403" i="1"/>
  <c r="K1402" i="1"/>
  <c r="K1401" i="1"/>
  <c r="K1400" i="1"/>
  <c r="K1399" i="1"/>
  <c r="K1398" i="1"/>
  <c r="K1397" i="1"/>
  <c r="K1396" i="1"/>
  <c r="K1395" i="1"/>
  <c r="K1394" i="1"/>
  <c r="K1393" i="1"/>
  <c r="K1392" i="1"/>
  <c r="K1391" i="1"/>
  <c r="K1390" i="1"/>
  <c r="K1389" i="1"/>
  <c r="K1388" i="1"/>
  <c r="K1387" i="1"/>
  <c r="K1386" i="1"/>
  <c r="K1385" i="1"/>
  <c r="K1384" i="1"/>
  <c r="K1383" i="1"/>
  <c r="K1382" i="1"/>
  <c r="K1381" i="1"/>
  <c r="K1380" i="1"/>
  <c r="K1379" i="1"/>
  <c r="K1378" i="1"/>
  <c r="K1377" i="1"/>
  <c r="K1376" i="1"/>
  <c r="K1375" i="1"/>
  <c r="K1374" i="1"/>
  <c r="K1373" i="1"/>
  <c r="K1372" i="1"/>
  <c r="K1371" i="1"/>
  <c r="K1370" i="1"/>
  <c r="K1369" i="1"/>
  <c r="K1368" i="1"/>
  <c r="K1367" i="1"/>
  <c r="K1366" i="1"/>
  <c r="K1365" i="1"/>
  <c r="K1364" i="1"/>
  <c r="K1363" i="1"/>
  <c r="K1362" i="1"/>
  <c r="K1361" i="1"/>
  <c r="K1360" i="1"/>
  <c r="K1359" i="1"/>
  <c r="K1358" i="1"/>
  <c r="K1357" i="1"/>
  <c r="K1356" i="1"/>
  <c r="K1355" i="1"/>
  <c r="K1354" i="1"/>
  <c r="K1353" i="1"/>
  <c r="K1352" i="1"/>
  <c r="K1351" i="1"/>
  <c r="K1350" i="1"/>
  <c r="K1349" i="1"/>
  <c r="K1348" i="1"/>
  <c r="K1347" i="1"/>
  <c r="K1346" i="1"/>
  <c r="K1345" i="1"/>
  <c r="K1344" i="1"/>
  <c r="K1343" i="1"/>
  <c r="K1342" i="1"/>
  <c r="K1341" i="1"/>
  <c r="K1340" i="1"/>
  <c r="K1339" i="1"/>
  <c r="K1338" i="1"/>
  <c r="K1337" i="1"/>
  <c r="K1336" i="1"/>
  <c r="K1335" i="1"/>
  <c r="K1334" i="1"/>
  <c r="K1333" i="1"/>
  <c r="K1332" i="1"/>
  <c r="K1331" i="1"/>
  <c r="K1330" i="1"/>
  <c r="K1329" i="1"/>
  <c r="K1328" i="1"/>
  <c r="K1327" i="1"/>
  <c r="K1326" i="1"/>
  <c r="K1325" i="1"/>
  <c r="K1324" i="1"/>
  <c r="K1323" i="1"/>
  <c r="K1322" i="1"/>
  <c r="K1321" i="1"/>
  <c r="K1320" i="1"/>
  <c r="K1319" i="1"/>
  <c r="K1318" i="1"/>
  <c r="K1317" i="1"/>
  <c r="K1316" i="1"/>
  <c r="K1315" i="1"/>
  <c r="K1314" i="1"/>
  <c r="K1313" i="1"/>
  <c r="K1312" i="1"/>
  <c r="K1311" i="1"/>
  <c r="K1310" i="1"/>
  <c r="K1309" i="1"/>
  <c r="K1308" i="1"/>
  <c r="K1307" i="1"/>
  <c r="K1306" i="1"/>
  <c r="K1305" i="1"/>
  <c r="K1304" i="1"/>
  <c r="K1303" i="1"/>
  <c r="K1302" i="1"/>
  <c r="K1301" i="1"/>
  <c r="K1300" i="1"/>
  <c r="K1299" i="1"/>
  <c r="K1298" i="1"/>
  <c r="K1297" i="1"/>
  <c r="K1296" i="1"/>
  <c r="K1295" i="1"/>
  <c r="K1294" i="1"/>
  <c r="K1293" i="1"/>
  <c r="K1292" i="1"/>
  <c r="K1291" i="1"/>
  <c r="K1290" i="1"/>
  <c r="K1289" i="1"/>
  <c r="K1288" i="1"/>
  <c r="K1287" i="1"/>
  <c r="K1286" i="1"/>
  <c r="K1285" i="1"/>
  <c r="K1284" i="1"/>
  <c r="K1283" i="1"/>
  <c r="K1282" i="1"/>
  <c r="K1281" i="1"/>
  <c r="K1280" i="1"/>
  <c r="K1279" i="1"/>
  <c r="K1278" i="1"/>
  <c r="K1277" i="1"/>
  <c r="K1276" i="1"/>
  <c r="K1275" i="1"/>
  <c r="K1274" i="1"/>
  <c r="K1273" i="1"/>
  <c r="K1272" i="1"/>
  <c r="K1271" i="1"/>
  <c r="K1270" i="1"/>
  <c r="K1269" i="1"/>
  <c r="K1268" i="1"/>
  <c r="K1267" i="1"/>
  <c r="K1266" i="1"/>
  <c r="K1265" i="1"/>
  <c r="K1264" i="1"/>
  <c r="K1263" i="1"/>
  <c r="K1262" i="1"/>
  <c r="K1261" i="1"/>
  <c r="K1260" i="1"/>
  <c r="K1259" i="1"/>
  <c r="K1258" i="1"/>
  <c r="K1257" i="1"/>
  <c r="K1256" i="1"/>
  <c r="K1255" i="1"/>
  <c r="K1254" i="1"/>
  <c r="K1253" i="1"/>
  <c r="K1252" i="1"/>
  <c r="K1251" i="1"/>
  <c r="K1250" i="1"/>
  <c r="K1249" i="1"/>
  <c r="K1248" i="1"/>
  <c r="K1247" i="1"/>
  <c r="K1246" i="1"/>
  <c r="K1245" i="1"/>
  <c r="K1244" i="1"/>
  <c r="K1243" i="1"/>
  <c r="K1242" i="1"/>
  <c r="K1241" i="1"/>
  <c r="K1240" i="1"/>
  <c r="K1239" i="1"/>
  <c r="K1238" i="1"/>
  <c r="K1237" i="1"/>
  <c r="K1236" i="1"/>
  <c r="K1235" i="1"/>
  <c r="K1234" i="1"/>
  <c r="K1233" i="1"/>
  <c r="K1232" i="1"/>
  <c r="K1231" i="1"/>
  <c r="K1230" i="1"/>
  <c r="K1229" i="1"/>
  <c r="K1228" i="1"/>
  <c r="K1227" i="1"/>
  <c r="K1226" i="1"/>
  <c r="K1225" i="1"/>
  <c r="K1224" i="1"/>
  <c r="K1223" i="1"/>
  <c r="K1222" i="1"/>
  <c r="K1221" i="1"/>
  <c r="K1220" i="1"/>
  <c r="K1219" i="1"/>
  <c r="K1218" i="1"/>
  <c r="K1217" i="1"/>
  <c r="K1216" i="1"/>
  <c r="K1215" i="1"/>
  <c r="K1214" i="1"/>
  <c r="K1213" i="1"/>
  <c r="K1212" i="1"/>
  <c r="K1211" i="1"/>
  <c r="K1210" i="1"/>
  <c r="K1209" i="1"/>
  <c r="K1208" i="1"/>
  <c r="K1207" i="1"/>
  <c r="K1206" i="1"/>
  <c r="K1205" i="1"/>
  <c r="K1204" i="1"/>
  <c r="K1203" i="1"/>
  <c r="K1202" i="1"/>
  <c r="K1201" i="1"/>
  <c r="K1200" i="1"/>
  <c r="K1199" i="1"/>
  <c r="K1198" i="1"/>
  <c r="K1197" i="1"/>
  <c r="K1196" i="1"/>
  <c r="K1195" i="1"/>
  <c r="K1194" i="1"/>
  <c r="K1193" i="1"/>
  <c r="K1192" i="1"/>
  <c r="K1191" i="1"/>
  <c r="K1190" i="1"/>
  <c r="K1189" i="1"/>
  <c r="K1188" i="1"/>
  <c r="K1187" i="1"/>
  <c r="K1186" i="1"/>
  <c r="K1185" i="1"/>
  <c r="K1184" i="1"/>
  <c r="K1183" i="1"/>
  <c r="K1182" i="1"/>
  <c r="K1181" i="1"/>
  <c r="K1180" i="1"/>
  <c r="K1179" i="1"/>
  <c r="K1178" i="1"/>
  <c r="K1177" i="1"/>
  <c r="K1176" i="1"/>
  <c r="K1175" i="1"/>
  <c r="K1174" i="1"/>
  <c r="K1173" i="1"/>
  <c r="K1172" i="1"/>
  <c r="K1171" i="1"/>
  <c r="K1170" i="1"/>
  <c r="K1169" i="1"/>
  <c r="K1168" i="1"/>
  <c r="K1167" i="1"/>
  <c r="K1166" i="1"/>
  <c r="K1165" i="1"/>
  <c r="K1164" i="1"/>
  <c r="K1163" i="1"/>
  <c r="K1162" i="1"/>
  <c r="K1161" i="1"/>
  <c r="K1160" i="1"/>
  <c r="K1159" i="1"/>
  <c r="K1158" i="1"/>
  <c r="K1157" i="1"/>
  <c r="K1156" i="1"/>
  <c r="K1155" i="1"/>
  <c r="K1154" i="1"/>
  <c r="K1153" i="1"/>
  <c r="K1152" i="1"/>
  <c r="K1151" i="1"/>
  <c r="K1150" i="1"/>
  <c r="K1149" i="1"/>
  <c r="K1148" i="1"/>
  <c r="K1147" i="1"/>
  <c r="K1146" i="1"/>
  <c r="K1145" i="1"/>
  <c r="K1144" i="1"/>
  <c r="K1143" i="1"/>
  <c r="K1142" i="1"/>
  <c r="K1141" i="1"/>
  <c r="K1140" i="1"/>
  <c r="K1139" i="1"/>
  <c r="K1138" i="1"/>
  <c r="K1137" i="1"/>
  <c r="K1136" i="1"/>
  <c r="K1135" i="1"/>
  <c r="K1134" i="1"/>
  <c r="K1133" i="1"/>
  <c r="K1132" i="1"/>
  <c r="K1131" i="1"/>
  <c r="K1130" i="1"/>
  <c r="K1129" i="1"/>
  <c r="K1128" i="1"/>
  <c r="K1127" i="1"/>
  <c r="K1126" i="1"/>
  <c r="K1125" i="1"/>
  <c r="K1124" i="1"/>
  <c r="K1123" i="1"/>
  <c r="K1122" i="1"/>
  <c r="K1121" i="1"/>
  <c r="K1120" i="1"/>
  <c r="K1119" i="1"/>
  <c r="K1118" i="1"/>
  <c r="K1117" i="1"/>
  <c r="K1116" i="1"/>
  <c r="K1115" i="1"/>
  <c r="K1114" i="1"/>
  <c r="K1113" i="1"/>
  <c r="K1112" i="1"/>
  <c r="K1111" i="1"/>
  <c r="K1110" i="1"/>
  <c r="K1109" i="1"/>
  <c r="K1108" i="1"/>
  <c r="K1107" i="1"/>
  <c r="K1106" i="1"/>
  <c r="K1105" i="1"/>
  <c r="K1104" i="1"/>
  <c r="K1103" i="1"/>
  <c r="K1102" i="1"/>
  <c r="K1101" i="1"/>
  <c r="K1100" i="1"/>
  <c r="K1099" i="1"/>
  <c r="K1098" i="1"/>
  <c r="K1097" i="1"/>
  <c r="K1096" i="1"/>
  <c r="K1095" i="1"/>
  <c r="K1094" i="1"/>
  <c r="K1093" i="1"/>
  <c r="K1092" i="1"/>
  <c r="K1091" i="1"/>
  <c r="K1090" i="1"/>
  <c r="K1089" i="1"/>
  <c r="K1088" i="1"/>
  <c r="K1087" i="1"/>
  <c r="K1086" i="1"/>
  <c r="K1085" i="1"/>
  <c r="K1084" i="1"/>
  <c r="K1083" i="1"/>
  <c r="K1082" i="1"/>
  <c r="K1081" i="1"/>
  <c r="K1080" i="1"/>
  <c r="K1079" i="1"/>
  <c r="K1078" i="1"/>
  <c r="K1077" i="1"/>
  <c r="K1076" i="1"/>
  <c r="K1075" i="1"/>
  <c r="K1074" i="1"/>
  <c r="K1073" i="1"/>
  <c r="K1072" i="1"/>
  <c r="K1071" i="1"/>
  <c r="K1070" i="1"/>
  <c r="K1069" i="1"/>
  <c r="K1068" i="1"/>
  <c r="K1067" i="1"/>
  <c r="K1066" i="1"/>
  <c r="K1065" i="1"/>
  <c r="K1064" i="1"/>
  <c r="K1063" i="1"/>
  <c r="K1062" i="1"/>
  <c r="K1061" i="1"/>
  <c r="K1060" i="1"/>
  <c r="K1059" i="1"/>
  <c r="K1058" i="1"/>
  <c r="K1057" i="1"/>
  <c r="K1056" i="1"/>
  <c r="K1055" i="1"/>
  <c r="K1054" i="1"/>
  <c r="K1053" i="1"/>
  <c r="K1052" i="1"/>
  <c r="K1051" i="1"/>
  <c r="K1050" i="1"/>
  <c r="K1049" i="1"/>
  <c r="K1048" i="1"/>
  <c r="K1047" i="1"/>
  <c r="K1046" i="1"/>
  <c r="K1045" i="1"/>
  <c r="K1044" i="1"/>
  <c r="K1043" i="1"/>
  <c r="K1042" i="1"/>
  <c r="K1041" i="1"/>
  <c r="K1040" i="1"/>
  <c r="K1039" i="1"/>
  <c r="K1038" i="1"/>
  <c r="K1037" i="1"/>
  <c r="K1036" i="1"/>
  <c r="K1035" i="1"/>
  <c r="K1034" i="1"/>
  <c r="K1033" i="1"/>
  <c r="K1032" i="1"/>
  <c r="K1031" i="1"/>
  <c r="K1030" i="1"/>
  <c r="K1029" i="1"/>
  <c r="K1028" i="1"/>
  <c r="K1027" i="1"/>
  <c r="K1026" i="1"/>
  <c r="K1025" i="1"/>
  <c r="K1024" i="1"/>
  <c r="K1023" i="1"/>
  <c r="K1022" i="1"/>
  <c r="K1021" i="1"/>
  <c r="K1020" i="1"/>
  <c r="K1019" i="1"/>
  <c r="K1018" i="1"/>
  <c r="K1017" i="1"/>
  <c r="K1016" i="1"/>
  <c r="K1015" i="1"/>
  <c r="K1014" i="1"/>
  <c r="K1013" i="1"/>
  <c r="K1012" i="1"/>
  <c r="K1011" i="1"/>
  <c r="K1010" i="1"/>
  <c r="K1009" i="1"/>
  <c r="K1008" i="1"/>
  <c r="K1007" i="1"/>
  <c r="K1006" i="1"/>
  <c r="K1005" i="1"/>
  <c r="K1004" i="1"/>
  <c r="K1003" i="1"/>
  <c r="K1002" i="1"/>
  <c r="K1001" i="1"/>
  <c r="K1000" i="1"/>
  <c r="K999" i="1"/>
  <c r="K998" i="1"/>
  <c r="K997" i="1"/>
  <c r="K996" i="1"/>
  <c r="K995" i="1"/>
  <c r="K994" i="1"/>
  <c r="K993" i="1"/>
  <c r="K992" i="1"/>
  <c r="K991" i="1"/>
  <c r="K990" i="1"/>
  <c r="K989" i="1"/>
  <c r="K988" i="1"/>
  <c r="K987" i="1"/>
  <c r="K986" i="1"/>
  <c r="K985" i="1"/>
  <c r="K984" i="1"/>
  <c r="K983" i="1"/>
  <c r="K982" i="1"/>
  <c r="K981" i="1"/>
  <c r="K980" i="1"/>
  <c r="K979" i="1"/>
  <c r="K978" i="1"/>
  <c r="K977" i="1"/>
  <c r="K976" i="1"/>
  <c r="K975" i="1"/>
  <c r="K974" i="1"/>
  <c r="K973" i="1"/>
  <c r="K972" i="1"/>
  <c r="K971" i="1"/>
  <c r="K970" i="1"/>
  <c r="K969" i="1"/>
  <c r="K968" i="1"/>
  <c r="K967" i="1"/>
  <c r="K966" i="1"/>
  <c r="K965" i="1"/>
  <c r="K964" i="1"/>
  <c r="K963" i="1"/>
  <c r="K962" i="1"/>
  <c r="K961" i="1"/>
  <c r="K960" i="1"/>
  <c r="K959" i="1"/>
  <c r="K958" i="1"/>
  <c r="K957" i="1"/>
  <c r="K956" i="1"/>
  <c r="K955" i="1"/>
  <c r="K954" i="1"/>
  <c r="K953" i="1"/>
  <c r="K952" i="1"/>
  <c r="K951" i="1"/>
  <c r="K950" i="1"/>
  <c r="K949" i="1"/>
  <c r="K948" i="1"/>
  <c r="K947" i="1"/>
  <c r="K946" i="1"/>
  <c r="K945" i="1"/>
  <c r="K944" i="1"/>
  <c r="K943" i="1"/>
  <c r="K942" i="1"/>
  <c r="K941" i="1"/>
  <c r="K940" i="1"/>
  <c r="K939" i="1"/>
  <c r="K938" i="1"/>
  <c r="K937" i="1"/>
  <c r="K936" i="1"/>
  <c r="K935" i="1"/>
  <c r="K934" i="1"/>
  <c r="K933" i="1"/>
  <c r="K932" i="1"/>
  <c r="K931" i="1"/>
  <c r="K930" i="1"/>
  <c r="K929" i="1"/>
  <c r="K928" i="1"/>
  <c r="K927" i="1"/>
  <c r="K926" i="1"/>
  <c r="K925" i="1"/>
  <c r="K924" i="1"/>
  <c r="K923" i="1"/>
  <c r="K922" i="1"/>
  <c r="K921" i="1"/>
  <c r="K920" i="1"/>
  <c r="K919" i="1"/>
  <c r="K918" i="1"/>
  <c r="K917" i="1"/>
  <c r="K916" i="1"/>
  <c r="K915" i="1"/>
  <c r="K914" i="1"/>
  <c r="K913" i="1"/>
  <c r="K912" i="1"/>
  <c r="K911" i="1"/>
  <c r="K910" i="1"/>
  <c r="K909" i="1"/>
  <c r="K908" i="1"/>
  <c r="K907" i="1"/>
  <c r="K906" i="1"/>
  <c r="K905" i="1"/>
  <c r="K904" i="1"/>
  <c r="K903" i="1"/>
  <c r="K902" i="1"/>
  <c r="K901" i="1"/>
  <c r="K900" i="1"/>
  <c r="K899" i="1"/>
  <c r="K898" i="1"/>
  <c r="K897" i="1"/>
  <c r="K896" i="1"/>
  <c r="K895" i="1"/>
  <c r="K894" i="1"/>
  <c r="K893" i="1"/>
  <c r="K892" i="1"/>
  <c r="K891" i="1"/>
  <c r="K890" i="1"/>
  <c r="K889" i="1"/>
  <c r="K888" i="1"/>
  <c r="K887" i="1"/>
  <c r="K886" i="1"/>
  <c r="K885" i="1"/>
  <c r="K884" i="1"/>
  <c r="K883" i="1"/>
  <c r="K882" i="1"/>
  <c r="K881" i="1"/>
  <c r="K880" i="1"/>
  <c r="K879" i="1"/>
  <c r="K878" i="1"/>
  <c r="K877" i="1"/>
  <c r="K876" i="1"/>
  <c r="K875" i="1"/>
  <c r="K874" i="1"/>
  <c r="K873" i="1"/>
  <c r="K872" i="1"/>
  <c r="K871" i="1"/>
  <c r="K870" i="1"/>
  <c r="K869" i="1"/>
  <c r="K868" i="1"/>
  <c r="K867" i="1"/>
  <c r="K866" i="1"/>
  <c r="K865" i="1"/>
  <c r="K864" i="1"/>
  <c r="K863" i="1"/>
  <c r="K862" i="1"/>
  <c r="K861" i="1"/>
  <c r="K860" i="1"/>
  <c r="K859" i="1"/>
  <c r="K858" i="1"/>
  <c r="K857" i="1"/>
  <c r="K856" i="1"/>
  <c r="K855" i="1"/>
  <c r="K854" i="1"/>
  <c r="K853" i="1"/>
  <c r="K852" i="1"/>
  <c r="K851" i="1"/>
  <c r="K850" i="1"/>
  <c r="K849" i="1"/>
  <c r="K848" i="1"/>
  <c r="K847" i="1"/>
  <c r="K846" i="1"/>
  <c r="K845" i="1"/>
  <c r="K844" i="1"/>
  <c r="K843" i="1"/>
  <c r="K842" i="1"/>
  <c r="K841" i="1"/>
  <c r="K840" i="1"/>
  <c r="K839" i="1"/>
  <c r="K838" i="1"/>
  <c r="K837" i="1"/>
  <c r="K836" i="1"/>
  <c r="K835" i="1"/>
  <c r="K834" i="1"/>
  <c r="K833" i="1"/>
  <c r="K832" i="1"/>
  <c r="K831" i="1"/>
  <c r="K830" i="1"/>
  <c r="K829" i="1"/>
  <c r="K828" i="1"/>
  <c r="K827" i="1"/>
  <c r="K826" i="1"/>
  <c r="K825" i="1"/>
  <c r="K824" i="1"/>
  <c r="K823" i="1"/>
  <c r="K822" i="1"/>
  <c r="K821" i="1"/>
  <c r="K820" i="1"/>
  <c r="K819" i="1"/>
  <c r="K818" i="1"/>
  <c r="K817" i="1"/>
  <c r="K816" i="1"/>
  <c r="K815" i="1"/>
  <c r="K814" i="1"/>
  <c r="K813" i="1"/>
  <c r="K812" i="1"/>
  <c r="K811" i="1"/>
  <c r="K810" i="1"/>
  <c r="K809" i="1"/>
  <c r="K808" i="1"/>
  <c r="K807" i="1"/>
  <c r="K806" i="1"/>
  <c r="K805" i="1"/>
  <c r="K804" i="1"/>
  <c r="K803" i="1"/>
  <c r="K802" i="1"/>
  <c r="K801" i="1"/>
  <c r="K800" i="1"/>
  <c r="K799" i="1"/>
  <c r="K798" i="1"/>
  <c r="K797" i="1"/>
  <c r="K796" i="1"/>
  <c r="K795" i="1"/>
  <c r="K794" i="1"/>
  <c r="K793" i="1"/>
  <c r="K792" i="1"/>
  <c r="K791" i="1"/>
  <c r="K790" i="1"/>
  <c r="K789" i="1"/>
  <c r="K788" i="1"/>
  <c r="K787" i="1"/>
  <c r="K786" i="1"/>
  <c r="K785" i="1"/>
  <c r="K784" i="1"/>
  <c r="K783" i="1"/>
  <c r="K782" i="1"/>
  <c r="K781" i="1"/>
  <c r="K780" i="1"/>
  <c r="K779" i="1"/>
  <c r="K778" i="1"/>
  <c r="K777" i="1"/>
  <c r="K776" i="1"/>
  <c r="K775" i="1"/>
  <c r="K774" i="1"/>
  <c r="K773" i="1"/>
  <c r="K772" i="1"/>
  <c r="K771" i="1"/>
  <c r="K770" i="1"/>
  <c r="K769" i="1"/>
  <c r="K768" i="1"/>
  <c r="K767" i="1"/>
  <c r="K766" i="1"/>
  <c r="K765" i="1"/>
  <c r="K764" i="1"/>
  <c r="K763" i="1"/>
  <c r="K762" i="1"/>
  <c r="K761" i="1"/>
  <c r="K760" i="1"/>
  <c r="K759" i="1"/>
  <c r="K758" i="1"/>
  <c r="K757" i="1"/>
  <c r="K756" i="1"/>
  <c r="K755" i="1"/>
  <c r="K754" i="1"/>
  <c r="K753" i="1"/>
  <c r="K752" i="1"/>
  <c r="K751" i="1"/>
  <c r="K750" i="1"/>
  <c r="K749" i="1"/>
  <c r="K748" i="1"/>
  <c r="K747" i="1"/>
  <c r="K746" i="1"/>
  <c r="K745" i="1"/>
  <c r="K744" i="1"/>
  <c r="K743" i="1"/>
  <c r="K742" i="1"/>
  <c r="K741" i="1"/>
  <c r="K740" i="1"/>
  <c r="K739" i="1"/>
  <c r="K738" i="1"/>
  <c r="K737" i="1"/>
  <c r="K736" i="1"/>
  <c r="K735" i="1"/>
  <c r="K734" i="1"/>
  <c r="K733" i="1"/>
  <c r="K732" i="1"/>
  <c r="K731" i="1"/>
  <c r="K730" i="1"/>
  <c r="K729" i="1"/>
  <c r="K728" i="1"/>
  <c r="K727" i="1"/>
  <c r="K726" i="1"/>
  <c r="K725" i="1"/>
  <c r="K724" i="1"/>
  <c r="K723" i="1"/>
  <c r="K722" i="1"/>
  <c r="K721" i="1"/>
  <c r="K720" i="1"/>
  <c r="K719" i="1"/>
  <c r="K718" i="1"/>
  <c r="K717" i="1"/>
  <c r="K716" i="1"/>
  <c r="K715" i="1"/>
  <c r="K714" i="1"/>
  <c r="K713" i="1"/>
  <c r="K712" i="1"/>
  <c r="K711" i="1"/>
  <c r="K710" i="1"/>
  <c r="K709" i="1"/>
  <c r="K708" i="1"/>
  <c r="K707" i="1"/>
  <c r="K706" i="1"/>
  <c r="K705" i="1"/>
  <c r="K704" i="1"/>
  <c r="K703" i="1"/>
  <c r="K702" i="1"/>
  <c r="K701" i="1"/>
  <c r="K700" i="1"/>
  <c r="K699" i="1"/>
  <c r="K698" i="1"/>
  <c r="K697" i="1"/>
  <c r="K696" i="1"/>
  <c r="K695" i="1"/>
  <c r="K694" i="1"/>
  <c r="K693" i="1"/>
  <c r="K692" i="1"/>
  <c r="K691" i="1"/>
  <c r="K690" i="1"/>
  <c r="K689" i="1"/>
  <c r="K688" i="1"/>
  <c r="K687" i="1"/>
  <c r="K686" i="1"/>
  <c r="K685" i="1"/>
  <c r="K684" i="1"/>
  <c r="K683" i="1"/>
  <c r="K682" i="1"/>
  <c r="K681" i="1"/>
  <c r="K680" i="1"/>
  <c r="K679" i="1"/>
  <c r="K678" i="1"/>
  <c r="K677" i="1"/>
  <c r="K676" i="1"/>
  <c r="K675" i="1"/>
  <c r="K674" i="1"/>
  <c r="K673" i="1"/>
  <c r="K672" i="1"/>
  <c r="K671" i="1"/>
  <c r="K670" i="1"/>
  <c r="K669" i="1"/>
  <c r="K668" i="1"/>
  <c r="K667" i="1"/>
  <c r="K666" i="1"/>
  <c r="K665" i="1"/>
  <c r="K664" i="1"/>
  <c r="K663" i="1"/>
  <c r="K662" i="1"/>
  <c r="K661" i="1"/>
  <c r="K660" i="1"/>
  <c r="K659" i="1"/>
  <c r="K658" i="1"/>
  <c r="K657" i="1"/>
  <c r="K656" i="1"/>
  <c r="K655" i="1"/>
  <c r="K654" i="1"/>
  <c r="K653" i="1"/>
  <c r="K652" i="1"/>
  <c r="K651" i="1"/>
  <c r="K650" i="1"/>
  <c r="K649" i="1"/>
  <c r="K648" i="1"/>
  <c r="K647" i="1"/>
  <c r="K646" i="1"/>
  <c r="K645" i="1"/>
  <c r="K644" i="1"/>
  <c r="K643" i="1"/>
  <c r="K642" i="1"/>
  <c r="K641" i="1"/>
  <c r="K640" i="1"/>
  <c r="K639" i="1"/>
  <c r="K638" i="1"/>
  <c r="K637" i="1"/>
  <c r="K636" i="1"/>
  <c r="K635" i="1"/>
  <c r="K634" i="1"/>
  <c r="K633" i="1"/>
  <c r="K632" i="1"/>
  <c r="K631" i="1"/>
  <c r="K630" i="1"/>
  <c r="K629" i="1"/>
  <c r="K628" i="1"/>
  <c r="K627" i="1"/>
  <c r="K626" i="1"/>
  <c r="K625" i="1"/>
  <c r="K624" i="1"/>
  <c r="K623" i="1"/>
  <c r="K622" i="1"/>
  <c r="K621" i="1"/>
  <c r="K620" i="1"/>
  <c r="K619" i="1"/>
  <c r="K618" i="1"/>
  <c r="K617" i="1"/>
  <c r="K616" i="1"/>
  <c r="K615" i="1"/>
  <c r="K614" i="1"/>
  <c r="K613" i="1"/>
  <c r="K612" i="1"/>
  <c r="K611" i="1"/>
  <c r="K610" i="1"/>
  <c r="K609" i="1"/>
  <c r="K608" i="1"/>
  <c r="K607" i="1"/>
  <c r="K606" i="1"/>
  <c r="K605" i="1"/>
  <c r="K604" i="1"/>
  <c r="K603" i="1"/>
  <c r="K602" i="1"/>
  <c r="K601" i="1"/>
  <c r="K600" i="1"/>
  <c r="K599" i="1"/>
  <c r="K598" i="1"/>
  <c r="K597" i="1"/>
  <c r="K596" i="1"/>
  <c r="K595" i="1"/>
  <c r="K594" i="1"/>
  <c r="K593" i="1"/>
  <c r="K592" i="1"/>
  <c r="K591" i="1"/>
  <c r="K590" i="1"/>
  <c r="K589" i="1"/>
  <c r="K588" i="1"/>
  <c r="K587" i="1"/>
  <c r="K586" i="1"/>
  <c r="K585" i="1"/>
  <c r="K584" i="1"/>
  <c r="K583" i="1"/>
  <c r="K582" i="1"/>
  <c r="K581" i="1"/>
  <c r="K580" i="1"/>
  <c r="K579" i="1"/>
  <c r="K578" i="1"/>
  <c r="K577" i="1"/>
  <c r="K576" i="1"/>
  <c r="K575" i="1"/>
  <c r="K574" i="1"/>
  <c r="K573" i="1"/>
  <c r="K572" i="1"/>
  <c r="K571" i="1"/>
  <c r="K570" i="1"/>
  <c r="K569" i="1"/>
  <c r="K568" i="1"/>
  <c r="K567" i="1"/>
  <c r="K566" i="1"/>
  <c r="K565" i="1"/>
  <c r="K564" i="1"/>
  <c r="K563" i="1"/>
  <c r="K562" i="1"/>
  <c r="K561" i="1"/>
  <c r="K560" i="1"/>
  <c r="K559" i="1"/>
  <c r="K558" i="1"/>
  <c r="K557" i="1"/>
  <c r="K556" i="1"/>
  <c r="K555" i="1"/>
  <c r="K554" i="1"/>
  <c r="K553" i="1"/>
  <c r="K552" i="1"/>
  <c r="K551" i="1"/>
  <c r="K550" i="1"/>
  <c r="K549" i="1"/>
  <c r="K548" i="1"/>
  <c r="K547" i="1"/>
  <c r="K546" i="1"/>
  <c r="K545" i="1"/>
  <c r="K544" i="1"/>
  <c r="K543" i="1"/>
  <c r="K542" i="1"/>
  <c r="K541" i="1"/>
  <c r="K540" i="1"/>
  <c r="K539" i="1"/>
  <c r="K538" i="1"/>
  <c r="K537" i="1"/>
  <c r="K536" i="1"/>
  <c r="K535" i="1"/>
  <c r="K534" i="1"/>
  <c r="K533" i="1"/>
  <c r="K532" i="1"/>
  <c r="K531" i="1"/>
  <c r="K530" i="1"/>
  <c r="K529" i="1"/>
  <c r="K528" i="1"/>
  <c r="K527" i="1"/>
  <c r="K526" i="1"/>
  <c r="K525" i="1"/>
  <c r="K524" i="1"/>
  <c r="K523" i="1"/>
  <c r="K522" i="1"/>
  <c r="K521" i="1"/>
  <c r="K520" i="1"/>
  <c r="K519" i="1"/>
  <c r="K518" i="1"/>
  <c r="K517" i="1"/>
  <c r="K516" i="1"/>
  <c r="K515" i="1"/>
  <c r="K514" i="1"/>
  <c r="K513" i="1"/>
  <c r="K512" i="1"/>
  <c r="K511" i="1"/>
  <c r="K510" i="1"/>
  <c r="K509" i="1"/>
  <c r="K508" i="1"/>
  <c r="K507" i="1"/>
  <c r="K506" i="1"/>
  <c r="K505" i="1"/>
  <c r="K504" i="1"/>
  <c r="K503" i="1"/>
  <c r="K502" i="1"/>
  <c r="K501" i="1"/>
  <c r="K500" i="1"/>
  <c r="K499" i="1"/>
  <c r="K498" i="1"/>
  <c r="K497" i="1"/>
  <c r="K496" i="1"/>
  <c r="K495" i="1"/>
  <c r="K494" i="1"/>
  <c r="K493" i="1"/>
  <c r="K492" i="1"/>
  <c r="K491" i="1"/>
  <c r="K490" i="1"/>
  <c r="K489" i="1"/>
  <c r="K488" i="1"/>
  <c r="K487" i="1"/>
  <c r="K486" i="1"/>
  <c r="K485" i="1"/>
  <c r="K484" i="1"/>
  <c r="K483" i="1"/>
  <c r="K482" i="1"/>
  <c r="K481" i="1"/>
  <c r="K480" i="1"/>
  <c r="K479" i="1"/>
  <c r="K478" i="1"/>
  <c r="K477" i="1"/>
  <c r="K476" i="1"/>
  <c r="K475" i="1"/>
  <c r="K474" i="1"/>
  <c r="K473" i="1"/>
  <c r="K472" i="1"/>
  <c r="K471" i="1"/>
  <c r="K470" i="1"/>
  <c r="K469" i="1"/>
  <c r="K468" i="1"/>
  <c r="K467" i="1"/>
  <c r="K466" i="1"/>
  <c r="K465" i="1"/>
  <c r="K464" i="1"/>
  <c r="K463" i="1"/>
  <c r="K462" i="1"/>
  <c r="K461" i="1"/>
  <c r="K460" i="1"/>
  <c r="K459" i="1"/>
  <c r="K458" i="1"/>
  <c r="K457" i="1"/>
  <c r="K456" i="1"/>
  <c r="K455" i="1"/>
  <c r="K454" i="1"/>
  <c r="K453" i="1"/>
  <c r="K452" i="1"/>
  <c r="K451" i="1"/>
  <c r="K450" i="1"/>
  <c r="K449" i="1"/>
  <c r="K448" i="1"/>
  <c r="K447" i="1"/>
  <c r="K446" i="1"/>
  <c r="K445" i="1"/>
  <c r="K444" i="1"/>
  <c r="K443" i="1"/>
  <c r="K442" i="1"/>
  <c r="K441" i="1"/>
  <c r="K440" i="1"/>
  <c r="K439" i="1"/>
  <c r="K438" i="1"/>
  <c r="K437" i="1"/>
  <c r="K436" i="1"/>
  <c r="K435" i="1"/>
  <c r="K434" i="1"/>
  <c r="K433" i="1"/>
  <c r="K432" i="1"/>
  <c r="K431" i="1"/>
  <c r="K430" i="1"/>
  <c r="K429" i="1"/>
  <c r="K428" i="1"/>
  <c r="K427" i="1"/>
  <c r="K426" i="1"/>
  <c r="K425" i="1"/>
  <c r="K424" i="1"/>
  <c r="K423" i="1"/>
  <c r="K422" i="1"/>
  <c r="K421" i="1"/>
  <c r="K420" i="1"/>
  <c r="K419" i="1"/>
  <c r="K418" i="1"/>
  <c r="K417" i="1"/>
  <c r="K416" i="1"/>
  <c r="K415" i="1"/>
  <c r="K414" i="1"/>
  <c r="K413" i="1"/>
  <c r="K412" i="1"/>
  <c r="K411" i="1"/>
  <c r="K410" i="1"/>
  <c r="K409" i="1"/>
  <c r="K408" i="1"/>
  <c r="K407" i="1"/>
  <c r="K406" i="1"/>
  <c r="K405" i="1"/>
  <c r="K404" i="1"/>
  <c r="K403" i="1"/>
  <c r="K402" i="1"/>
  <c r="K401" i="1"/>
  <c r="K400" i="1"/>
  <c r="K399" i="1"/>
  <c r="K398" i="1"/>
  <c r="K397" i="1"/>
  <c r="K396" i="1"/>
  <c r="K395" i="1"/>
  <c r="K394" i="1"/>
  <c r="K393" i="1"/>
  <c r="K392" i="1"/>
  <c r="K391" i="1"/>
  <c r="K390" i="1"/>
  <c r="K389" i="1"/>
  <c r="K388" i="1"/>
  <c r="K387" i="1"/>
  <c r="K386" i="1"/>
  <c r="K385" i="1"/>
  <c r="K384" i="1"/>
  <c r="K383" i="1"/>
  <c r="K382" i="1"/>
  <c r="K381" i="1"/>
  <c r="K380" i="1"/>
  <c r="K379" i="1"/>
  <c r="K378" i="1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N1430" i="1" l="1"/>
  <c r="N71" i="1"/>
  <c r="N327" i="1"/>
  <c r="N583" i="1"/>
  <c r="N1088" i="1"/>
  <c r="N17" i="1"/>
  <c r="N29" i="1"/>
  <c r="N1341" i="1"/>
  <c r="N21" i="1"/>
  <c r="N135" i="1"/>
  <c r="N199" i="1"/>
  <c r="N391" i="1"/>
  <c r="N455" i="1"/>
  <c r="N519" i="1"/>
  <c r="N647" i="1"/>
  <c r="N747" i="1"/>
  <c r="N2327" i="1"/>
  <c r="N7" i="1"/>
  <c r="N1353" i="1"/>
  <c r="N1361" i="1"/>
  <c r="N1373" i="1"/>
  <c r="N1381" i="1"/>
  <c r="N1389" i="1"/>
  <c r="N1397" i="1"/>
  <c r="N1405" i="1"/>
  <c r="N1413" i="1"/>
  <c r="N1421" i="1"/>
  <c r="N1433" i="1"/>
  <c r="N1686" i="1"/>
  <c r="N2710" i="1"/>
  <c r="N2714" i="1"/>
  <c r="N2766" i="1"/>
  <c r="N2842" i="1"/>
  <c r="N2950" i="1"/>
  <c r="N2986" i="1"/>
  <c r="N3070" i="1"/>
  <c r="N3150" i="1"/>
  <c r="N3206" i="1"/>
  <c r="N3350" i="1"/>
  <c r="N3358" i="1"/>
  <c r="N3398" i="1"/>
  <c r="N3454" i="1"/>
  <c r="N2" i="1"/>
  <c r="N6" i="1"/>
  <c r="N10" i="1"/>
  <c r="N14" i="1"/>
  <c r="N18" i="1"/>
  <c r="N22" i="1"/>
  <c r="N26" i="1"/>
  <c r="N30" i="1"/>
  <c r="N34" i="1"/>
  <c r="N38" i="1"/>
  <c r="N46" i="1"/>
  <c r="N50" i="1"/>
  <c r="N54" i="1"/>
  <c r="N58" i="1"/>
  <c r="N66" i="1"/>
  <c r="N70" i="1"/>
  <c r="N78" i="1"/>
  <c r="N86" i="1"/>
  <c r="N90" i="1"/>
  <c r="N102" i="1"/>
  <c r="N918" i="1"/>
  <c r="N1174" i="1"/>
  <c r="N37" i="1"/>
  <c r="N53" i="1"/>
  <c r="N61" i="1"/>
  <c r="N73" i="1"/>
  <c r="N89" i="1"/>
  <c r="N105" i="1"/>
  <c r="N113" i="1"/>
  <c r="N121" i="1"/>
  <c r="N129" i="1"/>
  <c r="N137" i="1"/>
  <c r="N145" i="1"/>
  <c r="N153" i="1"/>
  <c r="N161" i="1"/>
  <c r="N177" i="1"/>
  <c r="N185" i="1"/>
  <c r="N193" i="1"/>
  <c r="N201" i="1"/>
  <c r="N209" i="1"/>
  <c r="N217" i="1"/>
  <c r="N225" i="1"/>
  <c r="N229" i="1"/>
  <c r="N237" i="1"/>
  <c r="N245" i="1"/>
  <c r="N253" i="1"/>
  <c r="N273" i="1"/>
  <c r="N281" i="1"/>
  <c r="N293" i="1"/>
  <c r="N297" i="1"/>
  <c r="N305" i="1"/>
  <c r="N325" i="1"/>
  <c r="N333" i="1"/>
  <c r="N341" i="1"/>
  <c r="N349" i="1"/>
  <c r="N353" i="1"/>
  <c r="N365" i="1"/>
  <c r="N369" i="1"/>
  <c r="N377" i="1"/>
  <c r="N385" i="1"/>
  <c r="N393" i="1"/>
  <c r="N401" i="1"/>
  <c r="N409" i="1"/>
  <c r="N421" i="1"/>
  <c r="N425" i="1"/>
  <c r="N433" i="1"/>
  <c r="N453" i="1"/>
  <c r="N473" i="1"/>
  <c r="N481" i="1"/>
  <c r="N489" i="1"/>
  <c r="N497" i="1"/>
  <c r="N505" i="1"/>
  <c r="N529" i="1"/>
  <c r="N533" i="1"/>
  <c r="N541" i="1"/>
  <c r="N549" i="1"/>
  <c r="N553" i="1"/>
  <c r="N561" i="1"/>
  <c r="N569" i="1"/>
  <c r="N577" i="1"/>
  <c r="N585" i="1"/>
  <c r="N593" i="1"/>
  <c r="N601" i="1"/>
  <c r="N609" i="1"/>
  <c r="N617" i="1"/>
  <c r="N625" i="1"/>
  <c r="N633" i="1"/>
  <c r="N641" i="1"/>
  <c r="N649" i="1"/>
  <c r="N657" i="1"/>
  <c r="N665" i="1"/>
  <c r="N673" i="1"/>
  <c r="N681" i="1"/>
  <c r="N693" i="1"/>
  <c r="N697" i="1"/>
  <c r="N709" i="1"/>
  <c r="N717" i="1"/>
  <c r="N725" i="1"/>
  <c r="N749" i="1"/>
  <c r="N757" i="1"/>
  <c r="N765" i="1"/>
  <c r="N773" i="1"/>
  <c r="N789" i="1"/>
  <c r="N797" i="1"/>
  <c r="N805" i="1"/>
  <c r="N821" i="1"/>
  <c r="N829" i="1"/>
  <c r="N837" i="1"/>
  <c r="N849" i="1"/>
  <c r="N857" i="1"/>
  <c r="N861" i="1"/>
  <c r="N869" i="1"/>
  <c r="N877" i="1"/>
  <c r="N893" i="1"/>
  <c r="N909" i="1"/>
  <c r="N917" i="1"/>
  <c r="N921" i="1"/>
  <c r="N929" i="1"/>
  <c r="N937" i="1"/>
  <c r="N945" i="1"/>
  <c r="N953" i="1"/>
  <c r="N969" i="1"/>
  <c r="N977" i="1"/>
  <c r="N985" i="1"/>
  <c r="N993" i="1"/>
  <c r="N1001" i="1"/>
  <c r="N1005" i="1"/>
  <c r="N1013" i="1"/>
  <c r="N1017" i="1"/>
  <c r="N1021" i="1"/>
  <c r="N1025" i="1"/>
  <c r="N1029" i="1"/>
  <c r="N1033" i="1"/>
  <c r="N1037" i="1"/>
  <c r="N1041" i="1"/>
  <c r="N1045" i="1"/>
  <c r="N1049" i="1"/>
  <c r="N1053" i="1"/>
  <c r="N1057" i="1"/>
  <c r="N1061" i="1"/>
  <c r="N1065" i="1"/>
  <c r="N1069" i="1"/>
  <c r="N1073" i="1"/>
  <c r="N1077" i="1"/>
  <c r="N1081" i="1"/>
  <c r="N1085" i="1"/>
  <c r="N1089" i="1"/>
  <c r="N1093" i="1"/>
  <c r="N1097" i="1"/>
  <c r="N1101" i="1"/>
  <c r="N1113" i="1"/>
  <c r="N1117" i="1"/>
  <c r="N1121" i="1"/>
  <c r="N1125" i="1"/>
  <c r="N1129" i="1"/>
  <c r="N1133" i="1"/>
  <c r="N1141" i="1"/>
  <c r="N1145" i="1"/>
  <c r="N1153" i="1"/>
  <c r="N1157" i="1"/>
  <c r="N1161" i="1"/>
  <c r="N1165" i="1"/>
  <c r="N1169" i="1"/>
  <c r="N1173" i="1"/>
  <c r="N1177" i="1"/>
  <c r="N1185" i="1"/>
  <c r="N1189" i="1"/>
  <c r="N1193" i="1"/>
  <c r="N1197" i="1"/>
  <c r="N1201" i="1"/>
  <c r="N1205" i="1"/>
  <c r="N1209" i="1"/>
  <c r="N1213" i="1"/>
  <c r="N1217" i="1"/>
  <c r="N1221" i="1"/>
  <c r="N1225" i="1"/>
  <c r="N1229" i="1"/>
  <c r="N1233" i="1"/>
  <c r="N1237" i="1"/>
  <c r="N1241" i="1"/>
  <c r="N1245" i="1"/>
  <c r="N1249" i="1"/>
  <c r="N1253" i="1"/>
  <c r="N1257" i="1"/>
  <c r="N1261" i="1"/>
  <c r="N1265" i="1"/>
  <c r="N1269" i="1"/>
  <c r="N1273" i="1"/>
  <c r="N1281" i="1"/>
  <c r="N1285" i="1"/>
  <c r="N1289" i="1"/>
  <c r="N1293" i="1"/>
  <c r="N1297" i="1"/>
  <c r="N1301" i="1"/>
  <c r="N1305" i="1"/>
  <c r="N1309" i="1"/>
  <c r="N1313" i="1"/>
  <c r="N1317" i="1"/>
  <c r="N1321" i="1"/>
  <c r="N1325" i="1"/>
  <c r="N1329" i="1"/>
  <c r="N1333" i="1"/>
  <c r="N1337" i="1"/>
  <c r="N1349" i="1"/>
  <c r="N1357" i="1"/>
  <c r="N1365" i="1"/>
  <c r="N1369" i="1"/>
  <c r="N1377" i="1"/>
  <c r="N1385" i="1"/>
  <c r="N1401" i="1"/>
  <c r="N1409" i="1"/>
  <c r="N1417" i="1"/>
  <c r="N1429" i="1"/>
  <c r="N2761" i="1"/>
  <c r="N1967" i="1"/>
  <c r="N2007" i="1"/>
  <c r="N2023" i="1"/>
  <c r="N2043" i="1"/>
  <c r="N2139" i="1"/>
  <c r="N2159" i="1"/>
  <c r="N2215" i="1"/>
  <c r="N2231" i="1"/>
  <c r="N2235" i="1"/>
  <c r="N2251" i="1"/>
  <c r="N2271" i="1"/>
  <c r="N2367" i="1"/>
  <c r="N2423" i="1"/>
  <c r="N2443" i="1"/>
  <c r="N2459" i="1"/>
  <c r="N2479" i="1"/>
  <c r="N2519" i="1"/>
  <c r="N2535" i="1"/>
  <c r="N2555" i="1"/>
  <c r="N2651" i="1"/>
  <c r="N2671" i="1"/>
  <c r="N2687" i="1"/>
  <c r="N2739" i="1"/>
  <c r="N2799" i="1"/>
  <c r="N2879" i="1"/>
  <c r="N2915" i="1"/>
  <c r="N2955" i="1"/>
  <c r="N3099" i="1"/>
  <c r="N3107" i="1"/>
  <c r="N3151" i="1"/>
  <c r="N3199" i="1"/>
  <c r="N3247" i="1"/>
  <c r="N3407" i="1"/>
  <c r="N3455" i="1"/>
  <c r="N3" i="1"/>
  <c r="N15" i="1"/>
  <c r="N19" i="1"/>
  <c r="N23" i="1"/>
  <c r="N27" i="1"/>
  <c r="N31" i="1"/>
  <c r="N35" i="1"/>
  <c r="N43" i="1"/>
  <c r="N47" i="1"/>
  <c r="N51" i="1"/>
  <c r="N55" i="1"/>
  <c r="N59" i="1"/>
  <c r="N63" i="1"/>
  <c r="N75" i="1"/>
  <c r="N79" i="1"/>
  <c r="N83" i="1"/>
  <c r="N87" i="1"/>
  <c r="N91" i="1"/>
  <c r="N99" i="1"/>
  <c r="N103" i="1"/>
  <c r="N107" i="1"/>
  <c r="N115" i="1"/>
  <c r="N119" i="1"/>
  <c r="N123" i="1"/>
  <c r="N151" i="1"/>
  <c r="N231" i="1"/>
  <c r="N247" i="1"/>
  <c r="N295" i="1"/>
  <c r="N311" i="1"/>
  <c r="N343" i="1"/>
  <c r="N359" i="1"/>
  <c r="N375" i="1"/>
  <c r="N407" i="1"/>
  <c r="N423" i="1"/>
  <c r="N439" i="1"/>
  <c r="N471" i="1"/>
  <c r="N487" i="1"/>
  <c r="N503" i="1"/>
  <c r="N535" i="1"/>
  <c r="N551" i="1"/>
  <c r="N567" i="1"/>
  <c r="N615" i="1"/>
  <c r="N631" i="1"/>
  <c r="N663" i="1"/>
  <c r="N679" i="1"/>
  <c r="N695" i="1"/>
  <c r="N1003" i="1"/>
  <c r="N1259" i="1"/>
  <c r="N1515" i="1"/>
  <c r="N25" i="1"/>
  <c r="N33" i="1"/>
  <c r="N41" i="1"/>
  <c r="N49" i="1"/>
  <c r="N57" i="1"/>
  <c r="N69" i="1"/>
  <c r="N77" i="1"/>
  <c r="N85" i="1"/>
  <c r="N93" i="1"/>
  <c r="N101" i="1"/>
  <c r="N117" i="1"/>
  <c r="N133" i="1"/>
  <c r="N141" i="1"/>
  <c r="N149" i="1"/>
  <c r="N157" i="1"/>
  <c r="N165" i="1"/>
  <c r="N173" i="1"/>
  <c r="N181" i="1"/>
  <c r="N189" i="1"/>
  <c r="N197" i="1"/>
  <c r="N213" i="1"/>
  <c r="N221" i="1"/>
  <c r="N233" i="1"/>
  <c r="N241" i="1"/>
  <c r="N249" i="1"/>
  <c r="N257" i="1"/>
  <c r="N269" i="1"/>
  <c r="N277" i="1"/>
  <c r="N285" i="1"/>
  <c r="N289" i="1"/>
  <c r="N301" i="1"/>
  <c r="N309" i="1"/>
  <c r="N313" i="1"/>
  <c r="N321" i="1"/>
  <c r="N329" i="1"/>
  <c r="N337" i="1"/>
  <c r="N345" i="1"/>
  <c r="N357" i="1"/>
  <c r="N361" i="1"/>
  <c r="N373" i="1"/>
  <c r="N381" i="1"/>
  <c r="N389" i="1"/>
  <c r="N397" i="1"/>
  <c r="N405" i="1"/>
  <c r="N413" i="1"/>
  <c r="N417" i="1"/>
  <c r="N429" i="1"/>
  <c r="N437" i="1"/>
  <c r="N445" i="1"/>
  <c r="N449" i="1"/>
  <c r="N461" i="1"/>
  <c r="N477" i="1"/>
  <c r="N485" i="1"/>
  <c r="N493" i="1"/>
  <c r="N501" i="1"/>
  <c r="N509" i="1"/>
  <c r="N525" i="1"/>
  <c r="N545" i="1"/>
  <c r="N557" i="1"/>
  <c r="N565" i="1"/>
  <c r="N573" i="1"/>
  <c r="N581" i="1"/>
  <c r="N589" i="1"/>
  <c r="N597" i="1"/>
  <c r="N605" i="1"/>
  <c r="N613" i="1"/>
  <c r="N621" i="1"/>
  <c r="N629" i="1"/>
  <c r="N637" i="1"/>
  <c r="N645" i="1"/>
  <c r="N653" i="1"/>
  <c r="N661" i="1"/>
  <c r="N669" i="1"/>
  <c r="N677" i="1"/>
  <c r="N685" i="1"/>
  <c r="N689" i="1"/>
  <c r="N701" i="1"/>
  <c r="N713" i="1"/>
  <c r="N721" i="1"/>
  <c r="N729" i="1"/>
  <c r="N737" i="1"/>
  <c r="N745" i="1"/>
  <c r="N753" i="1"/>
  <c r="N761" i="1"/>
  <c r="N777" i="1"/>
  <c r="N785" i="1"/>
  <c r="N793" i="1"/>
  <c r="N801" i="1"/>
  <c r="N809" i="1"/>
  <c r="N817" i="1"/>
  <c r="N825" i="1"/>
  <c r="N833" i="1"/>
  <c r="N845" i="1"/>
  <c r="N865" i="1"/>
  <c r="N873" i="1"/>
  <c r="N881" i="1"/>
  <c r="N889" i="1"/>
  <c r="N901" i="1"/>
  <c r="N905" i="1"/>
  <c r="N913" i="1"/>
  <c r="N925" i="1"/>
  <c r="N941" i="1"/>
  <c r="N949" i="1"/>
  <c r="N957" i="1"/>
  <c r="N965" i="1"/>
  <c r="N973" i="1"/>
  <c r="N997" i="1"/>
  <c r="N1009" i="1"/>
  <c r="N1149" i="1"/>
  <c r="N8" i="1"/>
  <c r="N16" i="1"/>
  <c r="N20" i="1"/>
  <c r="N28" i="1"/>
  <c r="N36" i="1"/>
  <c r="N48" i="1"/>
  <c r="N52" i="1"/>
  <c r="N56" i="1"/>
  <c r="N64" i="1"/>
  <c r="N68" i="1"/>
  <c r="N72" i="1"/>
  <c r="N76" i="1"/>
  <c r="N84" i="1"/>
  <c r="N88" i="1"/>
  <c r="N92" i="1"/>
  <c r="N96" i="1"/>
  <c r="N100" i="1"/>
  <c r="N104" i="1"/>
  <c r="N108" i="1"/>
  <c r="N112" i="1"/>
  <c r="N116" i="1"/>
  <c r="N120" i="1"/>
  <c r="N124" i="1"/>
  <c r="N132" i="1"/>
  <c r="N136" i="1"/>
  <c r="N140" i="1"/>
  <c r="N144" i="1"/>
  <c r="N148" i="1"/>
  <c r="N152" i="1"/>
  <c r="N156" i="1"/>
  <c r="N160" i="1"/>
  <c r="N164" i="1"/>
  <c r="N168" i="1"/>
  <c r="N172" i="1"/>
  <c r="N176" i="1"/>
  <c r="N180" i="1"/>
  <c r="N184" i="1"/>
  <c r="N188" i="1"/>
  <c r="N192" i="1"/>
  <c r="N196" i="1"/>
  <c r="N208" i="1"/>
  <c r="N216" i="1"/>
  <c r="N224" i="1"/>
  <c r="N228" i="1"/>
  <c r="N232" i="1"/>
  <c r="N240" i="1"/>
  <c r="N244" i="1"/>
  <c r="N248" i="1"/>
  <c r="N252" i="1"/>
  <c r="N256" i="1"/>
  <c r="N268" i="1"/>
  <c r="N276" i="1"/>
  <c r="N280" i="1"/>
  <c r="N284" i="1"/>
  <c r="N288" i="1"/>
  <c r="N292" i="1"/>
  <c r="N296" i="1"/>
  <c r="N300" i="1"/>
  <c r="N304" i="1"/>
  <c r="N308" i="1"/>
  <c r="N312" i="1"/>
  <c r="N328" i="1"/>
  <c r="N332" i="1"/>
  <c r="N336" i="1"/>
  <c r="N340" i="1"/>
  <c r="N344" i="1"/>
  <c r="N348" i="1"/>
  <c r="N352" i="1"/>
  <c r="N356" i="1"/>
  <c r="N360" i="1"/>
  <c r="N364" i="1"/>
  <c r="N368" i="1"/>
  <c r="N372" i="1"/>
  <c r="N376" i="1"/>
  <c r="N380" i="1"/>
  <c r="N384" i="1"/>
  <c r="N388" i="1"/>
  <c r="N392" i="1"/>
  <c r="N396" i="1"/>
  <c r="N400" i="1"/>
  <c r="N404" i="1"/>
  <c r="N408" i="1"/>
  <c r="N412" i="1"/>
  <c r="N416" i="1"/>
  <c r="N420" i="1"/>
  <c r="N424" i="1"/>
  <c r="N428" i="1"/>
  <c r="N432" i="1"/>
  <c r="N436" i="1"/>
  <c r="N440" i="1"/>
  <c r="N444" i="1"/>
  <c r="N448" i="1"/>
  <c r="N452" i="1"/>
  <c r="N456" i="1"/>
  <c r="N460" i="1"/>
  <c r="N464" i="1"/>
  <c r="N472" i="1"/>
  <c r="N476" i="1"/>
  <c r="N480" i="1"/>
  <c r="N484" i="1"/>
  <c r="N488" i="1"/>
  <c r="N492" i="1"/>
  <c r="N496" i="1"/>
  <c r="N500" i="1"/>
  <c r="N504" i="1"/>
  <c r="N508" i="1"/>
  <c r="N512" i="1"/>
  <c r="N516" i="1"/>
  <c r="N524" i="1"/>
  <c r="N528" i="1"/>
  <c r="N532" i="1"/>
  <c r="N536" i="1"/>
  <c r="N540" i="1"/>
  <c r="N544" i="1"/>
  <c r="N548" i="1"/>
  <c r="N556" i="1"/>
  <c r="N560" i="1"/>
  <c r="N564" i="1"/>
  <c r="N568" i="1"/>
  <c r="N572" i="1"/>
  <c r="N576" i="1"/>
  <c r="N580" i="1"/>
  <c r="N584" i="1"/>
  <c r="N588" i="1"/>
  <c r="N592" i="1"/>
  <c r="N596" i="1"/>
  <c r="N600" i="1"/>
  <c r="N604" i="1"/>
  <c r="N608" i="1"/>
  <c r="N612" i="1"/>
  <c r="N616" i="1"/>
  <c r="N620" i="1"/>
  <c r="N624" i="1"/>
  <c r="N628" i="1"/>
  <c r="N632" i="1"/>
  <c r="N640" i="1"/>
  <c r="N644" i="1"/>
  <c r="N648" i="1"/>
  <c r="N652" i="1"/>
  <c r="N656" i="1"/>
  <c r="N660" i="1"/>
  <c r="N664" i="1"/>
  <c r="N668" i="1"/>
  <c r="N676" i="1"/>
  <c r="N680" i="1"/>
  <c r="N684" i="1"/>
  <c r="N688" i="1"/>
  <c r="N692" i="1"/>
  <c r="N696" i="1"/>
  <c r="N700" i="1"/>
  <c r="N704" i="1"/>
  <c r="N708" i="1"/>
  <c r="N712" i="1"/>
  <c r="N724" i="1"/>
  <c r="N732" i="1"/>
  <c r="N736" i="1"/>
  <c r="N740" i="1"/>
  <c r="N744" i="1"/>
  <c r="N748" i="1"/>
  <c r="N752" i="1"/>
  <c r="N756" i="1"/>
  <c r="N764" i="1"/>
  <c r="N772" i="1"/>
  <c r="N776" i="1"/>
  <c r="N788" i="1"/>
  <c r="N792" i="1"/>
  <c r="N796" i="1"/>
  <c r="N800" i="1"/>
  <c r="N804" i="1"/>
  <c r="N808" i="1"/>
  <c r="N812" i="1"/>
  <c r="N816" i="1"/>
  <c r="N820" i="1"/>
  <c r="N824" i="1"/>
  <c r="N828" i="1"/>
  <c r="N832" i="1"/>
  <c r="N836" i="1"/>
  <c r="N840" i="1"/>
  <c r="N848" i="1"/>
  <c r="N852" i="1"/>
  <c r="N856" i="1"/>
  <c r="N860" i="1"/>
  <c r="N864" i="1"/>
  <c r="N868" i="1"/>
  <c r="N872" i="1"/>
  <c r="N876" i="1"/>
  <c r="N880" i="1"/>
  <c r="N884" i="1"/>
  <c r="N888" i="1"/>
  <c r="N892" i="1"/>
  <c r="N900" i="1"/>
  <c r="N904" i="1"/>
  <c r="N908" i="1"/>
  <c r="N912" i="1"/>
  <c r="N916" i="1"/>
  <c r="N924" i="1"/>
  <c r="N928" i="1"/>
  <c r="N932" i="1"/>
  <c r="N936" i="1"/>
  <c r="N940" i="1"/>
  <c r="N944" i="1"/>
  <c r="N952" i="1"/>
  <c r="N956" i="1"/>
  <c r="N960" i="1"/>
  <c r="N964" i="1"/>
  <c r="N968" i="1"/>
  <c r="N972" i="1"/>
  <c r="N976" i="1"/>
  <c r="N980" i="1"/>
  <c r="N984" i="1"/>
  <c r="N988" i="1"/>
  <c r="N992" i="1"/>
  <c r="N996" i="1"/>
  <c r="N1000" i="1"/>
  <c r="N1004" i="1"/>
  <c r="N1008" i="1"/>
  <c r="N1012" i="1"/>
  <c r="N1016" i="1"/>
  <c r="N1024" i="1"/>
  <c r="N1028" i="1"/>
  <c r="N1032" i="1"/>
  <c r="N1036" i="1"/>
  <c r="N1044" i="1"/>
  <c r="N1048" i="1"/>
  <c r="N1052" i="1"/>
  <c r="N1056" i="1"/>
  <c r="N1060" i="1"/>
  <c r="N1068" i="1"/>
  <c r="N1072" i="1"/>
  <c r="N1076" i="1"/>
  <c r="N1080" i="1"/>
  <c r="N1092" i="1"/>
  <c r="N1096" i="1"/>
  <c r="N1100" i="1"/>
  <c r="N1104" i="1"/>
  <c r="N1112" i="1"/>
  <c r="N1116" i="1"/>
  <c r="N1124" i="1"/>
  <c r="N1128" i="1"/>
  <c r="N1132" i="1"/>
  <c r="N1144" i="1"/>
  <c r="N1148" i="1"/>
  <c r="N1152" i="1"/>
  <c r="N1156" i="1"/>
  <c r="N1160" i="1"/>
  <c r="N1164" i="1"/>
  <c r="N1168" i="1"/>
  <c r="N1172" i="1"/>
  <c r="N1176" i="1"/>
  <c r="N1180" i="1"/>
  <c r="N1184" i="1"/>
  <c r="N1188" i="1"/>
  <c r="N1192" i="1"/>
  <c r="N1196" i="1"/>
  <c r="N1200" i="1"/>
  <c r="N1204" i="1"/>
  <c r="N1208" i="1"/>
  <c r="N1212" i="1"/>
  <c r="N1220" i="1"/>
  <c r="N1224" i="1"/>
  <c r="N1232" i="1"/>
  <c r="N1236" i="1"/>
  <c r="N1244" i="1"/>
  <c r="N1248" i="1"/>
  <c r="N1256" i="1"/>
  <c r="N1260" i="1"/>
  <c r="N1264" i="1"/>
  <c r="N1268" i="1"/>
  <c r="N1280" i="1"/>
  <c r="N1284" i="1"/>
  <c r="N1288" i="1"/>
  <c r="N1292" i="1"/>
  <c r="N1296" i="1"/>
  <c r="N1300" i="1"/>
  <c r="N1304" i="1"/>
  <c r="N1308" i="1"/>
  <c r="N1312" i="1"/>
  <c r="N1316" i="1"/>
  <c r="N1320" i="1"/>
  <c r="N1324" i="1"/>
  <c r="N1328" i="1"/>
  <c r="N1332" i="1"/>
  <c r="N1340" i="1"/>
  <c r="N1344" i="1"/>
  <c r="N1348" i="1"/>
  <c r="N1352" i="1"/>
  <c r="N1356" i="1"/>
  <c r="N1360" i="1"/>
  <c r="N1364" i="1"/>
  <c r="N1368" i="1"/>
  <c r="N1372" i="1"/>
  <c r="N1376" i="1"/>
  <c r="N1380" i="1"/>
  <c r="N1384" i="1"/>
  <c r="N1392" i="1"/>
  <c r="N1396" i="1"/>
  <c r="N1400" i="1"/>
  <c r="N1404" i="1"/>
  <c r="N1408" i="1"/>
  <c r="N1412" i="1"/>
  <c r="N1416" i="1"/>
  <c r="N1420" i="1"/>
  <c r="N1424" i="1"/>
  <c r="N1428" i="1"/>
  <c r="N1432" i="1"/>
  <c r="N1436" i="1"/>
  <c r="N1440" i="1"/>
  <c r="N1444" i="1"/>
  <c r="N1448" i="1"/>
  <c r="N1456" i="1"/>
  <c r="N1460" i="1"/>
  <c r="N1464" i="1"/>
  <c r="N1468" i="1"/>
  <c r="N1476" i="1"/>
  <c r="N1480" i="1"/>
  <c r="N1484" i="1"/>
  <c r="N1488" i="1"/>
  <c r="N1496" i="1"/>
  <c r="N1500" i="1"/>
  <c r="N1504" i="1"/>
  <c r="N1508" i="1"/>
  <c r="N1512" i="1"/>
  <c r="N1516" i="1"/>
  <c r="N1520" i="1"/>
  <c r="N1524" i="1"/>
  <c r="N1528" i="1"/>
  <c r="N1532" i="1"/>
  <c r="N1540" i="1"/>
  <c r="N1544" i="1"/>
  <c r="N1548" i="1"/>
  <c r="N1552" i="1"/>
  <c r="N1556" i="1"/>
  <c r="N1560" i="1"/>
  <c r="N1568" i="1"/>
  <c r="N1572" i="1"/>
  <c r="N1576" i="1"/>
  <c r="N1580" i="1"/>
  <c r="N1584" i="1"/>
  <c r="N1588" i="1"/>
  <c r="N1592" i="1"/>
  <c r="N1596" i="1"/>
  <c r="N1600" i="1"/>
  <c r="N1604" i="1"/>
  <c r="N1608" i="1"/>
  <c r="N1612" i="1"/>
  <c r="N1616" i="1"/>
  <c r="N1620" i="1"/>
  <c r="N1624" i="1"/>
  <c r="N1628" i="1"/>
  <c r="N1632" i="1"/>
  <c r="N1636" i="1"/>
  <c r="N1640" i="1"/>
  <c r="N1644" i="1"/>
  <c r="N1648" i="1"/>
  <c r="N1656" i="1"/>
  <c r="N1660" i="1"/>
  <c r="N1664" i="1"/>
  <c r="N1668" i="1"/>
  <c r="N1676" i="1"/>
  <c r="N1680" i="1"/>
  <c r="N1684" i="1"/>
  <c r="N1688" i="1"/>
  <c r="N1692" i="1"/>
  <c r="N1696" i="1"/>
  <c r="N1700" i="1"/>
  <c r="N1704" i="1"/>
  <c r="N1708" i="1"/>
  <c r="N1716" i="1"/>
  <c r="N1720" i="1"/>
  <c r="N1724" i="1"/>
  <c r="N1732" i="1"/>
  <c r="N1736" i="1"/>
  <c r="N1752" i="1"/>
  <c r="N1756" i="1"/>
  <c r="N1760" i="1"/>
  <c r="N1764" i="1"/>
  <c r="N1768" i="1"/>
  <c r="N1772" i="1"/>
  <c r="N1776" i="1"/>
  <c r="N1780" i="1"/>
  <c r="N1784" i="1"/>
  <c r="N1792" i="1"/>
  <c r="N1796" i="1"/>
  <c r="N1800" i="1"/>
  <c r="N1804" i="1"/>
  <c r="N1808" i="1"/>
  <c r="N1812" i="1"/>
  <c r="N1816" i="1"/>
  <c r="N1820" i="1"/>
  <c r="N1824" i="1"/>
  <c r="N1828" i="1"/>
  <c r="N1832" i="1"/>
  <c r="N1836" i="1"/>
  <c r="N1840" i="1"/>
  <c r="N1844" i="1"/>
  <c r="N1848" i="1"/>
  <c r="N1852" i="1"/>
  <c r="N1856" i="1"/>
  <c r="N1860" i="1"/>
  <c r="N1864" i="1"/>
  <c r="N1868" i="1"/>
  <c r="N1872" i="1"/>
  <c r="N1876" i="1"/>
  <c r="N1880" i="1"/>
  <c r="N1884" i="1"/>
  <c r="N1888" i="1"/>
  <c r="N1892" i="1"/>
  <c r="N1900" i="1"/>
  <c r="N1904" i="1"/>
  <c r="N1908" i="1"/>
  <c r="N1912" i="1"/>
  <c r="N1916" i="1"/>
  <c r="N1920" i="1"/>
  <c r="N1924" i="1"/>
  <c r="N1928" i="1"/>
  <c r="N1932" i="1"/>
  <c r="N1936" i="1"/>
  <c r="N1940" i="1"/>
  <c r="N1944" i="1"/>
  <c r="N1948" i="1"/>
  <c r="N1952" i="1"/>
  <c r="N1956" i="1"/>
  <c r="N1960" i="1"/>
  <c r="N1964" i="1"/>
  <c r="N1968" i="1"/>
  <c r="N1972" i="1"/>
  <c r="N1976" i="1"/>
  <c r="N1980" i="1"/>
  <c r="N1984" i="1"/>
  <c r="N1988" i="1"/>
  <c r="N1992" i="1"/>
  <c r="N1996" i="1"/>
  <c r="N2000" i="1"/>
  <c r="N2004" i="1"/>
  <c r="N2008" i="1"/>
  <c r="N2012" i="1"/>
  <c r="N2016" i="1"/>
  <c r="N2020" i="1"/>
  <c r="N2024" i="1"/>
  <c r="N2028" i="1"/>
  <c r="N2032" i="1"/>
  <c r="N2036" i="1"/>
  <c r="N2044" i="1"/>
  <c r="N2048" i="1"/>
  <c r="N2052" i="1"/>
  <c r="N2056" i="1"/>
  <c r="N2060" i="1"/>
  <c r="N2064" i="1"/>
  <c r="N2068" i="1"/>
  <c r="N2072" i="1"/>
  <c r="N2076" i="1"/>
  <c r="N2080" i="1"/>
  <c r="N2084" i="1"/>
  <c r="N2088" i="1"/>
  <c r="N2092" i="1"/>
  <c r="N2096" i="1"/>
  <c r="N2100" i="1"/>
  <c r="N2108" i="1"/>
  <c r="N2112" i="1"/>
  <c r="N2116" i="1"/>
  <c r="N2120" i="1"/>
  <c r="N2124" i="1"/>
  <c r="N2128" i="1"/>
  <c r="N2132" i="1"/>
  <c r="N2136" i="1"/>
  <c r="N2140" i="1"/>
  <c r="N2144" i="1"/>
  <c r="N2148" i="1"/>
  <c r="N2152" i="1"/>
  <c r="N2156" i="1"/>
  <c r="N2160" i="1"/>
  <c r="N2164" i="1"/>
  <c r="N2172" i="1"/>
  <c r="N2176" i="1"/>
  <c r="N2180" i="1"/>
  <c r="N2184" i="1"/>
  <c r="N2188" i="1"/>
  <c r="N2192" i="1"/>
  <c r="N2196" i="1"/>
  <c r="N2200" i="1"/>
  <c r="N2204" i="1"/>
  <c r="N2208" i="1"/>
  <c r="N2212" i="1"/>
  <c r="N2216" i="1"/>
  <c r="N2220" i="1"/>
  <c r="N2224" i="1"/>
  <c r="N2228" i="1"/>
  <c r="N2232" i="1"/>
  <c r="N2236" i="1"/>
  <c r="N2240" i="1"/>
  <c r="N2244" i="1"/>
  <c r="N2248" i="1"/>
  <c r="N2252" i="1"/>
  <c r="N2256" i="1"/>
  <c r="N2260" i="1"/>
  <c r="N2264" i="1"/>
  <c r="N2268" i="1"/>
  <c r="N2272" i="1"/>
  <c r="N2276" i="1"/>
  <c r="N2280" i="1"/>
  <c r="N2284" i="1"/>
  <c r="N2288" i="1"/>
  <c r="N2292" i="1"/>
  <c r="N2296" i="1"/>
  <c r="N2300" i="1"/>
  <c r="N2304" i="1"/>
  <c r="N2308" i="1"/>
  <c r="N2312" i="1"/>
  <c r="N2316" i="1"/>
  <c r="N2320" i="1"/>
  <c r="N2324" i="1"/>
  <c r="N2328" i="1"/>
  <c r="N2332" i="1"/>
  <c r="N2336" i="1"/>
  <c r="N2340" i="1"/>
  <c r="N2344" i="1"/>
  <c r="N2348" i="1"/>
  <c r="N2352" i="1"/>
  <c r="N2356" i="1"/>
  <c r="N2360" i="1"/>
  <c r="N2364" i="1"/>
  <c r="N2368" i="1"/>
  <c r="N2376" i="1"/>
  <c r="N2380" i="1"/>
  <c r="N2384" i="1"/>
  <c r="N2388" i="1"/>
  <c r="N2392" i="1"/>
  <c r="N2396" i="1"/>
  <c r="N2400" i="1"/>
  <c r="N2404" i="1"/>
  <c r="N2408" i="1"/>
  <c r="N2412" i="1"/>
  <c r="N2416" i="1"/>
  <c r="N2420" i="1"/>
  <c r="N2424" i="1"/>
  <c r="N2428" i="1"/>
  <c r="N2432" i="1"/>
  <c r="N2436" i="1"/>
  <c r="N2440" i="1"/>
  <c r="N2444" i="1"/>
  <c r="N2448" i="1"/>
  <c r="N2452" i="1"/>
  <c r="N2456" i="1"/>
  <c r="N2460" i="1"/>
  <c r="N2464" i="1"/>
  <c r="N2468" i="1"/>
  <c r="N2472" i="1"/>
  <c r="N2476" i="1"/>
  <c r="N2480" i="1"/>
  <c r="N2484" i="1"/>
  <c r="N2488" i="1"/>
  <c r="N2492" i="1"/>
  <c r="N2496" i="1"/>
  <c r="N2500" i="1"/>
  <c r="N2504" i="1"/>
  <c r="N2508" i="1"/>
  <c r="N2512" i="1"/>
  <c r="N2516" i="1"/>
  <c r="N2520" i="1"/>
  <c r="N2524" i="1"/>
  <c r="N2528" i="1"/>
  <c r="N2532" i="1"/>
  <c r="N2536" i="1"/>
  <c r="N2540" i="1"/>
  <c r="N2544" i="1"/>
  <c r="N2548" i="1"/>
  <c r="N2552" i="1"/>
  <c r="N2556" i="1"/>
  <c r="N2668" i="1"/>
  <c r="N1437" i="1"/>
  <c r="N1445" i="1"/>
  <c r="N1449" i="1"/>
  <c r="N1457" i="1"/>
  <c r="N1461" i="1"/>
  <c r="N1465" i="1"/>
  <c r="N1469" i="1"/>
  <c r="N1473" i="1"/>
  <c r="N1477" i="1"/>
  <c r="N1481" i="1"/>
  <c r="N1485" i="1"/>
  <c r="N1489" i="1"/>
  <c r="N1493" i="1"/>
  <c r="N1497" i="1"/>
  <c r="N1501" i="1"/>
  <c r="N1505" i="1"/>
  <c r="N1509" i="1"/>
  <c r="N1513" i="1"/>
  <c r="N1517" i="1"/>
  <c r="N1521" i="1"/>
  <c r="N1525" i="1"/>
  <c r="N1529" i="1"/>
  <c r="N1533" i="1"/>
  <c r="N1537" i="1"/>
  <c r="N1541" i="1"/>
  <c r="N1545" i="1"/>
  <c r="N1549" i="1"/>
  <c r="N1553" i="1"/>
  <c r="N1557" i="1"/>
  <c r="N1561" i="1"/>
  <c r="N1569" i="1"/>
  <c r="N1573" i="1"/>
  <c r="N1577" i="1"/>
  <c r="N1581" i="1"/>
  <c r="N1585" i="1"/>
  <c r="N1589" i="1"/>
  <c r="N1593" i="1"/>
  <c r="N1601" i="1"/>
  <c r="N1605" i="1"/>
  <c r="N1609" i="1"/>
  <c r="N1613" i="1"/>
  <c r="N1617" i="1"/>
  <c r="N1621" i="1"/>
  <c r="N1625" i="1"/>
  <c r="N1629" i="1"/>
  <c r="N1633" i="1"/>
  <c r="N1637" i="1"/>
  <c r="N1641" i="1"/>
  <c r="N1645" i="1"/>
  <c r="N1649" i="1"/>
  <c r="N1657" i="1"/>
  <c r="N1661" i="1"/>
  <c r="N1665" i="1"/>
  <c r="N1669" i="1"/>
  <c r="N1673" i="1"/>
  <c r="N1677" i="1"/>
  <c r="N1681" i="1"/>
  <c r="N1685" i="1"/>
  <c r="N1689" i="1"/>
  <c r="N1693" i="1"/>
  <c r="N1697" i="1"/>
  <c r="N1701" i="1"/>
  <c r="N1705" i="1"/>
  <c r="N1709" i="1"/>
  <c r="N1713" i="1"/>
  <c r="N1717" i="1"/>
  <c r="N1721" i="1"/>
  <c r="N1725" i="1"/>
  <c r="N1729" i="1"/>
  <c r="N1733" i="1"/>
  <c r="N1737" i="1"/>
  <c r="N1745" i="1"/>
  <c r="N1749" i="1"/>
  <c r="N1753" i="1"/>
  <c r="N1757" i="1"/>
  <c r="N1761" i="1"/>
  <c r="N1765" i="1"/>
  <c r="N1769" i="1"/>
  <c r="N1777" i="1"/>
  <c r="N1781" i="1"/>
  <c r="N1785" i="1"/>
  <c r="N1789" i="1"/>
  <c r="N1793" i="1"/>
  <c r="N1797" i="1"/>
  <c r="N1801" i="1"/>
  <c r="N1805" i="1"/>
  <c r="N1809" i="1"/>
  <c r="N1813" i="1"/>
  <c r="N1821" i="1"/>
  <c r="N1825" i="1"/>
  <c r="N1829" i="1"/>
  <c r="N1833" i="1"/>
  <c r="N1837" i="1"/>
  <c r="N1841" i="1"/>
  <c r="N1845" i="1"/>
  <c r="N1849" i="1"/>
  <c r="N1853" i="1"/>
  <c r="N1857" i="1"/>
  <c r="N1861" i="1"/>
  <c r="N1865" i="1"/>
  <c r="N1869" i="1"/>
  <c r="N1873" i="1"/>
  <c r="N1877" i="1"/>
  <c r="N1881" i="1"/>
  <c r="N1885" i="1"/>
  <c r="N1889" i="1"/>
  <c r="N1893" i="1"/>
  <c r="N1905" i="1"/>
  <c r="N1909" i="1"/>
  <c r="N1913" i="1"/>
  <c r="N1921" i="1"/>
  <c r="N1925" i="1"/>
  <c r="N1929" i="1"/>
  <c r="N1933" i="1"/>
  <c r="N1937" i="1"/>
  <c r="N1941" i="1"/>
  <c r="N1949" i="1"/>
  <c r="N1953" i="1"/>
  <c r="N1957" i="1"/>
  <c r="N1961" i="1"/>
  <c r="N1965" i="1"/>
  <c r="N1969" i="1"/>
  <c r="N1973" i="1"/>
  <c r="N1977" i="1"/>
  <c r="N1981" i="1"/>
  <c r="N1985" i="1"/>
  <c r="N1989" i="1"/>
  <c r="N1997" i="1"/>
  <c r="N2001" i="1"/>
  <c r="N2005" i="1"/>
  <c r="N2009" i="1"/>
  <c r="N2013" i="1"/>
  <c r="N2017" i="1"/>
  <c r="N2021" i="1"/>
  <c r="N2025" i="1"/>
  <c r="N2029" i="1"/>
  <c r="N2033" i="1"/>
  <c r="N2037" i="1"/>
  <c r="N2041" i="1"/>
  <c r="N2045" i="1"/>
  <c r="N2049" i="1"/>
  <c r="N2053" i="1"/>
  <c r="N2057" i="1"/>
  <c r="N2061" i="1"/>
  <c r="N2065" i="1"/>
  <c r="N2069" i="1"/>
  <c r="N2073" i="1"/>
  <c r="N2077" i="1"/>
  <c r="N2081" i="1"/>
  <c r="N2085" i="1"/>
  <c r="N2089" i="1"/>
  <c r="N2093" i="1"/>
  <c r="N2097" i="1"/>
  <c r="N2101" i="1"/>
  <c r="N2109" i="1"/>
  <c r="N2113" i="1"/>
  <c r="N2117" i="1"/>
  <c r="N2121" i="1"/>
  <c r="N2125" i="1"/>
  <c r="N2129" i="1"/>
  <c r="N2133" i="1"/>
  <c r="N2137" i="1"/>
  <c r="N2141" i="1"/>
  <c r="N2145" i="1"/>
  <c r="N2149" i="1"/>
  <c r="N2153" i="1"/>
  <c r="N2157" i="1"/>
  <c r="N2161" i="1"/>
  <c r="N2165" i="1"/>
  <c r="N2169" i="1"/>
  <c r="N2173" i="1"/>
  <c r="N2177" i="1"/>
  <c r="N2181" i="1"/>
  <c r="N2185" i="1"/>
  <c r="N2189" i="1"/>
  <c r="N2193" i="1"/>
  <c r="N2197" i="1"/>
  <c r="N2205" i="1"/>
  <c r="N2209" i="1"/>
  <c r="N2213" i="1"/>
  <c r="N2217" i="1"/>
  <c r="N2221" i="1"/>
  <c r="N2225" i="1"/>
  <c r="N2229" i="1"/>
  <c r="N2233" i="1"/>
  <c r="N2237" i="1"/>
  <c r="N2241" i="1"/>
  <c r="N2245" i="1"/>
  <c r="N2249" i="1"/>
  <c r="N2253" i="1"/>
  <c r="N2257" i="1"/>
  <c r="N2261" i="1"/>
  <c r="N2265" i="1"/>
  <c r="N2269" i="1"/>
  <c r="N2273" i="1"/>
  <c r="N2277" i="1"/>
  <c r="N2281" i="1"/>
  <c r="N2285" i="1"/>
  <c r="N2289" i="1"/>
  <c r="N2293" i="1"/>
  <c r="N2297" i="1"/>
  <c r="N2301" i="1"/>
  <c r="N2305" i="1"/>
  <c r="N2309" i="1"/>
  <c r="N2313" i="1"/>
  <c r="N2317" i="1"/>
  <c r="N2321" i="1"/>
  <c r="N2325" i="1"/>
  <c r="N2329" i="1"/>
  <c r="N2337" i="1"/>
  <c r="N2341" i="1"/>
  <c r="N2345" i="1"/>
  <c r="N2349" i="1"/>
  <c r="N2353" i="1"/>
  <c r="N2357" i="1"/>
  <c r="N2365" i="1"/>
  <c r="N2369" i="1"/>
  <c r="N2373" i="1"/>
  <c r="N2377" i="1"/>
  <c r="N2381" i="1"/>
  <c r="N2385" i="1"/>
  <c r="N2389" i="1"/>
  <c r="N2393" i="1"/>
  <c r="N2397" i="1"/>
  <c r="N2401" i="1"/>
  <c r="N2405" i="1"/>
  <c r="N2413" i="1"/>
  <c r="N2417" i="1"/>
  <c r="N2421" i="1"/>
  <c r="N2425" i="1"/>
  <c r="N2429" i="1"/>
  <c r="N2433" i="1"/>
  <c r="N2437" i="1"/>
  <c r="N2441" i="1"/>
  <c r="N2445" i="1"/>
  <c r="N2449" i="1"/>
  <c r="N2453" i="1"/>
  <c r="N2457" i="1"/>
  <c r="N2461" i="1"/>
  <c r="N2465" i="1"/>
  <c r="N2469" i="1"/>
  <c r="N2473" i="1"/>
  <c r="N2477" i="1"/>
  <c r="N2481" i="1"/>
  <c r="N2485" i="1"/>
  <c r="N2489" i="1"/>
  <c r="N2493" i="1"/>
  <c r="N2497" i="1"/>
  <c r="N2501" i="1"/>
  <c r="N2505" i="1"/>
  <c r="N2509" i="1"/>
  <c r="N2513" i="1"/>
  <c r="N2517" i="1"/>
  <c r="N2521" i="1"/>
  <c r="N2525" i="1"/>
  <c r="N2529" i="1"/>
  <c r="N2533" i="1"/>
  <c r="N2537" i="1"/>
  <c r="N2541" i="1"/>
  <c r="N2545" i="1"/>
  <c r="N2549" i="1"/>
  <c r="N2553" i="1"/>
  <c r="N2557" i="1"/>
  <c r="N2561" i="1"/>
  <c r="N2565" i="1"/>
  <c r="N2569" i="1"/>
  <c r="N2573" i="1"/>
  <c r="N2577" i="1"/>
  <c r="N2581" i="1"/>
  <c r="N2585" i="1"/>
  <c r="N2589" i="1"/>
  <c r="N2593" i="1"/>
  <c r="N2597" i="1"/>
  <c r="N2601" i="1"/>
  <c r="N2605" i="1"/>
  <c r="N2609" i="1"/>
  <c r="N2613" i="1"/>
  <c r="N2617" i="1"/>
  <c r="N2621" i="1"/>
  <c r="N2625" i="1"/>
  <c r="N2629" i="1"/>
  <c r="N2633" i="1"/>
  <c r="N2637" i="1"/>
  <c r="N2641" i="1"/>
  <c r="N2645" i="1"/>
  <c r="N2649" i="1"/>
  <c r="N2657" i="1"/>
  <c r="N2661" i="1"/>
  <c r="N2665" i="1"/>
  <c r="N2669" i="1"/>
  <c r="N2673" i="1"/>
  <c r="N2677" i="1"/>
  <c r="N2681" i="1"/>
  <c r="N2685" i="1"/>
  <c r="N2689" i="1"/>
  <c r="N2693" i="1"/>
  <c r="N2697" i="1"/>
  <c r="N2701" i="1"/>
  <c r="N2705" i="1"/>
  <c r="N2709" i="1"/>
  <c r="N2713" i="1"/>
  <c r="N2717" i="1"/>
  <c r="N2721" i="1"/>
  <c r="N2725" i="1"/>
  <c r="N2729" i="1"/>
  <c r="N2733" i="1"/>
  <c r="N2737" i="1"/>
  <c r="N2741" i="1"/>
  <c r="N2745" i="1"/>
  <c r="N2749" i="1"/>
  <c r="N2753" i="1"/>
  <c r="N2757" i="1"/>
  <c r="N2765" i="1"/>
  <c r="N2769" i="1"/>
  <c r="N2773" i="1"/>
  <c r="N2777" i="1"/>
  <c r="N2781" i="1"/>
  <c r="N2785" i="1"/>
  <c r="N2789" i="1"/>
  <c r="N2793" i="1"/>
  <c r="N2797" i="1"/>
  <c r="N2801" i="1"/>
  <c r="N2805" i="1"/>
  <c r="N2873" i="1"/>
  <c r="N3029" i="1"/>
  <c r="N110" i="1"/>
  <c r="N114" i="1"/>
  <c r="N118" i="1"/>
  <c r="N122" i="1"/>
  <c r="N126" i="1"/>
  <c r="N130" i="1"/>
  <c r="N134" i="1"/>
  <c r="N138" i="1"/>
  <c r="N142" i="1"/>
  <c r="N146" i="1"/>
  <c r="N150" i="1"/>
  <c r="N154" i="1"/>
  <c r="N162" i="1"/>
  <c r="N170" i="1"/>
  <c r="N174" i="1"/>
  <c r="N178" i="1"/>
  <c r="N182" i="1"/>
  <c r="N186" i="1"/>
  <c r="N190" i="1"/>
  <c r="N194" i="1"/>
  <c r="N202" i="1"/>
  <c r="N206" i="1"/>
  <c r="N210" i="1"/>
  <c r="N214" i="1"/>
  <c r="N222" i="1"/>
  <c r="N226" i="1"/>
  <c r="N234" i="1"/>
  <c r="N238" i="1"/>
  <c r="N242" i="1"/>
  <c r="N246" i="1"/>
  <c r="N250" i="1"/>
  <c r="N254" i="1"/>
  <c r="N258" i="1"/>
  <c r="N266" i="1"/>
  <c r="N270" i="1"/>
  <c r="N274" i="1"/>
  <c r="N282" i="1"/>
  <c r="N290" i="1"/>
  <c r="N294" i="1"/>
  <c r="N298" i="1"/>
  <c r="N302" i="1"/>
  <c r="N306" i="1"/>
  <c r="N310" i="1"/>
  <c r="N314" i="1"/>
  <c r="N322" i="1"/>
  <c r="N326" i="1"/>
  <c r="N330" i="1"/>
  <c r="N334" i="1"/>
  <c r="N338" i="1"/>
  <c r="N342" i="1"/>
  <c r="N346" i="1"/>
  <c r="N350" i="1"/>
  <c r="N354" i="1"/>
  <c r="N358" i="1"/>
  <c r="N366" i="1"/>
  <c r="N370" i="1"/>
  <c r="N374" i="1"/>
  <c r="N378" i="1"/>
  <c r="N382" i="1"/>
  <c r="N386" i="1"/>
  <c r="N390" i="1"/>
  <c r="N394" i="1"/>
  <c r="N398" i="1"/>
  <c r="N402" i="1"/>
  <c r="N406" i="1"/>
  <c r="N410" i="1"/>
  <c r="N414" i="1"/>
  <c r="N418" i="1"/>
  <c r="N422" i="1"/>
  <c r="N426" i="1"/>
  <c r="N430" i="1"/>
  <c r="N434" i="1"/>
  <c r="N438" i="1"/>
  <c r="N446" i="1"/>
  <c r="N450" i="1"/>
  <c r="N454" i="1"/>
  <c r="N458" i="1"/>
  <c r="N466" i="1"/>
  <c r="N470" i="1"/>
  <c r="N474" i="1"/>
  <c r="N478" i="1"/>
  <c r="N482" i="1"/>
  <c r="N486" i="1"/>
  <c r="N490" i="1"/>
  <c r="N494" i="1"/>
  <c r="N498" i="1"/>
  <c r="N502" i="1"/>
  <c r="N506" i="1"/>
  <c r="N510" i="1"/>
  <c r="N514" i="1"/>
  <c r="N530" i="1"/>
  <c r="N534" i="1"/>
  <c r="N538" i="1"/>
  <c r="N542" i="1"/>
  <c r="N550" i="1"/>
  <c r="N554" i="1"/>
  <c r="N558" i="1"/>
  <c r="N562" i="1"/>
  <c r="N566" i="1"/>
  <c r="N570" i="1"/>
  <c r="N574" i="1"/>
  <c r="N578" i="1"/>
  <c r="N582" i="1"/>
  <c r="N586" i="1"/>
  <c r="N590" i="1"/>
  <c r="N594" i="1"/>
  <c r="N598" i="1"/>
  <c r="N610" i="1"/>
  <c r="N614" i="1"/>
  <c r="N618" i="1"/>
  <c r="N622" i="1"/>
  <c r="N626" i="1"/>
  <c r="N630" i="1"/>
  <c r="N634" i="1"/>
  <c r="N638" i="1"/>
  <c r="N642" i="1"/>
  <c r="N646" i="1"/>
  <c r="N650" i="1"/>
  <c r="N654" i="1"/>
  <c r="N658" i="1"/>
  <c r="N674" i="1"/>
  <c r="N678" i="1"/>
  <c r="N682" i="1"/>
  <c r="N686" i="1"/>
  <c r="N690" i="1"/>
  <c r="N694" i="1"/>
  <c r="N698" i="1"/>
  <c r="N702" i="1"/>
  <c r="N710" i="1"/>
  <c r="N718" i="1"/>
  <c r="N726" i="1"/>
  <c r="N730" i="1"/>
  <c r="N738" i="1"/>
  <c r="N742" i="1"/>
  <c r="N746" i="1"/>
  <c r="N750" i="1"/>
  <c r="N754" i="1"/>
  <c r="N758" i="1"/>
  <c r="N762" i="1"/>
  <c r="N766" i="1"/>
  <c r="N770" i="1"/>
  <c r="N774" i="1"/>
  <c r="N778" i="1"/>
  <c r="N786" i="1"/>
  <c r="N790" i="1"/>
  <c r="N794" i="1"/>
  <c r="N798" i="1"/>
  <c r="N802" i="1"/>
  <c r="N806" i="1"/>
  <c r="N810" i="1"/>
  <c r="N814" i="1"/>
  <c r="N818" i="1"/>
  <c r="N826" i="1"/>
  <c r="N830" i="1"/>
  <c r="N834" i="1"/>
  <c r="N838" i="1"/>
  <c r="N846" i="1"/>
  <c r="N850" i="1"/>
  <c r="N858" i="1"/>
  <c r="N862" i="1"/>
  <c r="N866" i="1"/>
  <c r="N874" i="1"/>
  <c r="N878" i="1"/>
  <c r="N882" i="1"/>
  <c r="N886" i="1"/>
  <c r="N890" i="1"/>
  <c r="N894" i="1"/>
  <c r="N898" i="1"/>
  <c r="N902" i="1"/>
  <c r="N906" i="1"/>
  <c r="N910" i="1"/>
  <c r="N922" i="1"/>
  <c r="N926" i="1"/>
  <c r="N930" i="1"/>
  <c r="N934" i="1"/>
  <c r="N938" i="1"/>
  <c r="N942" i="1"/>
  <c r="N946" i="1"/>
  <c r="N950" i="1"/>
  <c r="N954" i="1"/>
  <c r="N958" i="1"/>
  <c r="N962" i="1"/>
  <c r="N966" i="1"/>
  <c r="N970" i="1"/>
  <c r="N978" i="1"/>
  <c r="N982" i="1"/>
  <c r="N986" i="1"/>
  <c r="N990" i="1"/>
  <c r="N994" i="1"/>
  <c r="N998" i="1"/>
  <c r="N1002" i="1"/>
  <c r="N1006" i="1"/>
  <c r="N1010" i="1"/>
  <c r="N1014" i="1"/>
  <c r="N1018" i="1"/>
  <c r="N1022" i="1"/>
  <c r="N1026" i="1"/>
  <c r="N1030" i="1"/>
  <c r="N1034" i="1"/>
  <c r="N1038" i="1"/>
  <c r="N1046" i="1"/>
  <c r="N1050" i="1"/>
  <c r="N1054" i="1"/>
  <c r="N1058" i="1"/>
  <c r="N1062" i="1"/>
  <c r="N1070" i="1"/>
  <c r="N1074" i="1"/>
  <c r="N1078" i="1"/>
  <c r="N1090" i="1"/>
  <c r="N1094" i="1"/>
  <c r="N1098" i="1"/>
  <c r="N1102" i="1"/>
  <c r="N1110" i="1"/>
  <c r="N1114" i="1"/>
  <c r="N1122" i="1"/>
  <c r="N1126" i="1"/>
  <c r="N1130" i="1"/>
  <c r="N1134" i="1"/>
  <c r="N1142" i="1"/>
  <c r="N1146" i="1"/>
  <c r="N1150" i="1"/>
  <c r="N1154" i="1"/>
  <c r="N1162" i="1"/>
  <c r="N1166" i="1"/>
  <c r="N1170" i="1"/>
  <c r="N1186" i="1"/>
  <c r="N1190" i="1"/>
  <c r="N1194" i="1"/>
  <c r="N1202" i="1"/>
  <c r="N1206" i="1"/>
  <c r="N1210" i="1"/>
  <c r="N1214" i="1"/>
  <c r="N1218" i="1"/>
  <c r="N1222" i="1"/>
  <c r="N1226" i="1"/>
  <c r="N1230" i="1"/>
  <c r="N1234" i="1"/>
  <c r="N1238" i="1"/>
  <c r="N1242" i="1"/>
  <c r="N1246" i="1"/>
  <c r="N1250" i="1"/>
  <c r="N1254" i="1"/>
  <c r="N1258" i="1"/>
  <c r="N1266" i="1"/>
  <c r="N1270" i="1"/>
  <c r="N1274" i="1"/>
  <c r="N1278" i="1"/>
  <c r="N1282" i="1"/>
  <c r="N1286" i="1"/>
  <c r="N1290" i="1"/>
  <c r="N1294" i="1"/>
  <c r="N1298" i="1"/>
  <c r="N1306" i="1"/>
  <c r="N1310" i="1"/>
  <c r="N1314" i="1"/>
  <c r="N1318" i="1"/>
  <c r="N1322" i="1"/>
  <c r="N1326" i="1"/>
  <c r="N1330" i="1"/>
  <c r="N1334" i="1"/>
  <c r="N1338" i="1"/>
  <c r="N1342" i="1"/>
  <c r="N1346" i="1"/>
  <c r="N1350" i="1"/>
  <c r="N1354" i="1"/>
  <c r="N1358" i="1"/>
  <c r="N1362" i="1"/>
  <c r="N1366" i="1"/>
  <c r="N1370" i="1"/>
  <c r="N1374" i="1"/>
  <c r="N1378" i="1"/>
  <c r="N1382" i="1"/>
  <c r="N1386" i="1"/>
  <c r="N1394" i="1"/>
  <c r="N1398" i="1"/>
  <c r="N1402" i="1"/>
  <c r="N1406" i="1"/>
  <c r="N1410" i="1"/>
  <c r="N1414" i="1"/>
  <c r="N1418" i="1"/>
  <c r="N1422" i="1"/>
  <c r="N1434" i="1"/>
  <c r="N1450" i="1"/>
  <c r="N1454" i="1"/>
  <c r="N1458" i="1"/>
  <c r="N1462" i="1"/>
  <c r="N1466" i="1"/>
  <c r="N1470" i="1"/>
  <c r="N1474" i="1"/>
  <c r="N1478" i="1"/>
  <c r="N1490" i="1"/>
  <c r="N1502" i="1"/>
  <c r="N1506" i="1"/>
  <c r="N1510" i="1"/>
  <c r="N1514" i="1"/>
  <c r="N1518" i="1"/>
  <c r="N1522" i="1"/>
  <c r="N1526" i="1"/>
  <c r="N1538" i="1"/>
  <c r="N1542" i="1"/>
  <c r="N1558" i="1"/>
  <c r="N1622" i="1"/>
  <c r="N1814" i="1"/>
  <c r="N127" i="1"/>
  <c r="N131" i="1"/>
  <c r="N139" i="1"/>
  <c r="N147" i="1"/>
  <c r="N155" i="1"/>
  <c r="N159" i="1"/>
  <c r="N163" i="1"/>
  <c r="N171" i="1"/>
  <c r="N175" i="1"/>
  <c r="N179" i="1"/>
  <c r="N187" i="1"/>
  <c r="N191" i="1"/>
  <c r="N195" i="1"/>
  <c r="N203" i="1"/>
  <c r="N207" i="1"/>
  <c r="N219" i="1"/>
  <c r="N223" i="1"/>
  <c r="N227" i="1"/>
  <c r="N235" i="1"/>
  <c r="N239" i="1"/>
  <c r="N243" i="1"/>
  <c r="N251" i="1"/>
  <c r="N255" i="1"/>
  <c r="N259" i="1"/>
  <c r="N267" i="1"/>
  <c r="N275" i="1"/>
  <c r="N283" i="1"/>
  <c r="N287" i="1"/>
  <c r="N291" i="1"/>
  <c r="N299" i="1"/>
  <c r="N303" i="1"/>
  <c r="N307" i="1"/>
  <c r="N323" i="1"/>
  <c r="N331" i="1"/>
  <c r="N339" i="1"/>
  <c r="N347" i="1"/>
  <c r="N355" i="1"/>
  <c r="N367" i="1"/>
  <c r="N371" i="1"/>
  <c r="N379" i="1"/>
  <c r="N383" i="1"/>
  <c r="N387" i="1"/>
  <c r="N399" i="1"/>
  <c r="N403" i="1"/>
  <c r="N411" i="1"/>
  <c r="N415" i="1"/>
  <c r="N419" i="1"/>
  <c r="N427" i="1"/>
  <c r="N431" i="1"/>
  <c r="N435" i="1"/>
  <c r="N443" i="1"/>
  <c r="N447" i="1"/>
  <c r="N451" i="1"/>
  <c r="N459" i="1"/>
  <c r="N463" i="1"/>
  <c r="N467" i="1"/>
  <c r="N475" i="1"/>
  <c r="N483" i="1"/>
  <c r="N491" i="1"/>
  <c r="N495" i="1"/>
  <c r="N499" i="1"/>
  <c r="N507" i="1"/>
  <c r="N511" i="1"/>
  <c r="N515" i="1"/>
  <c r="N531" i="1"/>
  <c r="N539" i="1"/>
  <c r="N543" i="1"/>
  <c r="N547" i="1"/>
  <c r="N555" i="1"/>
  <c r="N559" i="1"/>
  <c r="N563" i="1"/>
  <c r="N571" i="1"/>
  <c r="N575" i="1"/>
  <c r="N579" i="1"/>
  <c r="N587" i="1"/>
  <c r="N591" i="1"/>
  <c r="N595" i="1"/>
  <c r="N603" i="1"/>
  <c r="N607" i="1"/>
  <c r="N611" i="1"/>
  <c r="N619" i="1"/>
  <c r="N623" i="1"/>
  <c r="N635" i="1"/>
  <c r="N639" i="1"/>
  <c r="N643" i="1"/>
  <c r="N651" i="1"/>
  <c r="N655" i="1"/>
  <c r="N659" i="1"/>
  <c r="N671" i="1"/>
  <c r="N675" i="1"/>
  <c r="N687" i="1"/>
  <c r="N691" i="1"/>
  <c r="N699" i="1"/>
  <c r="N703" i="1"/>
  <c r="N707" i="1"/>
  <c r="N711" i="1"/>
  <c r="N715" i="1"/>
  <c r="N719" i="1"/>
  <c r="N723" i="1"/>
  <c r="N727" i="1"/>
  <c r="N735" i="1"/>
  <c r="N743" i="1"/>
  <c r="N751" i="1"/>
  <c r="N755" i="1"/>
  <c r="N759" i="1"/>
  <c r="N763" i="1"/>
  <c r="N767" i="1"/>
  <c r="N771" i="1"/>
  <c r="N779" i="1"/>
  <c r="N783" i="1"/>
  <c r="N787" i="1"/>
  <c r="N791" i="1"/>
  <c r="N795" i="1"/>
  <c r="N799" i="1"/>
  <c r="N803" i="1"/>
  <c r="N807" i="1"/>
  <c r="N811" i="1"/>
  <c r="N815" i="1"/>
  <c r="N819" i="1"/>
  <c r="N823" i="1"/>
  <c r="N827" i="1"/>
  <c r="N831" i="1"/>
  <c r="N835" i="1"/>
  <c r="N839" i="1"/>
  <c r="N847" i="1"/>
  <c r="N855" i="1"/>
  <c r="N859" i="1"/>
  <c r="N867" i="1"/>
  <c r="N875" i="1"/>
  <c r="N879" i="1"/>
  <c r="N883" i="1"/>
  <c r="N887" i="1"/>
  <c r="N891" i="1"/>
  <c r="N895" i="1"/>
  <c r="N899" i="1"/>
  <c r="N903" i="1"/>
  <c r="N907" i="1"/>
  <c r="N911" i="1"/>
  <c r="N915" i="1"/>
  <c r="N919" i="1"/>
  <c r="N923" i="1"/>
  <c r="N927" i="1"/>
  <c r="N931" i="1"/>
  <c r="N935" i="1"/>
  <c r="N939" i="1"/>
  <c r="N943" i="1"/>
  <c r="N947" i="1"/>
  <c r="N951" i="1"/>
  <c r="N955" i="1"/>
  <c r="N959" i="1"/>
  <c r="N963" i="1"/>
  <c r="N967" i="1"/>
  <c r="N971" i="1"/>
  <c r="N975" i="1"/>
  <c r="N979" i="1"/>
  <c r="N983" i="1"/>
  <c r="N987" i="1"/>
  <c r="N991" i="1"/>
  <c r="N995" i="1"/>
  <c r="N999" i="1"/>
  <c r="N1007" i="1"/>
  <c r="N1015" i="1"/>
  <c r="N1023" i="1"/>
  <c r="N1031" i="1"/>
  <c r="N1035" i="1"/>
  <c r="N1039" i="1"/>
  <c r="N1043" i="1"/>
  <c r="N1047" i="1"/>
  <c r="N1051" i="1"/>
  <c r="N1055" i="1"/>
  <c r="N1059" i="1"/>
  <c r="N1063" i="1"/>
  <c r="N1067" i="1"/>
  <c r="N1071" i="1"/>
  <c r="N1075" i="1"/>
  <c r="N1079" i="1"/>
  <c r="N1083" i="1"/>
  <c r="N1087" i="1"/>
  <c r="N1091" i="1"/>
  <c r="N1095" i="1"/>
  <c r="N1099" i="1"/>
  <c r="N1103" i="1"/>
  <c r="N1111" i="1"/>
  <c r="N1115" i="1"/>
  <c r="N1119" i="1"/>
  <c r="N1127" i="1"/>
  <c r="N1131" i="1"/>
  <c r="N1135" i="1"/>
  <c r="N1147" i="1"/>
  <c r="N1151" i="1"/>
  <c r="N1155" i="1"/>
  <c r="N1159" i="1"/>
  <c r="N1163" i="1"/>
  <c r="N1167" i="1"/>
  <c r="N1171" i="1"/>
  <c r="N1175" i="1"/>
  <c r="N1179" i="1"/>
  <c r="N1183" i="1"/>
  <c r="N1191" i="1"/>
  <c r="N1195" i="1"/>
  <c r="N1203" i="1"/>
  <c r="N1207" i="1"/>
  <c r="N1211" i="1"/>
  <c r="N1215" i="1"/>
  <c r="N1219" i="1"/>
  <c r="N1223" i="1"/>
  <c r="N1227" i="1"/>
  <c r="N1235" i="1"/>
  <c r="N1243" i="1"/>
  <c r="N1247" i="1"/>
  <c r="N1251" i="1"/>
  <c r="N1255" i="1"/>
  <c r="N1263" i="1"/>
  <c r="N1267" i="1"/>
  <c r="N1271" i="1"/>
  <c r="N1275" i="1"/>
  <c r="N1279" i="1"/>
  <c r="N1283" i="1"/>
  <c r="N1287" i="1"/>
  <c r="N1295" i="1"/>
  <c r="N1299" i="1"/>
  <c r="N1303" i="1"/>
  <c r="N1311" i="1"/>
  <c r="N1315" i="1"/>
  <c r="N1319" i="1"/>
  <c r="N1323" i="1"/>
  <c r="N1327" i="1"/>
  <c r="N1331" i="1"/>
  <c r="N1335" i="1"/>
  <c r="N1343" i="1"/>
  <c r="N1347" i="1"/>
  <c r="N1351" i="1"/>
  <c r="N1355" i="1"/>
  <c r="N1359" i="1"/>
  <c r="N1367" i="1"/>
  <c r="N1371" i="1"/>
  <c r="N1375" i="1"/>
  <c r="N1379" i="1"/>
  <c r="N1383" i="1"/>
  <c r="N1387" i="1"/>
  <c r="N1391" i="1"/>
  <c r="N1395" i="1"/>
  <c r="N1399" i="1"/>
  <c r="N1403" i="1"/>
  <c r="N1407" i="1"/>
  <c r="N1411" i="1"/>
  <c r="N1415" i="1"/>
  <c r="N1419" i="1"/>
  <c r="N1423" i="1"/>
  <c r="N1427" i="1"/>
  <c r="N1431" i="1"/>
  <c r="N1435" i="1"/>
  <c r="N1439" i="1"/>
  <c r="N1443" i="1"/>
  <c r="N1447" i="1"/>
  <c r="N1451" i="1"/>
  <c r="N1455" i="1"/>
  <c r="N1459" i="1"/>
  <c r="N1463" i="1"/>
  <c r="N1467" i="1"/>
  <c r="N1471" i="1"/>
  <c r="N1475" i="1"/>
  <c r="N1479" i="1"/>
  <c r="N1483" i="1"/>
  <c r="N1487" i="1"/>
  <c r="N1495" i="1"/>
  <c r="N1503" i="1"/>
  <c r="N1507" i="1"/>
  <c r="N1511" i="1"/>
  <c r="N1519" i="1"/>
  <c r="N1523" i="1"/>
  <c r="N1527" i="1"/>
  <c r="N1535" i="1"/>
  <c r="N1539" i="1"/>
  <c r="N1543" i="1"/>
  <c r="N1547" i="1"/>
  <c r="N1551" i="1"/>
  <c r="N1555" i="1"/>
  <c r="N1559" i="1"/>
  <c r="N1563" i="1"/>
  <c r="N1567" i="1"/>
  <c r="N1571" i="1"/>
  <c r="N1575" i="1"/>
  <c r="N1579" i="1"/>
  <c r="N1583" i="1"/>
  <c r="N1587" i="1"/>
  <c r="N1591" i="1"/>
  <c r="N1595" i="1"/>
  <c r="N1599" i="1"/>
  <c r="N1607" i="1"/>
  <c r="N1611" i="1"/>
  <c r="N1615" i="1"/>
  <c r="N1619" i="1"/>
  <c r="N1623" i="1"/>
  <c r="N1627" i="1"/>
  <c r="N1631" i="1"/>
  <c r="N1635" i="1"/>
  <c r="N1643" i="1"/>
  <c r="N1707" i="1"/>
  <c r="N1835" i="1"/>
  <c r="N1947" i="1"/>
  <c r="N1546" i="1"/>
  <c r="N1550" i="1"/>
  <c r="N1554" i="1"/>
  <c r="N1562" i="1"/>
  <c r="N1566" i="1"/>
  <c r="N1570" i="1"/>
  <c r="N1574" i="1"/>
  <c r="N1578" i="1"/>
  <c r="N1582" i="1"/>
  <c r="N1586" i="1"/>
  <c r="N1590" i="1"/>
  <c r="N1594" i="1"/>
  <c r="N1598" i="1"/>
  <c r="N1606" i="1"/>
  <c r="N1610" i="1"/>
  <c r="N1614" i="1"/>
  <c r="N1618" i="1"/>
  <c r="N1626" i="1"/>
  <c r="N1630" i="1"/>
  <c r="N1634" i="1"/>
  <c r="N1638" i="1"/>
  <c r="N1642" i="1"/>
  <c r="N1646" i="1"/>
  <c r="N1650" i="1"/>
  <c r="N1654" i="1"/>
  <c r="N1658" i="1"/>
  <c r="N1662" i="1"/>
  <c r="N1666" i="1"/>
  <c r="N1674" i="1"/>
  <c r="N1678" i="1"/>
  <c r="N1682" i="1"/>
  <c r="N1690" i="1"/>
  <c r="N1694" i="1"/>
  <c r="N1698" i="1"/>
  <c r="N1702" i="1"/>
  <c r="N1706" i="1"/>
  <c r="N1710" i="1"/>
  <c r="N1714" i="1"/>
  <c r="N1718" i="1"/>
  <c r="N1730" i="1"/>
  <c r="N1734" i="1"/>
  <c r="N1738" i="1"/>
  <c r="N1746" i="1"/>
  <c r="N1754" i="1"/>
  <c r="N1758" i="1"/>
  <c r="N1762" i="1"/>
  <c r="N1766" i="1"/>
  <c r="N1770" i="1"/>
  <c r="N1774" i="1"/>
  <c r="N1778" i="1"/>
  <c r="N1782" i="1"/>
  <c r="N1786" i="1"/>
  <c r="N1790" i="1"/>
  <c r="N1794" i="1"/>
  <c r="N1798" i="1"/>
  <c r="N1802" i="1"/>
  <c r="N1806" i="1"/>
  <c r="N1810" i="1"/>
  <c r="N1818" i="1"/>
  <c r="N1826" i="1"/>
  <c r="N1830" i="1"/>
  <c r="N1834" i="1"/>
  <c r="N1838" i="1"/>
  <c r="N1842" i="1"/>
  <c r="N1846" i="1"/>
  <c r="N1850" i="1"/>
  <c r="N1854" i="1"/>
  <c r="N1858" i="1"/>
  <c r="N1862" i="1"/>
  <c r="N1866" i="1"/>
  <c r="N1870" i="1"/>
  <c r="N1874" i="1"/>
  <c r="N1878" i="1"/>
  <c r="N1882" i="1"/>
  <c r="N1886" i="1"/>
  <c r="N1890" i="1"/>
  <c r="N1894" i="1"/>
  <c r="N1898" i="1"/>
  <c r="N1902" i="1"/>
  <c r="N1906" i="1"/>
  <c r="N1910" i="1"/>
  <c r="N1914" i="1"/>
  <c r="N1918" i="1"/>
  <c r="N1922" i="1"/>
  <c r="N1926" i="1"/>
  <c r="N1930" i="1"/>
  <c r="N1938" i="1"/>
  <c r="N1942" i="1"/>
  <c r="N1950" i="1"/>
  <c r="N1954" i="1"/>
  <c r="N1958" i="1"/>
  <c r="N1962" i="1"/>
  <c r="N2702" i="1"/>
  <c r="N2750" i="1"/>
  <c r="N2822" i="1"/>
  <c r="N2858" i="1"/>
  <c r="N2894" i="1"/>
  <c r="N2970" i="1"/>
  <c r="N3050" i="1"/>
  <c r="N3086" i="1"/>
  <c r="N3130" i="1"/>
  <c r="N3226" i="1"/>
  <c r="N3322" i="1"/>
  <c r="N3434" i="1"/>
  <c r="N1639" i="1"/>
  <c r="N1647" i="1"/>
  <c r="N1651" i="1"/>
  <c r="N1655" i="1"/>
  <c r="N1659" i="1"/>
  <c r="N1663" i="1"/>
  <c r="N1667" i="1"/>
  <c r="N1675" i="1"/>
  <c r="N1679" i="1"/>
  <c r="N1683" i="1"/>
  <c r="N1687" i="1"/>
  <c r="N1691" i="1"/>
  <c r="N1695" i="1"/>
  <c r="N1699" i="1"/>
  <c r="N1703" i="1"/>
  <c r="N1711" i="1"/>
  <c r="N1715" i="1"/>
  <c r="N1719" i="1"/>
  <c r="N1723" i="1"/>
  <c r="N1735" i="1"/>
  <c r="N1743" i="1"/>
  <c r="N1747" i="1"/>
  <c r="N1755" i="1"/>
  <c r="N1759" i="1"/>
  <c r="N1763" i="1"/>
  <c r="N1767" i="1"/>
  <c r="N1775" i="1"/>
  <c r="N1779" i="1"/>
  <c r="N1783" i="1"/>
  <c r="N1791" i="1"/>
  <c r="N1795" i="1"/>
  <c r="N1799" i="1"/>
  <c r="N1803" i="1"/>
  <c r="N1807" i="1"/>
  <c r="N1811" i="1"/>
  <c r="N1815" i="1"/>
  <c r="N1819" i="1"/>
  <c r="N1823" i="1"/>
  <c r="N1827" i="1"/>
  <c r="N1831" i="1"/>
  <c r="N1839" i="1"/>
  <c r="N1843" i="1"/>
  <c r="N1847" i="1"/>
  <c r="N1851" i="1"/>
  <c r="N1855" i="1"/>
  <c r="N1859" i="1"/>
  <c r="N1863" i="1"/>
  <c r="N1867" i="1"/>
  <c r="N1871" i="1"/>
  <c r="N1875" i="1"/>
  <c r="N1879" i="1"/>
  <c r="N1883" i="1"/>
  <c r="N1887" i="1"/>
  <c r="N1891" i="1"/>
  <c r="N1895" i="1"/>
  <c r="N1899" i="1"/>
  <c r="N1907" i="1"/>
  <c r="N1911" i="1"/>
  <c r="N1915" i="1"/>
  <c r="N1919" i="1"/>
  <c r="N1923" i="1"/>
  <c r="N1927" i="1"/>
  <c r="N1931" i="1"/>
  <c r="N1935" i="1"/>
  <c r="N1939" i="1"/>
  <c r="N1943" i="1"/>
  <c r="N1951" i="1"/>
  <c r="N1955" i="1"/>
  <c r="N1959" i="1"/>
  <c r="N1963" i="1"/>
  <c r="N1975" i="1"/>
  <c r="N1979" i="1"/>
  <c r="N1995" i="1"/>
  <c r="N2015" i="1"/>
  <c r="N2071" i="1"/>
  <c r="N2111" i="1"/>
  <c r="N2167" i="1"/>
  <c r="N2187" i="1"/>
  <c r="N2203" i="1"/>
  <c r="N2207" i="1"/>
  <c r="N2223" i="1"/>
  <c r="N2263" i="1"/>
  <c r="N2279" i="1"/>
  <c r="N2299" i="1"/>
  <c r="N2395" i="1"/>
  <c r="N2415" i="1"/>
  <c r="N2431" i="1"/>
  <c r="N2471" i="1"/>
  <c r="N2487" i="1"/>
  <c r="N2491" i="1"/>
  <c r="N2507" i="1"/>
  <c r="N2527" i="1"/>
  <c r="N2583" i="1"/>
  <c r="N2623" i="1"/>
  <c r="N2679" i="1"/>
  <c r="N2699" i="1"/>
  <c r="N2723" i="1"/>
  <c r="N2751" i="1"/>
  <c r="N2779" i="1"/>
  <c r="N2815" i="1"/>
  <c r="N2899" i="1"/>
  <c r="N2971" i="1"/>
  <c r="N3007" i="1"/>
  <c r="N3043" i="1"/>
  <c r="N3083" i="1"/>
  <c r="N3123" i="1"/>
  <c r="N3171" i="1"/>
  <c r="N3179" i="1"/>
  <c r="N3227" i="1"/>
  <c r="N3275" i="1"/>
  <c r="N3283" i="1"/>
  <c r="N3427" i="1"/>
  <c r="N2560" i="1"/>
  <c r="N2564" i="1"/>
  <c r="N2568" i="1"/>
  <c r="N2572" i="1"/>
  <c r="N2576" i="1"/>
  <c r="N2584" i="1"/>
  <c r="N2588" i="1"/>
  <c r="N2596" i="1"/>
  <c r="N2600" i="1"/>
  <c r="N2604" i="1"/>
  <c r="N2608" i="1"/>
  <c r="N2612" i="1"/>
  <c r="N2616" i="1"/>
  <c r="N2620" i="1"/>
  <c r="N2624" i="1"/>
  <c r="N2628" i="1"/>
  <c r="N2632" i="1"/>
  <c r="N2636" i="1"/>
  <c r="N2644" i="1"/>
  <c r="N2648" i="1"/>
  <c r="N2652" i="1"/>
  <c r="N2656" i="1"/>
  <c r="N2660" i="1"/>
  <c r="N2664" i="1"/>
  <c r="N2672" i="1"/>
  <c r="N2676" i="1"/>
  <c r="N2680" i="1"/>
  <c r="N2684" i="1"/>
  <c r="N2688" i="1"/>
  <c r="N2692" i="1"/>
  <c r="N2696" i="1"/>
  <c r="N2700" i="1"/>
  <c r="N2704" i="1"/>
  <c r="N2708" i="1"/>
  <c r="N2712" i="1"/>
  <c r="N2716" i="1"/>
  <c r="N2720" i="1"/>
  <c r="N2724" i="1"/>
  <c r="N2728" i="1"/>
  <c r="N2732" i="1"/>
  <c r="N2736" i="1"/>
  <c r="N2740" i="1"/>
  <c r="N2744" i="1"/>
  <c r="N2748" i="1"/>
  <c r="N2752" i="1"/>
  <c r="N2756" i="1"/>
  <c r="N2760" i="1"/>
  <c r="N2764" i="1"/>
  <c r="N2768" i="1"/>
  <c r="N2772" i="1"/>
  <c r="N2776" i="1"/>
  <c r="N2780" i="1"/>
  <c r="N2784" i="1"/>
  <c r="N2788" i="1"/>
  <c r="N2792" i="1"/>
  <c r="N2796" i="1"/>
  <c r="N2800" i="1"/>
  <c r="N2804" i="1"/>
  <c r="N2808" i="1"/>
  <c r="N3300" i="1"/>
  <c r="N3304" i="1"/>
  <c r="N2812" i="1"/>
  <c r="N2816" i="1"/>
  <c r="N2820" i="1"/>
  <c r="N2824" i="1"/>
  <c r="N2828" i="1"/>
  <c r="N2832" i="1"/>
  <c r="N2836" i="1"/>
  <c r="N2840" i="1"/>
  <c r="N2844" i="1"/>
  <c r="N2852" i="1"/>
  <c r="N2856" i="1"/>
  <c r="N2860" i="1"/>
  <c r="N2864" i="1"/>
  <c r="N2868" i="1"/>
  <c r="N2872" i="1"/>
  <c r="N2876" i="1"/>
  <c r="N2880" i="1"/>
  <c r="N2884" i="1"/>
  <c r="N2888" i="1"/>
  <c r="N2896" i="1"/>
  <c r="N2900" i="1"/>
  <c r="N2904" i="1"/>
  <c r="N2908" i="1"/>
  <c r="N2912" i="1"/>
  <c r="N2916" i="1"/>
  <c r="N2920" i="1"/>
  <c r="N2924" i="1"/>
  <c r="N2928" i="1"/>
  <c r="N2932" i="1"/>
  <c r="N2936" i="1"/>
  <c r="N2940" i="1"/>
  <c r="N2944" i="1"/>
  <c r="N2948" i="1"/>
  <c r="N2952" i="1"/>
  <c r="N2956" i="1"/>
  <c r="N2960" i="1"/>
  <c r="N2964" i="1"/>
  <c r="N2968" i="1"/>
  <c r="N2972" i="1"/>
  <c r="N2976" i="1"/>
  <c r="N2984" i="1"/>
  <c r="N2988" i="1"/>
  <c r="N2992" i="1"/>
  <c r="N2996" i="1"/>
  <c r="N3000" i="1"/>
  <c r="N3004" i="1"/>
  <c r="N3008" i="1"/>
  <c r="N3012" i="1"/>
  <c r="N3016" i="1"/>
  <c r="N3020" i="1"/>
  <c r="N3024" i="1"/>
  <c r="N3028" i="1"/>
  <c r="N3032" i="1"/>
  <c r="N3036" i="1"/>
  <c r="N3040" i="1"/>
  <c r="N3044" i="1"/>
  <c r="N3048" i="1"/>
  <c r="N3052" i="1"/>
  <c r="N3056" i="1"/>
  <c r="N3060" i="1"/>
  <c r="N3064" i="1"/>
  <c r="N3068" i="1"/>
  <c r="N3072" i="1"/>
  <c r="N3076" i="1"/>
  <c r="N3080" i="1"/>
  <c r="N3084" i="1"/>
  <c r="N3088" i="1"/>
  <c r="N3092" i="1"/>
  <c r="N3096" i="1"/>
  <c r="N3100" i="1"/>
  <c r="N3104" i="1"/>
  <c r="N3108" i="1"/>
  <c r="N3112" i="1"/>
  <c r="N3116" i="1"/>
  <c r="N3120" i="1"/>
  <c r="N3124" i="1"/>
  <c r="N3128" i="1"/>
  <c r="N3132" i="1"/>
  <c r="N3136" i="1"/>
  <c r="N3140" i="1"/>
  <c r="N3144" i="1"/>
  <c r="N3148" i="1"/>
  <c r="N3152" i="1"/>
  <c r="N3156" i="1"/>
  <c r="N3160" i="1"/>
  <c r="N3164" i="1"/>
  <c r="N3168" i="1"/>
  <c r="N3172" i="1"/>
  <c r="N3176" i="1"/>
  <c r="N3180" i="1"/>
  <c r="N3184" i="1"/>
  <c r="N3188" i="1"/>
  <c r="N3192" i="1"/>
  <c r="N3196" i="1"/>
  <c r="N3200" i="1"/>
  <c r="N3204" i="1"/>
  <c r="N3208" i="1"/>
  <c r="N3212" i="1"/>
  <c r="N3216" i="1"/>
  <c r="N3220" i="1"/>
  <c r="N3224" i="1"/>
  <c r="N3228" i="1"/>
  <c r="N3236" i="1"/>
  <c r="N3240" i="1"/>
  <c r="N3244" i="1"/>
  <c r="N3248" i="1"/>
  <c r="N3252" i="1"/>
  <c r="N3260" i="1"/>
  <c r="N3264" i="1"/>
  <c r="N3268" i="1"/>
  <c r="N3272" i="1"/>
  <c r="N3276" i="1"/>
  <c r="N3280" i="1"/>
  <c r="N3284" i="1"/>
  <c r="N3288" i="1"/>
  <c r="N3292" i="1"/>
  <c r="N3296" i="1"/>
  <c r="N3308" i="1"/>
  <c r="N3312" i="1"/>
  <c r="N3316" i="1"/>
  <c r="N3320" i="1"/>
  <c r="N3324" i="1"/>
  <c r="N3328" i="1"/>
  <c r="N3332" i="1"/>
  <c r="N3336" i="1"/>
  <c r="N3340" i="1"/>
  <c r="N3344" i="1"/>
  <c r="N3348" i="1"/>
  <c r="N3356" i="1"/>
  <c r="N3360" i="1"/>
  <c r="N3364" i="1"/>
  <c r="N3368" i="1"/>
  <c r="N3372" i="1"/>
  <c r="N3376" i="1"/>
  <c r="N3380" i="1"/>
  <c r="N3384" i="1"/>
  <c r="N3388" i="1"/>
  <c r="N3392" i="1"/>
  <c r="N3396" i="1"/>
  <c r="N3400" i="1"/>
  <c r="N3404" i="1"/>
  <c r="N3408" i="1"/>
  <c r="N3412" i="1"/>
  <c r="N3416" i="1"/>
  <c r="N3420" i="1"/>
  <c r="N3424" i="1"/>
  <c r="N3428" i="1"/>
  <c r="N3432" i="1"/>
  <c r="N3436" i="1"/>
  <c r="N3440" i="1"/>
  <c r="N3444" i="1"/>
  <c r="N3448" i="1"/>
  <c r="N3452" i="1"/>
  <c r="N2809" i="1"/>
  <c r="N2813" i="1"/>
  <c r="N2817" i="1"/>
  <c r="N2825" i="1"/>
  <c r="N2829" i="1"/>
  <c r="N2833" i="1"/>
  <c r="N2841" i="1"/>
  <c r="N2845" i="1"/>
  <c r="N2849" i="1"/>
  <c r="N2853" i="1"/>
  <c r="N2857" i="1"/>
  <c r="N2861" i="1"/>
  <c r="N2865" i="1"/>
  <c r="N2869" i="1"/>
  <c r="N2877" i="1"/>
  <c r="N2881" i="1"/>
  <c r="N2885" i="1"/>
  <c r="N2889" i="1"/>
  <c r="N2893" i="1"/>
  <c r="N2897" i="1"/>
  <c r="N2901" i="1"/>
  <c r="N2905" i="1"/>
  <c r="N2909" i="1"/>
  <c r="N2917" i="1"/>
  <c r="N2921" i="1"/>
  <c r="N2925" i="1"/>
  <c r="N2929" i="1"/>
  <c r="N2933" i="1"/>
  <c r="N2937" i="1"/>
  <c r="N2941" i="1"/>
  <c r="N2945" i="1"/>
  <c r="N2949" i="1"/>
  <c r="N2953" i="1"/>
  <c r="N2957" i="1"/>
  <c r="N2961" i="1"/>
  <c r="N2965" i="1"/>
  <c r="N2969" i="1"/>
  <c r="N2973" i="1"/>
  <c r="N2977" i="1"/>
  <c r="N2981" i="1"/>
  <c r="N2985" i="1"/>
  <c r="N2989" i="1"/>
  <c r="N2997" i="1"/>
  <c r="N3001" i="1"/>
  <c r="N3005" i="1"/>
  <c r="N3009" i="1"/>
  <c r="N3013" i="1"/>
  <c r="N3017" i="1"/>
  <c r="N3021" i="1"/>
  <c r="N3033" i="1"/>
  <c r="N3037" i="1"/>
  <c r="N3045" i="1"/>
  <c r="N3049" i="1"/>
  <c r="N3053" i="1"/>
  <c r="N3057" i="1"/>
  <c r="N3069" i="1"/>
  <c r="N3073" i="1"/>
  <c r="N3077" i="1"/>
  <c r="N3081" i="1"/>
  <c r="N3085" i="1"/>
  <c r="N3089" i="1"/>
  <c r="N3093" i="1"/>
  <c r="N3097" i="1"/>
  <c r="N3101" i="1"/>
  <c r="N3105" i="1"/>
  <c r="N3109" i="1"/>
  <c r="N3113" i="1"/>
  <c r="N3117" i="1"/>
  <c r="N3121" i="1"/>
  <c r="N3125" i="1"/>
  <c r="N3129" i="1"/>
  <c r="N3133" i="1"/>
  <c r="N3137" i="1"/>
  <c r="N3141" i="1"/>
  <c r="N3145" i="1"/>
  <c r="N3149" i="1"/>
  <c r="N3153" i="1"/>
  <c r="N3157" i="1"/>
  <c r="N3161" i="1"/>
  <c r="N3169" i="1"/>
  <c r="N3173" i="1"/>
  <c r="N3177" i="1"/>
  <c r="N3181" i="1"/>
  <c r="N3185" i="1"/>
  <c r="N3189" i="1"/>
  <c r="N3193" i="1"/>
  <c r="N3197" i="1"/>
  <c r="N3201" i="1"/>
  <c r="N3205" i="1"/>
  <c r="N3209" i="1"/>
  <c r="N3213" i="1"/>
  <c r="N3217" i="1"/>
  <c r="N3221" i="1"/>
  <c r="N3225" i="1"/>
  <c r="N3229" i="1"/>
  <c r="N3233" i="1"/>
  <c r="N3237" i="1"/>
  <c r="N3241" i="1"/>
  <c r="N3245" i="1"/>
  <c r="N3249" i="1"/>
  <c r="N3253" i="1"/>
  <c r="N3257" i="1"/>
  <c r="N3261" i="1"/>
  <c r="N3265" i="1"/>
  <c r="N3269" i="1"/>
  <c r="N3273" i="1"/>
  <c r="N3277" i="1"/>
  <c r="N3281" i="1"/>
  <c r="N3285" i="1"/>
  <c r="N3289" i="1"/>
  <c r="N3293" i="1"/>
  <c r="N3297" i="1"/>
  <c r="N3301" i="1"/>
  <c r="N3305" i="1"/>
  <c r="N3309" i="1"/>
  <c r="N3313" i="1"/>
  <c r="N3317" i="1"/>
  <c r="N3321" i="1"/>
  <c r="N3325" i="1"/>
  <c r="N3329" i="1"/>
  <c r="N3333" i="1"/>
  <c r="N3337" i="1"/>
  <c r="N3341" i="1"/>
  <c r="N3345" i="1"/>
  <c r="N3353" i="1"/>
  <c r="N3357" i="1"/>
  <c r="N3365" i="1"/>
  <c r="N3369" i="1"/>
  <c r="N3373" i="1"/>
  <c r="N3377" i="1"/>
  <c r="N3381" i="1"/>
  <c r="N3385" i="1"/>
  <c r="N3389" i="1"/>
  <c r="N3393" i="1"/>
  <c r="N3397" i="1"/>
  <c r="N3401" i="1"/>
  <c r="N3405" i="1"/>
  <c r="N3409" i="1"/>
  <c r="N3413" i="1"/>
  <c r="N3417" i="1"/>
  <c r="N3421" i="1"/>
  <c r="N3425" i="1"/>
  <c r="N3429" i="1"/>
  <c r="N3433" i="1"/>
  <c r="N3437" i="1"/>
  <c r="N3445" i="1"/>
  <c r="N3449" i="1"/>
  <c r="N3453" i="1"/>
  <c r="N1966" i="1"/>
  <c r="N1970" i="1"/>
  <c r="N1974" i="1"/>
  <c r="N1978" i="1"/>
  <c r="N1982" i="1"/>
  <c r="N1986" i="1"/>
  <c r="N1990" i="1"/>
  <c r="N1994" i="1"/>
  <c r="N1998" i="1"/>
  <c r="N2002" i="1"/>
  <c r="N2006" i="1"/>
  <c r="N2010" i="1"/>
  <c r="N2014" i="1"/>
  <c r="N2018" i="1"/>
  <c r="N2022" i="1"/>
  <c r="N2026" i="1"/>
  <c r="N2030" i="1"/>
  <c r="N2034" i="1"/>
  <c r="N2038" i="1"/>
  <c r="N2042" i="1"/>
  <c r="N2046" i="1"/>
  <c r="N2050" i="1"/>
  <c r="N2054" i="1"/>
  <c r="N2058" i="1"/>
  <c r="N2062" i="1"/>
  <c r="N2066" i="1"/>
  <c r="N2070" i="1"/>
  <c r="N2074" i="1"/>
  <c r="N2078" i="1"/>
  <c r="N2082" i="1"/>
  <c r="N2086" i="1"/>
  <c r="N2090" i="1"/>
  <c r="N2094" i="1"/>
  <c r="N2098" i="1"/>
  <c r="N2102" i="1"/>
  <c r="N2110" i="1"/>
  <c r="N2114" i="1"/>
  <c r="N2118" i="1"/>
  <c r="N2122" i="1"/>
  <c r="N2126" i="1"/>
  <c r="N2130" i="1"/>
  <c r="N2134" i="1"/>
  <c r="N2138" i="1"/>
  <c r="N2142" i="1"/>
  <c r="N2146" i="1"/>
  <c r="N2150" i="1"/>
  <c r="N2154" i="1"/>
  <c r="N2158" i="1"/>
  <c r="N2162" i="1"/>
  <c r="N2166" i="1"/>
  <c r="N2170" i="1"/>
  <c r="N2174" i="1"/>
  <c r="N2178" i="1"/>
  <c r="N2182" i="1"/>
  <c r="N2186" i="1"/>
  <c r="N2190" i="1"/>
  <c r="N2194" i="1"/>
  <c r="N2198" i="1"/>
  <c r="N2202" i="1"/>
  <c r="N2206" i="1"/>
  <c r="N2210" i="1"/>
  <c r="N2214" i="1"/>
  <c r="N2226" i="1"/>
  <c r="N2230" i="1"/>
  <c r="N2234" i="1"/>
  <c r="N2238" i="1"/>
  <c r="N2242" i="1"/>
  <c r="N2246" i="1"/>
  <c r="N2250" i="1"/>
  <c r="N2254" i="1"/>
  <c r="N2258" i="1"/>
  <c r="N2262" i="1"/>
  <c r="N2266" i="1"/>
  <c r="N2274" i="1"/>
  <c r="N2278" i="1"/>
  <c r="N2282" i="1"/>
  <c r="N2286" i="1"/>
  <c r="N2290" i="1"/>
  <c r="N2294" i="1"/>
  <c r="N2298" i="1"/>
  <c r="N2302" i="1"/>
  <c r="N2306" i="1"/>
  <c r="N2310" i="1"/>
  <c r="N2314" i="1"/>
  <c r="N2318" i="1"/>
  <c r="N2322" i="1"/>
  <c r="N2326" i="1"/>
  <c r="N2330" i="1"/>
  <c r="N2334" i="1"/>
  <c r="N2338" i="1"/>
  <c r="N2342" i="1"/>
  <c r="N2346" i="1"/>
  <c r="N2350" i="1"/>
  <c r="N2354" i="1"/>
  <c r="N2358" i="1"/>
  <c r="N2362" i="1"/>
  <c r="N2366" i="1"/>
  <c r="N2370" i="1"/>
  <c r="N2374" i="1"/>
  <c r="N2378" i="1"/>
  <c r="N2382" i="1"/>
  <c r="N2386" i="1"/>
  <c r="N2390" i="1"/>
  <c r="N2394" i="1"/>
  <c r="N2398" i="1"/>
  <c r="N2402" i="1"/>
  <c r="N2406" i="1"/>
  <c r="N2410" i="1"/>
  <c r="N2414" i="1"/>
  <c r="N2422" i="1"/>
  <c r="N2426" i="1"/>
  <c r="N2430" i="1"/>
  <c r="N2434" i="1"/>
  <c r="N2438" i="1"/>
  <c r="N2442" i="1"/>
  <c r="N2446" i="1"/>
  <c r="N2450" i="1"/>
  <c r="N2454" i="1"/>
  <c r="N2458" i="1"/>
  <c r="N2462" i="1"/>
  <c r="N2466" i="1"/>
  <c r="N2470" i="1"/>
  <c r="N2474" i="1"/>
  <c r="N2478" i="1"/>
  <c r="N2482" i="1"/>
  <c r="N2486" i="1"/>
  <c r="N2490" i="1"/>
  <c r="N2494" i="1"/>
  <c r="N2498" i="1"/>
  <c r="N2502" i="1"/>
  <c r="N2506" i="1"/>
  <c r="N2510" i="1"/>
  <c r="N2514" i="1"/>
  <c r="N2518" i="1"/>
  <c r="N2522" i="1"/>
  <c r="N2526" i="1"/>
  <c r="N2530" i="1"/>
  <c r="N2534" i="1"/>
  <c r="N2542" i="1"/>
  <c r="N2546" i="1"/>
  <c r="N2550" i="1"/>
  <c r="N2554" i="1"/>
  <c r="N2558" i="1"/>
  <c r="N2562" i="1"/>
  <c r="N2566" i="1"/>
  <c r="N2570" i="1"/>
  <c r="N2574" i="1"/>
  <c r="N2578" i="1"/>
  <c r="N2582" i="1"/>
  <c r="N2586" i="1"/>
  <c r="N2590" i="1"/>
  <c r="N2594" i="1"/>
  <c r="N2598" i="1"/>
  <c r="N2602" i="1"/>
  <c r="N2606" i="1"/>
  <c r="N2610" i="1"/>
  <c r="N2614" i="1"/>
  <c r="N2618" i="1"/>
  <c r="N2622" i="1"/>
  <c r="N2626" i="1"/>
  <c r="N2630" i="1"/>
  <c r="N2634" i="1"/>
  <c r="N2638" i="1"/>
  <c r="N2642" i="1"/>
  <c r="N2646" i="1"/>
  <c r="N2650" i="1"/>
  <c r="N2654" i="1"/>
  <c r="N2658" i="1"/>
  <c r="N2662" i="1"/>
  <c r="N2666" i="1"/>
  <c r="N2670" i="1"/>
  <c r="N2674" i="1"/>
  <c r="N2678" i="1"/>
  <c r="N2682" i="1"/>
  <c r="N2686" i="1"/>
  <c r="N2690" i="1"/>
  <c r="N2694" i="1"/>
  <c r="N2698" i="1"/>
  <c r="N2706" i="1"/>
  <c r="N2718" i="1"/>
  <c r="N2722" i="1"/>
  <c r="N2726" i="1"/>
  <c r="N2730" i="1"/>
  <c r="N2734" i="1"/>
  <c r="N2738" i="1"/>
  <c r="N2742" i="1"/>
  <c r="N2746" i="1"/>
  <c r="N2754" i="1"/>
  <c r="N2758" i="1"/>
  <c r="N2762" i="1"/>
  <c r="N2770" i="1"/>
  <c r="N2774" i="1"/>
  <c r="N2778" i="1"/>
  <c r="N2782" i="1"/>
  <c r="N2786" i="1"/>
  <c r="N2790" i="1"/>
  <c r="N2794" i="1"/>
  <c r="N2798" i="1"/>
  <c r="N2802" i="1"/>
  <c r="N2806" i="1"/>
  <c r="N2810" i="1"/>
  <c r="N2814" i="1"/>
  <c r="N2818" i="1"/>
  <c r="N2826" i="1"/>
  <c r="N2830" i="1"/>
  <c r="N2834" i="1"/>
  <c r="N2838" i="1"/>
  <c r="N2846" i="1"/>
  <c r="N2850" i="1"/>
  <c r="N2854" i="1"/>
  <c r="N2862" i="1"/>
  <c r="N2866" i="1"/>
  <c r="N2870" i="1"/>
  <c r="N2874" i="1"/>
  <c r="N2878" i="1"/>
  <c r="N2882" i="1"/>
  <c r="N2886" i="1"/>
  <c r="N2890" i="1"/>
  <c r="N2898" i="1"/>
  <c r="N2902" i="1"/>
  <c r="N2906" i="1"/>
  <c r="N2910" i="1"/>
  <c r="N2914" i="1"/>
  <c r="N2918" i="1"/>
  <c r="N2922" i="1"/>
  <c r="N2926" i="1"/>
  <c r="N2930" i="1"/>
  <c r="N2934" i="1"/>
  <c r="N2938" i="1"/>
  <c r="N2942" i="1"/>
  <c r="N2946" i="1"/>
  <c r="N2954" i="1"/>
  <c r="N2958" i="1"/>
  <c r="N2962" i="1"/>
  <c r="N2966" i="1"/>
  <c r="N2974" i="1"/>
  <c r="N2978" i="1"/>
  <c r="N2982" i="1"/>
  <c r="N2990" i="1"/>
  <c r="N2998" i="1"/>
  <c r="N3002" i="1"/>
  <c r="N3006" i="1"/>
  <c r="N3010" i="1"/>
  <c r="N3014" i="1"/>
  <c r="N3018" i="1"/>
  <c r="N3022" i="1"/>
  <c r="N3026" i="1"/>
  <c r="N3030" i="1"/>
  <c r="N3034" i="1"/>
  <c r="N3042" i="1"/>
  <c r="N3046" i="1"/>
  <c r="N3054" i="1"/>
  <c r="N3062" i="1"/>
  <c r="N3066" i="1"/>
  <c r="N3074" i="1"/>
  <c r="N3078" i="1"/>
  <c r="N3082" i="1"/>
  <c r="N3090" i="1"/>
  <c r="N3094" i="1"/>
  <c r="N3098" i="1"/>
  <c r="N3102" i="1"/>
  <c r="N3106" i="1"/>
  <c r="N3110" i="1"/>
  <c r="N3114" i="1"/>
  <c r="N3118" i="1"/>
  <c r="N3122" i="1"/>
  <c r="N3126" i="1"/>
  <c r="N3134" i="1"/>
  <c r="N3138" i="1"/>
  <c r="N3142" i="1"/>
  <c r="N3146" i="1"/>
  <c r="N3154" i="1"/>
  <c r="N3158" i="1"/>
  <c r="N3162" i="1"/>
  <c r="N3166" i="1"/>
  <c r="N3170" i="1"/>
  <c r="N3174" i="1"/>
  <c r="N3178" i="1"/>
  <c r="N3182" i="1"/>
  <c r="N3186" i="1"/>
  <c r="N3190" i="1"/>
  <c r="N3194" i="1"/>
  <c r="N3198" i="1"/>
  <c r="N3202" i="1"/>
  <c r="N3210" i="1"/>
  <c r="N3214" i="1"/>
  <c r="N3218" i="1"/>
  <c r="N3222" i="1"/>
  <c r="N3230" i="1"/>
  <c r="N3234" i="1"/>
  <c r="N3238" i="1"/>
  <c r="N3242" i="1"/>
  <c r="N3246" i="1"/>
  <c r="N3250" i="1"/>
  <c r="N3254" i="1"/>
  <c r="N3258" i="1"/>
  <c r="N3262" i="1"/>
  <c r="N3266" i="1"/>
  <c r="N3270" i="1"/>
  <c r="N3274" i="1"/>
  <c r="N3278" i="1"/>
  <c r="N3282" i="1"/>
  <c r="N3286" i="1"/>
  <c r="N3290" i="1"/>
  <c r="N3294" i="1"/>
  <c r="N3298" i="1"/>
  <c r="N3302" i="1"/>
  <c r="N3306" i="1"/>
  <c r="N3310" i="1"/>
  <c r="N3314" i="1"/>
  <c r="N3318" i="1"/>
  <c r="N3326" i="1"/>
  <c r="N3330" i="1"/>
  <c r="N3334" i="1"/>
  <c r="N3338" i="1"/>
  <c r="N3342" i="1"/>
  <c r="N3346" i="1"/>
  <c r="N3354" i="1"/>
  <c r="N3366" i="1"/>
  <c r="N3370" i="1"/>
  <c r="N3374" i="1"/>
  <c r="N3378" i="1"/>
  <c r="N3382" i="1"/>
  <c r="N3386" i="1"/>
  <c r="N3390" i="1"/>
  <c r="N3394" i="1"/>
  <c r="N3402" i="1"/>
  <c r="N3406" i="1"/>
  <c r="N3410" i="1"/>
  <c r="N3414" i="1"/>
  <c r="N3422" i="1"/>
  <c r="N3426" i="1"/>
  <c r="N3430" i="1"/>
  <c r="N3438" i="1"/>
  <c r="N3442" i="1"/>
  <c r="N3446" i="1"/>
  <c r="N3450" i="1"/>
  <c r="N1971" i="1"/>
  <c r="N1983" i="1"/>
  <c r="N1987" i="1"/>
  <c r="N1991" i="1"/>
  <c r="N1999" i="1"/>
  <c r="N2003" i="1"/>
  <c r="N2011" i="1"/>
  <c r="N2019" i="1"/>
  <c r="N2027" i="1"/>
  <c r="N2031" i="1"/>
  <c r="N2035" i="1"/>
  <c r="N2039" i="1"/>
  <c r="N2047" i="1"/>
  <c r="N2051" i="1"/>
  <c r="N2055" i="1"/>
  <c r="N2059" i="1"/>
  <c r="N2063" i="1"/>
  <c r="N2067" i="1"/>
  <c r="N2075" i="1"/>
  <c r="N2079" i="1"/>
  <c r="N2083" i="1"/>
  <c r="N2087" i="1"/>
  <c r="N2091" i="1"/>
  <c r="N2095" i="1"/>
  <c r="N2099" i="1"/>
  <c r="N2103" i="1"/>
  <c r="N2115" i="1"/>
  <c r="N2119" i="1"/>
  <c r="N2123" i="1"/>
  <c r="N2127" i="1"/>
  <c r="N2131" i="1"/>
  <c r="N2135" i="1"/>
  <c r="N2147" i="1"/>
  <c r="N2151" i="1"/>
  <c r="N2155" i="1"/>
  <c r="N2163" i="1"/>
  <c r="N2171" i="1"/>
  <c r="N2179" i="1"/>
  <c r="N2183" i="1"/>
  <c r="N2191" i="1"/>
  <c r="N2195" i="1"/>
  <c r="N2199" i="1"/>
  <c r="N2211" i="1"/>
  <c r="N2219" i="1"/>
  <c r="N2239" i="1"/>
  <c r="N2243" i="1"/>
  <c r="N2247" i="1"/>
  <c r="N2255" i="1"/>
  <c r="N2259" i="1"/>
  <c r="N2267" i="1"/>
  <c r="N2275" i="1"/>
  <c r="N2283" i="1"/>
  <c r="N2287" i="1"/>
  <c r="N2291" i="1"/>
  <c r="N2295" i="1"/>
  <c r="N2303" i="1"/>
  <c r="N2307" i="1"/>
  <c r="N2311" i="1"/>
  <c r="N2315" i="1"/>
  <c r="N2319" i="1"/>
  <c r="N2323" i="1"/>
  <c r="N2331" i="1"/>
  <c r="N2335" i="1"/>
  <c r="N2339" i="1"/>
  <c r="N2343" i="1"/>
  <c r="N2347" i="1"/>
  <c r="N2351" i="1"/>
  <c r="N2355" i="1"/>
  <c r="N2359" i="1"/>
  <c r="N2363" i="1"/>
  <c r="N2371" i="1"/>
  <c r="N2375" i="1"/>
  <c r="N2379" i="1"/>
  <c r="N2383" i="1"/>
  <c r="N2387" i="1"/>
  <c r="N2391" i="1"/>
  <c r="N2399" i="1"/>
  <c r="N2403" i="1"/>
  <c r="N2407" i="1"/>
  <c r="N2411" i="1"/>
  <c r="N2419" i="1"/>
  <c r="N2427" i="1"/>
  <c r="N2435" i="1"/>
  <c r="N2439" i="1"/>
  <c r="N2447" i="1"/>
  <c r="N2451" i="1"/>
  <c r="N2455" i="1"/>
  <c r="N2467" i="1"/>
  <c r="N2475" i="1"/>
  <c r="N2483" i="1"/>
  <c r="N2499" i="1"/>
  <c r="N2503" i="1"/>
  <c r="N2511" i="1"/>
  <c r="N2515" i="1"/>
  <c r="N2523" i="1"/>
  <c r="N2531" i="1"/>
  <c r="N2539" i="1"/>
  <c r="N2543" i="1"/>
  <c r="N2547" i="1"/>
  <c r="N2551" i="1"/>
  <c r="N2559" i="1"/>
  <c r="N2563" i="1"/>
  <c r="N2567" i="1"/>
  <c r="N2575" i="1"/>
  <c r="N2587" i="1"/>
  <c r="N2591" i="1"/>
  <c r="N2595" i="1"/>
  <c r="N2599" i="1"/>
  <c r="N2603" i="1"/>
  <c r="N2607" i="1"/>
  <c r="N2611" i="1"/>
  <c r="N2615" i="1"/>
  <c r="N2619" i="1"/>
  <c r="N2627" i="1"/>
  <c r="N2631" i="1"/>
  <c r="N2635" i="1"/>
  <c r="N2639" i="1"/>
  <c r="N2643" i="1"/>
  <c r="N2647" i="1"/>
  <c r="N2655" i="1"/>
  <c r="N2659" i="1"/>
  <c r="N2663" i="1"/>
  <c r="N2667" i="1"/>
  <c r="N2675" i="1"/>
  <c r="N2683" i="1"/>
  <c r="N2691" i="1"/>
  <c r="N2695" i="1"/>
  <c r="N2703" i="1"/>
  <c r="N2707" i="1"/>
  <c r="N2711" i="1"/>
  <c r="N2715" i="1"/>
  <c r="N2719" i="1"/>
  <c r="N2727" i="1"/>
  <c r="N2731" i="1"/>
  <c r="N2735" i="1"/>
  <c r="N2743" i="1"/>
  <c r="N2747" i="1"/>
  <c r="N2755" i="1"/>
  <c r="N2759" i="1"/>
  <c r="N2763" i="1"/>
  <c r="N2767" i="1"/>
  <c r="N2771" i="1"/>
  <c r="N2775" i="1"/>
  <c r="N2783" i="1"/>
  <c r="N2787" i="1"/>
  <c r="N2791" i="1"/>
  <c r="N2795" i="1"/>
  <c r="N2803" i="1"/>
  <c r="N2807" i="1"/>
  <c r="N2811" i="1"/>
  <c r="N2819" i="1"/>
  <c r="N2823" i="1"/>
  <c r="N2827" i="1"/>
  <c r="N2831" i="1"/>
  <c r="N2835" i="1"/>
  <c r="N2839" i="1"/>
  <c r="N2843" i="1"/>
  <c r="N2847" i="1"/>
  <c r="N2851" i="1"/>
  <c r="N2855" i="1"/>
  <c r="N2859" i="1"/>
  <c r="N2863" i="1"/>
  <c r="N2867" i="1"/>
  <c r="N2871" i="1"/>
  <c r="N2875" i="1"/>
  <c r="N2883" i="1"/>
  <c r="N2887" i="1"/>
  <c r="N2891" i="1"/>
  <c r="N2895" i="1"/>
  <c r="N2903" i="1"/>
  <c r="N2907" i="1"/>
  <c r="N2919" i="1"/>
  <c r="N2923" i="1"/>
  <c r="N2927" i="1"/>
  <c r="N2931" i="1"/>
  <c r="N2935" i="1"/>
  <c r="N2939" i="1"/>
  <c r="N2943" i="1"/>
  <c r="N2947" i="1"/>
  <c r="N2951" i="1"/>
  <c r="N2959" i="1"/>
  <c r="N2963" i="1"/>
  <c r="N2967" i="1"/>
  <c r="N2975" i="1"/>
  <c r="N2987" i="1"/>
  <c r="N2991" i="1"/>
  <c r="N2995" i="1"/>
  <c r="N2999" i="1"/>
  <c r="N3003" i="1"/>
  <c r="N3011" i="1"/>
  <c r="N3015" i="1"/>
  <c r="N3019" i="1"/>
  <c r="N3023" i="1"/>
  <c r="N3031" i="1"/>
  <c r="N3035" i="1"/>
  <c r="N3039" i="1"/>
  <c r="N3047" i="1"/>
  <c r="N3051" i="1"/>
  <c r="N3055" i="1"/>
  <c r="N3059" i="1"/>
  <c r="N3063" i="1"/>
  <c r="N3067" i="1"/>
  <c r="N3071" i="1"/>
  <c r="N3075" i="1"/>
  <c r="N3079" i="1"/>
  <c r="N3087" i="1"/>
  <c r="N3091" i="1"/>
  <c r="N3095" i="1"/>
  <c r="N3103" i="1"/>
  <c r="N3111" i="1"/>
  <c r="N3119" i="1"/>
  <c r="N3127" i="1"/>
  <c r="N3131" i="1"/>
  <c r="N3135" i="1"/>
  <c r="N3139" i="1"/>
  <c r="N3143" i="1"/>
  <c r="N3147" i="1"/>
  <c r="N3155" i="1"/>
  <c r="N3159" i="1"/>
  <c r="N3163" i="1"/>
  <c r="N3167" i="1"/>
  <c r="N3175" i="1"/>
  <c r="N3183" i="1"/>
  <c r="N3187" i="1"/>
  <c r="N3191" i="1"/>
  <c r="N3195" i="1"/>
  <c r="N3203" i="1"/>
  <c r="N3207" i="1"/>
  <c r="N3211" i="1"/>
  <c r="N3215" i="1"/>
  <c r="N3219" i="1"/>
  <c r="N3223" i="1"/>
  <c r="N3231" i="1"/>
  <c r="N3239" i="1"/>
  <c r="N3243" i="1"/>
  <c r="N3251" i="1"/>
  <c r="N3255" i="1"/>
  <c r="N3259" i="1"/>
  <c r="N3263" i="1"/>
  <c r="N3267" i="1"/>
  <c r="N3271" i="1"/>
  <c r="N3279" i="1"/>
  <c r="N3287" i="1"/>
  <c r="N3291" i="1"/>
  <c r="N3299" i="1"/>
  <c r="N3303" i="1"/>
  <c r="N3307" i="1"/>
  <c r="N3311" i="1"/>
  <c r="N3315" i="1"/>
  <c r="N3319" i="1"/>
  <c r="N3323" i="1"/>
  <c r="N3327" i="1"/>
  <c r="N3331" i="1"/>
  <c r="N3335" i="1"/>
  <c r="N3339" i="1"/>
  <c r="N3343" i="1"/>
  <c r="N3347" i="1"/>
  <c r="N3355" i="1"/>
  <c r="N3359" i="1"/>
  <c r="N3363" i="1"/>
  <c r="N3367" i="1"/>
  <c r="N3371" i="1"/>
  <c r="N3375" i="1"/>
  <c r="N3383" i="1"/>
  <c r="N3387" i="1"/>
  <c r="N3391" i="1"/>
  <c r="N3395" i="1"/>
  <c r="N3399" i="1"/>
  <c r="N3403" i="1"/>
  <c r="N3411" i="1"/>
  <c r="N3415" i="1"/>
  <c r="N3419" i="1"/>
  <c r="N3423" i="1"/>
  <c r="N3431" i="1"/>
  <c r="N3439" i="1"/>
  <c r="N3443" i="1"/>
  <c r="N3447" i="1"/>
  <c r="N3451" i="1"/>
</calcChain>
</file>

<file path=xl/sharedStrings.xml><?xml version="1.0" encoding="utf-8"?>
<sst xmlns="http://schemas.openxmlformats.org/spreadsheetml/2006/main" count="44938" uniqueCount="10350">
  <si>
    <t>KEOKUK COUNTY</t>
  </si>
  <si>
    <t>140540000</t>
  </si>
  <si>
    <t>SGCOS-045600</t>
  </si>
  <si>
    <t>314202-429</t>
  </si>
  <si>
    <t>676.00</t>
  </si>
  <si>
    <t>0.00</t>
  </si>
  <si>
    <t>06/19/2020</t>
  </si>
  <si>
    <t>13-24 Months. Potential Property Loss</t>
  </si>
  <si>
    <t>SAN JUAN COUNTY</t>
  </si>
  <si>
    <t>300240000</t>
  </si>
  <si>
    <t>R0054302</t>
  </si>
  <si>
    <t>317045-466</t>
  </si>
  <si>
    <t>659.06</t>
  </si>
  <si>
    <t>06/15/2020</t>
  </si>
  <si>
    <t>25-36 Months. Potential Property Loss</t>
  </si>
  <si>
    <t>SANDOVAL COUNTY</t>
  </si>
  <si>
    <t>300230000</t>
  </si>
  <si>
    <t>R00028814</t>
  </si>
  <si>
    <t>327415-572</t>
  </si>
  <si>
    <t>75.84</t>
  </si>
  <si>
    <t>06/11/2020</t>
  </si>
  <si>
    <t>R00118202</t>
  </si>
  <si>
    <t>319540-496</t>
  </si>
  <si>
    <t>1476.84</t>
  </si>
  <si>
    <t>R00139940</t>
  </si>
  <si>
    <t>328814-584</t>
  </si>
  <si>
    <t>164.56</t>
  </si>
  <si>
    <t>R00147633</t>
  </si>
  <si>
    <t>317043-466</t>
  </si>
  <si>
    <t>1127.24</t>
  </si>
  <si>
    <t>SANTA CLARA COUNTY</t>
  </si>
  <si>
    <t>040430000</t>
  </si>
  <si>
    <t>690-06-045-00</t>
  </si>
  <si>
    <t>310423-361</t>
  </si>
  <si>
    <t>1538.64</t>
  </si>
  <si>
    <t>06/23/2020</t>
  </si>
  <si>
    <t>37-48 Months. Potential Property Loss</t>
  </si>
  <si>
    <t>274-08-059-00</t>
  </si>
  <si>
    <t>324917-550</t>
  </si>
  <si>
    <t>5701.51</t>
  </si>
  <si>
    <t>Current Year-2nd Installment Delinquent</t>
  </si>
  <si>
    <t>403-08-123-00</t>
  </si>
  <si>
    <t>323905-538</t>
  </si>
  <si>
    <t>934.63</t>
  </si>
  <si>
    <t>421-04-049-00</t>
  </si>
  <si>
    <t>324924-550</t>
  </si>
  <si>
    <t>5470.34</t>
  </si>
  <si>
    <t>Current Year-1st &amp; 2nd Installment Delinquent</t>
  </si>
  <si>
    <t>434-42-035-00</t>
  </si>
  <si>
    <t>323917-538</t>
  </si>
  <si>
    <t>2813.93</t>
  </si>
  <si>
    <t>446-36-055-00</t>
  </si>
  <si>
    <t>329867-590</t>
  </si>
  <si>
    <t>6411.29</t>
  </si>
  <si>
    <t>484-41-019-00</t>
  </si>
  <si>
    <t>327238-572</t>
  </si>
  <si>
    <t>1022.74</t>
  </si>
  <si>
    <t>486-22-058-00</t>
  </si>
  <si>
    <t>323930-538</t>
  </si>
  <si>
    <t>2257.85</t>
  </si>
  <si>
    <t>486-43-047-00</t>
  </si>
  <si>
    <t>323935-538</t>
  </si>
  <si>
    <t>1523.01</t>
  </si>
  <si>
    <t>491-45-039-00</t>
  </si>
  <si>
    <t>324773-550</t>
  </si>
  <si>
    <t>3459.16</t>
  </si>
  <si>
    <t>532-36-069-00</t>
  </si>
  <si>
    <t>323227-537</t>
  </si>
  <si>
    <t>17725.66</t>
  </si>
  <si>
    <t>601-33-029-00</t>
  </si>
  <si>
    <t>329868-590</t>
  </si>
  <si>
    <t>3592.63</t>
  </si>
  <si>
    <t>670-27-047-00</t>
  </si>
  <si>
    <t>325090-552</t>
  </si>
  <si>
    <t>5576.76</t>
  </si>
  <si>
    <t>684-13-102-00</t>
  </si>
  <si>
    <t>323918-538</t>
  </si>
  <si>
    <t>4637.57</t>
  </si>
  <si>
    <t>690-35-082-00</t>
  </si>
  <si>
    <t>313024-411</t>
  </si>
  <si>
    <t>3748.16</t>
  </si>
  <si>
    <t>808-40-004-00</t>
  </si>
  <si>
    <t>323907-538</t>
  </si>
  <si>
    <t>5633.43</t>
  </si>
  <si>
    <t>CHESTER COUNTY TAX CLAIM BUREAU</t>
  </si>
  <si>
    <t>370154000</t>
  </si>
  <si>
    <t>11 10 0056 08 00</t>
  </si>
  <si>
    <t>324532-539</t>
  </si>
  <si>
    <t>3661.33</t>
  </si>
  <si>
    <t>06/22/2020</t>
  </si>
  <si>
    <t>0-12 Months. Potential Property Loss-Critical</t>
  </si>
  <si>
    <t>11 10 0056 08 A0</t>
  </si>
  <si>
    <t>791.35</t>
  </si>
  <si>
    <t>16 03 0001 10 00</t>
  </si>
  <si>
    <t>305464-036</t>
  </si>
  <si>
    <t>38.63</t>
  </si>
  <si>
    <t>Requires Immediate Attention - Critical Delinquencies</t>
  </si>
  <si>
    <t>1610.62</t>
  </si>
  <si>
    <t>2947.80</t>
  </si>
  <si>
    <t>473.63</t>
  </si>
  <si>
    <t>1491.58</t>
  </si>
  <si>
    <t>LANCASTER COUNTY TAX CLAIM BUREAU</t>
  </si>
  <si>
    <t>370364000</t>
  </si>
  <si>
    <t>30-0 68483-1-0034</t>
  </si>
  <si>
    <t>320157-509</t>
  </si>
  <si>
    <t>2968.09</t>
  </si>
  <si>
    <t>33-8 38716-0-0000</t>
  </si>
  <si>
    <t>313809-429</t>
  </si>
  <si>
    <t>2316.35</t>
  </si>
  <si>
    <t>YORK COUNTY TAX CLAIM BUREAU</t>
  </si>
  <si>
    <t>370674000</t>
  </si>
  <si>
    <t>230 000 NH 0183G0 00000</t>
  </si>
  <si>
    <t>326853-571</t>
  </si>
  <si>
    <t>5247.49</t>
  </si>
  <si>
    <t>06/25/2020</t>
  </si>
  <si>
    <t>370 000 BE 000200 00000</t>
  </si>
  <si>
    <t>318601-494</t>
  </si>
  <si>
    <t>2734.30</t>
  </si>
  <si>
    <t>3894.21</t>
  </si>
  <si>
    <t>46I 000 30 003400 00000</t>
  </si>
  <si>
    <t>326852-571</t>
  </si>
  <si>
    <t>3623.21</t>
  </si>
  <si>
    <t>JEFFERSON COUNTY</t>
  </si>
  <si>
    <t>470190000</t>
  </si>
  <si>
    <t>01 4-0009.00000000</t>
  </si>
  <si>
    <t>318261-493</t>
  </si>
  <si>
    <t>701.27</t>
  </si>
  <si>
    <t>02 4D-0014.00000000</t>
  </si>
  <si>
    <t>329328-590</t>
  </si>
  <si>
    <t>653.44</t>
  </si>
  <si>
    <t>08 5-0001.00080000</t>
  </si>
  <si>
    <t>305447-036</t>
  </si>
  <si>
    <t>456.18</t>
  </si>
  <si>
    <t>ANDOVER TOWN</t>
  </si>
  <si>
    <t>200050206</t>
  </si>
  <si>
    <t>156-0700-00000</t>
  </si>
  <si>
    <t>327837-584</t>
  </si>
  <si>
    <t>9133.13</t>
  </si>
  <si>
    <t>06/24/2020</t>
  </si>
  <si>
    <t>BEVERLY CITY</t>
  </si>
  <si>
    <t>200050105</t>
  </si>
  <si>
    <t>0095-0015</t>
  </si>
  <si>
    <t>321825-536</t>
  </si>
  <si>
    <t>8001.79</t>
  </si>
  <si>
    <t>06/16/2020</t>
  </si>
  <si>
    <t>CHARLTON TOWN</t>
  </si>
  <si>
    <t>200140215</t>
  </si>
  <si>
    <t>40-B-7.13</t>
  </si>
  <si>
    <t>329989-597</t>
  </si>
  <si>
    <t>543.42</t>
  </si>
  <si>
    <t>06/12/2020</t>
  </si>
  <si>
    <t>CHICOPEE CITY</t>
  </si>
  <si>
    <t>200070104</t>
  </si>
  <si>
    <t>0049-00017</t>
  </si>
  <si>
    <t>319815-500</t>
  </si>
  <si>
    <t>4337.06</t>
  </si>
  <si>
    <t>0105-00077</t>
  </si>
  <si>
    <t>311901-393</t>
  </si>
  <si>
    <t>649.51</t>
  </si>
  <si>
    <t>DEDHAM TOWN</t>
  </si>
  <si>
    <t>200110203</t>
  </si>
  <si>
    <t>158-34</t>
  </si>
  <si>
    <t>331101-610</t>
  </si>
  <si>
    <t>872.37</t>
  </si>
  <si>
    <t>24-3</t>
  </si>
  <si>
    <t>304245-033</t>
  </si>
  <si>
    <t>3007.48</t>
  </si>
  <si>
    <t>3265.73</t>
  </si>
  <si>
    <t>39-113</t>
  </si>
  <si>
    <t>329016-590</t>
  </si>
  <si>
    <t>30.12</t>
  </si>
  <si>
    <t>2433.21</t>
  </si>
  <si>
    <t>FITCHBURG CITY</t>
  </si>
  <si>
    <t>200140101</t>
  </si>
  <si>
    <t>0033-0104-0</t>
  </si>
  <si>
    <t>326724-571</t>
  </si>
  <si>
    <t>2557.82</t>
  </si>
  <si>
    <t>GARDNER CITY</t>
  </si>
  <si>
    <t>200140102</t>
  </si>
  <si>
    <t>M22-00025-00056</t>
  </si>
  <si>
    <t>327826-584</t>
  </si>
  <si>
    <t>3561.39</t>
  </si>
  <si>
    <t>06/17/2020</t>
  </si>
  <si>
    <t>LEXINGTON TOWN</t>
  </si>
  <si>
    <t>200090232</t>
  </si>
  <si>
    <t>0038-49-125</t>
  </si>
  <si>
    <t>321956-537</t>
  </si>
  <si>
    <t>1857.21</t>
  </si>
  <si>
    <t>LUDLOW TOWN</t>
  </si>
  <si>
    <t>200070210</t>
  </si>
  <si>
    <t>01C-03200-00109</t>
  </si>
  <si>
    <t>318546-494</t>
  </si>
  <si>
    <t>1307.50</t>
  </si>
  <si>
    <t>1280.72</t>
  </si>
  <si>
    <t>MILFORD TOWN</t>
  </si>
  <si>
    <t>200140229</t>
  </si>
  <si>
    <t>26 40 57</t>
  </si>
  <si>
    <t>331088-610</t>
  </si>
  <si>
    <t>333.20</t>
  </si>
  <si>
    <t>39 14 83</t>
  </si>
  <si>
    <t>331089-610</t>
  </si>
  <si>
    <t>627.21</t>
  </si>
  <si>
    <t>49 0 325</t>
  </si>
  <si>
    <t>327314-572</t>
  </si>
  <si>
    <t>1103.02</t>
  </si>
  <si>
    <t>NORTHBRIDGE TOWN</t>
  </si>
  <si>
    <t>200140242</t>
  </si>
  <si>
    <t>0007-000035</t>
  </si>
  <si>
    <t>307228-045</t>
  </si>
  <si>
    <t>3844.96</t>
  </si>
  <si>
    <t>0020-000105</t>
  </si>
  <si>
    <t>331036-609</t>
  </si>
  <si>
    <t>1548.19</t>
  </si>
  <si>
    <t>ORANGE TOWN</t>
  </si>
  <si>
    <t>200060218</t>
  </si>
  <si>
    <t>115-0-20</t>
  </si>
  <si>
    <t>331083-610</t>
  </si>
  <si>
    <t>636.47</t>
  </si>
  <si>
    <t>PITTSFIELD CITY</t>
  </si>
  <si>
    <t>200020101</t>
  </si>
  <si>
    <t>C04-0004-036</t>
  </si>
  <si>
    <t>315240-437</t>
  </si>
  <si>
    <t>1203.38</t>
  </si>
  <si>
    <t>2679.46</t>
  </si>
  <si>
    <t>D05-0005-006</t>
  </si>
  <si>
    <t>A17028</t>
  </si>
  <si>
    <t>593.52</t>
  </si>
  <si>
    <t>G07-0012-016</t>
  </si>
  <si>
    <t>315257-437</t>
  </si>
  <si>
    <t>846.32</t>
  </si>
  <si>
    <t>G09-0018-003</t>
  </si>
  <si>
    <t>315231-437</t>
  </si>
  <si>
    <t>887.28</t>
  </si>
  <si>
    <t>H14-0008-007</t>
  </si>
  <si>
    <t>315215-437</t>
  </si>
  <si>
    <t>880.00</t>
  </si>
  <si>
    <t>I07-0011-017</t>
  </si>
  <si>
    <t>315265-437</t>
  </si>
  <si>
    <t>7144.96</t>
  </si>
  <si>
    <t>J11-0009-006</t>
  </si>
  <si>
    <t>315223-437</t>
  </si>
  <si>
    <t>3092.29</t>
  </si>
  <si>
    <t>K07-0006-016</t>
  </si>
  <si>
    <t>326654-565</t>
  </si>
  <si>
    <t>2512.33</t>
  </si>
  <si>
    <t>4039.33</t>
  </si>
  <si>
    <t>4178.72</t>
  </si>
  <si>
    <t>4647.43</t>
  </si>
  <si>
    <t>4584.75</t>
  </si>
  <si>
    <t>4683.47</t>
  </si>
  <si>
    <t>4650.38</t>
  </si>
  <si>
    <t>K08-0006-027</t>
  </si>
  <si>
    <t>315209-437</t>
  </si>
  <si>
    <t>776.03</t>
  </si>
  <si>
    <t>2193.28</t>
  </si>
  <si>
    <t>M08-0003-014</t>
  </si>
  <si>
    <t>315232-437</t>
  </si>
  <si>
    <t>873.09</t>
  </si>
  <si>
    <t>ROCKLAND TOWN</t>
  </si>
  <si>
    <t>200120227</t>
  </si>
  <si>
    <t>34-0001</t>
  </si>
  <si>
    <t>327859-584</t>
  </si>
  <si>
    <t>2235.55</t>
  </si>
  <si>
    <t>06/18/2020</t>
  </si>
  <si>
    <t>SPRINGFIELD CITY</t>
  </si>
  <si>
    <t>200070102</t>
  </si>
  <si>
    <t>013400508</t>
  </si>
  <si>
    <t>B15119</t>
  </si>
  <si>
    <t>633.87</t>
  </si>
  <si>
    <t>026400109</t>
  </si>
  <si>
    <t>318124-493</t>
  </si>
  <si>
    <t>720.48</t>
  </si>
  <si>
    <t>4.01</t>
  </si>
  <si>
    <t>026400110</t>
  </si>
  <si>
    <t>715.20</t>
  </si>
  <si>
    <t>055510126</t>
  </si>
  <si>
    <t>318126-493</t>
  </si>
  <si>
    <t>1432.00</t>
  </si>
  <si>
    <t>087600030</t>
  </si>
  <si>
    <t>329009-590</t>
  </si>
  <si>
    <t>409.36</t>
  </si>
  <si>
    <t>089450714</t>
  </si>
  <si>
    <t>316905-466</t>
  </si>
  <si>
    <t>0.73</t>
  </si>
  <si>
    <t>118000022</t>
  </si>
  <si>
    <t>308883-330</t>
  </si>
  <si>
    <t>1840.65</t>
  </si>
  <si>
    <t>1428.96</t>
  </si>
  <si>
    <t>744.58</t>
  </si>
  <si>
    <t>STONEHAM TOWN</t>
  </si>
  <si>
    <t>200090214</t>
  </si>
  <si>
    <t>01-176</t>
  </si>
  <si>
    <t>331106-610</t>
  </si>
  <si>
    <t>6.03</t>
  </si>
  <si>
    <t>07-376</t>
  </si>
  <si>
    <t>329020-590</t>
  </si>
  <si>
    <t>1885.20</t>
  </si>
  <si>
    <t>WESTFIELD CITY</t>
  </si>
  <si>
    <t>200070101</t>
  </si>
  <si>
    <t>036R-0092-00000</t>
  </si>
  <si>
    <t>321940-537</t>
  </si>
  <si>
    <t>1861.37</t>
  </si>
  <si>
    <t>3800.67</t>
  </si>
  <si>
    <t>WOBURN CITY</t>
  </si>
  <si>
    <t>200090111</t>
  </si>
  <si>
    <t>42-11-72</t>
  </si>
  <si>
    <t>315731-455</t>
  </si>
  <si>
    <t>6268.52</t>
  </si>
  <si>
    <t>2703.24</t>
  </si>
  <si>
    <t>57-06-07</t>
  </si>
  <si>
    <t>316705-465</t>
  </si>
  <si>
    <t>3558.82</t>
  </si>
  <si>
    <t>MACOMB COUNTY DELINQUENCY</t>
  </si>
  <si>
    <t>210504000</t>
  </si>
  <si>
    <t>12-13-19-404-008</t>
  </si>
  <si>
    <t>322656-537</t>
  </si>
  <si>
    <t>1053.17</t>
  </si>
  <si>
    <t>12-13-36-253-011</t>
  </si>
  <si>
    <t>312723-411</t>
  </si>
  <si>
    <t>954.31</t>
  </si>
  <si>
    <t>33.53</t>
  </si>
  <si>
    <t>16-11-33-454-018</t>
  </si>
  <si>
    <t>500247-431</t>
  </si>
  <si>
    <t>17.83</t>
  </si>
  <si>
    <t>20-08-30-301-015</t>
  </si>
  <si>
    <t>318796-494</t>
  </si>
  <si>
    <t>3192.59</t>
  </si>
  <si>
    <t>JONES COUNTY/ELLISVILLE</t>
  </si>
  <si>
    <t>230340001</t>
  </si>
  <si>
    <t>003166078 060000200</t>
  </si>
  <si>
    <t>311127-368</t>
  </si>
  <si>
    <t>871.57</t>
  </si>
  <si>
    <t>BERKELEY COUNTY</t>
  </si>
  <si>
    <t>390080000</t>
  </si>
  <si>
    <t>103-00-02-048</t>
  </si>
  <si>
    <t>321417-527</t>
  </si>
  <si>
    <t>594.62</t>
  </si>
  <si>
    <t>06/03/2020</t>
  </si>
  <si>
    <t>UNION COUNTY</t>
  </si>
  <si>
    <t>390440000</t>
  </si>
  <si>
    <t>027-10-02-013-000</t>
  </si>
  <si>
    <t>314852-434</t>
  </si>
  <si>
    <t>267.31</t>
  </si>
  <si>
    <t>MANATEE COUNTY</t>
  </si>
  <si>
    <t>090410000</t>
  </si>
  <si>
    <t>05845.3685/9</t>
  </si>
  <si>
    <t>324164-539</t>
  </si>
  <si>
    <t>1619.44</t>
  </si>
  <si>
    <t>05/30/2020</t>
  </si>
  <si>
    <t>05873.1485/9</t>
  </si>
  <si>
    <t>308421-319</t>
  </si>
  <si>
    <t>10418.34</t>
  </si>
  <si>
    <t>10579.05</t>
  </si>
  <si>
    <t>11867.0000/9</t>
  </si>
  <si>
    <t>328491-584</t>
  </si>
  <si>
    <t>1805.58</t>
  </si>
  <si>
    <t>74014.1240/3</t>
  </si>
  <si>
    <t>328492-584</t>
  </si>
  <si>
    <t>4891.97</t>
  </si>
  <si>
    <t>SARASOTA COUNTY</t>
  </si>
  <si>
    <t>090580000</t>
  </si>
  <si>
    <t>0359-09-0024</t>
  </si>
  <si>
    <t>321119-513</t>
  </si>
  <si>
    <t>3151.10</t>
  </si>
  <si>
    <t>3233.00</t>
  </si>
  <si>
    <t>0851-03-1241</t>
  </si>
  <si>
    <t>328494-584</t>
  </si>
  <si>
    <t>1992.98</t>
  </si>
  <si>
    <t>2006-01-0065</t>
  </si>
  <si>
    <t>316414-461</t>
  </si>
  <si>
    <t>1224.65</t>
  </si>
  <si>
    <t>2012-06-0006</t>
  </si>
  <si>
    <t>322529-537</t>
  </si>
  <si>
    <t>17461.35</t>
  </si>
  <si>
    <t>2028-01-0007</t>
  </si>
  <si>
    <t>321117-513</t>
  </si>
  <si>
    <t>1437.63</t>
  </si>
  <si>
    <t>1468.97</t>
  </si>
  <si>
    <t>WAYNE COUNTY DELINQUENCY</t>
  </si>
  <si>
    <t>210824000</t>
  </si>
  <si>
    <t>21 025941.</t>
  </si>
  <si>
    <t>312732-411</t>
  </si>
  <si>
    <t>47.51</t>
  </si>
  <si>
    <t>27 071461.</t>
  </si>
  <si>
    <t>740.05</t>
  </si>
  <si>
    <t>792.13</t>
  </si>
  <si>
    <t>33 007 02 0044 000</t>
  </si>
  <si>
    <t>322658-537</t>
  </si>
  <si>
    <t>1884.13</t>
  </si>
  <si>
    <t>42 003 01 0456 000</t>
  </si>
  <si>
    <t>322670-537</t>
  </si>
  <si>
    <t>1576.16</t>
  </si>
  <si>
    <t>42 004 02 0399 000</t>
  </si>
  <si>
    <t>322671-537</t>
  </si>
  <si>
    <t>1611.49</t>
  </si>
  <si>
    <t>60 042 99 0009 000</t>
  </si>
  <si>
    <t>309616-347</t>
  </si>
  <si>
    <t>1260.79</t>
  </si>
  <si>
    <t>71 090 01 0175 000</t>
  </si>
  <si>
    <t>309895-356</t>
  </si>
  <si>
    <t>1734.88</t>
  </si>
  <si>
    <t>80 002 01 0143 302</t>
  </si>
  <si>
    <t>322662-537</t>
  </si>
  <si>
    <t>1258.28</t>
  </si>
  <si>
    <t>NORWALK CITY</t>
  </si>
  <si>
    <t>060010101</t>
  </si>
  <si>
    <t>5-3A-73-0</t>
  </si>
  <si>
    <t>322005-537</t>
  </si>
  <si>
    <t>6578.72</t>
  </si>
  <si>
    <t>CONCORD CITY</t>
  </si>
  <si>
    <t>280070101</t>
  </si>
  <si>
    <t>101466</t>
  </si>
  <si>
    <t>305637-036</t>
  </si>
  <si>
    <t>4005.83</t>
  </si>
  <si>
    <t>11085</t>
  </si>
  <si>
    <t>321975-537</t>
  </si>
  <si>
    <t>0.49</t>
  </si>
  <si>
    <t>BERKS COUNTY TAX CLAIM BUREAU</t>
  </si>
  <si>
    <t>370064000</t>
  </si>
  <si>
    <t>16-5316-31-27-8672</t>
  </si>
  <si>
    <t>316276-461</t>
  </si>
  <si>
    <t>818.67</t>
  </si>
  <si>
    <t>39-5305-05-09-5015</t>
  </si>
  <si>
    <t>324423-539</t>
  </si>
  <si>
    <t>4108.93</t>
  </si>
  <si>
    <t>93-5307-18-30-4570</t>
  </si>
  <si>
    <t>324372-539</t>
  </si>
  <si>
    <t>2472.93</t>
  </si>
  <si>
    <t>DELAWARE COUNTY TAX CLAIM BUREAU</t>
  </si>
  <si>
    <t>370234000</t>
  </si>
  <si>
    <t>16-05-00471-00</t>
  </si>
  <si>
    <t>307272-045</t>
  </si>
  <si>
    <t>3560.69</t>
  </si>
  <si>
    <t>3649.70</t>
  </si>
  <si>
    <t>PITTSBURGH CITY/SCHOOL</t>
  </si>
  <si>
    <t>370020102</t>
  </si>
  <si>
    <t>113 0174-N-00290-0000 00</t>
  </si>
  <si>
    <t>328116-584</t>
  </si>
  <si>
    <t>127.04</t>
  </si>
  <si>
    <t>05/21/2020</t>
  </si>
  <si>
    <t>114 0128-A-00158-0000 00</t>
  </si>
  <si>
    <t>311097-368</t>
  </si>
  <si>
    <t>1877.15</t>
  </si>
  <si>
    <t>126 0046-J-00184-0000 00</t>
  </si>
  <si>
    <t>307195-045</t>
  </si>
  <si>
    <t>646.14</t>
  </si>
  <si>
    <t>650.06</t>
  </si>
  <si>
    <t>CHARLESTON COUNTY</t>
  </si>
  <si>
    <t>390100000</t>
  </si>
  <si>
    <t>151 00 00 101</t>
  </si>
  <si>
    <t>RC19004</t>
  </si>
  <si>
    <t>2470.78</t>
  </si>
  <si>
    <t>307 01 00 110</t>
  </si>
  <si>
    <t>315778-455</t>
  </si>
  <si>
    <t>171.00</t>
  </si>
  <si>
    <t>343 06 00 118</t>
  </si>
  <si>
    <t>AJ2036</t>
  </si>
  <si>
    <t>1141.15</t>
  </si>
  <si>
    <t>355 15 00 047</t>
  </si>
  <si>
    <t>D17014</t>
  </si>
  <si>
    <t>692.19</t>
  </si>
  <si>
    <t>532 12 00 221</t>
  </si>
  <si>
    <t>319723-507</t>
  </si>
  <si>
    <t>159.00</t>
  </si>
  <si>
    <t>1082.48</t>
  </si>
  <si>
    <t>537 08 00 259</t>
  </si>
  <si>
    <t>316332-461</t>
  </si>
  <si>
    <t>9619.71</t>
  </si>
  <si>
    <t>ACUSHNET TOWN</t>
  </si>
  <si>
    <t>200030210</t>
  </si>
  <si>
    <t>3.5L</t>
  </si>
  <si>
    <t>321767-535</t>
  </si>
  <si>
    <t>1266.82</t>
  </si>
  <si>
    <t>ATTLEBORO CITY</t>
  </si>
  <si>
    <t>200030101</t>
  </si>
  <si>
    <t>0043 -0254</t>
  </si>
  <si>
    <t>324268-539</t>
  </si>
  <si>
    <t>3520.56</t>
  </si>
  <si>
    <t>0159 -0001</t>
  </si>
  <si>
    <t>307357-045</t>
  </si>
  <si>
    <t>6614.13</t>
  </si>
  <si>
    <t>0171 -0027</t>
  </si>
  <si>
    <t>321965-537</t>
  </si>
  <si>
    <t>5075.57</t>
  </si>
  <si>
    <t>0171 -0106</t>
  </si>
  <si>
    <t>329027-590</t>
  </si>
  <si>
    <t>1847.07</t>
  </si>
  <si>
    <t>DARTMOUTH TOWN</t>
  </si>
  <si>
    <t>200030212</t>
  </si>
  <si>
    <t>0129-00055</t>
  </si>
  <si>
    <t>308884-330</t>
  </si>
  <si>
    <t>1010.93</t>
  </si>
  <si>
    <t>0160-00046</t>
  </si>
  <si>
    <t>321279-527</t>
  </si>
  <si>
    <t>1.03</t>
  </si>
  <si>
    <t>HAVERHILL CITY</t>
  </si>
  <si>
    <t>200050103</t>
  </si>
  <si>
    <t>529-14-5</t>
  </si>
  <si>
    <t>329014-590</t>
  </si>
  <si>
    <t>1342.23</t>
  </si>
  <si>
    <t>544-425-2</t>
  </si>
  <si>
    <t>316917-466</t>
  </si>
  <si>
    <t>891.09</t>
  </si>
  <si>
    <t>588-422CL-42</t>
  </si>
  <si>
    <t>310328-361</t>
  </si>
  <si>
    <t>1009.74</t>
  </si>
  <si>
    <t>623-543-4</t>
  </si>
  <si>
    <t>321821-536</t>
  </si>
  <si>
    <t>2916.12</t>
  </si>
  <si>
    <t>713-690-25</t>
  </si>
  <si>
    <t>307405-045</t>
  </si>
  <si>
    <t>3852.52</t>
  </si>
  <si>
    <t>IPSWICH TOWN</t>
  </si>
  <si>
    <t>200050215</t>
  </si>
  <si>
    <t>30D-0090-0</t>
  </si>
  <si>
    <t>320766-513</t>
  </si>
  <si>
    <t>1306.46</t>
  </si>
  <si>
    <t>LYNN CITY</t>
  </si>
  <si>
    <t>200050101</t>
  </si>
  <si>
    <t>070-648-009</t>
  </si>
  <si>
    <t>320763-513</t>
  </si>
  <si>
    <t>897.83</t>
  </si>
  <si>
    <t>06/10/2020</t>
  </si>
  <si>
    <t>RB18083</t>
  </si>
  <si>
    <t>MARLBOROUGH CITY</t>
  </si>
  <si>
    <t>200090102</t>
  </si>
  <si>
    <t>0057-084A</t>
  </si>
  <si>
    <t>311652-380</t>
  </si>
  <si>
    <t>991.07</t>
  </si>
  <si>
    <t>NEWTON CITY</t>
  </si>
  <si>
    <t>200090107</t>
  </si>
  <si>
    <t>64-0190-000300</t>
  </si>
  <si>
    <t>325002-552</t>
  </si>
  <si>
    <t>8127.76</t>
  </si>
  <si>
    <t>SANDWICH TOWN</t>
  </si>
  <si>
    <t>200010208</t>
  </si>
  <si>
    <t>04-014</t>
  </si>
  <si>
    <t>RB18113</t>
  </si>
  <si>
    <t>4216.12</t>
  </si>
  <si>
    <t>4976.74</t>
  </si>
  <si>
    <t>SAUGUS TOWN</t>
  </si>
  <si>
    <t>200050203</t>
  </si>
  <si>
    <t>E7/14/3</t>
  </si>
  <si>
    <t>309707-352</t>
  </si>
  <si>
    <t>3351.95</t>
  </si>
  <si>
    <t>4811.57</t>
  </si>
  <si>
    <t>4935.25</t>
  </si>
  <si>
    <t>F6/12/2</t>
  </si>
  <si>
    <t>331097-610</t>
  </si>
  <si>
    <t>638.88</t>
  </si>
  <si>
    <t>WESTFORD TOWN</t>
  </si>
  <si>
    <t>200090219</t>
  </si>
  <si>
    <t>070-0212-0000</t>
  </si>
  <si>
    <t>308109-310</t>
  </si>
  <si>
    <t>3042.13</t>
  </si>
  <si>
    <t>PAWTUCKET CITY</t>
  </si>
  <si>
    <t>380040103</t>
  </si>
  <si>
    <t>57 -0343</t>
  </si>
  <si>
    <t>309445-346</t>
  </si>
  <si>
    <t>1537.07</t>
  </si>
  <si>
    <t>57 -0344</t>
  </si>
  <si>
    <t>579.58</t>
  </si>
  <si>
    <t>INYO COUNTY</t>
  </si>
  <si>
    <t>040140000</t>
  </si>
  <si>
    <t>011-440-25-</t>
  </si>
  <si>
    <t>329823-590</t>
  </si>
  <si>
    <t>1765.68</t>
  </si>
  <si>
    <t>ORANGE COUNTY</t>
  </si>
  <si>
    <t>040300000</t>
  </si>
  <si>
    <t>103-531-07</t>
  </si>
  <si>
    <t>321654-527</t>
  </si>
  <si>
    <t>2918.67</t>
  </si>
  <si>
    <t>06/09/2020</t>
  </si>
  <si>
    <t>49-60 Months. Potential Property Loss</t>
  </si>
  <si>
    <t>109-363-19</t>
  </si>
  <si>
    <t>321925-536</t>
  </si>
  <si>
    <t>1087.42</t>
  </si>
  <si>
    <t>1101.60</t>
  </si>
  <si>
    <t>1122.99</t>
  </si>
  <si>
    <t>1132.94</t>
  </si>
  <si>
    <t>935-532-00</t>
  </si>
  <si>
    <t>321653-527</t>
  </si>
  <si>
    <t>753.21</t>
  </si>
  <si>
    <t>753.17</t>
  </si>
  <si>
    <t>002-064-35</t>
  </si>
  <si>
    <t>330587-597</t>
  </si>
  <si>
    <t>4643.53</t>
  </si>
  <si>
    <t>031-052-08</t>
  </si>
  <si>
    <t>327333-572</t>
  </si>
  <si>
    <t>1461.59</t>
  </si>
  <si>
    <t>058-122-17</t>
  </si>
  <si>
    <t>324766-550</t>
  </si>
  <si>
    <t>1180.04</t>
  </si>
  <si>
    <t>069-422-20</t>
  </si>
  <si>
    <t>323456-538</t>
  </si>
  <si>
    <t>1466.17</t>
  </si>
  <si>
    <t>073-493-25</t>
  </si>
  <si>
    <t>324782-550</t>
  </si>
  <si>
    <t>2857.83</t>
  </si>
  <si>
    <t>096-412-13</t>
  </si>
  <si>
    <t>326429-555</t>
  </si>
  <si>
    <t>2642.34</t>
  </si>
  <si>
    <t>099-131-60</t>
  </si>
  <si>
    <t>314427-429</t>
  </si>
  <si>
    <t>4911.78</t>
  </si>
  <si>
    <t>099-562-07</t>
  </si>
  <si>
    <t>330584-597</t>
  </si>
  <si>
    <t>3539.80</t>
  </si>
  <si>
    <t>2967.31</t>
  </si>
  <si>
    <t>1175.22</t>
  </si>
  <si>
    <t>127-092-31</t>
  </si>
  <si>
    <t>323696-538</t>
  </si>
  <si>
    <t>2094.63</t>
  </si>
  <si>
    <t>128-225-03</t>
  </si>
  <si>
    <t>323697-538</t>
  </si>
  <si>
    <t>2583.92</t>
  </si>
  <si>
    <t>145-202-09</t>
  </si>
  <si>
    <t>323675-538</t>
  </si>
  <si>
    <t>1855.56</t>
  </si>
  <si>
    <t>231-452-32</t>
  </si>
  <si>
    <t>323702-538</t>
  </si>
  <si>
    <t>1364.18</t>
  </si>
  <si>
    <t>242-361-32</t>
  </si>
  <si>
    <t>328852-584</t>
  </si>
  <si>
    <t>5821.74</t>
  </si>
  <si>
    <t>292-331-23</t>
  </si>
  <si>
    <t>327357-572</t>
  </si>
  <si>
    <t>8029.75</t>
  </si>
  <si>
    <t>303-071-02</t>
  </si>
  <si>
    <t>320288-509</t>
  </si>
  <si>
    <t>3574.18</t>
  </si>
  <si>
    <t>319-063-04</t>
  </si>
  <si>
    <t>330588-597</t>
  </si>
  <si>
    <t>3729.03</t>
  </si>
  <si>
    <t>323-092-15</t>
  </si>
  <si>
    <t>315940-459</t>
  </si>
  <si>
    <t>5704.96</t>
  </si>
  <si>
    <t>336-211-63</t>
  </si>
  <si>
    <t>323701-538</t>
  </si>
  <si>
    <t>2769.80</t>
  </si>
  <si>
    <t>340-132-13</t>
  </si>
  <si>
    <t>327394-572</t>
  </si>
  <si>
    <t>2037.56</t>
  </si>
  <si>
    <t>349-061-03</t>
  </si>
  <si>
    <t>323724-538</t>
  </si>
  <si>
    <t>5002.39</t>
  </si>
  <si>
    <t>350-282-07</t>
  </si>
  <si>
    <t>323725-538</t>
  </si>
  <si>
    <t>6205.39</t>
  </si>
  <si>
    <t>363-051-33</t>
  </si>
  <si>
    <t>323699-538</t>
  </si>
  <si>
    <t>3236.36</t>
  </si>
  <si>
    <t>370-423-16</t>
  </si>
  <si>
    <t>327470-572</t>
  </si>
  <si>
    <t>5717.30</t>
  </si>
  <si>
    <t>408-042-07</t>
  </si>
  <si>
    <t>327140-572</t>
  </si>
  <si>
    <t>618.38</t>
  </si>
  <si>
    <t>412-152-29</t>
  </si>
  <si>
    <t>320077-500</t>
  </si>
  <si>
    <t>1984.77</t>
  </si>
  <si>
    <t>449-441-59</t>
  </si>
  <si>
    <t>317321-480</t>
  </si>
  <si>
    <t>3759.34</t>
  </si>
  <si>
    <t>451-361-40</t>
  </si>
  <si>
    <t>327229-572</t>
  </si>
  <si>
    <t>721.66</t>
  </si>
  <si>
    <t>551-027-11</t>
  </si>
  <si>
    <t>327189-572</t>
  </si>
  <si>
    <t>2373.36</t>
  </si>
  <si>
    <t>649-022-07</t>
  </si>
  <si>
    <t>327413-572</t>
  </si>
  <si>
    <t>2433.49</t>
  </si>
  <si>
    <t>649-194-05</t>
  </si>
  <si>
    <t>315592-444</t>
  </si>
  <si>
    <t>3625.71</t>
  </si>
  <si>
    <t>666-112-31</t>
  </si>
  <si>
    <t>329796-590</t>
  </si>
  <si>
    <t>1193.23</t>
  </si>
  <si>
    <t>668-191-14</t>
  </si>
  <si>
    <t>328901-584</t>
  </si>
  <si>
    <t>1685.80</t>
  </si>
  <si>
    <t>682-282-12</t>
  </si>
  <si>
    <t>321923-536</t>
  </si>
  <si>
    <t>3692.86</t>
  </si>
  <si>
    <t>809-331-18</t>
  </si>
  <si>
    <t>323687-538</t>
  </si>
  <si>
    <t>688.64</t>
  </si>
  <si>
    <t>933-011-14</t>
  </si>
  <si>
    <t>324670-550</t>
  </si>
  <si>
    <t>808.15</t>
  </si>
  <si>
    <t>767.82</t>
  </si>
  <si>
    <t>936-520-27</t>
  </si>
  <si>
    <t>330581-597</t>
  </si>
  <si>
    <t>7658.61</t>
  </si>
  <si>
    <t>936-551-36</t>
  </si>
  <si>
    <t>313545-421</t>
  </si>
  <si>
    <t>2546.87</t>
  </si>
  <si>
    <t>939-320-38</t>
  </si>
  <si>
    <t>320401-510</t>
  </si>
  <si>
    <t>1993.11</t>
  </si>
  <si>
    <t>SAN DIEGO COUNTY</t>
  </si>
  <si>
    <t>040370000</t>
  </si>
  <si>
    <t>137-112-15-00</t>
  </si>
  <si>
    <t>323107-537</t>
  </si>
  <si>
    <t>2029.20</t>
  </si>
  <si>
    <t>2690.20</t>
  </si>
  <si>
    <t>283-031-33-00</t>
  </si>
  <si>
    <t>319041-494</t>
  </si>
  <si>
    <t>1858.11</t>
  </si>
  <si>
    <t>123-430-22-00</t>
  </si>
  <si>
    <t>315118-434</t>
  </si>
  <si>
    <t>7093.92</t>
  </si>
  <si>
    <t>05/18/2020</t>
  </si>
  <si>
    <t>2025.06</t>
  </si>
  <si>
    <t>150-260-20-00</t>
  </si>
  <si>
    <t>314414-429</t>
  </si>
  <si>
    <t>4581.16</t>
  </si>
  <si>
    <t>162-130-50-00</t>
  </si>
  <si>
    <t>327276-572</t>
  </si>
  <si>
    <t>2050.03</t>
  </si>
  <si>
    <t>165-240-68-44</t>
  </si>
  <si>
    <t>329770-590</t>
  </si>
  <si>
    <t>1105.02</t>
  </si>
  <si>
    <t>168-161-21-00</t>
  </si>
  <si>
    <t>327249-572</t>
  </si>
  <si>
    <t>1498.81</t>
  </si>
  <si>
    <t>175-305-07-00</t>
  </si>
  <si>
    <t>325185-554</t>
  </si>
  <si>
    <t>2834.47</t>
  </si>
  <si>
    <t>186-720-16-00</t>
  </si>
  <si>
    <t>317246-475</t>
  </si>
  <si>
    <t>5640.34</t>
  </si>
  <si>
    <t>221-541-41-00</t>
  </si>
  <si>
    <t>327420-572</t>
  </si>
  <si>
    <t>1276.91</t>
  </si>
  <si>
    <t>226-461-09-00</t>
  </si>
  <si>
    <t>323615-538</t>
  </si>
  <si>
    <t>1141.22</t>
  </si>
  <si>
    <t>254-173-26-00</t>
  </si>
  <si>
    <t>323604-538</t>
  </si>
  <si>
    <t>1062.51</t>
  </si>
  <si>
    <t>267-312-02-00</t>
  </si>
  <si>
    <t>326401-555</t>
  </si>
  <si>
    <t>11560.91</t>
  </si>
  <si>
    <t>272-033-07-00</t>
  </si>
  <si>
    <t>327133-572</t>
  </si>
  <si>
    <t>1861.70</t>
  </si>
  <si>
    <t>1907.66</t>
  </si>
  <si>
    <t>323-340-02-00</t>
  </si>
  <si>
    <t>309802-353</t>
  </si>
  <si>
    <t>1783.06</t>
  </si>
  <si>
    <t>325-120-07-00</t>
  </si>
  <si>
    <t>324756-550</t>
  </si>
  <si>
    <t>10541.44</t>
  </si>
  <si>
    <t>345-221-22-29</t>
  </si>
  <si>
    <t>330553-597</t>
  </si>
  <si>
    <t>2451.41</t>
  </si>
  <si>
    <t>357-603-02-38</t>
  </si>
  <si>
    <t>312951-411</t>
  </si>
  <si>
    <t>3758.79</t>
  </si>
  <si>
    <t>360-050-16-00</t>
  </si>
  <si>
    <t>323110-537</t>
  </si>
  <si>
    <t>1759.56</t>
  </si>
  <si>
    <t>398-400-37-00</t>
  </si>
  <si>
    <t>324626-550</t>
  </si>
  <si>
    <t>3696.83</t>
  </si>
  <si>
    <t>402-415-31-00</t>
  </si>
  <si>
    <t>321647-527</t>
  </si>
  <si>
    <t>3404.45</t>
  </si>
  <si>
    <t>426-510-50-00</t>
  </si>
  <si>
    <t>324805-550</t>
  </si>
  <si>
    <t>699.04</t>
  </si>
  <si>
    <t>429-010-25-20</t>
  </si>
  <si>
    <t>323627-538</t>
  </si>
  <si>
    <t>1433.69</t>
  </si>
  <si>
    <t>452-151-17-00</t>
  </si>
  <si>
    <t>316613-461</t>
  </si>
  <si>
    <t>4049.13</t>
  </si>
  <si>
    <t>456-280-01-12</t>
  </si>
  <si>
    <t>324705-550</t>
  </si>
  <si>
    <t>848.80</t>
  </si>
  <si>
    <t>477-351-16-00</t>
  </si>
  <si>
    <t>323619-538</t>
  </si>
  <si>
    <t>3480.66</t>
  </si>
  <si>
    <t>484-152-02-00</t>
  </si>
  <si>
    <t>329980-592</t>
  </si>
  <si>
    <t>3058.36</t>
  </si>
  <si>
    <t>504-192-74-00</t>
  </si>
  <si>
    <t>329767-590</t>
  </si>
  <si>
    <t>3546.55</t>
  </si>
  <si>
    <t>505-102-15-00</t>
  </si>
  <si>
    <t>329768-590</t>
  </si>
  <si>
    <t>2717.59</t>
  </si>
  <si>
    <t>530-660-12-00</t>
  </si>
  <si>
    <t>327147-572</t>
  </si>
  <si>
    <t>3962.78</t>
  </si>
  <si>
    <t>532-162-03-00</t>
  </si>
  <si>
    <t>330551-597</t>
  </si>
  <si>
    <t>7705.63</t>
  </si>
  <si>
    <t>536-301-28-02</t>
  </si>
  <si>
    <t>332573-610</t>
  </si>
  <si>
    <t>6612.40</t>
  </si>
  <si>
    <t>557-390-18-00</t>
  </si>
  <si>
    <t>327402-572</t>
  </si>
  <si>
    <t>1821.06</t>
  </si>
  <si>
    <t>578-161-01-22</t>
  </si>
  <si>
    <t>315195-436</t>
  </si>
  <si>
    <t>1793.53</t>
  </si>
  <si>
    <t>583-012-02-00</t>
  </si>
  <si>
    <t>324641-550</t>
  </si>
  <si>
    <t>2221.69</t>
  </si>
  <si>
    <t>594-222-22-00</t>
  </si>
  <si>
    <t>328866-584</t>
  </si>
  <si>
    <t>1059.35</t>
  </si>
  <si>
    <t>631-091-27-00</t>
  </si>
  <si>
    <t>324907-550</t>
  </si>
  <si>
    <t>1742.56</t>
  </si>
  <si>
    <t>640-271-11-00</t>
  </si>
  <si>
    <t>327293-572</t>
  </si>
  <si>
    <t>2177.73</t>
  </si>
  <si>
    <t>643-540-18-00</t>
  </si>
  <si>
    <t>323598-538</t>
  </si>
  <si>
    <t>7532.69</t>
  </si>
  <si>
    <t>643-571-08-00</t>
  </si>
  <si>
    <t>323596-538</t>
  </si>
  <si>
    <t>5157.76</t>
  </si>
  <si>
    <t>645-160-64-00</t>
  </si>
  <si>
    <t>312962-411</t>
  </si>
  <si>
    <t>2521.36</t>
  </si>
  <si>
    <t>672-340-01-00</t>
  </si>
  <si>
    <t>327203-572</t>
  </si>
  <si>
    <t>2575.65</t>
  </si>
  <si>
    <t>TULARE COUNTY</t>
  </si>
  <si>
    <t>040540000</t>
  </si>
  <si>
    <t>245-264-024-000</t>
  </si>
  <si>
    <t>309067-336</t>
  </si>
  <si>
    <t>521.98</t>
  </si>
  <si>
    <t>261-013-015-000</t>
  </si>
  <si>
    <t>321658-527</t>
  </si>
  <si>
    <t>628.98</t>
  </si>
  <si>
    <t>245-162-005-000</t>
  </si>
  <si>
    <t>328911-584</t>
  </si>
  <si>
    <t>766.11</t>
  </si>
  <si>
    <t>546.10</t>
  </si>
  <si>
    <t>594.85</t>
  </si>
  <si>
    <t>284-372-015-000</t>
  </si>
  <si>
    <t>313197-013</t>
  </si>
  <si>
    <t>1308.01</t>
  </si>
  <si>
    <t>DAUPHIN COUNTY TAX CLAIM BUREAU</t>
  </si>
  <si>
    <t>370224000</t>
  </si>
  <si>
    <t>10-061-021-000-0000</t>
  </si>
  <si>
    <t>320998-513</t>
  </si>
  <si>
    <t>1540.84</t>
  </si>
  <si>
    <t>2488.18</t>
  </si>
  <si>
    <t>43-041-057-000-0000</t>
  </si>
  <si>
    <t>313804-429</t>
  </si>
  <si>
    <t>1743.64</t>
  </si>
  <si>
    <t>JEFFERSON COUNTY TAX CLAIM BUREAU</t>
  </si>
  <si>
    <t>370334000</t>
  </si>
  <si>
    <t>40-408-0207</t>
  </si>
  <si>
    <t>307079-045</t>
  </si>
  <si>
    <t>185.21</t>
  </si>
  <si>
    <t>05/19/2020</t>
  </si>
  <si>
    <t>SNYDER COUNY TAX CLAIM BUREAU</t>
  </si>
  <si>
    <t>370554000</t>
  </si>
  <si>
    <t>14 06 046</t>
  </si>
  <si>
    <t>324046-539</t>
  </si>
  <si>
    <t>1740.31</t>
  </si>
  <si>
    <t>05/22/2020</t>
  </si>
  <si>
    <t>CLARK COUNTY</t>
  </si>
  <si>
    <t>270020000</t>
  </si>
  <si>
    <t>124-21-314-055</t>
  </si>
  <si>
    <t>315695-445</t>
  </si>
  <si>
    <t>1793.33</t>
  </si>
  <si>
    <t>3753.82</t>
  </si>
  <si>
    <t>124-32-411-007</t>
  </si>
  <si>
    <t>305487-036</t>
  </si>
  <si>
    <t>35.26</t>
  </si>
  <si>
    <t>1144.41</t>
  </si>
  <si>
    <t>139-12-310-016</t>
  </si>
  <si>
    <t>328822-584</t>
  </si>
  <si>
    <t>365.29</t>
  </si>
  <si>
    <t>139-22-214-013</t>
  </si>
  <si>
    <t>319542-496</t>
  </si>
  <si>
    <t>461.89</t>
  </si>
  <si>
    <t>140-18-413-030</t>
  </si>
  <si>
    <t>319018-494</t>
  </si>
  <si>
    <t>309.31</t>
  </si>
  <si>
    <t>140-32-211-037</t>
  </si>
  <si>
    <t>321636-527</t>
  </si>
  <si>
    <t>1595.82</t>
  </si>
  <si>
    <t>161-05-510-249</t>
  </si>
  <si>
    <t>323023-537</t>
  </si>
  <si>
    <t>406.04</t>
  </si>
  <si>
    <t>161-07-417-013</t>
  </si>
  <si>
    <t>324649-550</t>
  </si>
  <si>
    <t>1125.43</t>
  </si>
  <si>
    <t>161-20-614-029</t>
  </si>
  <si>
    <t>324568-549</t>
  </si>
  <si>
    <t>409.48</t>
  </si>
  <si>
    <t>162-24-811-006</t>
  </si>
  <si>
    <t>324265-539</t>
  </si>
  <si>
    <t>1566.23</t>
  </si>
  <si>
    <t>163-16-511-046</t>
  </si>
  <si>
    <t>319019-494</t>
  </si>
  <si>
    <t>1160.99</t>
  </si>
  <si>
    <t>2685.27</t>
  </si>
  <si>
    <t>163-22-212-045</t>
  </si>
  <si>
    <t>316581-461</t>
  </si>
  <si>
    <t>716.41</t>
  </si>
  <si>
    <t>163-28-211-052</t>
  </si>
  <si>
    <t>314548-431</t>
  </si>
  <si>
    <t>1443.36</t>
  </si>
  <si>
    <t>164-02-218-015</t>
  </si>
  <si>
    <t>328833-584</t>
  </si>
  <si>
    <t>6531.26</t>
  </si>
  <si>
    <t>176-34-118-026</t>
  </si>
  <si>
    <t>324569-549</t>
  </si>
  <si>
    <t>4906.24</t>
  </si>
  <si>
    <t>177-13-614-016</t>
  </si>
  <si>
    <t>323022-537</t>
  </si>
  <si>
    <t>1187.89</t>
  </si>
  <si>
    <t>177-22-510-006</t>
  </si>
  <si>
    <t>323025-537</t>
  </si>
  <si>
    <t>2594.89</t>
  </si>
  <si>
    <t>177-23-310-038</t>
  </si>
  <si>
    <t>323376-538</t>
  </si>
  <si>
    <t>4229.73</t>
  </si>
  <si>
    <t>178-22-312-012</t>
  </si>
  <si>
    <t>324776-550</t>
  </si>
  <si>
    <t>2455.09</t>
  </si>
  <si>
    <t>178-32-413-008</t>
  </si>
  <si>
    <t>328825-584</t>
  </si>
  <si>
    <t>2212.36</t>
  </si>
  <si>
    <t>179-04-502-009</t>
  </si>
  <si>
    <t>328820-584</t>
  </si>
  <si>
    <t>2302.80</t>
  </si>
  <si>
    <t>179-21-116-043</t>
  </si>
  <si>
    <t>326314-555</t>
  </si>
  <si>
    <t>1526.56</t>
  </si>
  <si>
    <t>179-28-312-015</t>
  </si>
  <si>
    <t>315666-445</t>
  </si>
  <si>
    <t>1159.99</t>
  </si>
  <si>
    <t>179-33-611-040</t>
  </si>
  <si>
    <t>317583-481</t>
  </si>
  <si>
    <t>2223.51</t>
  </si>
  <si>
    <t>190-07-114-003</t>
  </si>
  <si>
    <t>323021-537</t>
  </si>
  <si>
    <t>11290.25</t>
  </si>
  <si>
    <t>CLEARFIELD COUNTY TAX CLAIM BUREAU</t>
  </si>
  <si>
    <t>370174000</t>
  </si>
  <si>
    <t>0130-02963</t>
  </si>
  <si>
    <t>313790-429</t>
  </si>
  <si>
    <t>473.20</t>
  </si>
  <si>
    <t>05/15/2020</t>
  </si>
  <si>
    <t>LEHIGH COUNTY TAX CLAIM BUREAU</t>
  </si>
  <si>
    <t>370394000</t>
  </si>
  <si>
    <t>01 546353886936 1</t>
  </si>
  <si>
    <t>324495-539</t>
  </si>
  <si>
    <t>4753.95</t>
  </si>
  <si>
    <t>06/01/2020</t>
  </si>
  <si>
    <t>LUZERNE COUNTY TAX CLAIM BUREAU</t>
  </si>
  <si>
    <t>370404000</t>
  </si>
  <si>
    <t>14-D12NE3-006-017-000</t>
  </si>
  <si>
    <t>307820-047</t>
  </si>
  <si>
    <t>3182.74</t>
  </si>
  <si>
    <t>2934.92</t>
  </si>
  <si>
    <t>22-Q9SE3 -015-009-000</t>
  </si>
  <si>
    <t>313816-429</t>
  </si>
  <si>
    <t>739.13</t>
  </si>
  <si>
    <t>65-D11SW3-003-008-000</t>
  </si>
  <si>
    <t>330082-597</t>
  </si>
  <si>
    <t>3261.00</t>
  </si>
  <si>
    <t>73-H10NW2-007-005-000</t>
  </si>
  <si>
    <t>316271-461</t>
  </si>
  <si>
    <t>1794.69</t>
  </si>
  <si>
    <t>LYCOMING COUNTY TAX CLAIM BUREAU</t>
  </si>
  <si>
    <t>370414000</t>
  </si>
  <si>
    <t>07-392.00-113A</t>
  </si>
  <si>
    <t>305426-036</t>
  </si>
  <si>
    <t>93.12</t>
  </si>
  <si>
    <t>49-001.00-302</t>
  </si>
  <si>
    <t>321333-527</t>
  </si>
  <si>
    <t>1256.16</t>
  </si>
  <si>
    <t>MERCER COUNTY TAX CLAIM BUREAU</t>
  </si>
  <si>
    <t>370434000</t>
  </si>
  <si>
    <t>12014570</t>
  </si>
  <si>
    <t>305428-036</t>
  </si>
  <si>
    <t>2072.88</t>
  </si>
  <si>
    <t>SOMERSET COUNTY TAX CLAIM BUREAU</t>
  </si>
  <si>
    <t>370564000</t>
  </si>
  <si>
    <t>39-0023460</t>
  </si>
  <si>
    <t>322123-537</t>
  </si>
  <si>
    <t>849.74</t>
  </si>
  <si>
    <t>WASHINGTON COUNTY TAX CLAIM BUREAU</t>
  </si>
  <si>
    <t>370634000</t>
  </si>
  <si>
    <t>260-004-02-05-0014-00</t>
  </si>
  <si>
    <t>307022-045</t>
  </si>
  <si>
    <t>146.84</t>
  </si>
  <si>
    <t>05/29/2020</t>
  </si>
  <si>
    <t>360-007-00-03-0002-01</t>
  </si>
  <si>
    <t>321328-527</t>
  </si>
  <si>
    <t>1456.95</t>
  </si>
  <si>
    <t>WYOMISSING SCHOOL/BERKS DLQ</t>
  </si>
  <si>
    <t>370064003</t>
  </si>
  <si>
    <t>4954.94</t>
  </si>
  <si>
    <t>AVON TOWN</t>
  </si>
  <si>
    <t>200110210</t>
  </si>
  <si>
    <t>0C6-005-001</t>
  </si>
  <si>
    <t>329023-590</t>
  </si>
  <si>
    <t>24.02</t>
  </si>
  <si>
    <t>719.40</t>
  </si>
  <si>
    <t>06/08/2020</t>
  </si>
  <si>
    <t>BARNSTABLE TOWN</t>
  </si>
  <si>
    <t>200010202</t>
  </si>
  <si>
    <t>168-081</t>
  </si>
  <si>
    <t>327285-572</t>
  </si>
  <si>
    <t>707.02</t>
  </si>
  <si>
    <t>272-181</t>
  </si>
  <si>
    <t>320784-513</t>
  </si>
  <si>
    <t>774.04</t>
  </si>
  <si>
    <t>1756.44</t>
  </si>
  <si>
    <t>2423.20</t>
  </si>
  <si>
    <t>DRACUT TOWN</t>
  </si>
  <si>
    <t>200090217</t>
  </si>
  <si>
    <t>72-0-3</t>
  </si>
  <si>
    <t>318129-493</t>
  </si>
  <si>
    <t>1992.28</t>
  </si>
  <si>
    <t>EASTON TOWN</t>
  </si>
  <si>
    <t>200030201</t>
  </si>
  <si>
    <t>42U 15</t>
  </si>
  <si>
    <t>329026-590</t>
  </si>
  <si>
    <t>1792.42</t>
  </si>
  <si>
    <t>FALL RIVER CITY</t>
  </si>
  <si>
    <t>200030102</t>
  </si>
  <si>
    <t>D05-0007</t>
  </si>
  <si>
    <t>329029-590</t>
  </si>
  <si>
    <t>1896.53</t>
  </si>
  <si>
    <t>L02-1703</t>
  </si>
  <si>
    <t>327866-584</t>
  </si>
  <si>
    <t>561.56</t>
  </si>
  <si>
    <t>HARWICH TOWN</t>
  </si>
  <si>
    <t>200010210</t>
  </si>
  <si>
    <t>21/S4-14B-R</t>
  </si>
  <si>
    <t>326568-564</t>
  </si>
  <si>
    <t>464.65</t>
  </si>
  <si>
    <t>69/X1-R</t>
  </si>
  <si>
    <t>321961-537</t>
  </si>
  <si>
    <t>3.20</t>
  </si>
  <si>
    <t>8/N1-2-R</t>
  </si>
  <si>
    <t>327863-584</t>
  </si>
  <si>
    <t>5662.68</t>
  </si>
  <si>
    <t>LENOX TOWN</t>
  </si>
  <si>
    <t>200020214</t>
  </si>
  <si>
    <t>50 17</t>
  </si>
  <si>
    <t>315206-437</t>
  </si>
  <si>
    <t>2497.43</t>
  </si>
  <si>
    <t>MELROSE CITY</t>
  </si>
  <si>
    <t>200090103</t>
  </si>
  <si>
    <t>0B3/0000022</t>
  </si>
  <si>
    <t>323304-538</t>
  </si>
  <si>
    <t>3277.45</t>
  </si>
  <si>
    <t>NEW BEDFORD CITY</t>
  </si>
  <si>
    <t>200030103</t>
  </si>
  <si>
    <t>040-00-0018-00</t>
  </si>
  <si>
    <t>325229-555</t>
  </si>
  <si>
    <t>1311.66</t>
  </si>
  <si>
    <t>045-00-0294-00</t>
  </si>
  <si>
    <t>305490-036</t>
  </si>
  <si>
    <t>985.75</t>
  </si>
  <si>
    <t>NORTH ATTLEBOROUGH TOWN</t>
  </si>
  <si>
    <t>200030203</t>
  </si>
  <si>
    <t>9-337-1</t>
  </si>
  <si>
    <t>315318-444</t>
  </si>
  <si>
    <t>2286.88</t>
  </si>
  <si>
    <t>REHOBOTH TOWN</t>
  </si>
  <si>
    <t>200030216</t>
  </si>
  <si>
    <t>0005200036</t>
  </si>
  <si>
    <t>316205-461</t>
  </si>
  <si>
    <t>5460.07</t>
  </si>
  <si>
    <t>TEWKSBURY TOWN</t>
  </si>
  <si>
    <t>200090213</t>
  </si>
  <si>
    <t>0071-0008-0000</t>
  </si>
  <si>
    <t>331094-610</t>
  </si>
  <si>
    <t>1384.98</t>
  </si>
  <si>
    <t>0073-0018-U143</t>
  </si>
  <si>
    <t>329015-590</t>
  </si>
  <si>
    <t>1407.63</t>
  </si>
  <si>
    <t>SAGINAW COUNTY DELINQUENCY</t>
  </si>
  <si>
    <t>210734000</t>
  </si>
  <si>
    <t>10-12-5-29-1261-000</t>
  </si>
  <si>
    <t>314195-429</t>
  </si>
  <si>
    <t>22.72</t>
  </si>
  <si>
    <t>06/02/2020</t>
  </si>
  <si>
    <t>444.58</t>
  </si>
  <si>
    <t>10-12-5-33-4329-000</t>
  </si>
  <si>
    <t>314194-429</t>
  </si>
  <si>
    <t>692.09</t>
  </si>
  <si>
    <t>1087.76</t>
  </si>
  <si>
    <t>28-12-3-25-3117-000</t>
  </si>
  <si>
    <t>326946-571</t>
  </si>
  <si>
    <t>1398.03</t>
  </si>
  <si>
    <t>91-30-0-90-0000-000</t>
  </si>
  <si>
    <t>322683-537</t>
  </si>
  <si>
    <t>11.86</t>
  </si>
  <si>
    <t>PASCO COUNTY</t>
  </si>
  <si>
    <t>090510000</t>
  </si>
  <si>
    <t>01-26-21-0080-00B02-0820</t>
  </si>
  <si>
    <t>312652-411</t>
  </si>
  <si>
    <t>740.02</t>
  </si>
  <si>
    <t>06/05/2020</t>
  </si>
  <si>
    <t>06-26-22-0000-01500-0010</t>
  </si>
  <si>
    <t>318758-494</t>
  </si>
  <si>
    <t>230.54</t>
  </si>
  <si>
    <t>22-26-16-004C-00000-7630</t>
  </si>
  <si>
    <t>328511-584</t>
  </si>
  <si>
    <t>2012.59</t>
  </si>
  <si>
    <t>23-26-15-0010-00000-0240</t>
  </si>
  <si>
    <t>328517-584</t>
  </si>
  <si>
    <t>4689.29</t>
  </si>
  <si>
    <t>29-25-20-0000-00300-0010</t>
  </si>
  <si>
    <t>323355-538</t>
  </si>
  <si>
    <t>2708.51</t>
  </si>
  <si>
    <t>2162.54</t>
  </si>
  <si>
    <t>2200.07</t>
  </si>
  <si>
    <t>BRIDGEPORT CITY/QUARTERLY/ELDERLY</t>
  </si>
  <si>
    <t>060011703</t>
  </si>
  <si>
    <t>1202--27-------</t>
  </si>
  <si>
    <t>316885-466</t>
  </si>
  <si>
    <t>1503.64</t>
  </si>
  <si>
    <t>2125--06K-18---</t>
  </si>
  <si>
    <t>315283-439</t>
  </si>
  <si>
    <t>129.55</t>
  </si>
  <si>
    <t>MUSCATINE COUNTY</t>
  </si>
  <si>
    <t>140700000</t>
  </si>
  <si>
    <t>0112153014</t>
  </si>
  <si>
    <t>318358-493</t>
  </si>
  <si>
    <t>998.00</t>
  </si>
  <si>
    <t>SCOTT COUNTY</t>
  </si>
  <si>
    <t>140820000</t>
  </si>
  <si>
    <t>C0017-51</t>
  </si>
  <si>
    <t>309687-351</t>
  </si>
  <si>
    <t>1384.00</t>
  </si>
  <si>
    <t>SCOTT SPECIAL ASSESSMENT</t>
  </si>
  <si>
    <t>140821801</t>
  </si>
  <si>
    <t>842235144</t>
  </si>
  <si>
    <t>326947-571</t>
  </si>
  <si>
    <t>597.77</t>
  </si>
  <si>
    <t>WASHINGTON COUNTY</t>
  </si>
  <si>
    <t>140920000</t>
  </si>
  <si>
    <t>03-07-379-006</t>
  </si>
  <si>
    <t>305650-036</t>
  </si>
  <si>
    <t>1580.00</t>
  </si>
  <si>
    <t>WOODBURY COUNTY</t>
  </si>
  <si>
    <t>140970000</t>
  </si>
  <si>
    <t>894727402006</t>
  </si>
  <si>
    <t>307376-045</t>
  </si>
  <si>
    <t>477.00</t>
  </si>
  <si>
    <t>KERN COUNTY</t>
  </si>
  <si>
    <t>040150000</t>
  </si>
  <si>
    <t>023-114-15-00-1</t>
  </si>
  <si>
    <t>311181-369</t>
  </si>
  <si>
    <t>774.47</t>
  </si>
  <si>
    <t>774.45</t>
  </si>
  <si>
    <t>05/31/2020</t>
  </si>
  <si>
    <t>123-150-06-00-8</t>
  </si>
  <si>
    <t>330603-597</t>
  </si>
  <si>
    <t>1149.27</t>
  </si>
  <si>
    <t>1149.26</t>
  </si>
  <si>
    <t>168-100-10-00-1</t>
  </si>
  <si>
    <t>326450-555</t>
  </si>
  <si>
    <t>775.14</t>
  </si>
  <si>
    <t>775.12</t>
  </si>
  <si>
    <t>381-201-15-00-7</t>
  </si>
  <si>
    <t>327246-572</t>
  </si>
  <si>
    <t>2055.27</t>
  </si>
  <si>
    <t>2055.26</t>
  </si>
  <si>
    <t>394-314-22-00-4</t>
  </si>
  <si>
    <t>327178-572</t>
  </si>
  <si>
    <t>1253.92</t>
  </si>
  <si>
    <t>1253.90</t>
  </si>
  <si>
    <t>407-551-01-00-5</t>
  </si>
  <si>
    <t>326451-555</t>
  </si>
  <si>
    <t>1348.27</t>
  </si>
  <si>
    <t>1348.26</t>
  </si>
  <si>
    <t>408-171-04-00-1</t>
  </si>
  <si>
    <t>317956-482</t>
  </si>
  <si>
    <t>3639.89</t>
  </si>
  <si>
    <t>3639.86</t>
  </si>
  <si>
    <t>412-214-12-00-7</t>
  </si>
  <si>
    <t>313300-040</t>
  </si>
  <si>
    <t>949.19</t>
  </si>
  <si>
    <t>949.18</t>
  </si>
  <si>
    <t>465-161-03-00-2</t>
  </si>
  <si>
    <t>327441-572</t>
  </si>
  <si>
    <t>651.52</t>
  </si>
  <si>
    <t>651.50</t>
  </si>
  <si>
    <t>SACRAMENTO COUNTY</t>
  </si>
  <si>
    <t>040340000</t>
  </si>
  <si>
    <t>263-0104-003-0000</t>
  </si>
  <si>
    <t>330988-609</t>
  </si>
  <si>
    <t>10.40</t>
  </si>
  <si>
    <t>06/04/2020</t>
  </si>
  <si>
    <t>277-0043-026-0000</t>
  </si>
  <si>
    <t>317662-481</t>
  </si>
  <si>
    <t>2087.84</t>
  </si>
  <si>
    <t>010-0141-038-0000</t>
  </si>
  <si>
    <t>319694-501</t>
  </si>
  <si>
    <t>1484.12</t>
  </si>
  <si>
    <t>022-0152-006-0000</t>
  </si>
  <si>
    <t>328960-584</t>
  </si>
  <si>
    <t>168.65</t>
  </si>
  <si>
    <t>117-1170-061-0000</t>
  </si>
  <si>
    <t>320097-500</t>
  </si>
  <si>
    <t>2188.85</t>
  </si>
  <si>
    <t>121-0350-071-0000</t>
  </si>
  <si>
    <t>317271-475</t>
  </si>
  <si>
    <t>1397.91</t>
  </si>
  <si>
    <t>121-0490-038-0000</t>
  </si>
  <si>
    <t>327208-572</t>
  </si>
  <si>
    <t>3713.68</t>
  </si>
  <si>
    <t>148-0710-007-0000</t>
  </si>
  <si>
    <t>313283-036</t>
  </si>
  <si>
    <t>1527.78</t>
  </si>
  <si>
    <t>148-0830-007-0000</t>
  </si>
  <si>
    <t>327157-572</t>
  </si>
  <si>
    <t>1173.01</t>
  </si>
  <si>
    <t>203-1000-063-0000</t>
  </si>
  <si>
    <t>330652-597</t>
  </si>
  <si>
    <t>2018.61</t>
  </si>
  <si>
    <t>237-0610-009-0000</t>
  </si>
  <si>
    <t>325091-552</t>
  </si>
  <si>
    <t>1784.47</t>
  </si>
  <si>
    <t>240-0381-012-0000</t>
  </si>
  <si>
    <t>325092-552</t>
  </si>
  <si>
    <t>2382.87</t>
  </si>
  <si>
    <t>250-0220-065-0000</t>
  </si>
  <si>
    <t>327089-572</t>
  </si>
  <si>
    <t>1614.13</t>
  </si>
  <si>
    <t>273-0123-018-0000</t>
  </si>
  <si>
    <t>314686-433</t>
  </si>
  <si>
    <t>5497.78</t>
  </si>
  <si>
    <t>273-0123-020-0000</t>
  </si>
  <si>
    <t>15.21</t>
  </si>
  <si>
    <t>273-0123-021-0000</t>
  </si>
  <si>
    <t>81.50</t>
  </si>
  <si>
    <t>1137.66</t>
  </si>
  <si>
    <t>SANTA CRUZ COUNTY</t>
  </si>
  <si>
    <t>040440000</t>
  </si>
  <si>
    <t>017-162-01- -</t>
  </si>
  <si>
    <t>319804-507</t>
  </si>
  <si>
    <t>1141.09</t>
  </si>
  <si>
    <t>05/28/2020</t>
  </si>
  <si>
    <t>2787.59</t>
  </si>
  <si>
    <t>1170.20</t>
  </si>
  <si>
    <t>107-521-01- -</t>
  </si>
  <si>
    <t>312167-398</t>
  </si>
  <si>
    <t>355.98</t>
  </si>
  <si>
    <t>4184.22</t>
  </si>
  <si>
    <t>018-081-11- -</t>
  </si>
  <si>
    <t>324719-550</t>
  </si>
  <si>
    <t>2097.12</t>
  </si>
  <si>
    <t>021-102-12- -</t>
  </si>
  <si>
    <t>310673-363</t>
  </si>
  <si>
    <t>5532.83</t>
  </si>
  <si>
    <t>063-054-02- -</t>
  </si>
  <si>
    <t>327217-572</t>
  </si>
  <si>
    <t>2037.50</t>
  </si>
  <si>
    <t>080-262-23- -</t>
  </si>
  <si>
    <t>323913-538</t>
  </si>
  <si>
    <t>4942.04</t>
  </si>
  <si>
    <t>VENTURA COUNTY</t>
  </si>
  <si>
    <t>040560000</t>
  </si>
  <si>
    <t>034-0-171-035</t>
  </si>
  <si>
    <t>329807-590</t>
  </si>
  <si>
    <t>1851.91</t>
  </si>
  <si>
    <t>05/27/2020</t>
  </si>
  <si>
    <t>055-0-180-250</t>
  </si>
  <si>
    <t>323733-538</t>
  </si>
  <si>
    <t>2870.92</t>
  </si>
  <si>
    <t>074-0-082-140</t>
  </si>
  <si>
    <t>329806-590</t>
  </si>
  <si>
    <t>1632.65</t>
  </si>
  <si>
    <t>141-0-023-065</t>
  </si>
  <si>
    <t>329809-590</t>
  </si>
  <si>
    <t>3482.84</t>
  </si>
  <si>
    <t>166-0-145-125</t>
  </si>
  <si>
    <t>327467-572</t>
  </si>
  <si>
    <t>3474.12</t>
  </si>
  <si>
    <t>183-0-312-055</t>
  </si>
  <si>
    <t>324791-550</t>
  </si>
  <si>
    <t>1223.43</t>
  </si>
  <si>
    <t>185-0-165-015</t>
  </si>
  <si>
    <t>324689-550</t>
  </si>
  <si>
    <t>3877.58</t>
  </si>
  <si>
    <t>189-0-360-315</t>
  </si>
  <si>
    <t>324646-550</t>
  </si>
  <si>
    <t>1738.24</t>
  </si>
  <si>
    <t>203-0-012-330</t>
  </si>
  <si>
    <t>324896-550</t>
  </si>
  <si>
    <t>3272.31</t>
  </si>
  <si>
    <t>204-0-161-100</t>
  </si>
  <si>
    <t>324853-550</t>
  </si>
  <si>
    <t>2377.08</t>
  </si>
  <si>
    <t>205-0-354-335</t>
  </si>
  <si>
    <t>330597-597</t>
  </si>
  <si>
    <t>2476.32</t>
  </si>
  <si>
    <t>215-0-133-075</t>
  </si>
  <si>
    <t>330595-597</t>
  </si>
  <si>
    <t>3905.70</t>
  </si>
  <si>
    <t>225-0-053-125</t>
  </si>
  <si>
    <t>324192-539</t>
  </si>
  <si>
    <t>1422.13</t>
  </si>
  <si>
    <t>229-0-190-095</t>
  </si>
  <si>
    <t>320310-509</t>
  </si>
  <si>
    <t>4744.98</t>
  </si>
  <si>
    <t>514-0-092-385</t>
  </si>
  <si>
    <t>327302-572</t>
  </si>
  <si>
    <t>1619.90</t>
  </si>
  <si>
    <t>514-0-122-015</t>
  </si>
  <si>
    <t>323734-538</t>
  </si>
  <si>
    <t>1935.87</t>
  </si>
  <si>
    <t>514-0-322-115</t>
  </si>
  <si>
    <t>324816-550</t>
  </si>
  <si>
    <t>3570.54</t>
  </si>
  <si>
    <t>526-0-120-505</t>
  </si>
  <si>
    <t>317026-466</t>
  </si>
  <si>
    <t>1896.22</t>
  </si>
  <si>
    <t>570-0-422-135</t>
  </si>
  <si>
    <t>324737-550</t>
  </si>
  <si>
    <t>5236.63</t>
  </si>
  <si>
    <t>633-0-163-035</t>
  </si>
  <si>
    <t>313243-033</t>
  </si>
  <si>
    <t>1557.92</t>
  </si>
  <si>
    <t>637-0-253-025</t>
  </si>
  <si>
    <t>310931-364</t>
  </si>
  <si>
    <t>2693.98</t>
  </si>
  <si>
    <t>674-0-390-205</t>
  </si>
  <si>
    <t>323522-538</t>
  </si>
  <si>
    <t>2946.69</t>
  </si>
  <si>
    <t>677-0-222-145</t>
  </si>
  <si>
    <t>321758-535</t>
  </si>
  <si>
    <t>1636.76</t>
  </si>
  <si>
    <t>1403.40</t>
  </si>
  <si>
    <t>1603.66</t>
  </si>
  <si>
    <t>CUMBERLAND COUNTY TAX CLAIM BUREAU</t>
  </si>
  <si>
    <t>370214000</t>
  </si>
  <si>
    <t>08-12-0334-127</t>
  </si>
  <si>
    <t>320997-513</t>
  </si>
  <si>
    <t>5643.92</t>
  </si>
  <si>
    <t>6831.51</t>
  </si>
  <si>
    <t>09-18-1308-045</t>
  </si>
  <si>
    <t>319164-496</t>
  </si>
  <si>
    <t>3754.71</t>
  </si>
  <si>
    <t>1255.92</t>
  </si>
  <si>
    <t>45-16-1050-062</t>
  </si>
  <si>
    <t>328117-584</t>
  </si>
  <si>
    <t>1098.04</t>
  </si>
  <si>
    <t>LACKAWANNA COUNTY TAX CLAIM BUREAU</t>
  </si>
  <si>
    <t>370354000</t>
  </si>
  <si>
    <t>11506-030-022</t>
  </si>
  <si>
    <t>316269-461</t>
  </si>
  <si>
    <t>1001.59</t>
  </si>
  <si>
    <t>LEBANON COUNTY TAX CLAIM BUREAU</t>
  </si>
  <si>
    <t>370384000</t>
  </si>
  <si>
    <t>07:2336801-372422-0000</t>
  </si>
  <si>
    <t>313802-429</t>
  </si>
  <si>
    <t>912.23</t>
  </si>
  <si>
    <t>05/26/2020</t>
  </si>
  <si>
    <t>33:2319551-394676-0000</t>
  </si>
  <si>
    <t>331422-610</t>
  </si>
  <si>
    <t>2884.76</t>
  </si>
  <si>
    <t>MOUNT CARMEL CITY</t>
  </si>
  <si>
    <t>410370103</t>
  </si>
  <si>
    <t>022H C 05400 000</t>
  </si>
  <si>
    <t>322567-537</t>
  </si>
  <si>
    <t>596.00</t>
  </si>
  <si>
    <t>MARTIN COUNTY</t>
  </si>
  <si>
    <t>090430000</t>
  </si>
  <si>
    <t>30-38-42-004-038-0020030000</t>
  </si>
  <si>
    <t>327417-572</t>
  </si>
  <si>
    <t>907.42</t>
  </si>
  <si>
    <t>MONROE COUNTY</t>
  </si>
  <si>
    <t>090440000</t>
  </si>
  <si>
    <t>9081127</t>
  </si>
  <si>
    <t>324162-539</t>
  </si>
  <si>
    <t>1621.93</t>
  </si>
  <si>
    <t>090480000</t>
  </si>
  <si>
    <t>022228353801730</t>
  </si>
  <si>
    <t>326912-571</t>
  </si>
  <si>
    <t>877.73</t>
  </si>
  <si>
    <t>122328818701311</t>
  </si>
  <si>
    <t>328389-584</t>
  </si>
  <si>
    <t>1655.36</t>
  </si>
  <si>
    <t>162232142702070</t>
  </si>
  <si>
    <t>328390-584</t>
  </si>
  <si>
    <t>3457.00</t>
  </si>
  <si>
    <t>202329819523060</t>
  </si>
  <si>
    <t>328388-584</t>
  </si>
  <si>
    <t>1816.40</t>
  </si>
  <si>
    <t>272231378100480</t>
  </si>
  <si>
    <t>321457-527</t>
  </si>
  <si>
    <t>1423.75</t>
  </si>
  <si>
    <t>312231199801720</t>
  </si>
  <si>
    <t>321072-513</t>
  </si>
  <si>
    <t>1983.83</t>
  </si>
  <si>
    <t>312429386800830</t>
  </si>
  <si>
    <t>331799-610</t>
  </si>
  <si>
    <t>2901.75</t>
  </si>
  <si>
    <t>312430889400250</t>
  </si>
  <si>
    <t>308609-323</t>
  </si>
  <si>
    <t>4327.90</t>
  </si>
  <si>
    <t>362228120912102</t>
  </si>
  <si>
    <t>328391-584</t>
  </si>
  <si>
    <t>1484.75</t>
  </si>
  <si>
    <t>BRANCH COUNTY DELINQUENCY</t>
  </si>
  <si>
    <t>210124000</t>
  </si>
  <si>
    <t>120-004-300-015-98</t>
  </si>
  <si>
    <t>307340-045</t>
  </si>
  <si>
    <t>935.76</t>
  </si>
  <si>
    <t>120-005-400-010-00</t>
  </si>
  <si>
    <t>131.32</t>
  </si>
  <si>
    <t>MADERA COUNTY</t>
  </si>
  <si>
    <t>040200000</t>
  </si>
  <si>
    <t>005-304-006-000</t>
  </si>
  <si>
    <t>326464-555</t>
  </si>
  <si>
    <t>927.49</t>
  </si>
  <si>
    <t>009-490-022-000</t>
  </si>
  <si>
    <t>329830-590</t>
  </si>
  <si>
    <t>1025.93</t>
  </si>
  <si>
    <t>011-342-005-000</t>
  </si>
  <si>
    <t>326463-555</t>
  </si>
  <si>
    <t>2015.04</t>
  </si>
  <si>
    <t>012-420-013-000</t>
  </si>
  <si>
    <t>329831-590</t>
  </si>
  <si>
    <t>1262.31</t>
  </si>
  <si>
    <t>014-201-032-000</t>
  </si>
  <si>
    <t>329828-590</t>
  </si>
  <si>
    <t>2143.16</t>
  </si>
  <si>
    <t>PLACER COUNTY</t>
  </si>
  <si>
    <t>040310000</t>
  </si>
  <si>
    <t>042-202-029-000</t>
  </si>
  <si>
    <t>324814-550</t>
  </si>
  <si>
    <t>3109.58</t>
  </si>
  <si>
    <t>05/13/2020</t>
  </si>
  <si>
    <t>048-201-027-000</t>
  </si>
  <si>
    <t>323985-538</t>
  </si>
  <si>
    <t>1344.39</t>
  </si>
  <si>
    <t>SAN FRANCISCO COUNTY</t>
  </si>
  <si>
    <t>040380000</t>
  </si>
  <si>
    <t>1883 -011</t>
  </si>
  <si>
    <t>315609-444</t>
  </si>
  <si>
    <t>5666.27</t>
  </si>
  <si>
    <t>3640 -027A</t>
  </si>
  <si>
    <t>324921-550</t>
  </si>
  <si>
    <t>3822.19</t>
  </si>
  <si>
    <t>4720 -106</t>
  </si>
  <si>
    <t>327198-572</t>
  </si>
  <si>
    <t>3087.00</t>
  </si>
  <si>
    <t>6463 -056A</t>
  </si>
  <si>
    <t>324720-550</t>
  </si>
  <si>
    <t>3427.94</t>
  </si>
  <si>
    <t>6998 -024</t>
  </si>
  <si>
    <t>327190-572</t>
  </si>
  <si>
    <t>15240.46</t>
  </si>
  <si>
    <t>SANTA BARBARA COUNTY</t>
  </si>
  <si>
    <t>040420000</t>
  </si>
  <si>
    <t>003-551-004</t>
  </si>
  <si>
    <t>323732-538</t>
  </si>
  <si>
    <t>2987.34</t>
  </si>
  <si>
    <t>05/07/2020</t>
  </si>
  <si>
    <t>107-420-036</t>
  </si>
  <si>
    <t>313564-421</t>
  </si>
  <si>
    <t>2753.69</t>
  </si>
  <si>
    <t>117-392-003</t>
  </si>
  <si>
    <t>324645-550</t>
  </si>
  <si>
    <t>1363.16</t>
  </si>
  <si>
    <t>117-831-031</t>
  </si>
  <si>
    <t>323760-538</t>
  </si>
  <si>
    <t>1642.85</t>
  </si>
  <si>
    <t>118-001-024</t>
  </si>
  <si>
    <t>323759-538</t>
  </si>
  <si>
    <t>2202.64</t>
  </si>
  <si>
    <t>128-008-058</t>
  </si>
  <si>
    <t>323755-538</t>
  </si>
  <si>
    <t>2111.42</t>
  </si>
  <si>
    <t>128-079-080</t>
  </si>
  <si>
    <t>328916-584</t>
  </si>
  <si>
    <t>1908.47</t>
  </si>
  <si>
    <t>SHASTA COUNTY</t>
  </si>
  <si>
    <t>040450000</t>
  </si>
  <si>
    <t>077-300-039-000</t>
  </si>
  <si>
    <t>317727-481</t>
  </si>
  <si>
    <t>2592.15</t>
  </si>
  <si>
    <t>204-600-021-000</t>
  </si>
  <si>
    <t>326525-555</t>
  </si>
  <si>
    <t>2334.58</t>
  </si>
  <si>
    <t>MARION COUNTY</t>
  </si>
  <si>
    <t>090420000</t>
  </si>
  <si>
    <t>R3581-005-014</t>
  </si>
  <si>
    <t>322531-537</t>
  </si>
  <si>
    <t>1406.12</t>
  </si>
  <si>
    <t>R36159-000-00</t>
  </si>
  <si>
    <t>328508-584</t>
  </si>
  <si>
    <t>847.53</t>
  </si>
  <si>
    <t>R9023-0477-07</t>
  </si>
  <si>
    <t>314562-432</t>
  </si>
  <si>
    <t>855.02</t>
  </si>
  <si>
    <t>VOLUSIA COUNTY</t>
  </si>
  <si>
    <t>090640000</t>
  </si>
  <si>
    <t>4210-10-00-0010</t>
  </si>
  <si>
    <t>317866-482</t>
  </si>
  <si>
    <t>16041.42</t>
  </si>
  <si>
    <t>4242-19-23-0210</t>
  </si>
  <si>
    <t>328355-584</t>
  </si>
  <si>
    <t>274.76</t>
  </si>
  <si>
    <t>HARRIS COUNTY MUD 118</t>
  </si>
  <si>
    <t>421010908</t>
  </si>
  <si>
    <t>1144470160004</t>
  </si>
  <si>
    <t>311162-368</t>
  </si>
  <si>
    <t>994.78</t>
  </si>
  <si>
    <t>05/20/2020</t>
  </si>
  <si>
    <t>888.80</t>
  </si>
  <si>
    <t>687.49</t>
  </si>
  <si>
    <t>643.59</t>
  </si>
  <si>
    <t>618.92</t>
  </si>
  <si>
    <t>596.14</t>
  </si>
  <si>
    <t>639.76</t>
  </si>
  <si>
    <t>608.42</t>
  </si>
  <si>
    <t>577.99</t>
  </si>
  <si>
    <t>610.35</t>
  </si>
  <si>
    <t>594.50</t>
  </si>
  <si>
    <t>616.20</t>
  </si>
  <si>
    <t>HARRIS COUNTY MUD 248</t>
  </si>
  <si>
    <t>421015946</t>
  </si>
  <si>
    <t>60-120-397-003-0001</t>
  </si>
  <si>
    <t>307610-046</t>
  </si>
  <si>
    <t>943.34</t>
  </si>
  <si>
    <t>MEDINA COUNTY</t>
  </si>
  <si>
    <t>421630000</t>
  </si>
  <si>
    <t>R69659</t>
  </si>
  <si>
    <t>317892-482</t>
  </si>
  <si>
    <t>790.03</t>
  </si>
  <si>
    <t>05/03/2020</t>
  </si>
  <si>
    <t>ADAMS COUNTY TAX CLAIM BUREAU</t>
  </si>
  <si>
    <t>370014000</t>
  </si>
  <si>
    <t>04-L11-0028---000</t>
  </si>
  <si>
    <t>329211-590</t>
  </si>
  <si>
    <t>3032.91</t>
  </si>
  <si>
    <t>05/14/2020</t>
  </si>
  <si>
    <t>3979.46</t>
  </si>
  <si>
    <t>BUTLER COUNTY TAX CLAIM BUREAU</t>
  </si>
  <si>
    <t>370104000</t>
  </si>
  <si>
    <t>100-1F161- 12DA-0000</t>
  </si>
  <si>
    <t>319869-500</t>
  </si>
  <si>
    <t>3228.65</t>
  </si>
  <si>
    <t>4999.04</t>
  </si>
  <si>
    <t>CARBON COUNTY TAX CLAIM BUREAU</t>
  </si>
  <si>
    <t>370134000</t>
  </si>
  <si>
    <t>040-71A-9-103.07</t>
  </si>
  <si>
    <t>321336-527</t>
  </si>
  <si>
    <t>139.73</t>
  </si>
  <si>
    <t>220-102B-58-A1D</t>
  </si>
  <si>
    <t>307004-045</t>
  </si>
  <si>
    <t>243.29</t>
  </si>
  <si>
    <t>FULTON COUNTY TAX CLAIM BUREAU</t>
  </si>
  <si>
    <t>370294000</t>
  </si>
  <si>
    <t>03-06-034</t>
  </si>
  <si>
    <t>320156-509</t>
  </si>
  <si>
    <t>3177.93</t>
  </si>
  <si>
    <t>3231.24</t>
  </si>
  <si>
    <t>CARSON CITY COUNTY</t>
  </si>
  <si>
    <t>270130000</t>
  </si>
  <si>
    <t>008-801-08</t>
  </si>
  <si>
    <t>324678-550</t>
  </si>
  <si>
    <t>661.16</t>
  </si>
  <si>
    <t>05/01/2020</t>
  </si>
  <si>
    <t>COMANCHE COUNTY</t>
  </si>
  <si>
    <t>350160000</t>
  </si>
  <si>
    <t>0033317</t>
  </si>
  <si>
    <t>328709-584</t>
  </si>
  <si>
    <t>2759.00</t>
  </si>
  <si>
    <t>05/04/2020</t>
  </si>
  <si>
    <t>GRADY COUNTY</t>
  </si>
  <si>
    <t>350260000</t>
  </si>
  <si>
    <t>00003406N07W403100</t>
  </si>
  <si>
    <t>324198-539</t>
  </si>
  <si>
    <t>921.00</t>
  </si>
  <si>
    <t>MAYES COUNTY</t>
  </si>
  <si>
    <t>350490000</t>
  </si>
  <si>
    <t>0012864</t>
  </si>
  <si>
    <t>318884-494</t>
  </si>
  <si>
    <t>754.00</t>
  </si>
  <si>
    <t>764.00</t>
  </si>
  <si>
    <t>MUSKOGEE COUNTY</t>
  </si>
  <si>
    <t>350510000</t>
  </si>
  <si>
    <t>0003 0029 22</t>
  </si>
  <si>
    <t>328714-584</t>
  </si>
  <si>
    <t>630.00</t>
  </si>
  <si>
    <t>OKLAHOMA COUNTY</t>
  </si>
  <si>
    <t>350550000</t>
  </si>
  <si>
    <t>12-166-1630</t>
  </si>
  <si>
    <t>328707-584</t>
  </si>
  <si>
    <t>5602.52</t>
  </si>
  <si>
    <t>18-302-1150</t>
  </si>
  <si>
    <t>328705-584</t>
  </si>
  <si>
    <t>7539.23</t>
  </si>
  <si>
    <t>ROGERS COUNTY</t>
  </si>
  <si>
    <t>350660000</t>
  </si>
  <si>
    <t>0052011</t>
  </si>
  <si>
    <t>318396-493</t>
  </si>
  <si>
    <t>1824.00</t>
  </si>
  <si>
    <t>1912.00</t>
  </si>
  <si>
    <t>1951.00</t>
  </si>
  <si>
    <t>TULSA COUNTY</t>
  </si>
  <si>
    <t>350720000</t>
  </si>
  <si>
    <t>05075-93-24-08590</t>
  </si>
  <si>
    <t>328713-584</t>
  </si>
  <si>
    <t>1679.04</t>
  </si>
  <si>
    <t>05/05/2020</t>
  </si>
  <si>
    <t>21825-03-17-02110</t>
  </si>
  <si>
    <t>318397-493</t>
  </si>
  <si>
    <t>534.24</t>
  </si>
  <si>
    <t>38775-92-25-09720</t>
  </si>
  <si>
    <t>328711-584</t>
  </si>
  <si>
    <t>1621.80</t>
  </si>
  <si>
    <t>44225-02-12-08770</t>
  </si>
  <si>
    <t>310812-364</t>
  </si>
  <si>
    <t>392.21</t>
  </si>
  <si>
    <t>321.18</t>
  </si>
  <si>
    <t>71050-83-21-55220</t>
  </si>
  <si>
    <t>324770-550</t>
  </si>
  <si>
    <t>7476.18</t>
  </si>
  <si>
    <t>HIGHLANDS COUNTY</t>
  </si>
  <si>
    <t>090280000</t>
  </si>
  <si>
    <t>C013328-05000800050</t>
  </si>
  <si>
    <t>328469-584</t>
  </si>
  <si>
    <t>109.82</t>
  </si>
  <si>
    <t>C093328-01100700000</t>
  </si>
  <si>
    <t>328468-584</t>
  </si>
  <si>
    <t>6642.36</t>
  </si>
  <si>
    <t>C103428-06000015780</t>
  </si>
  <si>
    <t>328471-584</t>
  </si>
  <si>
    <t>776.11</t>
  </si>
  <si>
    <t>C193328-07003300060</t>
  </si>
  <si>
    <t>322517-537</t>
  </si>
  <si>
    <t>1416.04</t>
  </si>
  <si>
    <t>LEE COUNTY</t>
  </si>
  <si>
    <t>090360000</t>
  </si>
  <si>
    <t>03-44-23-C1-02875.0150</t>
  </si>
  <si>
    <t>328487-584</t>
  </si>
  <si>
    <t>496.89</t>
  </si>
  <si>
    <t>06-45-24-C2-00503.0210</t>
  </si>
  <si>
    <t>315436-444</t>
  </si>
  <si>
    <t>1468.46</t>
  </si>
  <si>
    <t>1541.98</t>
  </si>
  <si>
    <t>08-44-25-P4-01904.0220</t>
  </si>
  <si>
    <t>325806-555</t>
  </si>
  <si>
    <t>1478.68</t>
  </si>
  <si>
    <t>14-43-26-00-00003.0180</t>
  </si>
  <si>
    <t>328478-584</t>
  </si>
  <si>
    <t>3875.73</t>
  </si>
  <si>
    <t>18-44-23-C1-05309.0390</t>
  </si>
  <si>
    <t>328485-584</t>
  </si>
  <si>
    <t>3305.58</t>
  </si>
  <si>
    <t>18-44-23-C2-05342.0010</t>
  </si>
  <si>
    <t>328486-584</t>
  </si>
  <si>
    <t>4713.00</t>
  </si>
  <si>
    <t>34-46-25-E4-13000.0180</t>
  </si>
  <si>
    <t>328479-584</t>
  </si>
  <si>
    <t>5492.64</t>
  </si>
  <si>
    <t>LEON COUNTY</t>
  </si>
  <si>
    <t>090370000</t>
  </si>
  <si>
    <t>11-19-05-000-039-0</t>
  </si>
  <si>
    <t>325032-552</t>
  </si>
  <si>
    <t>8022.31</t>
  </si>
  <si>
    <t>NASSAU COUNTY</t>
  </si>
  <si>
    <t>090450000</t>
  </si>
  <si>
    <t>41-3N-28-1250-0051-0000</t>
  </si>
  <si>
    <t>325679-555</t>
  </si>
  <si>
    <t>759.29</t>
  </si>
  <si>
    <t>POLK COUNTY</t>
  </si>
  <si>
    <t>090530000</t>
  </si>
  <si>
    <t>062924277740000260</t>
  </si>
  <si>
    <t>328466-584</t>
  </si>
  <si>
    <t>3742.01</t>
  </si>
  <si>
    <t>102824177600005180</t>
  </si>
  <si>
    <t>314052-429</t>
  </si>
  <si>
    <t>1519.25</t>
  </si>
  <si>
    <t>252526999985003190</t>
  </si>
  <si>
    <t>303369-034</t>
  </si>
  <si>
    <t>2195.65</t>
  </si>
  <si>
    <t>2461.90</t>
  </si>
  <si>
    <t>282926000000043060</t>
  </si>
  <si>
    <t>322518-537</t>
  </si>
  <si>
    <t>1076.54</t>
  </si>
  <si>
    <t>1010.18</t>
  </si>
  <si>
    <t>633.02</t>
  </si>
  <si>
    <t>631.18</t>
  </si>
  <si>
    <t>641.38</t>
  </si>
  <si>
    <t>706.02</t>
  </si>
  <si>
    <t>741.74</t>
  </si>
  <si>
    <t>731.04</t>
  </si>
  <si>
    <t>741.50</t>
  </si>
  <si>
    <t>1188.59</t>
  </si>
  <si>
    <t>SANTA ROSA COUNTY</t>
  </si>
  <si>
    <t>090570000</t>
  </si>
  <si>
    <t>16-2S-26-1653-00H00-0340</t>
  </si>
  <si>
    <t>312032-394</t>
  </si>
  <si>
    <t>1177.59</t>
  </si>
  <si>
    <t>SEMINOLE COUNTY</t>
  </si>
  <si>
    <t>090590000</t>
  </si>
  <si>
    <t>13-21-31-5NW-0000-2230</t>
  </si>
  <si>
    <t>316095-460</t>
  </si>
  <si>
    <t>1765.82</t>
  </si>
  <si>
    <t>17-21-29-509-0C00-0060</t>
  </si>
  <si>
    <t>312361-410</t>
  </si>
  <si>
    <t>2283.29</t>
  </si>
  <si>
    <t>18-21-29-522-0C00-0130</t>
  </si>
  <si>
    <t>322387-537</t>
  </si>
  <si>
    <t>1101.69</t>
  </si>
  <si>
    <t>20-19-30-519-0000-7100</t>
  </si>
  <si>
    <t>316377-461</t>
  </si>
  <si>
    <t>4310.70</t>
  </si>
  <si>
    <t>21-20-30-518-0000-0460</t>
  </si>
  <si>
    <t>322392-537</t>
  </si>
  <si>
    <t>5038.58</t>
  </si>
  <si>
    <t>21-21-32-507-0000-0290</t>
  </si>
  <si>
    <t>309766-353</t>
  </si>
  <si>
    <t>3678.67</t>
  </si>
  <si>
    <t>3643.48</t>
  </si>
  <si>
    <t>22-21-30-501-0000-1540</t>
  </si>
  <si>
    <t>313987-429</t>
  </si>
  <si>
    <t>618.32</t>
  </si>
  <si>
    <t>22-21-31-5HM-0000-0390</t>
  </si>
  <si>
    <t>307300-045</t>
  </si>
  <si>
    <t>1266.38</t>
  </si>
  <si>
    <t>23-21-29-509-0000-0850</t>
  </si>
  <si>
    <t>313057-412</t>
  </si>
  <si>
    <t>2245.29</t>
  </si>
  <si>
    <t>24-20-29-501-0000-1570</t>
  </si>
  <si>
    <t>322395-537</t>
  </si>
  <si>
    <t>2651.78</t>
  </si>
  <si>
    <t>24-20-30-501-0000-0060</t>
  </si>
  <si>
    <t>309751-353</t>
  </si>
  <si>
    <t>2981.37</t>
  </si>
  <si>
    <t>28-21-31-503-0000-0360</t>
  </si>
  <si>
    <t>316893-466</t>
  </si>
  <si>
    <t>3054.16</t>
  </si>
  <si>
    <t>31-19-31-505-0000-0520</t>
  </si>
  <si>
    <t>322394-537</t>
  </si>
  <si>
    <t>533.67</t>
  </si>
  <si>
    <t>32-20-30-510-0A00-0030</t>
  </si>
  <si>
    <t>322393-537</t>
  </si>
  <si>
    <t>947.05</t>
  </si>
  <si>
    <t>35-21-30-516-0C00-0110</t>
  </si>
  <si>
    <t>316739-465</t>
  </si>
  <si>
    <t>1036.23</t>
  </si>
  <si>
    <t>2716.51</t>
  </si>
  <si>
    <t>ST. LUCIE COUNTY</t>
  </si>
  <si>
    <t>090560000</t>
  </si>
  <si>
    <t>1301-607-0072-000/5</t>
  </si>
  <si>
    <t>311942-393</t>
  </si>
  <si>
    <t>974.88</t>
  </si>
  <si>
    <t>1433-701-0248-000/5</t>
  </si>
  <si>
    <t>328522-584</t>
  </si>
  <si>
    <t>1824.60</t>
  </si>
  <si>
    <t>3420-515-0133-000/1</t>
  </si>
  <si>
    <t>309637-348</t>
  </si>
  <si>
    <t>1033.97</t>
  </si>
  <si>
    <t>1044.07</t>
  </si>
  <si>
    <t>3420-670-0863-000/5</t>
  </si>
  <si>
    <t>RB18038</t>
  </si>
  <si>
    <t>5291.56</t>
  </si>
  <si>
    <t>4502-703-0081-000/2</t>
  </si>
  <si>
    <t>321877-536</t>
  </si>
  <si>
    <t>6096.34</t>
  </si>
  <si>
    <t>ALAMEDA COUNTY</t>
  </si>
  <si>
    <t>040010000</t>
  </si>
  <si>
    <t>004 -0007-043-00</t>
  </si>
  <si>
    <t>315616-444</t>
  </si>
  <si>
    <t>2461.33</t>
  </si>
  <si>
    <t>05/08/2020</t>
  </si>
  <si>
    <t>007 -0611-009-02</t>
  </si>
  <si>
    <t>323888-538</t>
  </si>
  <si>
    <t>2758.73</t>
  </si>
  <si>
    <t>013 -1167-041-00</t>
  </si>
  <si>
    <t>323889-538</t>
  </si>
  <si>
    <t>4439.01</t>
  </si>
  <si>
    <t>028 -0916-090-00</t>
  </si>
  <si>
    <t>326489-555</t>
  </si>
  <si>
    <t>1861.98</t>
  </si>
  <si>
    <t>030 -1914-024-00</t>
  </si>
  <si>
    <t>327197-572</t>
  </si>
  <si>
    <t>2573.60</t>
  </si>
  <si>
    <t>035 -2396-018-00</t>
  </si>
  <si>
    <t>327239-572</t>
  </si>
  <si>
    <t>2407.79</t>
  </si>
  <si>
    <t>038 -3213-030-00</t>
  </si>
  <si>
    <t>329857-590</t>
  </si>
  <si>
    <t>2368.65</t>
  </si>
  <si>
    <t>040 -3404-039-00</t>
  </si>
  <si>
    <t>324871-550</t>
  </si>
  <si>
    <t>1614.26</t>
  </si>
  <si>
    <t>040A-3413-007-00</t>
  </si>
  <si>
    <t>327267-572</t>
  </si>
  <si>
    <t>4974.31</t>
  </si>
  <si>
    <t>040A-3452-024-00</t>
  </si>
  <si>
    <t>309594-347</t>
  </si>
  <si>
    <t>2138.51</t>
  </si>
  <si>
    <t>045 -5292-032-00</t>
  </si>
  <si>
    <t>324903-550</t>
  </si>
  <si>
    <t>4147.83</t>
  </si>
  <si>
    <t>046 -5475-024-00</t>
  </si>
  <si>
    <t>319079-494</t>
  </si>
  <si>
    <t>915.25</t>
  </si>
  <si>
    <t>048 -5606-032-00</t>
  </si>
  <si>
    <t>327105-572</t>
  </si>
  <si>
    <t>2245.69</t>
  </si>
  <si>
    <t>053 -1686-002-00</t>
  </si>
  <si>
    <t>324723-550</t>
  </si>
  <si>
    <t>5188.19</t>
  </si>
  <si>
    <t>058 -2195-018-00</t>
  </si>
  <si>
    <t>327151-572</t>
  </si>
  <si>
    <t>5868.23</t>
  </si>
  <si>
    <t>077 -0629-002-00</t>
  </si>
  <si>
    <t>324738-550</t>
  </si>
  <si>
    <t>2128.00</t>
  </si>
  <si>
    <t>080A-0233-004-01</t>
  </si>
  <si>
    <t>328933-584</t>
  </si>
  <si>
    <t>5221.91</t>
  </si>
  <si>
    <t>080B-0311-011-00</t>
  </si>
  <si>
    <t>315153-434</t>
  </si>
  <si>
    <t>3284.80</t>
  </si>
  <si>
    <t>094 -0205-081-00</t>
  </si>
  <si>
    <t>321764-535</t>
  </si>
  <si>
    <t>5425.22</t>
  </si>
  <si>
    <t>099 -0027-101-00</t>
  </si>
  <si>
    <t>324824-550</t>
  </si>
  <si>
    <t>1859.33</t>
  </si>
  <si>
    <t>099B-5208-026-00</t>
  </si>
  <si>
    <t>316637-461</t>
  </si>
  <si>
    <t>1708.01</t>
  </si>
  <si>
    <t>099B-5353-046-00</t>
  </si>
  <si>
    <t>323845-538</t>
  </si>
  <si>
    <t>3883.19</t>
  </si>
  <si>
    <t>425 -0450-001-00</t>
  </si>
  <si>
    <t>323833-538</t>
  </si>
  <si>
    <t>3846.10</t>
  </si>
  <si>
    <t>426 -0100-115-00</t>
  </si>
  <si>
    <t>318508-493</t>
  </si>
  <si>
    <t>3175.18</t>
  </si>
  <si>
    <t>444 -0045-024-00</t>
  </si>
  <si>
    <t>310501-362</t>
  </si>
  <si>
    <t>1505.36</t>
  </si>
  <si>
    <t>444 -0045-045-00</t>
  </si>
  <si>
    <t>324832-550</t>
  </si>
  <si>
    <t>2544.57</t>
  </si>
  <si>
    <t>445 -0290-018-00</t>
  </si>
  <si>
    <t>323832-538</t>
  </si>
  <si>
    <t>1923.64</t>
  </si>
  <si>
    <t>463 -0101-041-00</t>
  </si>
  <si>
    <t>323872-538</t>
  </si>
  <si>
    <t>2181.71</t>
  </si>
  <si>
    <t>463 -0101-042-00</t>
  </si>
  <si>
    <t>1962.17</t>
  </si>
  <si>
    <t>464 -0010-065-00</t>
  </si>
  <si>
    <t>323834-538</t>
  </si>
  <si>
    <t>3297.42</t>
  </si>
  <si>
    <t>486 -0102-011-00</t>
  </si>
  <si>
    <t>315154-434</t>
  </si>
  <si>
    <t>5676.40</t>
  </si>
  <si>
    <t>946 -3378-087-00</t>
  </si>
  <si>
    <t>323858-538</t>
  </si>
  <si>
    <t>2897.83</t>
  </si>
  <si>
    <t>012 -0959-041-00</t>
  </si>
  <si>
    <t>321930-536</t>
  </si>
  <si>
    <t>2255.80</t>
  </si>
  <si>
    <t>3064.46</t>
  </si>
  <si>
    <t>2077.42</t>
  </si>
  <si>
    <t>2130.28</t>
  </si>
  <si>
    <t>2327.46</t>
  </si>
  <si>
    <t>2800.84</t>
  </si>
  <si>
    <t>3302.78</t>
  </si>
  <si>
    <t>3352.78</t>
  </si>
  <si>
    <t>3451.76</t>
  </si>
  <si>
    <t>3460.92</t>
  </si>
  <si>
    <t>1662.61</t>
  </si>
  <si>
    <t>AMADOR COUNTY</t>
  </si>
  <si>
    <t>040030000</t>
  </si>
  <si>
    <t>001-030-007-000</t>
  </si>
  <si>
    <t>330651-597</t>
  </si>
  <si>
    <t>BUTTE COUNTY</t>
  </si>
  <si>
    <t>040040000</t>
  </si>
  <si>
    <t>002-480-035-000</t>
  </si>
  <si>
    <t>316647-461</t>
  </si>
  <si>
    <t>1140.78</t>
  </si>
  <si>
    <t>007-240-066-000</t>
  </si>
  <si>
    <t>329900-590</t>
  </si>
  <si>
    <t>1184.47</t>
  </si>
  <si>
    <t>COLUSA COUNTY</t>
  </si>
  <si>
    <t>040060000</t>
  </si>
  <si>
    <t>005-134-002-000</t>
  </si>
  <si>
    <t>330656-597</t>
  </si>
  <si>
    <t>1051.30</t>
  </si>
  <si>
    <t>CONTRA COSTA COUNTY</t>
  </si>
  <si>
    <t>040070000</t>
  </si>
  <si>
    <t>410-253-014-6-00</t>
  </si>
  <si>
    <t>313015-411</t>
  </si>
  <si>
    <t>464.54</t>
  </si>
  <si>
    <t>6446.74</t>
  </si>
  <si>
    <t>4745.34</t>
  </si>
  <si>
    <t>4973.70</t>
  </si>
  <si>
    <t>540-320-003-2-00</t>
  </si>
  <si>
    <t>318512-493</t>
  </si>
  <si>
    <t>1353.95</t>
  </si>
  <si>
    <t>010-500-014-5-00</t>
  </si>
  <si>
    <t>323800-538</t>
  </si>
  <si>
    <t>4552.92</t>
  </si>
  <si>
    <t>012-182-010-4-00</t>
  </si>
  <si>
    <t>323799-538</t>
  </si>
  <si>
    <t>643.04</t>
  </si>
  <si>
    <t>017-630-007-7-00</t>
  </si>
  <si>
    <t>330620-597</t>
  </si>
  <si>
    <t>4839.01</t>
  </si>
  <si>
    <t>019-870-030-4-00</t>
  </si>
  <si>
    <t>317053-466</t>
  </si>
  <si>
    <t>5519.44</t>
  </si>
  <si>
    <t>055-030-035-4-00</t>
  </si>
  <si>
    <t>323817-538</t>
  </si>
  <si>
    <t>2051.58</t>
  </si>
  <si>
    <t>076-081-001-0-00</t>
  </si>
  <si>
    <t>327292-572</t>
  </si>
  <si>
    <t>2339.17</t>
  </si>
  <si>
    <t>098-471-021-0-00</t>
  </si>
  <si>
    <t>324671-550</t>
  </si>
  <si>
    <t>2966.86</t>
  </si>
  <si>
    <t>114-044-002-3-00</t>
  </si>
  <si>
    <t>317911-482</t>
  </si>
  <si>
    <t>3513.21</t>
  </si>
  <si>
    <t>120-122-014-0-00</t>
  </si>
  <si>
    <t>317899-482</t>
  </si>
  <si>
    <t>3612.59</t>
  </si>
  <si>
    <t>121-380-027-7-00</t>
  </si>
  <si>
    <t>323807-538</t>
  </si>
  <si>
    <t>6306.49</t>
  </si>
  <si>
    <t>128-171-014-3-00</t>
  </si>
  <si>
    <t>323806-538</t>
  </si>
  <si>
    <t>1707.60</t>
  </si>
  <si>
    <t>128-400-008-8-00</t>
  </si>
  <si>
    <t>323198-537</t>
  </si>
  <si>
    <t>1925.83</t>
  </si>
  <si>
    <t>147-304-021-8-00</t>
  </si>
  <si>
    <t>323802-538</t>
  </si>
  <si>
    <t>4813.86</t>
  </si>
  <si>
    <t>173-021-012-5-00</t>
  </si>
  <si>
    <t>323879-538</t>
  </si>
  <si>
    <t>4775.41</t>
  </si>
  <si>
    <t>192-071-020-7-00</t>
  </si>
  <si>
    <t>323796-538</t>
  </si>
  <si>
    <t>666.19</t>
  </si>
  <si>
    <t>207-221-056-6-00</t>
  </si>
  <si>
    <t>323811-538</t>
  </si>
  <si>
    <t>3458.26</t>
  </si>
  <si>
    <t>207-381-003-4-00</t>
  </si>
  <si>
    <t>330621-597</t>
  </si>
  <si>
    <t>3414.70</t>
  </si>
  <si>
    <t>208-521-074-4-00</t>
  </si>
  <si>
    <t>329850-590</t>
  </si>
  <si>
    <t>3339.32</t>
  </si>
  <si>
    <t>212-162-022-9-00</t>
  </si>
  <si>
    <t>323866-538</t>
  </si>
  <si>
    <t>1423.95</t>
  </si>
  <si>
    <t>212-172-010-2-00</t>
  </si>
  <si>
    <t>327028-571</t>
  </si>
  <si>
    <t>5942.92</t>
  </si>
  <si>
    <t>376-102-009-2-00</t>
  </si>
  <si>
    <t>327146-572</t>
  </si>
  <si>
    <t>2360.28</t>
  </si>
  <si>
    <t>403-471-006-3-00</t>
  </si>
  <si>
    <t>323221-537</t>
  </si>
  <si>
    <t>1288.43</t>
  </si>
  <si>
    <t>406-243-006-3-00</t>
  </si>
  <si>
    <t>324604-550</t>
  </si>
  <si>
    <t>2448.33</t>
  </si>
  <si>
    <t>2629.29</t>
  </si>
  <si>
    <t>411-312-006-9-00</t>
  </si>
  <si>
    <t>323899-538</t>
  </si>
  <si>
    <t>2781.23</t>
  </si>
  <si>
    <t>500-091-007-4-00</t>
  </si>
  <si>
    <t>324945-550</t>
  </si>
  <si>
    <t>6654.57</t>
  </si>
  <si>
    <t>516-110-004-4-00</t>
  </si>
  <si>
    <t>323897-538</t>
  </si>
  <si>
    <t>5201.18</t>
  </si>
  <si>
    <t>516-140-016-2-00</t>
  </si>
  <si>
    <t>323896-538</t>
  </si>
  <si>
    <t>2044.66</t>
  </si>
  <si>
    <t>540-210-023-3-00</t>
  </si>
  <si>
    <t>325088-552</t>
  </si>
  <si>
    <t>5266.01</t>
  </si>
  <si>
    <t>1327.47</t>
  </si>
  <si>
    <t>DEL NORTE COUNTY</t>
  </si>
  <si>
    <t>040080000</t>
  </si>
  <si>
    <t>120-181-009-000</t>
  </si>
  <si>
    <t>328953-584</t>
  </si>
  <si>
    <t>246.98</t>
  </si>
  <si>
    <t>486.10</t>
  </si>
  <si>
    <t>FRESNO COUNTY</t>
  </si>
  <si>
    <t>040100000</t>
  </si>
  <si>
    <t>355-272-02</t>
  </si>
  <si>
    <t>320321-509</t>
  </si>
  <si>
    <t>873.82</t>
  </si>
  <si>
    <t>451.03</t>
  </si>
  <si>
    <t>408-033-07</t>
  </si>
  <si>
    <t>318503-493</t>
  </si>
  <si>
    <t>307.63</t>
  </si>
  <si>
    <t>443-333-10</t>
  </si>
  <si>
    <t>318502-493</t>
  </si>
  <si>
    <t>202.37</t>
  </si>
  <si>
    <t>445-112-16</t>
  </si>
  <si>
    <t>319567-496</t>
  </si>
  <si>
    <t>687.28</t>
  </si>
  <si>
    <t>700.90</t>
  </si>
  <si>
    <t>312-581-09S</t>
  </si>
  <si>
    <t>329835-590</t>
  </si>
  <si>
    <t>944.00</t>
  </si>
  <si>
    <t>322-144-10</t>
  </si>
  <si>
    <t>314441-429</t>
  </si>
  <si>
    <t>540.23</t>
  </si>
  <si>
    <t>343-251-12</t>
  </si>
  <si>
    <t>328919-584</t>
  </si>
  <si>
    <t>330.79</t>
  </si>
  <si>
    <t>474.54</t>
  </si>
  <si>
    <t>390-052-03</t>
  </si>
  <si>
    <t>323179-537</t>
  </si>
  <si>
    <t>515.92</t>
  </si>
  <si>
    <t>406-691-04</t>
  </si>
  <si>
    <t>323763-538</t>
  </si>
  <si>
    <t>2535.18</t>
  </si>
  <si>
    <t>407-450-44</t>
  </si>
  <si>
    <t>323764-538</t>
  </si>
  <si>
    <t>2349.25</t>
  </si>
  <si>
    <t>321.36</t>
  </si>
  <si>
    <t>427-284-11</t>
  </si>
  <si>
    <t>328921-584</t>
  </si>
  <si>
    <t>391.02</t>
  </si>
  <si>
    <t>430-234-26</t>
  </si>
  <si>
    <t>327191-572</t>
  </si>
  <si>
    <t>589.49</t>
  </si>
  <si>
    <t>430-381-16</t>
  </si>
  <si>
    <t>316941-466</t>
  </si>
  <si>
    <t>1217.43</t>
  </si>
  <si>
    <t>434-271-39</t>
  </si>
  <si>
    <t>329833-590</t>
  </si>
  <si>
    <t>293.49</t>
  </si>
  <si>
    <t>206.76</t>
  </si>
  <si>
    <t>455-194-13</t>
  </si>
  <si>
    <t>313268-033</t>
  </si>
  <si>
    <t>852.10</t>
  </si>
  <si>
    <t>468-430-18</t>
  </si>
  <si>
    <t>327101-572</t>
  </si>
  <si>
    <t>857.84</t>
  </si>
  <si>
    <t>497-160-34</t>
  </si>
  <si>
    <t>315603-444</t>
  </si>
  <si>
    <t>62.59</t>
  </si>
  <si>
    <t>497-192-36</t>
  </si>
  <si>
    <t>330610-597</t>
  </si>
  <si>
    <t>342.92</t>
  </si>
  <si>
    <t>552-090-15</t>
  </si>
  <si>
    <t>326461-555</t>
  </si>
  <si>
    <t>1849.91</t>
  </si>
  <si>
    <t>GLENN COUNTY</t>
  </si>
  <si>
    <t>040110000</t>
  </si>
  <si>
    <t>005-150-008-000</t>
  </si>
  <si>
    <t>323257-537</t>
  </si>
  <si>
    <t>1083.78</t>
  </si>
  <si>
    <t>HUMBOLDT COUNTY</t>
  </si>
  <si>
    <t>040120000</t>
  </si>
  <si>
    <t>221-181-013-000</t>
  </si>
  <si>
    <t>317040-466</t>
  </si>
  <si>
    <t>3997.47</t>
  </si>
  <si>
    <t>05/12/2020</t>
  </si>
  <si>
    <t>526-071-028-000</t>
  </si>
  <si>
    <t>328954-584</t>
  </si>
  <si>
    <t>194.66</t>
  </si>
  <si>
    <t>290.56</t>
  </si>
  <si>
    <t>295.48</t>
  </si>
  <si>
    <t>301.68</t>
  </si>
  <si>
    <t>332.70</t>
  </si>
  <si>
    <t>320.86</t>
  </si>
  <si>
    <t>326.32</t>
  </si>
  <si>
    <t>332.84</t>
  </si>
  <si>
    <t>333.08</t>
  </si>
  <si>
    <t>334.62</t>
  </si>
  <si>
    <t>336.80</t>
  </si>
  <si>
    <t>344.86</t>
  </si>
  <si>
    <t>396.20</t>
  </si>
  <si>
    <t>KINGS COUNTY</t>
  </si>
  <si>
    <t>040160000</t>
  </si>
  <si>
    <t>014-600-001-000</t>
  </si>
  <si>
    <t>329812-590</t>
  </si>
  <si>
    <t>1239.95</t>
  </si>
  <si>
    <t>034-150-020-000</t>
  </si>
  <si>
    <t>RC19003</t>
  </si>
  <si>
    <t>1920.11</t>
  </si>
  <si>
    <t>LAKE COUNTY</t>
  </si>
  <si>
    <t>040170000</t>
  </si>
  <si>
    <t>044-241-050-000</t>
  </si>
  <si>
    <t>330644-597</t>
  </si>
  <si>
    <t>965.43</t>
  </si>
  <si>
    <t>LASSEN COUNTY</t>
  </si>
  <si>
    <t>040180000</t>
  </si>
  <si>
    <t>001-130-55-11</t>
  </si>
  <si>
    <t>330657-597</t>
  </si>
  <si>
    <t>542.27</t>
  </si>
  <si>
    <t>LOS ANGELES COUNTY</t>
  </si>
  <si>
    <t>040190000</t>
  </si>
  <si>
    <t>2046-017-009</t>
  </si>
  <si>
    <t>327256-572</t>
  </si>
  <si>
    <t>5989.02</t>
  </si>
  <si>
    <t>05/06/2020</t>
  </si>
  <si>
    <t>2171-008-008</t>
  </si>
  <si>
    <t>314399-429</t>
  </si>
  <si>
    <t>6093.95</t>
  </si>
  <si>
    <t>2346-002-108</t>
  </si>
  <si>
    <t>321759-535</t>
  </si>
  <si>
    <t>2294.64</t>
  </si>
  <si>
    <t>2536-025-002</t>
  </si>
  <si>
    <t>AJ2037</t>
  </si>
  <si>
    <t>7414.37</t>
  </si>
  <si>
    <t>2627-005-032</t>
  </si>
  <si>
    <t>308860-326</t>
  </si>
  <si>
    <t>1487.03</t>
  </si>
  <si>
    <t>2810-017-021</t>
  </si>
  <si>
    <t>318000-482</t>
  </si>
  <si>
    <t>4359.09</t>
  </si>
  <si>
    <t>2811-032-029</t>
  </si>
  <si>
    <t>317958-482</t>
  </si>
  <si>
    <t>3428.27</t>
  </si>
  <si>
    <t>3020-038-054</t>
  </si>
  <si>
    <t>326460-555</t>
  </si>
  <si>
    <t>75.45</t>
  </si>
  <si>
    <t>76.76</t>
  </si>
  <si>
    <t>4339-019-037</t>
  </si>
  <si>
    <t>318460-493</t>
  </si>
  <si>
    <t>1576.82</t>
  </si>
  <si>
    <t>3215.38</t>
  </si>
  <si>
    <t>5014-015-002</t>
  </si>
  <si>
    <t>320282-509</t>
  </si>
  <si>
    <t>6342.13</t>
  </si>
  <si>
    <t>5084-024-033</t>
  </si>
  <si>
    <t>308934-331</t>
  </si>
  <si>
    <t>8123.17</t>
  </si>
  <si>
    <t>16487.47</t>
  </si>
  <si>
    <t>16877.76</t>
  </si>
  <si>
    <t>16454.19</t>
  </si>
  <si>
    <t>5247-025-023</t>
  </si>
  <si>
    <t>311523-377</t>
  </si>
  <si>
    <t>3100.77</t>
  </si>
  <si>
    <t>3170.16</t>
  </si>
  <si>
    <t>3228.27</t>
  </si>
  <si>
    <t>5309-008-025</t>
  </si>
  <si>
    <t>316894-466</t>
  </si>
  <si>
    <t>48.24</t>
  </si>
  <si>
    <t>5419-013-015</t>
  </si>
  <si>
    <t>312915-411</t>
  </si>
  <si>
    <t>1628.95</t>
  </si>
  <si>
    <t>5501-006-019</t>
  </si>
  <si>
    <t>321723-535</t>
  </si>
  <si>
    <t>2676.73</t>
  </si>
  <si>
    <t>5529-005-079</t>
  </si>
  <si>
    <t>310467-362</t>
  </si>
  <si>
    <t>8396.42</t>
  </si>
  <si>
    <t>8568.79</t>
  </si>
  <si>
    <t>6067-009-040</t>
  </si>
  <si>
    <t>320393-510</t>
  </si>
  <si>
    <t>2088.19</t>
  </si>
  <si>
    <t>6117-010-015</t>
  </si>
  <si>
    <t>317934-482</t>
  </si>
  <si>
    <t>1880.31</t>
  </si>
  <si>
    <t>6141-026-009</t>
  </si>
  <si>
    <t>312071-395</t>
  </si>
  <si>
    <t>931.52</t>
  </si>
  <si>
    <t>3393.11</t>
  </si>
  <si>
    <t>3485.55</t>
  </si>
  <si>
    <t>3588.55</t>
  </si>
  <si>
    <t>6270-013-011</t>
  </si>
  <si>
    <t>317360-481</t>
  </si>
  <si>
    <t>152.63</t>
  </si>
  <si>
    <t>1708.70</t>
  </si>
  <si>
    <t>6280-012-004</t>
  </si>
  <si>
    <t>313377-310</t>
  </si>
  <si>
    <t>3147.11</t>
  </si>
  <si>
    <t>7011-007-036</t>
  </si>
  <si>
    <t>310419-361</t>
  </si>
  <si>
    <t>48.14</t>
  </si>
  <si>
    <t>7080-003-031</t>
  </si>
  <si>
    <t>317333-481</t>
  </si>
  <si>
    <t>1415.28</t>
  </si>
  <si>
    <t>8061-022-021</t>
  </si>
  <si>
    <t>313352-045</t>
  </si>
  <si>
    <t>1511.19</t>
  </si>
  <si>
    <t>1579.48</t>
  </si>
  <si>
    <t>8457-011-012</t>
  </si>
  <si>
    <t>323099-537</t>
  </si>
  <si>
    <t>1515.79</t>
  </si>
  <si>
    <t>8713-030-014</t>
  </si>
  <si>
    <t>314680-433</t>
  </si>
  <si>
    <t>13613.57</t>
  </si>
  <si>
    <t>24623.96</t>
  </si>
  <si>
    <t>24739.11</t>
  </si>
  <si>
    <t>37314.47</t>
  </si>
  <si>
    <t>2031-002-074</t>
  </si>
  <si>
    <t>324952-550</t>
  </si>
  <si>
    <t>1629.74</t>
  </si>
  <si>
    <t>162.97</t>
  </si>
  <si>
    <t>3086.80</t>
  </si>
  <si>
    <t>2059-044-006</t>
  </si>
  <si>
    <t>326364-555</t>
  </si>
  <si>
    <t>5299.67</t>
  </si>
  <si>
    <t>5299.65</t>
  </si>
  <si>
    <t>2105-018-021</t>
  </si>
  <si>
    <t>326360-555</t>
  </si>
  <si>
    <t>3657.15</t>
  </si>
  <si>
    <t>3657.14</t>
  </si>
  <si>
    <t>2127-017-022</t>
  </si>
  <si>
    <t>329753-590</t>
  </si>
  <si>
    <t>718.54</t>
  </si>
  <si>
    <t>718.52</t>
  </si>
  <si>
    <t>2156-022-020</t>
  </si>
  <si>
    <t>324696-550</t>
  </si>
  <si>
    <t>1520.57</t>
  </si>
  <si>
    <t>1520.55</t>
  </si>
  <si>
    <t>3067.69</t>
  </si>
  <si>
    <t>3067.68</t>
  </si>
  <si>
    <t>2236-002-025</t>
  </si>
  <si>
    <t>314403-429</t>
  </si>
  <si>
    <t>3808.00</t>
  </si>
  <si>
    <t>3807.98</t>
  </si>
  <si>
    <t>2237-008-026</t>
  </si>
  <si>
    <t>315565-444</t>
  </si>
  <si>
    <t>1241.53</t>
  </si>
  <si>
    <t>1241.52</t>
  </si>
  <si>
    <t>2301-017-001</t>
  </si>
  <si>
    <t>324869-550</t>
  </si>
  <si>
    <t>2739.11</t>
  </si>
  <si>
    <t>273.91</t>
  </si>
  <si>
    <t>2301-022-016</t>
  </si>
  <si>
    <t>316599-461</t>
  </si>
  <si>
    <t>800.31</t>
  </si>
  <si>
    <t>800.30</t>
  </si>
  <si>
    <t>2304-015-032</t>
  </si>
  <si>
    <t>313298-038</t>
  </si>
  <si>
    <t>5216.35</t>
  </si>
  <si>
    <t>5216.34</t>
  </si>
  <si>
    <t>2327-019-029</t>
  </si>
  <si>
    <t>320061-500</t>
  </si>
  <si>
    <t>1221.83</t>
  </si>
  <si>
    <t>1221.82</t>
  </si>
  <si>
    <t>2303.50</t>
  </si>
  <si>
    <t>2303.49</t>
  </si>
  <si>
    <t>2408-010-009</t>
  </si>
  <si>
    <t>320058-500</t>
  </si>
  <si>
    <t>529.53</t>
  </si>
  <si>
    <t>529.51</t>
  </si>
  <si>
    <t>2410-018-005</t>
  </si>
  <si>
    <t>327127-572</t>
  </si>
  <si>
    <t>3187.13</t>
  </si>
  <si>
    <t>2459-009-018</t>
  </si>
  <si>
    <t>328861-584</t>
  </si>
  <si>
    <t>3352.52</t>
  </si>
  <si>
    <t>3352.51</t>
  </si>
  <si>
    <t>2459-017-007</t>
  </si>
  <si>
    <t>315567-444</t>
  </si>
  <si>
    <t>2793.56</t>
  </si>
  <si>
    <t>2468-005-076</t>
  </si>
  <si>
    <t>324948-550</t>
  </si>
  <si>
    <t>1104.56</t>
  </si>
  <si>
    <t>2473-001-008</t>
  </si>
  <si>
    <t>310655-363</t>
  </si>
  <si>
    <t>2047.96</t>
  </si>
  <si>
    <t>2047.94</t>
  </si>
  <si>
    <t>2511-005-010</t>
  </si>
  <si>
    <t>323504-538</t>
  </si>
  <si>
    <t>2145.60</t>
  </si>
  <si>
    <t>2145.59</t>
  </si>
  <si>
    <t>2513-008-043</t>
  </si>
  <si>
    <t>329755-590</t>
  </si>
  <si>
    <t>3265.68</t>
  </si>
  <si>
    <t>3265.67</t>
  </si>
  <si>
    <t>2525-025-063</t>
  </si>
  <si>
    <t>313173-415</t>
  </si>
  <si>
    <t>2594.97</t>
  </si>
  <si>
    <t>2530-036-006</t>
  </si>
  <si>
    <t>323506-538</t>
  </si>
  <si>
    <t>3287.63</t>
  </si>
  <si>
    <t>328.76</t>
  </si>
  <si>
    <t>746.13</t>
  </si>
  <si>
    <t>7461.22</t>
  </si>
  <si>
    <t>2571-011-067</t>
  </si>
  <si>
    <t>327438-572</t>
  </si>
  <si>
    <t>1703.92</t>
  </si>
  <si>
    <t>1703.90</t>
  </si>
  <si>
    <t>2647-005-026</t>
  </si>
  <si>
    <t>323511-538</t>
  </si>
  <si>
    <t>1414.58</t>
  </si>
  <si>
    <t>141.45</t>
  </si>
  <si>
    <t>2649-015-032</t>
  </si>
  <si>
    <t>323510-538</t>
  </si>
  <si>
    <t>3486.76</t>
  </si>
  <si>
    <t>3486.75</t>
  </si>
  <si>
    <t>2671-016-010</t>
  </si>
  <si>
    <t>323507-538</t>
  </si>
  <si>
    <t>2633.83</t>
  </si>
  <si>
    <t>2633.82</t>
  </si>
  <si>
    <t>2801-016-012</t>
  </si>
  <si>
    <t>315194-436</t>
  </si>
  <si>
    <t>3510.05</t>
  </si>
  <si>
    <t>3510.03</t>
  </si>
  <si>
    <t>2802-013-009</t>
  </si>
  <si>
    <t>321798-535</t>
  </si>
  <si>
    <t>2865.27</t>
  </si>
  <si>
    <t>2865.25</t>
  </si>
  <si>
    <t>2810-061-072</t>
  </si>
  <si>
    <t>320059-500</t>
  </si>
  <si>
    <t>3599.82</t>
  </si>
  <si>
    <t>3599.81</t>
  </si>
  <si>
    <t>2811-081-021</t>
  </si>
  <si>
    <t>323519-538</t>
  </si>
  <si>
    <t>4049.78</t>
  </si>
  <si>
    <t>4049.77</t>
  </si>
  <si>
    <t>2812-075-082</t>
  </si>
  <si>
    <t>313550-421</t>
  </si>
  <si>
    <t>3662.06</t>
  </si>
  <si>
    <t>3662.04</t>
  </si>
  <si>
    <t>2818-029-008</t>
  </si>
  <si>
    <t>323071-537</t>
  </si>
  <si>
    <t>3425.65</t>
  </si>
  <si>
    <t>3425.64</t>
  </si>
  <si>
    <t>2822-005-006</t>
  </si>
  <si>
    <t>323500-538</t>
  </si>
  <si>
    <t>2879.63</t>
  </si>
  <si>
    <t>287.96</t>
  </si>
  <si>
    <t>2826-137-037</t>
  </si>
  <si>
    <t>326365-555</t>
  </si>
  <si>
    <t>6325.55</t>
  </si>
  <si>
    <t>2857-023-012</t>
  </si>
  <si>
    <t>319034-494</t>
  </si>
  <si>
    <t>4473.29</t>
  </si>
  <si>
    <t>2859-031-030</t>
  </si>
  <si>
    <t>318471-493</t>
  </si>
  <si>
    <t>3092.07</t>
  </si>
  <si>
    <t>3092.06</t>
  </si>
  <si>
    <t>2861-038-035</t>
  </si>
  <si>
    <t>323520-538</t>
  </si>
  <si>
    <t>4956.74</t>
  </si>
  <si>
    <t>4956.73</t>
  </si>
  <si>
    <t>2866-021-051</t>
  </si>
  <si>
    <t>323526-538</t>
  </si>
  <si>
    <t>2203.42</t>
  </si>
  <si>
    <t>3101-028-055</t>
  </si>
  <si>
    <t>327326-572</t>
  </si>
  <si>
    <t>1547.63</t>
  </si>
  <si>
    <t>1547.61</t>
  </si>
  <si>
    <t>3112-040-056</t>
  </si>
  <si>
    <t>314587-432</t>
  </si>
  <si>
    <t>1487.91</t>
  </si>
  <si>
    <t>1592.67</t>
  </si>
  <si>
    <t>3121-039-049</t>
  </si>
  <si>
    <t>317611-481</t>
  </si>
  <si>
    <t>2473.79</t>
  </si>
  <si>
    <t>247.37</t>
  </si>
  <si>
    <t>3125-011-027</t>
  </si>
  <si>
    <t>309131-342</t>
  </si>
  <si>
    <t>1578.29</t>
  </si>
  <si>
    <t>1578.27</t>
  </si>
  <si>
    <t>3148-026-043</t>
  </si>
  <si>
    <t>313272-036</t>
  </si>
  <si>
    <t>2249.91</t>
  </si>
  <si>
    <t>224.99</t>
  </si>
  <si>
    <t>3153-090-018</t>
  </si>
  <si>
    <t>313265-033</t>
  </si>
  <si>
    <t>3274.42</t>
  </si>
  <si>
    <t>3274.40</t>
  </si>
  <si>
    <t>3228-004-009</t>
  </si>
  <si>
    <t>323077-537</t>
  </si>
  <si>
    <t>113.16</t>
  </si>
  <si>
    <t>113.14</t>
  </si>
  <si>
    <t>3228-004-011</t>
  </si>
  <si>
    <t>752.26</t>
  </si>
  <si>
    <t>752.25</t>
  </si>
  <si>
    <t>3228-004-013</t>
  </si>
  <si>
    <t>182.92</t>
  </si>
  <si>
    <t>182.90</t>
  </si>
  <si>
    <t>4005-016-003</t>
  </si>
  <si>
    <t>323402-538</t>
  </si>
  <si>
    <t>1109.25</t>
  </si>
  <si>
    <t>1109.24</t>
  </si>
  <si>
    <t>4012-011-027</t>
  </si>
  <si>
    <t>326328-555</t>
  </si>
  <si>
    <t>467.34</t>
  </si>
  <si>
    <t>467.33</t>
  </si>
  <si>
    <t>4017-023-004</t>
  </si>
  <si>
    <t>323445-538</t>
  </si>
  <si>
    <t>4632.43</t>
  </si>
  <si>
    <t>4632.42</t>
  </si>
  <si>
    <t>4023-014-004</t>
  </si>
  <si>
    <t>329740-590</t>
  </si>
  <si>
    <t>1645.11</t>
  </si>
  <si>
    <t>1645.10</t>
  </si>
  <si>
    <t>4025-014-019</t>
  </si>
  <si>
    <t>324718-550</t>
  </si>
  <si>
    <t>283.10</t>
  </si>
  <si>
    <t>2831.00</t>
  </si>
  <si>
    <t>4027-002-007</t>
  </si>
  <si>
    <t>330527-597</t>
  </si>
  <si>
    <t>3800.18</t>
  </si>
  <si>
    <t>3800.16</t>
  </si>
  <si>
    <t>4030-012-024</t>
  </si>
  <si>
    <t>315092-434</t>
  </si>
  <si>
    <t>1475.11</t>
  </si>
  <si>
    <t>1475.10</t>
  </si>
  <si>
    <t>4030-015-008</t>
  </si>
  <si>
    <t>323449-538</t>
  </si>
  <si>
    <t>2225.24</t>
  </si>
  <si>
    <t>222.52</t>
  </si>
  <si>
    <t>4042-013-002</t>
  </si>
  <si>
    <t>330524-597</t>
  </si>
  <si>
    <t>3477.09</t>
  </si>
  <si>
    <t>3477.08</t>
  </si>
  <si>
    <t>4056-015-020</t>
  </si>
  <si>
    <t>323434-538</t>
  </si>
  <si>
    <t>1120.00</t>
  </si>
  <si>
    <t>4057-029-033</t>
  </si>
  <si>
    <t>323044-537</t>
  </si>
  <si>
    <t>1988.35</t>
  </si>
  <si>
    <t>1988.34</t>
  </si>
  <si>
    <t>4076-009-077</t>
  </si>
  <si>
    <t>314604-432</t>
  </si>
  <si>
    <t>2057.34</t>
  </si>
  <si>
    <t>4088-018-019</t>
  </si>
  <si>
    <t>318462-493</t>
  </si>
  <si>
    <t>3623.03</t>
  </si>
  <si>
    <t>4142-007-029</t>
  </si>
  <si>
    <t>313634-426</t>
  </si>
  <si>
    <t>1789.72</t>
  </si>
  <si>
    <t>1789.71</t>
  </si>
  <si>
    <t>4186-028-048</t>
  </si>
  <si>
    <t>323045-537</t>
  </si>
  <si>
    <t>6268.97</t>
  </si>
  <si>
    <t>626.89</t>
  </si>
  <si>
    <t>4211-021-195</t>
  </si>
  <si>
    <t>329733-590</t>
  </si>
  <si>
    <t>4104.80</t>
  </si>
  <si>
    <t>4104.79</t>
  </si>
  <si>
    <t>1627.03</t>
  </si>
  <si>
    <t>1627.01</t>
  </si>
  <si>
    <t>4370-009-024</t>
  </si>
  <si>
    <t>324715-550</t>
  </si>
  <si>
    <t>33291.74</t>
  </si>
  <si>
    <t>33291.72</t>
  </si>
  <si>
    <t>4378-031-027</t>
  </si>
  <si>
    <t>308448-319</t>
  </si>
  <si>
    <t>2677.37</t>
  </si>
  <si>
    <t>2677.36</t>
  </si>
  <si>
    <t>4425-028-002</t>
  </si>
  <si>
    <t>328847-584</t>
  </si>
  <si>
    <t>3032.66</t>
  </si>
  <si>
    <t>3032.65</t>
  </si>
  <si>
    <t>4490-009-012</t>
  </si>
  <si>
    <t>329729-590</t>
  </si>
  <si>
    <t>7415.65</t>
  </si>
  <si>
    <t>7415.63</t>
  </si>
  <si>
    <t>5011-009-021</t>
  </si>
  <si>
    <t>324682-550</t>
  </si>
  <si>
    <t>7964.93</t>
  </si>
  <si>
    <t>7964.91</t>
  </si>
  <si>
    <t>2486.08</t>
  </si>
  <si>
    <t>2486.07</t>
  </si>
  <si>
    <t>5022-017-031</t>
  </si>
  <si>
    <t>327440-572</t>
  </si>
  <si>
    <t>1226.34</t>
  </si>
  <si>
    <t>1226.33</t>
  </si>
  <si>
    <t>5023-017-010</t>
  </si>
  <si>
    <t>323385-538</t>
  </si>
  <si>
    <t>2286.73</t>
  </si>
  <si>
    <t>2286.72</t>
  </si>
  <si>
    <t>5041-014-048</t>
  </si>
  <si>
    <t>324757-550</t>
  </si>
  <si>
    <t>3161.86</t>
  </si>
  <si>
    <t>3158.32</t>
  </si>
  <si>
    <t>5058-002-017</t>
  </si>
  <si>
    <t>324799-550</t>
  </si>
  <si>
    <t>2357.74</t>
  </si>
  <si>
    <t>235.49</t>
  </si>
  <si>
    <t>5062-002-031</t>
  </si>
  <si>
    <t>309698-351</t>
  </si>
  <si>
    <t>1908.40</t>
  </si>
  <si>
    <t>5076-014-021</t>
  </si>
  <si>
    <t>326322-555</t>
  </si>
  <si>
    <t>3125.43</t>
  </si>
  <si>
    <t>312.54</t>
  </si>
  <si>
    <t>5083-017-003</t>
  </si>
  <si>
    <t>311522-377</t>
  </si>
  <si>
    <t>3790.15</t>
  </si>
  <si>
    <t>3790.14</t>
  </si>
  <si>
    <t>8307.17</t>
  </si>
  <si>
    <t>8307.15</t>
  </si>
  <si>
    <t>5090-016-003</t>
  </si>
  <si>
    <t>323390-538</t>
  </si>
  <si>
    <t>2386.35</t>
  </si>
  <si>
    <t>2386.34</t>
  </si>
  <si>
    <t>5092-027-019</t>
  </si>
  <si>
    <t>323381-538</t>
  </si>
  <si>
    <t>1729.61</t>
  </si>
  <si>
    <t>172.96</t>
  </si>
  <si>
    <t>5111-015-014</t>
  </si>
  <si>
    <t>317129-468</t>
  </si>
  <si>
    <t>2389.15</t>
  </si>
  <si>
    <t>238.91</t>
  </si>
  <si>
    <t>5139-010-092</t>
  </si>
  <si>
    <t>328840-584</t>
  </si>
  <si>
    <t>5071.94</t>
  </si>
  <si>
    <t>5071.92</t>
  </si>
  <si>
    <t>5155-005-037</t>
  </si>
  <si>
    <t>328845-584</t>
  </si>
  <si>
    <t>2809.43</t>
  </si>
  <si>
    <t>2809.41</t>
  </si>
  <si>
    <t>5178-022-019</t>
  </si>
  <si>
    <t>330520-597</t>
  </si>
  <si>
    <t>1839.65</t>
  </si>
  <si>
    <t>5223-005-021</t>
  </si>
  <si>
    <t>315084-434</t>
  </si>
  <si>
    <t>1620.07</t>
  </si>
  <si>
    <t>162.00</t>
  </si>
  <si>
    <t>5240-015-008</t>
  </si>
  <si>
    <t>326325-555</t>
  </si>
  <si>
    <t>2878.66</t>
  </si>
  <si>
    <t>2878.65</t>
  </si>
  <si>
    <t>5241-018-014</t>
  </si>
  <si>
    <t>314382-429</t>
  </si>
  <si>
    <t>2243.33</t>
  </si>
  <si>
    <t>2243.32</t>
  </si>
  <si>
    <t>5245-010-023</t>
  </si>
  <si>
    <t>323392-538</t>
  </si>
  <si>
    <t>2552.85</t>
  </si>
  <si>
    <t>255.28</t>
  </si>
  <si>
    <t>912.37</t>
  </si>
  <si>
    <t>912.36</t>
  </si>
  <si>
    <t>5446-027-010</t>
  </si>
  <si>
    <t>324783-550</t>
  </si>
  <si>
    <t>435.17</t>
  </si>
  <si>
    <t>435.16</t>
  </si>
  <si>
    <t>5473-016-011</t>
  </si>
  <si>
    <t>320284-509</t>
  </si>
  <si>
    <t>2930.87</t>
  </si>
  <si>
    <t>293.08</t>
  </si>
  <si>
    <t>2723.38</t>
  </si>
  <si>
    <t>2719.27</t>
  </si>
  <si>
    <t>5521-004-005</t>
  </si>
  <si>
    <t>324644-550</t>
  </si>
  <si>
    <t>2581.99</t>
  </si>
  <si>
    <t>4313.39</t>
  </si>
  <si>
    <t>4313.37</t>
  </si>
  <si>
    <t>5546-009-092</t>
  </si>
  <si>
    <t>328841-584</t>
  </si>
  <si>
    <t>2178.91</t>
  </si>
  <si>
    <t>2178.90</t>
  </si>
  <si>
    <t>5546-009-101</t>
  </si>
  <si>
    <t>316586-461</t>
  </si>
  <si>
    <t>202.24</t>
  </si>
  <si>
    <t>2022.35</t>
  </si>
  <si>
    <t>5628-023-016</t>
  </si>
  <si>
    <t>313359-045</t>
  </si>
  <si>
    <t>770.38</t>
  </si>
  <si>
    <t>770.37</t>
  </si>
  <si>
    <t>5643-017-145</t>
  </si>
  <si>
    <t>312935-411</t>
  </si>
  <si>
    <t>2496.48</t>
  </si>
  <si>
    <t>2496.47</t>
  </si>
  <si>
    <t>5652-012-022</t>
  </si>
  <si>
    <t>323494-538</t>
  </si>
  <si>
    <t>2025.09</t>
  </si>
  <si>
    <t>2025.07</t>
  </si>
  <si>
    <t>5716-015-013</t>
  </si>
  <si>
    <t>323037-537</t>
  </si>
  <si>
    <t>2436.71</t>
  </si>
  <si>
    <t>2436.70</t>
  </si>
  <si>
    <t>5723-007-049</t>
  </si>
  <si>
    <t>327167-572</t>
  </si>
  <si>
    <t>4735.49</t>
  </si>
  <si>
    <t>5806-010-005</t>
  </si>
  <si>
    <t>323067-537</t>
  </si>
  <si>
    <t>7235.92</t>
  </si>
  <si>
    <t>7235.91</t>
  </si>
  <si>
    <t>5840-004-023</t>
  </si>
  <si>
    <t>323488-538</t>
  </si>
  <si>
    <t>931.49</t>
  </si>
  <si>
    <t>6006-007-022</t>
  </si>
  <si>
    <t>318059-483</t>
  </si>
  <si>
    <t>3073.40</t>
  </si>
  <si>
    <t>307.33</t>
  </si>
  <si>
    <t>6035-021-007</t>
  </si>
  <si>
    <t>325182-554</t>
  </si>
  <si>
    <t>1365.87</t>
  </si>
  <si>
    <t>136.58</t>
  </si>
  <si>
    <t>6037-022-008</t>
  </si>
  <si>
    <t>315546-444</t>
  </si>
  <si>
    <t>3001.51</t>
  </si>
  <si>
    <t>6038-021-002</t>
  </si>
  <si>
    <t>323405-538</t>
  </si>
  <si>
    <t>2325.10</t>
  </si>
  <si>
    <t>232.50</t>
  </si>
  <si>
    <t>6049-005-023</t>
  </si>
  <si>
    <t>318457-493</t>
  </si>
  <si>
    <t>393.06</t>
  </si>
  <si>
    <t>393.04</t>
  </si>
  <si>
    <t>6055-009-008</t>
  </si>
  <si>
    <t>327303-572</t>
  </si>
  <si>
    <t>1224.43</t>
  </si>
  <si>
    <t>1224.42</t>
  </si>
  <si>
    <t>6063-008-026</t>
  </si>
  <si>
    <t>310500-362</t>
  </si>
  <si>
    <t>2749.67</t>
  </si>
  <si>
    <t>2749.65</t>
  </si>
  <si>
    <t>6065-013-022</t>
  </si>
  <si>
    <t>323414-538</t>
  </si>
  <si>
    <t>2674.25</t>
  </si>
  <si>
    <t>2674.23</t>
  </si>
  <si>
    <t>2153.50</t>
  </si>
  <si>
    <t>6078-024-019</t>
  </si>
  <si>
    <t>323412-538</t>
  </si>
  <si>
    <t>1805.73</t>
  </si>
  <si>
    <t>180.57</t>
  </si>
  <si>
    <t>6109-020-001</t>
  </si>
  <si>
    <t>327391-572</t>
  </si>
  <si>
    <t>3247.81</t>
  </si>
  <si>
    <t>3247.79</t>
  </si>
  <si>
    <t>6114-022-037</t>
  </si>
  <si>
    <t>312333-403</t>
  </si>
  <si>
    <t>930.18</t>
  </si>
  <si>
    <t>930.17</t>
  </si>
  <si>
    <t>2018.96</t>
  </si>
  <si>
    <t>2018.95</t>
  </si>
  <si>
    <t>6121-003-009</t>
  </si>
  <si>
    <t>329737-590</t>
  </si>
  <si>
    <t>2764.76</t>
  </si>
  <si>
    <t>2764.75</t>
  </si>
  <si>
    <t>6126-018-014</t>
  </si>
  <si>
    <t>327179-572</t>
  </si>
  <si>
    <t>4220.72</t>
  </si>
  <si>
    <t>4220.71</t>
  </si>
  <si>
    <t>1853.30</t>
  </si>
  <si>
    <t>1853.29</t>
  </si>
  <si>
    <t>6153-013-013</t>
  </si>
  <si>
    <t>324199-539</t>
  </si>
  <si>
    <t>1888.67</t>
  </si>
  <si>
    <t>188.86</t>
  </si>
  <si>
    <t>6154-015-023</t>
  </si>
  <si>
    <t>324758-550</t>
  </si>
  <si>
    <t>1936.98</t>
  </si>
  <si>
    <t>1936.97</t>
  </si>
  <si>
    <t>6156-020-027</t>
  </si>
  <si>
    <t>329734-590</t>
  </si>
  <si>
    <t>1559.94</t>
  </si>
  <si>
    <t>1559.93</t>
  </si>
  <si>
    <t>6161-025-025</t>
  </si>
  <si>
    <t>314388-429</t>
  </si>
  <si>
    <t>1998.53</t>
  </si>
  <si>
    <t>1998.52</t>
  </si>
  <si>
    <t>6195-016-009</t>
  </si>
  <si>
    <t>323427-538</t>
  </si>
  <si>
    <t>1505.03</t>
  </si>
  <si>
    <t>1505.02</t>
  </si>
  <si>
    <t>6204-025-024</t>
  </si>
  <si>
    <t>500289-530</t>
  </si>
  <si>
    <t>8358.78</t>
  </si>
  <si>
    <t>8341.19</t>
  </si>
  <si>
    <t>500290-530</t>
  </si>
  <si>
    <t>6204-030-011</t>
  </si>
  <si>
    <t>323440-538</t>
  </si>
  <si>
    <t>1649.09</t>
  </si>
  <si>
    <t>1649.08</t>
  </si>
  <si>
    <t>6216-028-023</t>
  </si>
  <si>
    <t>324895-550</t>
  </si>
  <si>
    <t>2212.98</t>
  </si>
  <si>
    <t>2212.97</t>
  </si>
  <si>
    <t>6233-016-023</t>
  </si>
  <si>
    <t>323441-538</t>
  </si>
  <si>
    <t>2777.77</t>
  </si>
  <si>
    <t>6245-008-036</t>
  </si>
  <si>
    <t>317048-466</t>
  </si>
  <si>
    <t>1773.94</t>
  </si>
  <si>
    <t>1773.92</t>
  </si>
  <si>
    <t>6251-002-017</t>
  </si>
  <si>
    <t>327104-572</t>
  </si>
  <si>
    <t>4461.50</t>
  </si>
  <si>
    <t>6261-010-045</t>
  </si>
  <si>
    <t>311529-377</t>
  </si>
  <si>
    <t>3071.86</t>
  </si>
  <si>
    <t>6268-016-062</t>
  </si>
  <si>
    <t>324859-550</t>
  </si>
  <si>
    <t>4740.91</t>
  </si>
  <si>
    <t>474.09</t>
  </si>
  <si>
    <t>1701.24</t>
  </si>
  <si>
    <t>1701.22</t>
  </si>
  <si>
    <t>6274-032-006</t>
  </si>
  <si>
    <t>323473-538</t>
  </si>
  <si>
    <t>3362.57</t>
  </si>
  <si>
    <t>336.25</t>
  </si>
  <si>
    <t>6277-017-015</t>
  </si>
  <si>
    <t>324729-550</t>
  </si>
  <si>
    <t>2412.15</t>
  </si>
  <si>
    <t>2412.14</t>
  </si>
  <si>
    <t>6313-027-004</t>
  </si>
  <si>
    <t>324691-550</t>
  </si>
  <si>
    <t>3473.23</t>
  </si>
  <si>
    <t>347.32</t>
  </si>
  <si>
    <t>6316-028-018</t>
  </si>
  <si>
    <t>321218-513</t>
  </si>
  <si>
    <t>3507.84</t>
  </si>
  <si>
    <t>3507.82</t>
  </si>
  <si>
    <t>6317-005-027</t>
  </si>
  <si>
    <t>316896-466</t>
  </si>
  <si>
    <t>1842.14</t>
  </si>
  <si>
    <t>184.21</t>
  </si>
  <si>
    <t>6354-003-024</t>
  </si>
  <si>
    <t>313312-041</t>
  </si>
  <si>
    <t>6328.36</t>
  </si>
  <si>
    <t>6364-001-003</t>
  </si>
  <si>
    <t>325064-552</t>
  </si>
  <si>
    <t>2279.67</t>
  </si>
  <si>
    <t>2279.66</t>
  </si>
  <si>
    <t>6371-003-005</t>
  </si>
  <si>
    <t>327015-571</t>
  </si>
  <si>
    <t>1858.13</t>
  </si>
  <si>
    <t>1858.12</t>
  </si>
  <si>
    <t>6381-033-006</t>
  </si>
  <si>
    <t>324951-550</t>
  </si>
  <si>
    <t>2103.24</t>
  </si>
  <si>
    <t>210.32</t>
  </si>
  <si>
    <t>324965-550</t>
  </si>
  <si>
    <t>6385-016-052</t>
  </si>
  <si>
    <t>321916-536</t>
  </si>
  <si>
    <t>871.24</t>
  </si>
  <si>
    <t>87.12</t>
  </si>
  <si>
    <t>6385-026-044</t>
  </si>
  <si>
    <t>327250-572</t>
  </si>
  <si>
    <t>1927.07</t>
  </si>
  <si>
    <t>1927.05</t>
  </si>
  <si>
    <t>6386-016-017</t>
  </si>
  <si>
    <t>315884-456</t>
  </si>
  <si>
    <t>3277.16</t>
  </si>
  <si>
    <t>3277.15</t>
  </si>
  <si>
    <t>7009-019-025</t>
  </si>
  <si>
    <t>324849-550</t>
  </si>
  <si>
    <t>1531.05</t>
  </si>
  <si>
    <t>1531.04</t>
  </si>
  <si>
    <t>7016-022-065</t>
  </si>
  <si>
    <t>323472-538</t>
  </si>
  <si>
    <t>2304.92</t>
  </si>
  <si>
    <t>2304.90</t>
  </si>
  <si>
    <t>7022-003-025</t>
  </si>
  <si>
    <t>324762-550</t>
  </si>
  <si>
    <t>3412.17</t>
  </si>
  <si>
    <t>341.21</t>
  </si>
  <si>
    <t>7035-003-044</t>
  </si>
  <si>
    <t>327185-572</t>
  </si>
  <si>
    <t>3472.32</t>
  </si>
  <si>
    <t>7072-023-023</t>
  </si>
  <si>
    <t>323485-538</t>
  </si>
  <si>
    <t>2803.50</t>
  </si>
  <si>
    <t>2803.48</t>
  </si>
  <si>
    <t>7078-015-019</t>
  </si>
  <si>
    <t>327311-572</t>
  </si>
  <si>
    <t>3313.39</t>
  </si>
  <si>
    <t>767.90</t>
  </si>
  <si>
    <t>767.88</t>
  </si>
  <si>
    <t>7115-008-005</t>
  </si>
  <si>
    <t>324571-549</t>
  </si>
  <si>
    <t>2936.72</t>
  </si>
  <si>
    <t>293.67</t>
  </si>
  <si>
    <t>7130-031-003</t>
  </si>
  <si>
    <t>500317-560</t>
  </si>
  <si>
    <t>2862.16</t>
  </si>
  <si>
    <t>2853.70</t>
  </si>
  <si>
    <t>7130-031-004</t>
  </si>
  <si>
    <t>2913.49</t>
  </si>
  <si>
    <t>2903.82</t>
  </si>
  <si>
    <t>7130-031-005</t>
  </si>
  <si>
    <t>2917.16</t>
  </si>
  <si>
    <t>2907.49</t>
  </si>
  <si>
    <t>7131-001-027</t>
  </si>
  <si>
    <t>500313-557</t>
  </si>
  <si>
    <t>10889.03</t>
  </si>
  <si>
    <t>10887.82</t>
  </si>
  <si>
    <t>7131-007-015</t>
  </si>
  <si>
    <t>329747-590</t>
  </si>
  <si>
    <t>1364.04</t>
  </si>
  <si>
    <t>1364.03</t>
  </si>
  <si>
    <t>7150-023-003</t>
  </si>
  <si>
    <t>324980-550</t>
  </si>
  <si>
    <t>7953.80</t>
  </si>
  <si>
    <t>7953.79</t>
  </si>
  <si>
    <t>7161-012-065</t>
  </si>
  <si>
    <t>326345-555</t>
  </si>
  <si>
    <t>2954.89</t>
  </si>
  <si>
    <t>2954.88</t>
  </si>
  <si>
    <t>7176-024-004</t>
  </si>
  <si>
    <t>324740-550</t>
  </si>
  <si>
    <t>4042.48</t>
  </si>
  <si>
    <t>4042.47</t>
  </si>
  <si>
    <t>7205-009-009</t>
  </si>
  <si>
    <t>500300-546</t>
  </si>
  <si>
    <t>8003.64</t>
  </si>
  <si>
    <t>7981.37</t>
  </si>
  <si>
    <t>500301-546</t>
  </si>
  <si>
    <t>7205-025-021</t>
  </si>
  <si>
    <t>329748-590</t>
  </si>
  <si>
    <t>2074.21</t>
  </si>
  <si>
    <t>2074.20</t>
  </si>
  <si>
    <t>7209-008-090</t>
  </si>
  <si>
    <t>328855-584</t>
  </si>
  <si>
    <t>1470.16</t>
  </si>
  <si>
    <t>147.01</t>
  </si>
  <si>
    <t>7223-020-011</t>
  </si>
  <si>
    <t>327274-572</t>
  </si>
  <si>
    <t>1782.07</t>
  </si>
  <si>
    <t>1782.06</t>
  </si>
  <si>
    <t>7261-002-019</t>
  </si>
  <si>
    <t>315097-434</t>
  </si>
  <si>
    <t>2161.99</t>
  </si>
  <si>
    <t>2161.98</t>
  </si>
  <si>
    <t>7267-025-026</t>
  </si>
  <si>
    <t>500319-561</t>
  </si>
  <si>
    <t>3301.48</t>
  </si>
  <si>
    <t>3274.37</t>
  </si>
  <si>
    <t>7267-025-027</t>
  </si>
  <si>
    <t>3317.50</t>
  </si>
  <si>
    <t>3296.68</t>
  </si>
  <si>
    <t>7319-015-019</t>
  </si>
  <si>
    <t>309838-353</t>
  </si>
  <si>
    <t>764.50</t>
  </si>
  <si>
    <t>764.48</t>
  </si>
  <si>
    <t>7319-040-103</t>
  </si>
  <si>
    <t>325069-552</t>
  </si>
  <si>
    <t>2902.40</t>
  </si>
  <si>
    <t>2902.38</t>
  </si>
  <si>
    <t>7321-030-051</t>
  </si>
  <si>
    <t>323482-538</t>
  </si>
  <si>
    <t>3443.40</t>
  </si>
  <si>
    <t>3443.38</t>
  </si>
  <si>
    <t>7335-002-055</t>
  </si>
  <si>
    <t>326349-555</t>
  </si>
  <si>
    <t>3471.95</t>
  </si>
  <si>
    <t>3471.93</t>
  </si>
  <si>
    <t>7370-015-025</t>
  </si>
  <si>
    <t>323451-538</t>
  </si>
  <si>
    <t>5075.48</t>
  </si>
  <si>
    <t>5075.47</t>
  </si>
  <si>
    <t>7380-015-007</t>
  </si>
  <si>
    <t>324884-550</t>
  </si>
  <si>
    <t>1738.63</t>
  </si>
  <si>
    <t>7410-011-045</t>
  </si>
  <si>
    <t>323476-538</t>
  </si>
  <si>
    <t>2593.84</t>
  </si>
  <si>
    <t>2593.82</t>
  </si>
  <si>
    <t>7414-033-016</t>
  </si>
  <si>
    <t>319029-494</t>
  </si>
  <si>
    <t>32.52</t>
  </si>
  <si>
    <t>325.24</t>
  </si>
  <si>
    <t>7415-024-003</t>
  </si>
  <si>
    <t>324809-550</t>
  </si>
  <si>
    <t>1766.48</t>
  </si>
  <si>
    <t>1766.47</t>
  </si>
  <si>
    <t>7421-025-016</t>
  </si>
  <si>
    <t>327317-572</t>
  </si>
  <si>
    <t>1906.05</t>
  </si>
  <si>
    <t>7452-027-003</t>
  </si>
  <si>
    <t>324840-550</t>
  </si>
  <si>
    <t>2511.52</t>
  </si>
  <si>
    <t>251.15</t>
  </si>
  <si>
    <t>7529-011-005</t>
  </si>
  <si>
    <t>330528-597</t>
  </si>
  <si>
    <t>5732.62</t>
  </si>
  <si>
    <t>5732.61</t>
  </si>
  <si>
    <t>8026-014-027</t>
  </si>
  <si>
    <t>324794-550</t>
  </si>
  <si>
    <t>1235.32</t>
  </si>
  <si>
    <t>1235.31</t>
  </si>
  <si>
    <t>8029-023-015</t>
  </si>
  <si>
    <t>323454-538</t>
  </si>
  <si>
    <t>1641.11</t>
  </si>
  <si>
    <t>1641.10</t>
  </si>
  <si>
    <t>8034-014-002</t>
  </si>
  <si>
    <t>324800-550</t>
  </si>
  <si>
    <t>713.83</t>
  </si>
  <si>
    <t>713.82</t>
  </si>
  <si>
    <t>8034-019-042</t>
  </si>
  <si>
    <t>308859-326</t>
  </si>
  <si>
    <t>847.54</t>
  </si>
  <si>
    <t>84.75</t>
  </si>
  <si>
    <t>8044-018-003</t>
  </si>
  <si>
    <t>323056-537</t>
  </si>
  <si>
    <t>6179.78</t>
  </si>
  <si>
    <t>617.97</t>
  </si>
  <si>
    <t>8049-021-028</t>
  </si>
  <si>
    <t>323057-537</t>
  </si>
  <si>
    <t>1313.22</t>
  </si>
  <si>
    <t>1313.20</t>
  </si>
  <si>
    <t>8054-031-001</t>
  </si>
  <si>
    <t>319550-496</t>
  </si>
  <si>
    <t>2982.05</t>
  </si>
  <si>
    <t>2982.03</t>
  </si>
  <si>
    <t>8107-006-013</t>
  </si>
  <si>
    <t>327234-572</t>
  </si>
  <si>
    <t>1124.74</t>
  </si>
  <si>
    <t>1124.72</t>
  </si>
  <si>
    <t>8112-009-053</t>
  </si>
  <si>
    <t>324865-550</t>
  </si>
  <si>
    <t>2634.95</t>
  </si>
  <si>
    <t>2634.94</t>
  </si>
  <si>
    <t>8140-016-013</t>
  </si>
  <si>
    <t>323052-537</t>
  </si>
  <si>
    <t>2008.90</t>
  </si>
  <si>
    <t>2008.89</t>
  </si>
  <si>
    <t>8156-028-065</t>
  </si>
  <si>
    <t>313544-421</t>
  </si>
  <si>
    <t>3420.64</t>
  </si>
  <si>
    <t>8160-021-006</t>
  </si>
  <si>
    <t>324570-549</t>
  </si>
  <si>
    <t>2094.62</t>
  </si>
  <si>
    <t>8165-021-023</t>
  </si>
  <si>
    <t>323453-538</t>
  </si>
  <si>
    <t>1107.77</t>
  </si>
  <si>
    <t>110.77</t>
  </si>
  <si>
    <t>8171-010-025</t>
  </si>
  <si>
    <t>321701-532</t>
  </si>
  <si>
    <t>2536.08</t>
  </si>
  <si>
    <t>2536.07</t>
  </si>
  <si>
    <t>8206-006-046</t>
  </si>
  <si>
    <t>323567-538</t>
  </si>
  <si>
    <t>888.19</t>
  </si>
  <si>
    <t>888.18</t>
  </si>
  <si>
    <t>8219-017-049</t>
  </si>
  <si>
    <t>324703-550</t>
  </si>
  <si>
    <t>3195.19</t>
  </si>
  <si>
    <t>319.51</t>
  </si>
  <si>
    <t>8247-002-018</t>
  </si>
  <si>
    <t>323563-538</t>
  </si>
  <si>
    <t>1567.26</t>
  </si>
  <si>
    <t>8247-040-042</t>
  </si>
  <si>
    <t>323560-538</t>
  </si>
  <si>
    <t>1136.26</t>
  </si>
  <si>
    <t>113.62</t>
  </si>
  <si>
    <t>8320-010-011</t>
  </si>
  <si>
    <t>324815-550</t>
  </si>
  <si>
    <t>134.71</t>
  </si>
  <si>
    <t>1347.04</t>
  </si>
  <si>
    <t>8330-002-020</t>
  </si>
  <si>
    <t>325186-554</t>
  </si>
  <si>
    <t>434.53</t>
  </si>
  <si>
    <t>434.51</t>
  </si>
  <si>
    <t>1584.96</t>
  </si>
  <si>
    <t>1584.95</t>
  </si>
  <si>
    <t>8487-007-002</t>
  </si>
  <si>
    <t>325075-552</t>
  </si>
  <si>
    <t>1475.13</t>
  </si>
  <si>
    <t>1475.12</t>
  </si>
  <si>
    <t>8487-009-002</t>
  </si>
  <si>
    <t>311040-368</t>
  </si>
  <si>
    <t>3717.00</t>
  </si>
  <si>
    <t>371.70</t>
  </si>
  <si>
    <t>8510-008-013</t>
  </si>
  <si>
    <t>328856-584</t>
  </si>
  <si>
    <t>4163.64</t>
  </si>
  <si>
    <t>4163.62</t>
  </si>
  <si>
    <t>8515-010-015</t>
  </si>
  <si>
    <t>320292-509</t>
  </si>
  <si>
    <t>1036.97</t>
  </si>
  <si>
    <t>103.69</t>
  </si>
  <si>
    <t>8541-003-107</t>
  </si>
  <si>
    <t>323552-538</t>
  </si>
  <si>
    <t>1837.44</t>
  </si>
  <si>
    <t>183.74</t>
  </si>
  <si>
    <t>8579-017-027</t>
  </si>
  <si>
    <t>315111-434</t>
  </si>
  <si>
    <t>2560.92</t>
  </si>
  <si>
    <t>2560.91</t>
  </si>
  <si>
    <t>8620-001-012</t>
  </si>
  <si>
    <t>323536-538</t>
  </si>
  <si>
    <t>862.67</t>
  </si>
  <si>
    <t>86.26</t>
  </si>
  <si>
    <t>8704-030-024</t>
  </si>
  <si>
    <t>328864-584</t>
  </si>
  <si>
    <t>4929.33</t>
  </si>
  <si>
    <t>4929.32</t>
  </si>
  <si>
    <t>3862.77</t>
  </si>
  <si>
    <t>38627.53</t>
  </si>
  <si>
    <t>MARIN COUNTY</t>
  </si>
  <si>
    <t>040210000</t>
  </si>
  <si>
    <t>184-151-12</t>
  </si>
  <si>
    <t>328943-584</t>
  </si>
  <si>
    <t>1697.58</t>
  </si>
  <si>
    <t>003-204-20</t>
  </si>
  <si>
    <t>320328-509</t>
  </si>
  <si>
    <t>6225.08</t>
  </si>
  <si>
    <t>030-360-07</t>
  </si>
  <si>
    <t>329860-590</t>
  </si>
  <si>
    <t>2319.50</t>
  </si>
  <si>
    <t>160-940-22</t>
  </si>
  <si>
    <t>327187-572</t>
  </si>
  <si>
    <t>12787.38</t>
  </si>
  <si>
    <t>1723.69</t>
  </si>
  <si>
    <t>MENDOCINO COUNTY</t>
  </si>
  <si>
    <t>040230000</t>
  </si>
  <si>
    <t>107-190-14-00</t>
  </si>
  <si>
    <t>330646-597</t>
  </si>
  <si>
    <t>499.46</t>
  </si>
  <si>
    <t>MERCED COUNTY</t>
  </si>
  <si>
    <t>040240000</t>
  </si>
  <si>
    <t>003-036-010-000</t>
  </si>
  <si>
    <t>328948-584</t>
  </si>
  <si>
    <t>1084.62</t>
  </si>
  <si>
    <t>MONTEREY COUNTY</t>
  </si>
  <si>
    <t>040270000</t>
  </si>
  <si>
    <t>003-302-023-000</t>
  </si>
  <si>
    <t>323766-538</t>
  </si>
  <si>
    <t>831.07</t>
  </si>
  <si>
    <t>012-173-026-000</t>
  </si>
  <si>
    <t>324829-550</t>
  </si>
  <si>
    <t>3351.91</t>
  </si>
  <si>
    <t>139-033-003-000</t>
  </si>
  <si>
    <t>327254-572</t>
  </si>
  <si>
    <t>2488.21</t>
  </si>
  <si>
    <t>211-371-009-000</t>
  </si>
  <si>
    <t>323767-538</t>
  </si>
  <si>
    <t>2031.95</t>
  </si>
  <si>
    <t>NAPA COUNTY</t>
  </si>
  <si>
    <t>040280000</t>
  </si>
  <si>
    <t>001-531-003-000</t>
  </si>
  <si>
    <t>324793-550</t>
  </si>
  <si>
    <t>1564.73</t>
  </si>
  <si>
    <t>046-073-002-000</t>
  </si>
  <si>
    <t>323848-538</t>
  </si>
  <si>
    <t>4275.07</t>
  </si>
  <si>
    <t>NEVADA COUNTY</t>
  </si>
  <si>
    <t>040290000</t>
  </si>
  <si>
    <t>005-380-030-000</t>
  </si>
  <si>
    <t>313252-033</t>
  </si>
  <si>
    <t>1422.34</t>
  </si>
  <si>
    <t>040-390-022-000</t>
  </si>
  <si>
    <t>323258-537</t>
  </si>
  <si>
    <t>2913.95</t>
  </si>
  <si>
    <t>PLUMAS COUNTY</t>
  </si>
  <si>
    <t>040320000</t>
  </si>
  <si>
    <t>028-110-009-000</t>
  </si>
  <si>
    <t>328969-584</t>
  </si>
  <si>
    <t>926.67</t>
  </si>
  <si>
    <t>113-081-056-000</t>
  </si>
  <si>
    <t>328963-584</t>
  </si>
  <si>
    <t>727.69</t>
  </si>
  <si>
    <t>SAN BENITO COUNTY</t>
  </si>
  <si>
    <t>040350000</t>
  </si>
  <si>
    <t>020-670-032-000</t>
  </si>
  <si>
    <t>329865-590</t>
  </si>
  <si>
    <t>3678.94</t>
  </si>
  <si>
    <t>SAN BERNARDINO COUNTY</t>
  </si>
  <si>
    <t>040360000</t>
  </si>
  <si>
    <t>0143-033-22-0000</t>
  </si>
  <si>
    <t>319046-494</t>
  </si>
  <si>
    <t>197.34</t>
  </si>
  <si>
    <t>197.32</t>
  </si>
  <si>
    <t>05/11/2020</t>
  </si>
  <si>
    <t>0143-063-26-0000</t>
  </si>
  <si>
    <t>321762-535</t>
  </si>
  <si>
    <t>1032.91</t>
  </si>
  <si>
    <t>1032.87</t>
  </si>
  <si>
    <t>0160-071-81-0000</t>
  </si>
  <si>
    <t>329779-590</t>
  </si>
  <si>
    <t>1220.99</t>
  </si>
  <si>
    <t>1220.96</t>
  </si>
  <si>
    <t>0207-531-02-0000</t>
  </si>
  <si>
    <t>325071-552</t>
  </si>
  <si>
    <t>3343.25</t>
  </si>
  <si>
    <t>3343.21</t>
  </si>
  <si>
    <t>0208-931-57-0000</t>
  </si>
  <si>
    <t>323549-538</t>
  </si>
  <si>
    <t>2699.91</t>
  </si>
  <si>
    <t>2699.85</t>
  </si>
  <si>
    <t>0225-411-10-0000</t>
  </si>
  <si>
    <t>327474-572</t>
  </si>
  <si>
    <t>5404.90</t>
  </si>
  <si>
    <t>5404.86</t>
  </si>
  <si>
    <t>0250-222-41-0000</t>
  </si>
  <si>
    <t>330564-597</t>
  </si>
  <si>
    <t>1282.59</t>
  </si>
  <si>
    <t>1282.58</t>
  </si>
  <si>
    <t>0261-611-29-0000</t>
  </si>
  <si>
    <t>323646-538</t>
  </si>
  <si>
    <t>3330.11</t>
  </si>
  <si>
    <t>0266-461-75-0000</t>
  </si>
  <si>
    <t>325141-553</t>
  </si>
  <si>
    <t>3050.24</t>
  </si>
  <si>
    <t>3050.22</t>
  </si>
  <si>
    <t>0268-441-18-0000</t>
  </si>
  <si>
    <t>309760-353</t>
  </si>
  <si>
    <t>675.27</t>
  </si>
  <si>
    <t>675.25</t>
  </si>
  <si>
    <t>0278-261-02-0000</t>
  </si>
  <si>
    <t>324324-539</t>
  </si>
  <si>
    <t>843.75</t>
  </si>
  <si>
    <t>843.72</t>
  </si>
  <si>
    <t>0301-011-17-0000</t>
  </si>
  <si>
    <t>320301-509</t>
  </si>
  <si>
    <t>866.52</t>
  </si>
  <si>
    <t>866.50</t>
  </si>
  <si>
    <t>0318-511-19-0000</t>
  </si>
  <si>
    <t>311558-377</t>
  </si>
  <si>
    <t>2750.25</t>
  </si>
  <si>
    <t>2750.24</t>
  </si>
  <si>
    <t>0395-801-12-0000</t>
  </si>
  <si>
    <t>311557-377</t>
  </si>
  <si>
    <t>1937.87</t>
  </si>
  <si>
    <t>1937.86</t>
  </si>
  <si>
    <t>0408-015-09-0000</t>
  </si>
  <si>
    <t>330566-597</t>
  </si>
  <si>
    <t>1323.10</t>
  </si>
  <si>
    <t>1323.08</t>
  </si>
  <si>
    <t>0408-111-05-0000</t>
  </si>
  <si>
    <t>320072-500</t>
  </si>
  <si>
    <t>1102.55</t>
  </si>
  <si>
    <t>1102.53</t>
  </si>
  <si>
    <t>0413-203-04-0000</t>
  </si>
  <si>
    <t>318491-493</t>
  </si>
  <si>
    <t>1721.63</t>
  </si>
  <si>
    <t>0612-281-26-0000</t>
  </si>
  <si>
    <t>318488-493</t>
  </si>
  <si>
    <t>606.90</t>
  </si>
  <si>
    <t>606.88</t>
  </si>
  <si>
    <t>1017-693-42-0000</t>
  </si>
  <si>
    <t>324839-550</t>
  </si>
  <si>
    <t>3150.34</t>
  </si>
  <si>
    <t>3150.30</t>
  </si>
  <si>
    <t>1025-623-03-0000</t>
  </si>
  <si>
    <t>323538-538</t>
  </si>
  <si>
    <t>3190.62</t>
  </si>
  <si>
    <t>3190.58</t>
  </si>
  <si>
    <t>1028-521-20-0000</t>
  </si>
  <si>
    <t>311539-377</t>
  </si>
  <si>
    <t>3398.81</t>
  </si>
  <si>
    <t>3398.77</t>
  </si>
  <si>
    <t>1031-241-60-0000</t>
  </si>
  <si>
    <t>323537-538</t>
  </si>
  <si>
    <t>2836.50</t>
  </si>
  <si>
    <t>2836.48</t>
  </si>
  <si>
    <t>1048-441-11-0000</t>
  </si>
  <si>
    <t>327145-572</t>
  </si>
  <si>
    <t>1596.66</t>
  </si>
  <si>
    <t>1596.61</t>
  </si>
  <si>
    <t>1051-591-41-0000</t>
  </si>
  <si>
    <t>325073-552</t>
  </si>
  <si>
    <t>2646.79</t>
  </si>
  <si>
    <t>2646.76</t>
  </si>
  <si>
    <t>1077-881-19-0000</t>
  </si>
  <si>
    <t>328862-584</t>
  </si>
  <si>
    <t>2583.65</t>
  </si>
  <si>
    <t>2583.58</t>
  </si>
  <si>
    <t>1083-131-13-0000</t>
  </si>
  <si>
    <t>323572-538</t>
  </si>
  <si>
    <t>2347.14</t>
  </si>
  <si>
    <t>2347.10</t>
  </si>
  <si>
    <t>1100-301-08-0000</t>
  </si>
  <si>
    <t>324835-550</t>
  </si>
  <si>
    <t>1733.34</t>
  </si>
  <si>
    <t>1733.30</t>
  </si>
  <si>
    <t>1108-121-12-0000</t>
  </si>
  <si>
    <t>323121-537</t>
  </si>
  <si>
    <t>2089.54</t>
  </si>
  <si>
    <t>2089.49</t>
  </si>
  <si>
    <t>1178-111-59-0000</t>
  </si>
  <si>
    <t>323636-538</t>
  </si>
  <si>
    <t>1868.51</t>
  </si>
  <si>
    <t>1200-201-26-0000</t>
  </si>
  <si>
    <t>324588-550</t>
  </si>
  <si>
    <t>1262.91</t>
  </si>
  <si>
    <t>1200-561-49-0000</t>
  </si>
  <si>
    <t>329786-590</t>
  </si>
  <si>
    <t>3765.31</t>
  </si>
  <si>
    <t>3765.29</t>
  </si>
  <si>
    <t>3087-312-03-0000</t>
  </si>
  <si>
    <t>318490-493</t>
  </si>
  <si>
    <t>1041.26</t>
  </si>
  <si>
    <t>1041.23</t>
  </si>
  <si>
    <t>3087-322-11-0000</t>
  </si>
  <si>
    <t>328884-584</t>
  </si>
  <si>
    <t>1182.97</t>
  </si>
  <si>
    <t>1182.92</t>
  </si>
  <si>
    <t>3112-312-24-0000</t>
  </si>
  <si>
    <t>318489-493</t>
  </si>
  <si>
    <t>1293.63</t>
  </si>
  <si>
    <t>1293.61</t>
  </si>
  <si>
    <t>3135-141-18-0000</t>
  </si>
  <si>
    <t>310437-362</t>
  </si>
  <si>
    <t>1228.03</t>
  </si>
  <si>
    <t>1227.98</t>
  </si>
  <si>
    <t>0227-682-17-0000</t>
  </si>
  <si>
    <t>324215-539</t>
  </si>
  <si>
    <t>5853.86</t>
  </si>
  <si>
    <t>667.32</t>
  </si>
  <si>
    <t>667.29</t>
  </si>
  <si>
    <t>1075.22</t>
  </si>
  <si>
    <t>2446.18</t>
  </si>
  <si>
    <t>0472-381-28-0000</t>
  </si>
  <si>
    <t>323127-537</t>
  </si>
  <si>
    <t>2134.94</t>
  </si>
  <si>
    <t>3263.68</t>
  </si>
  <si>
    <t>3263.65</t>
  </si>
  <si>
    <t>3325.11</t>
  </si>
  <si>
    <t>SAN JOAQUIN COUNTY</t>
  </si>
  <si>
    <t>040390000</t>
  </si>
  <si>
    <t>019-270-470-000</t>
  </si>
  <si>
    <t>329873-590</t>
  </si>
  <si>
    <t>707.91</t>
  </si>
  <si>
    <t>031-040-140-000</t>
  </si>
  <si>
    <t>326503-555</t>
  </si>
  <si>
    <t>3484.55</t>
  </si>
  <si>
    <t>031-250-530-000</t>
  </si>
  <si>
    <t>324699-550</t>
  </si>
  <si>
    <t>2875.06</t>
  </si>
  <si>
    <t>062-043-100-000</t>
  </si>
  <si>
    <t>320332-509</t>
  </si>
  <si>
    <t>711.16</t>
  </si>
  <si>
    <t>062-380-060-000</t>
  </si>
  <si>
    <t>327332-572</t>
  </si>
  <si>
    <t>1434.21</t>
  </si>
  <si>
    <t>066-120-150-000</t>
  </si>
  <si>
    <t>323956-538</t>
  </si>
  <si>
    <t>2958.24</t>
  </si>
  <si>
    <t>066-310-010-000</t>
  </si>
  <si>
    <t>324830-550</t>
  </si>
  <si>
    <t>1863.02</t>
  </si>
  <si>
    <t>068-310-260-000</t>
  </si>
  <si>
    <t>323954-538</t>
  </si>
  <si>
    <t>1681.11</t>
  </si>
  <si>
    <t>068-340-040-000</t>
  </si>
  <si>
    <t>324669-550</t>
  </si>
  <si>
    <t>1827.12</t>
  </si>
  <si>
    <t>070-430-010-000</t>
  </si>
  <si>
    <t>314469-429</t>
  </si>
  <si>
    <t>2216.68</t>
  </si>
  <si>
    <t>070-500-270-000</t>
  </si>
  <si>
    <t>323240-537</t>
  </si>
  <si>
    <t>3242.08</t>
  </si>
  <si>
    <t>070-510-390-000</t>
  </si>
  <si>
    <t>323953-538</t>
  </si>
  <si>
    <t>2267.57</t>
  </si>
  <si>
    <t>070-660-340-000</t>
  </si>
  <si>
    <t>323955-538</t>
  </si>
  <si>
    <t>2384.49</t>
  </si>
  <si>
    <t>079-205-040-000</t>
  </si>
  <si>
    <t>313308-041</t>
  </si>
  <si>
    <t>1334.03</t>
  </si>
  <si>
    <t>089-180-540-000</t>
  </si>
  <si>
    <t>324246-539</t>
  </si>
  <si>
    <t>2575.60</t>
  </si>
  <si>
    <t>094-330-030-000</t>
  </si>
  <si>
    <t>327186-572</t>
  </si>
  <si>
    <t>894.77</t>
  </si>
  <si>
    <t>108-230-300-000</t>
  </si>
  <si>
    <t>313217-031</t>
  </si>
  <si>
    <t>1154.04</t>
  </si>
  <si>
    <t>109-210-500-000</t>
  </si>
  <si>
    <t>319575-496</t>
  </si>
  <si>
    <t>1719.22</t>
  </si>
  <si>
    <t>111-202-230-000</t>
  </si>
  <si>
    <t>315159-434</t>
  </si>
  <si>
    <t>1561.07</t>
  </si>
  <si>
    <t>117-233-070-000</t>
  </si>
  <si>
    <t>313259-033</t>
  </si>
  <si>
    <t>967.76</t>
  </si>
  <si>
    <t>117-242-120-000</t>
  </si>
  <si>
    <t>323237-537</t>
  </si>
  <si>
    <t>647.97</t>
  </si>
  <si>
    <t>119-140-550-000</t>
  </si>
  <si>
    <t>320331-509</t>
  </si>
  <si>
    <t>784.33</t>
  </si>
  <si>
    <t>123-191-040-000</t>
  </si>
  <si>
    <t>308824-325</t>
  </si>
  <si>
    <t>3013.67</t>
  </si>
  <si>
    <t>126-190-060-000</t>
  </si>
  <si>
    <t>329872-590</t>
  </si>
  <si>
    <t>1952.79</t>
  </si>
  <si>
    <t>133-046-110-000</t>
  </si>
  <si>
    <t>500238-404</t>
  </si>
  <si>
    <t>5743.14</t>
  </si>
  <si>
    <t>135-361-060-000</t>
  </si>
  <si>
    <t>329869-590</t>
  </si>
  <si>
    <t>294.57</t>
  </si>
  <si>
    <t>137-130-050-000</t>
  </si>
  <si>
    <t>319682-498</t>
  </si>
  <si>
    <t>1356.49</t>
  </si>
  <si>
    <t>151-042-010-000</t>
  </si>
  <si>
    <t>314468-429</t>
  </si>
  <si>
    <t>431.91</t>
  </si>
  <si>
    <t>155-480-200-000</t>
  </si>
  <si>
    <t>326706-569</t>
  </si>
  <si>
    <t>6341.55</t>
  </si>
  <si>
    <t>159-300-080-000</t>
  </si>
  <si>
    <t>316943-466</t>
  </si>
  <si>
    <t>578.77</t>
  </si>
  <si>
    <t>163-100-020-000</t>
  </si>
  <si>
    <t>315160-434</t>
  </si>
  <si>
    <t>272.13</t>
  </si>
  <si>
    <t>163-120-260-000</t>
  </si>
  <si>
    <t>326501-555</t>
  </si>
  <si>
    <t>1392.43</t>
  </si>
  <si>
    <t>163-502-030-000</t>
  </si>
  <si>
    <t>329871-590</t>
  </si>
  <si>
    <t>1514.54</t>
  </si>
  <si>
    <t>163-790-170-000</t>
  </si>
  <si>
    <t>319576-496</t>
  </si>
  <si>
    <t>2066.59</t>
  </si>
  <si>
    <t>164-180-430-000</t>
  </si>
  <si>
    <t>324676-550</t>
  </si>
  <si>
    <t>1918.03</t>
  </si>
  <si>
    <t>166-140-060-000</t>
  </si>
  <si>
    <t>324826-550</t>
  </si>
  <si>
    <t>2771.09</t>
  </si>
  <si>
    <t>168-130-170-000</t>
  </si>
  <si>
    <t>327142-572</t>
  </si>
  <si>
    <t>1444.41</t>
  </si>
  <si>
    <t>168-150-250-000</t>
  </si>
  <si>
    <t>323238-537</t>
  </si>
  <si>
    <t>2125.14</t>
  </si>
  <si>
    <t>169-090-550-000</t>
  </si>
  <si>
    <t>329870-590</t>
  </si>
  <si>
    <t>665.34</t>
  </si>
  <si>
    <t>171-231-330-000</t>
  </si>
  <si>
    <t>315842-455</t>
  </si>
  <si>
    <t>1498.68</t>
  </si>
  <si>
    <t>171-330-110-000</t>
  </si>
  <si>
    <t>313322-041</t>
  </si>
  <si>
    <t>1346.35</t>
  </si>
  <si>
    <t>191-360-450-000</t>
  </si>
  <si>
    <t>313313-041</t>
  </si>
  <si>
    <t>2487.96</t>
  </si>
  <si>
    <t>200-210-270-000</t>
  </si>
  <si>
    <t>320095-500</t>
  </si>
  <si>
    <t>2612.67</t>
  </si>
  <si>
    <t>202-340-120-000</t>
  </si>
  <si>
    <t>323959-538</t>
  </si>
  <si>
    <t>6430.52</t>
  </si>
  <si>
    <t>204-030-080-000</t>
  </si>
  <si>
    <t>311587-377</t>
  </si>
  <si>
    <t>2624.60</t>
  </si>
  <si>
    <t>208-530-390-000</t>
  </si>
  <si>
    <t>314567-432</t>
  </si>
  <si>
    <t>2859.30</t>
  </si>
  <si>
    <t>209-340-020-000</t>
  </si>
  <si>
    <t>329874-590</t>
  </si>
  <si>
    <t>2529.82</t>
  </si>
  <si>
    <t>222-280-030-000</t>
  </si>
  <si>
    <t>308762-324</t>
  </si>
  <si>
    <t>1668.65</t>
  </si>
  <si>
    <t>224-330-040-000</t>
  </si>
  <si>
    <t>327091-572</t>
  </si>
  <si>
    <t>3580.27</t>
  </si>
  <si>
    <t>234-310-180-000</t>
  </si>
  <si>
    <t>323964-538</t>
  </si>
  <si>
    <t>2240.74</t>
  </si>
  <si>
    <t>235-370-190-000</t>
  </si>
  <si>
    <t>323963-538</t>
  </si>
  <si>
    <t>2521.67</t>
  </si>
  <si>
    <t>238-250-140-000</t>
  </si>
  <si>
    <t>313284-036</t>
  </si>
  <si>
    <t>3130.68</t>
  </si>
  <si>
    <t>238-440-350-000</t>
  </si>
  <si>
    <t>313339-045</t>
  </si>
  <si>
    <t>2070.87</t>
  </si>
  <si>
    <t>238-540-050-000</t>
  </si>
  <si>
    <t>323967-538</t>
  </si>
  <si>
    <t>3053.51</t>
  </si>
  <si>
    <t>238-570-280-000</t>
  </si>
  <si>
    <t>323968-538</t>
  </si>
  <si>
    <t>4706.28</t>
  </si>
  <si>
    <t>240-240-550-000</t>
  </si>
  <si>
    <t>324653-550</t>
  </si>
  <si>
    <t>2948.55</t>
  </si>
  <si>
    <t>240-610-440-000</t>
  </si>
  <si>
    <t>323966-538</t>
  </si>
  <si>
    <t>4037.19</t>
  </si>
  <si>
    <t>241-420-420-000</t>
  </si>
  <si>
    <t>327301-572</t>
  </si>
  <si>
    <t>2231.44</t>
  </si>
  <si>
    <t>241-440-510-000</t>
  </si>
  <si>
    <t>323961-538</t>
  </si>
  <si>
    <t>3198.85</t>
  </si>
  <si>
    <t>242-120-400-000</t>
  </si>
  <si>
    <t>326508-555</t>
  </si>
  <si>
    <t>2475.10</t>
  </si>
  <si>
    <t>242-140-100-000</t>
  </si>
  <si>
    <t>328950-584</t>
  </si>
  <si>
    <t>2268.89</t>
  </si>
  <si>
    <t>247-080-070-000</t>
  </si>
  <si>
    <t>313029-411</t>
  </si>
  <si>
    <t>1451.50</t>
  </si>
  <si>
    <t>248-560-060-000</t>
  </si>
  <si>
    <t>323242-537</t>
  </si>
  <si>
    <t>2923.66</t>
  </si>
  <si>
    <t>252-210-290-000</t>
  </si>
  <si>
    <t>317267-475</t>
  </si>
  <si>
    <t>2338.36</t>
  </si>
  <si>
    <t>254-270-380-000</t>
  </si>
  <si>
    <t>319683-498</t>
  </si>
  <si>
    <t>5250.58</t>
  </si>
  <si>
    <t>256-080-360-000</t>
  </si>
  <si>
    <t>313327-041</t>
  </si>
  <si>
    <t>3524.12</t>
  </si>
  <si>
    <t>261-700-290-000</t>
  </si>
  <si>
    <t>315163-434</t>
  </si>
  <si>
    <t>3930.14</t>
  </si>
  <si>
    <t>SAN LUIS OBISPO COUNTY</t>
  </si>
  <si>
    <t>040400000</t>
  </si>
  <si>
    <t>073-051-049</t>
  </si>
  <si>
    <t>328915-584</t>
  </si>
  <si>
    <t>618.71</t>
  </si>
  <si>
    <t>627.80</t>
  </si>
  <si>
    <t>074-028-029</t>
  </si>
  <si>
    <t>330605-597</t>
  </si>
  <si>
    <t>5001.64</t>
  </si>
  <si>
    <t>5010.73</t>
  </si>
  <si>
    <t>SOLANO COUNTY</t>
  </si>
  <si>
    <t>040480000</t>
  </si>
  <si>
    <t>0032-257-06-0</t>
  </si>
  <si>
    <t>313334-045</t>
  </si>
  <si>
    <t>828.48</t>
  </si>
  <si>
    <t>0037-020-57-0</t>
  </si>
  <si>
    <t>323822-538</t>
  </si>
  <si>
    <t>1229.91</t>
  </si>
  <si>
    <t>0037-192-27-0</t>
  </si>
  <si>
    <t>323870-538</t>
  </si>
  <si>
    <t>912.10</t>
  </si>
  <si>
    <t>0044-180-06-0</t>
  </si>
  <si>
    <t>330623-597</t>
  </si>
  <si>
    <t>3117.56</t>
  </si>
  <si>
    <t>0057-153-04-0</t>
  </si>
  <si>
    <t>318511-493</t>
  </si>
  <si>
    <t>1697.78</t>
  </si>
  <si>
    <t>0068-172-21-0</t>
  </si>
  <si>
    <t>329852-590</t>
  </si>
  <si>
    <t>1294.58</t>
  </si>
  <si>
    <t>0068-531-03-0</t>
  </si>
  <si>
    <t>328939-584</t>
  </si>
  <si>
    <t>1716.91</t>
  </si>
  <si>
    <t>0071-103-22-0</t>
  </si>
  <si>
    <t>323878-538</t>
  </si>
  <si>
    <t>2442.31</t>
  </si>
  <si>
    <t>0071-292-05-0</t>
  </si>
  <si>
    <t>316641-461</t>
  </si>
  <si>
    <t>853.59</t>
  </si>
  <si>
    <t>0088-070-48-0</t>
  </si>
  <si>
    <t>323798-538</t>
  </si>
  <si>
    <t>4083.26</t>
  </si>
  <si>
    <t>0125-012-10-0</t>
  </si>
  <si>
    <t>317268-475</t>
  </si>
  <si>
    <t>2825.98</t>
  </si>
  <si>
    <t>0127-183-06-0</t>
  </si>
  <si>
    <t>324802-550</t>
  </si>
  <si>
    <t>2652.27</t>
  </si>
  <si>
    <t>0127-284-30-0</t>
  </si>
  <si>
    <t>329890-590</t>
  </si>
  <si>
    <t>2947.17</t>
  </si>
  <si>
    <t>0156-094-20-0</t>
  </si>
  <si>
    <t>329844-590</t>
  </si>
  <si>
    <t>2000.73</t>
  </si>
  <si>
    <t>0156-341-06-0</t>
  </si>
  <si>
    <t>323826-538</t>
  </si>
  <si>
    <t>3749.60</t>
  </si>
  <si>
    <t>0168-021-18-0</t>
  </si>
  <si>
    <t>327201-572</t>
  </si>
  <si>
    <t>2948.18</t>
  </si>
  <si>
    <t>0169-281-60-0</t>
  </si>
  <si>
    <t>329843-590</t>
  </si>
  <si>
    <t>1033.17</t>
  </si>
  <si>
    <t>0170-172-05-0</t>
  </si>
  <si>
    <t>323820-538</t>
  </si>
  <si>
    <t>888.85</t>
  </si>
  <si>
    <t>0181-583-07-0</t>
  </si>
  <si>
    <t>317263-475</t>
  </si>
  <si>
    <t>3892.19</t>
  </si>
  <si>
    <t>4012.00</t>
  </si>
  <si>
    <t>SONOMA COUNTY</t>
  </si>
  <si>
    <t>040490000</t>
  </si>
  <si>
    <t>006-421-003-000</t>
  </si>
  <si>
    <t>327220-572</t>
  </si>
  <si>
    <t>2741.15</t>
  </si>
  <si>
    <t>006-470-019-000</t>
  </si>
  <si>
    <t>329861-590</t>
  </si>
  <si>
    <t>1722.44</t>
  </si>
  <si>
    <t>025-050-059-000</t>
  </si>
  <si>
    <t>323981-538</t>
  </si>
  <si>
    <t>4189.91</t>
  </si>
  <si>
    <t>074-010-036-000</t>
  </si>
  <si>
    <t>324730-550</t>
  </si>
  <si>
    <t>5196.11</t>
  </si>
  <si>
    <t>115-050-002-000</t>
  </si>
  <si>
    <t>329887-590</t>
  </si>
  <si>
    <t>2258.52</t>
  </si>
  <si>
    <t>143-480-038-000</t>
  </si>
  <si>
    <t>323902-538</t>
  </si>
  <si>
    <t>1818.66</t>
  </si>
  <si>
    <t>144-502-004-000</t>
  </si>
  <si>
    <t>323903-538</t>
  </si>
  <si>
    <t>2530.27</t>
  </si>
  <si>
    <t>173-330-015-000</t>
  </si>
  <si>
    <t>326509-555</t>
  </si>
  <si>
    <t>4243.99</t>
  </si>
  <si>
    <t>182-070-035-000</t>
  </si>
  <si>
    <t>323977-538</t>
  </si>
  <si>
    <t>3676.27</t>
  </si>
  <si>
    <t>STANISLAUS COUNTY</t>
  </si>
  <si>
    <t>040500000</t>
  </si>
  <si>
    <t>037-060-032-000</t>
  </si>
  <si>
    <t>314473-429</t>
  </si>
  <si>
    <t>1036.62</t>
  </si>
  <si>
    <t>542.88</t>
  </si>
  <si>
    <t>571.07</t>
  </si>
  <si>
    <t>073-023-006-000</t>
  </si>
  <si>
    <t>323972-538</t>
  </si>
  <si>
    <t>2738.79</t>
  </si>
  <si>
    <t>085-014-025-000</t>
  </si>
  <si>
    <t>329883-590</t>
  </si>
  <si>
    <t>2193.83</t>
  </si>
  <si>
    <t>087-016-026-000</t>
  </si>
  <si>
    <t>323973-538</t>
  </si>
  <si>
    <t>2744.75</t>
  </si>
  <si>
    <t>089-016-051-000</t>
  </si>
  <si>
    <t>329885-590</t>
  </si>
  <si>
    <t>843.66</t>
  </si>
  <si>
    <t>132-009-046-000</t>
  </si>
  <si>
    <t>312232-400</t>
  </si>
  <si>
    <t>455.25</t>
  </si>
  <si>
    <t>135-001-044-000</t>
  </si>
  <si>
    <t>325142-553</t>
  </si>
  <si>
    <t>2677.38</t>
  </si>
  <si>
    <t>SUTTER COUNTY</t>
  </si>
  <si>
    <t>040510000</t>
  </si>
  <si>
    <t>59-180-001-</t>
  </si>
  <si>
    <t>328964-584</t>
  </si>
  <si>
    <t>608.99</t>
  </si>
  <si>
    <t>TEHAMA COUNTY</t>
  </si>
  <si>
    <t>040520000</t>
  </si>
  <si>
    <t>101-060-005-000</t>
  </si>
  <si>
    <t>329902-590</t>
  </si>
  <si>
    <t>1109.69</t>
  </si>
  <si>
    <t>YOLO COUNTY</t>
  </si>
  <si>
    <t>040570000</t>
  </si>
  <si>
    <t>039-323-001-000</t>
  </si>
  <si>
    <t>327399-572</t>
  </si>
  <si>
    <t>258.63</t>
  </si>
  <si>
    <t>041-151-026-000</t>
  </si>
  <si>
    <t>321932-536</t>
  </si>
  <si>
    <t>1361.50</t>
  </si>
  <si>
    <t>YUBA COUNTY</t>
  </si>
  <si>
    <t>040580000</t>
  </si>
  <si>
    <t>021-032-007-000</t>
  </si>
  <si>
    <t>320338-509</t>
  </si>
  <si>
    <t>500.64</t>
  </si>
  <si>
    <t>056-110-020-000</t>
  </si>
  <si>
    <t>320339-509</t>
  </si>
  <si>
    <t>825.57</t>
  </si>
  <si>
    <t>1116.44</t>
  </si>
  <si>
    <t>571.17</t>
  </si>
  <si>
    <t>RYE TOWN</t>
  </si>
  <si>
    <t>310600213</t>
  </si>
  <si>
    <t>554801-142.047-0001-035.000-0000</t>
  </si>
  <si>
    <t>304005-033</t>
  </si>
  <si>
    <t>2808.65</t>
  </si>
  <si>
    <t>04/30/2020</t>
  </si>
  <si>
    <t>554801-142.054-0002-012.000-0000</t>
  </si>
  <si>
    <t>309197-344</t>
  </si>
  <si>
    <t>11553.70</t>
  </si>
  <si>
    <t>CRAWFORD COUNTY DELINQUENCY</t>
  </si>
  <si>
    <t>210204000</t>
  </si>
  <si>
    <t>010-12-019-01-285-00</t>
  </si>
  <si>
    <t>328608-584</t>
  </si>
  <si>
    <t>165.51</t>
  </si>
  <si>
    <t>HOUGHTON COUNTY DELINQUENCY</t>
  </si>
  <si>
    <t>210314000</t>
  </si>
  <si>
    <t>31-002-500-002-40</t>
  </si>
  <si>
    <t>322700-537</t>
  </si>
  <si>
    <t>222.49</t>
  </si>
  <si>
    <t>ST. CHARLES COUNTY</t>
  </si>
  <si>
    <t>240920000</t>
  </si>
  <si>
    <t>A882000632</t>
  </si>
  <si>
    <t>320253-509</t>
  </si>
  <si>
    <t>3183.73</t>
  </si>
  <si>
    <t>ST. LOUIS COUNTY</t>
  </si>
  <si>
    <t>240950000</t>
  </si>
  <si>
    <t>08E610987</t>
  </si>
  <si>
    <t>314267-429</t>
  </si>
  <si>
    <t>1585.85</t>
  </si>
  <si>
    <t>2036.68</t>
  </si>
  <si>
    <t>2307.16</t>
  </si>
  <si>
    <t>12G320207</t>
  </si>
  <si>
    <t>303203-030</t>
  </si>
  <si>
    <t>1353.00</t>
  </si>
  <si>
    <t>1440.38</t>
  </si>
  <si>
    <t>12H130081</t>
  </si>
  <si>
    <t>306556-041</t>
  </si>
  <si>
    <t>968.24</t>
  </si>
  <si>
    <t>852.65</t>
  </si>
  <si>
    <t>13K530806</t>
  </si>
  <si>
    <t>314262-429</t>
  </si>
  <si>
    <t>802.14</t>
  </si>
  <si>
    <t>907.22</t>
  </si>
  <si>
    <t>14J541554</t>
  </si>
  <si>
    <t>325981-555</t>
  </si>
  <si>
    <t>716.20</t>
  </si>
  <si>
    <t>PORTNOFF LAW ASSOCIATES /BUCKS</t>
  </si>
  <si>
    <t>370094001</t>
  </si>
  <si>
    <t>24-003-031</t>
  </si>
  <si>
    <t>327087-572</t>
  </si>
  <si>
    <t>5946.69</t>
  </si>
  <si>
    <t>49-016-025</t>
  </si>
  <si>
    <t>312396-410</t>
  </si>
  <si>
    <t>1006.07</t>
  </si>
  <si>
    <t>PORTNOFF LAW ASSOCIATES /CHESTER</t>
  </si>
  <si>
    <t>370154001</t>
  </si>
  <si>
    <t>38 01 0114 00 00</t>
  </si>
  <si>
    <t>326861-571</t>
  </si>
  <si>
    <t>6045.59</t>
  </si>
  <si>
    <t>PORTNOFF LAW ASSOCIATES /DELAWARE</t>
  </si>
  <si>
    <t>370234001</t>
  </si>
  <si>
    <t>23-00-03049-00</t>
  </si>
  <si>
    <t>326597-564</t>
  </si>
  <si>
    <t>2497.04</t>
  </si>
  <si>
    <t>PORTNOFF LAW ASSOCIATES /LEHIGH</t>
  </si>
  <si>
    <t>370394001</t>
  </si>
  <si>
    <t>02 549770452023 1</t>
  </si>
  <si>
    <t>317487-481</t>
  </si>
  <si>
    <t>873.17</t>
  </si>
  <si>
    <t>16 546928143940 1</t>
  </si>
  <si>
    <t>312349-407</t>
  </si>
  <si>
    <t>140.27</t>
  </si>
  <si>
    <t>24 542788184446 1</t>
  </si>
  <si>
    <t>308273-312</t>
  </si>
  <si>
    <t>5457.56</t>
  </si>
  <si>
    <t>12298.94</t>
  </si>
  <si>
    <t>9852.94</t>
  </si>
  <si>
    <t>9301.50</t>
  </si>
  <si>
    <t>9110.88</t>
  </si>
  <si>
    <t>PORTNOFF LAW ASSOCIATES /NORTHAMPTON</t>
  </si>
  <si>
    <t>370484001</t>
  </si>
  <si>
    <t>05-N7 11 2-35</t>
  </si>
  <si>
    <t>327384-572</t>
  </si>
  <si>
    <t>3757.63</t>
  </si>
  <si>
    <t>10-L9SE1D 8 18</t>
  </si>
  <si>
    <t>322134-537</t>
  </si>
  <si>
    <t>987.46</t>
  </si>
  <si>
    <t>GALLATIN CITY</t>
  </si>
  <si>
    <t>410830102</t>
  </si>
  <si>
    <t>126F J 04700 000</t>
  </si>
  <si>
    <t>321490-527</t>
  </si>
  <si>
    <t>191.00</t>
  </si>
  <si>
    <t>LAUDERDALE COUNTY</t>
  </si>
  <si>
    <t>410490000</t>
  </si>
  <si>
    <t>041 00300 000</t>
  </si>
  <si>
    <t>309764-353</t>
  </si>
  <si>
    <t>185.00</t>
  </si>
  <si>
    <t>SHELBY COUNTY</t>
  </si>
  <si>
    <t>410790000</t>
  </si>
  <si>
    <t>017-0060-A-00037-0</t>
  </si>
  <si>
    <t>312683-411</t>
  </si>
  <si>
    <t>427.11</t>
  </si>
  <si>
    <t>356.19</t>
  </si>
  <si>
    <t>317.55</t>
  </si>
  <si>
    <t>199.97</t>
  </si>
  <si>
    <t>017-0060-A-00121-0</t>
  </si>
  <si>
    <t>312684-411</t>
  </si>
  <si>
    <t>658.46</t>
  </si>
  <si>
    <t>536.29</t>
  </si>
  <si>
    <t>372.45</t>
  </si>
  <si>
    <t>042-0670-0-00031-0</t>
  </si>
  <si>
    <t>328541-584</t>
  </si>
  <si>
    <t>371.25</t>
  </si>
  <si>
    <t>242.30</t>
  </si>
  <si>
    <t>056-0460-A-00002-0</t>
  </si>
  <si>
    <t>322579-537</t>
  </si>
  <si>
    <t>4231.18</t>
  </si>
  <si>
    <t>075-1170-0-00024-0</t>
  </si>
  <si>
    <t>306469-041</t>
  </si>
  <si>
    <t>530.09</t>
  </si>
  <si>
    <t>078-0620-0-00012-0</t>
  </si>
  <si>
    <t>316920-466</t>
  </si>
  <si>
    <t>1315.18</t>
  </si>
  <si>
    <t>090-0580-0-00101-0</t>
  </si>
  <si>
    <t>306522-041</t>
  </si>
  <si>
    <t>633.79</t>
  </si>
  <si>
    <t>091-0500-0-00053-0</t>
  </si>
  <si>
    <t>328539-584</t>
  </si>
  <si>
    <t>1432.61</t>
  </si>
  <si>
    <t>WILSON COUNTY</t>
  </si>
  <si>
    <t>410950000</t>
  </si>
  <si>
    <t>052E C 02800 000</t>
  </si>
  <si>
    <t>316977-466</t>
  </si>
  <si>
    <t>939.00</t>
  </si>
  <si>
    <t>072A B 01100 000</t>
  </si>
  <si>
    <t>314090-429</t>
  </si>
  <si>
    <t>869.00</t>
  </si>
  <si>
    <t>BEAUFORT COUNTY</t>
  </si>
  <si>
    <t>390070000</t>
  </si>
  <si>
    <t>R400 033 000 0029 0000</t>
  </si>
  <si>
    <t>321428-527</t>
  </si>
  <si>
    <t>1834.57</t>
  </si>
  <si>
    <t>GEORGETOWN COUNTY</t>
  </si>
  <si>
    <t>390220000</t>
  </si>
  <si>
    <t>01-0122E-04-40-000</t>
  </si>
  <si>
    <t>328287-584</t>
  </si>
  <si>
    <t>73.05</t>
  </si>
  <si>
    <t>LEXINGTON COUNTY</t>
  </si>
  <si>
    <t>390320000</t>
  </si>
  <si>
    <t>005917-04-035</t>
  </si>
  <si>
    <t>314845-434</t>
  </si>
  <si>
    <t>1352.29</t>
  </si>
  <si>
    <t>CHARLOTTE COUNTY</t>
  </si>
  <si>
    <t>090080000</t>
  </si>
  <si>
    <t>412118204003</t>
  </si>
  <si>
    <t>328482-584</t>
  </si>
  <si>
    <t>312.21</t>
  </si>
  <si>
    <t>04/28/2020</t>
  </si>
  <si>
    <t>412132428002</t>
  </si>
  <si>
    <t>328481-584</t>
  </si>
  <si>
    <t>148.66</t>
  </si>
  <si>
    <t>CLAY COUNTY</t>
  </si>
  <si>
    <t>090100000</t>
  </si>
  <si>
    <t>270425-020963-569-00</t>
  </si>
  <si>
    <t>314928-434</t>
  </si>
  <si>
    <t>1037.15</t>
  </si>
  <si>
    <t>FLAGLER COUNTY</t>
  </si>
  <si>
    <t>090180000</t>
  </si>
  <si>
    <t>07-11-31-7010-00250-0210</t>
  </si>
  <si>
    <t>328357-584</t>
  </si>
  <si>
    <t>218.39</t>
  </si>
  <si>
    <t>05/10/2020</t>
  </si>
  <si>
    <t>07-11-31-7011-00130-0440</t>
  </si>
  <si>
    <t>321450-527</t>
  </si>
  <si>
    <t>3928.86</t>
  </si>
  <si>
    <t>3943.40</t>
  </si>
  <si>
    <t>07-11-31-7034-00580-0120</t>
  </si>
  <si>
    <t>328360-584</t>
  </si>
  <si>
    <t>604.86</t>
  </si>
  <si>
    <t>HILLSBOROUGH COUNTY</t>
  </si>
  <si>
    <t>090290000</t>
  </si>
  <si>
    <t>A0159270114</t>
  </si>
  <si>
    <t>328456-584</t>
  </si>
  <si>
    <t>3268.60</t>
  </si>
  <si>
    <t>A0191875138</t>
  </si>
  <si>
    <t>328457-584</t>
  </si>
  <si>
    <t>5636.00</t>
  </si>
  <si>
    <t>A0244710000</t>
  </si>
  <si>
    <t>316404-461</t>
  </si>
  <si>
    <t>1187.96</t>
  </si>
  <si>
    <t>1218.21</t>
  </si>
  <si>
    <t>1151.59</t>
  </si>
  <si>
    <t>A0370485244</t>
  </si>
  <si>
    <t>328455-584</t>
  </si>
  <si>
    <t>1116.15</t>
  </si>
  <si>
    <t>A0390530082</t>
  </si>
  <si>
    <t>B15077</t>
  </si>
  <si>
    <t>818.45</t>
  </si>
  <si>
    <t>A0811220050</t>
  </si>
  <si>
    <t>309163-343</t>
  </si>
  <si>
    <t>1565.29</t>
  </si>
  <si>
    <t>1479.12</t>
  </si>
  <si>
    <t>A0817730200</t>
  </si>
  <si>
    <t>324461-539</t>
  </si>
  <si>
    <t>5420.49</t>
  </si>
  <si>
    <t>A0824365302</t>
  </si>
  <si>
    <t>309167-343</t>
  </si>
  <si>
    <t>1528.67</t>
  </si>
  <si>
    <t>1435.28</t>
  </si>
  <si>
    <t>A1208690000</t>
  </si>
  <si>
    <t>321113-513</t>
  </si>
  <si>
    <t>6548.18</t>
  </si>
  <si>
    <t>6010.44</t>
  </si>
  <si>
    <t>A1220380000</t>
  </si>
  <si>
    <t>308708-323</t>
  </si>
  <si>
    <t>19731.21</t>
  </si>
  <si>
    <t>19975.20</t>
  </si>
  <si>
    <t>18215.46</t>
  </si>
  <si>
    <t>A1308410000</t>
  </si>
  <si>
    <t>312356-407</t>
  </si>
  <si>
    <t>1492.08</t>
  </si>
  <si>
    <t>A1575690000</t>
  </si>
  <si>
    <t>309059-336</t>
  </si>
  <si>
    <t>937.77</t>
  </si>
  <si>
    <t>866.70</t>
  </si>
  <si>
    <t>A1755500000</t>
  </si>
  <si>
    <t>324369-539</t>
  </si>
  <si>
    <t>1067.43</t>
  </si>
  <si>
    <t>A2046530000</t>
  </si>
  <si>
    <t>309161-343</t>
  </si>
  <si>
    <t>132.04</t>
  </si>
  <si>
    <t>A2089920000</t>
  </si>
  <si>
    <t>309170-343</t>
  </si>
  <si>
    <t>654.34</t>
  </si>
  <si>
    <t>090350000</t>
  </si>
  <si>
    <t>1222260500-000-01800</t>
  </si>
  <si>
    <t>328520-584</t>
  </si>
  <si>
    <t>5020.90</t>
  </si>
  <si>
    <t>1523250002-000-02800</t>
  </si>
  <si>
    <t>310286-358</t>
  </si>
  <si>
    <t>2265.03</t>
  </si>
  <si>
    <t>2224261505-000-24700</t>
  </si>
  <si>
    <t>314992-434</t>
  </si>
  <si>
    <t>3682.57</t>
  </si>
  <si>
    <t>JEFFERSONVILLE CITY</t>
  </si>
  <si>
    <t>101430101</t>
  </si>
  <si>
    <t>JV06 040</t>
  </si>
  <si>
    <t>317734-481</t>
  </si>
  <si>
    <t>324.89</t>
  </si>
  <si>
    <t>KALAMAZOO COUNTY DELINQUENCY</t>
  </si>
  <si>
    <t>210394000</t>
  </si>
  <si>
    <t>09-16-230-170</t>
  </si>
  <si>
    <t>325927-555</t>
  </si>
  <si>
    <t>63.80</t>
  </si>
  <si>
    <t>04/27/2020</t>
  </si>
  <si>
    <t>11-35-451-037</t>
  </si>
  <si>
    <t>304305-033</t>
  </si>
  <si>
    <t>1502.95</t>
  </si>
  <si>
    <t>COMAL COUNTY</t>
  </si>
  <si>
    <t>420460000</t>
  </si>
  <si>
    <t>000000019587</t>
  </si>
  <si>
    <t>322924-537</t>
  </si>
  <si>
    <t>2396.58</t>
  </si>
  <si>
    <t>GARLAND ISD</t>
  </si>
  <si>
    <t>420570605</t>
  </si>
  <si>
    <t>26016800020110000</t>
  </si>
  <si>
    <t>318400-493</t>
  </si>
  <si>
    <t>471.38</t>
  </si>
  <si>
    <t>44023560HH0910000</t>
  </si>
  <si>
    <t>328718-584</t>
  </si>
  <si>
    <t>3728.95</t>
  </si>
  <si>
    <t>ANDERSON COUNTY</t>
  </si>
  <si>
    <t>390040000</t>
  </si>
  <si>
    <t>0150-07-01-016-</t>
  </si>
  <si>
    <t>328299-584</t>
  </si>
  <si>
    <t>554.56</t>
  </si>
  <si>
    <t>GREENWOOD COUNTY</t>
  </si>
  <si>
    <t>390240000</t>
  </si>
  <si>
    <t>6823-636-828-000</t>
  </si>
  <si>
    <t>308834-326</t>
  </si>
  <si>
    <t>112.95</t>
  </si>
  <si>
    <t>6911-568-366-000</t>
  </si>
  <si>
    <t>313942-429</t>
  </si>
  <si>
    <t>279.35</t>
  </si>
  <si>
    <t>OCONEE COUNTY</t>
  </si>
  <si>
    <t>390370000</t>
  </si>
  <si>
    <t>520-46-06-013</t>
  </si>
  <si>
    <t>309454-346</t>
  </si>
  <si>
    <t>391.73</t>
  </si>
  <si>
    <t>CHEATHAM COUNTY TRUSTEE</t>
  </si>
  <si>
    <t>410110000</t>
  </si>
  <si>
    <t>039 04007 000</t>
  </si>
  <si>
    <t>316745-465</t>
  </si>
  <si>
    <t>1241.00</t>
  </si>
  <si>
    <t>FAYETTE COUNTY</t>
  </si>
  <si>
    <t>410240000</t>
  </si>
  <si>
    <t>096 02700 000</t>
  </si>
  <si>
    <t>328540-584</t>
  </si>
  <si>
    <t>689.00</t>
  </si>
  <si>
    <t>HAMBLEN COUNTY</t>
  </si>
  <si>
    <t>410320000</t>
  </si>
  <si>
    <t>033E F 01300 000</t>
  </si>
  <si>
    <t>307203-045</t>
  </si>
  <si>
    <t>265.90</t>
  </si>
  <si>
    <t>226.78</t>
  </si>
  <si>
    <t>HENDERSONVILLE CITY</t>
  </si>
  <si>
    <t>410830101</t>
  </si>
  <si>
    <t>160C D 05000 000</t>
  </si>
  <si>
    <t>325843-555</t>
  </si>
  <si>
    <t>616.00</t>
  </si>
  <si>
    <t>MADISON COUNTY</t>
  </si>
  <si>
    <t>410570000</t>
  </si>
  <si>
    <t>035P A 03700 000</t>
  </si>
  <si>
    <t>314102-429</t>
  </si>
  <si>
    <t>344.00</t>
  </si>
  <si>
    <t>086B A 01000 000</t>
  </si>
  <si>
    <t>315015-434</t>
  </si>
  <si>
    <t>409.00</t>
  </si>
  <si>
    <t>RUTHERFORD COUNTY</t>
  </si>
  <si>
    <t>410750000</t>
  </si>
  <si>
    <t>R0028919</t>
  </si>
  <si>
    <t>321714-535</t>
  </si>
  <si>
    <t>1204.00</t>
  </si>
  <si>
    <t>1086.00</t>
  </si>
  <si>
    <t>R0079878</t>
  </si>
  <si>
    <t>319351-496</t>
  </si>
  <si>
    <t>279.00</t>
  </si>
  <si>
    <t>410740101</t>
  </si>
  <si>
    <t>091A A 02900 000</t>
  </si>
  <si>
    <t>322562-537</t>
  </si>
  <si>
    <t>6.08</t>
  </si>
  <si>
    <t>SUMNER COUNTY</t>
  </si>
  <si>
    <t>410830000</t>
  </si>
  <si>
    <t>565.36</t>
  </si>
  <si>
    <t>1354.32</t>
  </si>
  <si>
    <t>WHITE COUNTY</t>
  </si>
  <si>
    <t>410930000</t>
  </si>
  <si>
    <t>047 00700 000</t>
  </si>
  <si>
    <t>317093-466</t>
  </si>
  <si>
    <t>2680.00</t>
  </si>
  <si>
    <t>WHITEHOUSE CITY/SUMNER CO.</t>
  </si>
  <si>
    <t>410830106</t>
  </si>
  <si>
    <t>096H C 02200 000</t>
  </si>
  <si>
    <t>311891-391</t>
  </si>
  <si>
    <t>1166.00</t>
  </si>
  <si>
    <t>04/29/2020</t>
  </si>
  <si>
    <t>WILLIAMSON COUNTY</t>
  </si>
  <si>
    <t>410940000</t>
  </si>
  <si>
    <t>054I B 01100 000</t>
  </si>
  <si>
    <t>325842-555</t>
  </si>
  <si>
    <t>3587.49</t>
  </si>
  <si>
    <t>062O K 01800 000</t>
  </si>
  <si>
    <t>318327-493</t>
  </si>
  <si>
    <t>3481.94</t>
  </si>
  <si>
    <t>ALACHUA COUNTY</t>
  </si>
  <si>
    <t>090010000</t>
  </si>
  <si>
    <t>06667 150 022</t>
  </si>
  <si>
    <t>329418-590</t>
  </si>
  <si>
    <t>5393.95</t>
  </si>
  <si>
    <t>BREVARD COUNTY</t>
  </si>
  <si>
    <t>090050000</t>
  </si>
  <si>
    <t>2203271</t>
  </si>
  <si>
    <t>318092-488</t>
  </si>
  <si>
    <t>826.44</t>
  </si>
  <si>
    <t>696.09</t>
  </si>
  <si>
    <t>2305034</t>
  </si>
  <si>
    <t>308269-312</t>
  </si>
  <si>
    <t>1402.99</t>
  </si>
  <si>
    <t>1411.50</t>
  </si>
  <si>
    <t>1244.37</t>
  </si>
  <si>
    <t>2807543</t>
  </si>
  <si>
    <t>324084-539</t>
  </si>
  <si>
    <t>798.75</t>
  </si>
  <si>
    <t>2808067</t>
  </si>
  <si>
    <t>303353-034</t>
  </si>
  <si>
    <t>2297.67</t>
  </si>
  <si>
    <t>2825457</t>
  </si>
  <si>
    <t>304251-033</t>
  </si>
  <si>
    <t>1467.67</t>
  </si>
  <si>
    <t>1533.32</t>
  </si>
  <si>
    <t>2904860</t>
  </si>
  <si>
    <t>321076-513</t>
  </si>
  <si>
    <t>2667.48</t>
  </si>
  <si>
    <t>2435.07</t>
  </si>
  <si>
    <t>2919111</t>
  </si>
  <si>
    <t>328393-584</t>
  </si>
  <si>
    <t>151.55</t>
  </si>
  <si>
    <t>BROWARD COUNTY TAX COLLECTOR</t>
  </si>
  <si>
    <t>090060000</t>
  </si>
  <si>
    <t>484115-02-1310</t>
  </si>
  <si>
    <t>322427-537</t>
  </si>
  <si>
    <t>5814.18</t>
  </si>
  <si>
    <t>484123-18-0600</t>
  </si>
  <si>
    <t>330277-597</t>
  </si>
  <si>
    <t>7682.44</t>
  </si>
  <si>
    <t>484135-B2-0240</t>
  </si>
  <si>
    <t>328410-584</t>
  </si>
  <si>
    <t>1303.55</t>
  </si>
  <si>
    <t>484203-K9-0150</t>
  </si>
  <si>
    <t>317800-481</t>
  </si>
  <si>
    <t>1848.59</t>
  </si>
  <si>
    <t>484233-04-4880</t>
  </si>
  <si>
    <t>311843-389</t>
  </si>
  <si>
    <t>3056.05</t>
  </si>
  <si>
    <t>484308-AH-0210</t>
  </si>
  <si>
    <t>328409-584</t>
  </si>
  <si>
    <t>5385.17</t>
  </si>
  <si>
    <t>494102-10-1730</t>
  </si>
  <si>
    <t>328412-584</t>
  </si>
  <si>
    <t>1675.39</t>
  </si>
  <si>
    <t>494102-10-2170</t>
  </si>
  <si>
    <t>328411-584</t>
  </si>
  <si>
    <t>4336.96</t>
  </si>
  <si>
    <t>494104-77-0020</t>
  </si>
  <si>
    <t>308681-323</t>
  </si>
  <si>
    <t>5042.69</t>
  </si>
  <si>
    <t>5114.85</t>
  </si>
  <si>
    <t>5080.48</t>
  </si>
  <si>
    <t>494104-77-0030</t>
  </si>
  <si>
    <t>308682-323</t>
  </si>
  <si>
    <t>4514.96</t>
  </si>
  <si>
    <t>4534.35</t>
  </si>
  <si>
    <t>4340.27</t>
  </si>
  <si>
    <t>494116-01-3430</t>
  </si>
  <si>
    <t>324560-549</t>
  </si>
  <si>
    <t>6671.29</t>
  </si>
  <si>
    <t>494119-22-0320</t>
  </si>
  <si>
    <t>308687-323</t>
  </si>
  <si>
    <t>5114.53</t>
  </si>
  <si>
    <t>5123.74</t>
  </si>
  <si>
    <t>5104.50</t>
  </si>
  <si>
    <t>494122-15-0550</t>
  </si>
  <si>
    <t>318754-494</t>
  </si>
  <si>
    <t>4089.48</t>
  </si>
  <si>
    <t>494134-AK-0700</t>
  </si>
  <si>
    <t>328432-584</t>
  </si>
  <si>
    <t>932.81</t>
  </si>
  <si>
    <t>494214-AH-0150</t>
  </si>
  <si>
    <t>310584-363</t>
  </si>
  <si>
    <t>1502.68</t>
  </si>
  <si>
    <t>494226-CD-0070</t>
  </si>
  <si>
    <t>321092-513</t>
  </si>
  <si>
    <t>7940.14</t>
  </si>
  <si>
    <t>7029.42</t>
  </si>
  <si>
    <t>494306-13-0210</t>
  </si>
  <si>
    <t>328407-584</t>
  </si>
  <si>
    <t>12668.60</t>
  </si>
  <si>
    <t>503911-04-1270</t>
  </si>
  <si>
    <t>321473-527</t>
  </si>
  <si>
    <t>9421.20</t>
  </si>
  <si>
    <t>503911-07-3600</t>
  </si>
  <si>
    <t>323352-538</t>
  </si>
  <si>
    <t>4676.11</t>
  </si>
  <si>
    <t>504024-03-0520</t>
  </si>
  <si>
    <t>308686-323</t>
  </si>
  <si>
    <t>6450.49</t>
  </si>
  <si>
    <t>6579.82</t>
  </si>
  <si>
    <t>6185.03</t>
  </si>
  <si>
    <t>504128-28-0020</t>
  </si>
  <si>
    <t>316394-461</t>
  </si>
  <si>
    <t>3079.42</t>
  </si>
  <si>
    <t>2894.87</t>
  </si>
  <si>
    <t>504204-12-0551</t>
  </si>
  <si>
    <t>316390-461</t>
  </si>
  <si>
    <t>442.25</t>
  </si>
  <si>
    <t>504207-06-1300</t>
  </si>
  <si>
    <t>322462-537</t>
  </si>
  <si>
    <t>916.70</t>
  </si>
  <si>
    <t>504213-NR-1110</t>
  </si>
  <si>
    <t>317650-481</t>
  </si>
  <si>
    <t>2160.91</t>
  </si>
  <si>
    <t>504217-35-0010</t>
  </si>
  <si>
    <t>328430-584</t>
  </si>
  <si>
    <t>5281.49</t>
  </si>
  <si>
    <t>513913-07-0480</t>
  </si>
  <si>
    <t>322418-537</t>
  </si>
  <si>
    <t>4039.66</t>
  </si>
  <si>
    <t>513936-02-4870</t>
  </si>
  <si>
    <t>302635-022</t>
  </si>
  <si>
    <t>9786.34</t>
  </si>
  <si>
    <t>514012-AC-1070</t>
  </si>
  <si>
    <t>328402-584</t>
  </si>
  <si>
    <t>2526.77</t>
  </si>
  <si>
    <t>514111-03-0070</t>
  </si>
  <si>
    <t>316381-461</t>
  </si>
  <si>
    <t>2717.06</t>
  </si>
  <si>
    <t>514111-14-0650</t>
  </si>
  <si>
    <t>322414-537</t>
  </si>
  <si>
    <t>2103.58</t>
  </si>
  <si>
    <t>514215-AC-0250</t>
  </si>
  <si>
    <t>328400-584</t>
  </si>
  <si>
    <t>959.99</t>
  </si>
  <si>
    <t>514230-07-0540</t>
  </si>
  <si>
    <t>301435-015</t>
  </si>
  <si>
    <t>1835.42</t>
  </si>
  <si>
    <t>1654.94</t>
  </si>
  <si>
    <t>514230-08-1670</t>
  </si>
  <si>
    <t>310579-363</t>
  </si>
  <si>
    <t>5155.75</t>
  </si>
  <si>
    <t>DESOTO COUNTY</t>
  </si>
  <si>
    <t>090140000</t>
  </si>
  <si>
    <t>31-37-23-0000-0012-0000</t>
  </si>
  <si>
    <t>316416-461</t>
  </si>
  <si>
    <t>2070.88</t>
  </si>
  <si>
    <t>04/23/2020</t>
  </si>
  <si>
    <t>DUVAL COUNTY</t>
  </si>
  <si>
    <t>090160000</t>
  </si>
  <si>
    <t>0121450000</t>
  </si>
  <si>
    <t>328362-584</t>
  </si>
  <si>
    <t>1622.67</t>
  </si>
  <si>
    <t>04/22/2020</t>
  </si>
  <si>
    <t>0127591650</t>
  </si>
  <si>
    <t>315414-444</t>
  </si>
  <si>
    <t>1560.52</t>
  </si>
  <si>
    <t>0224120000</t>
  </si>
  <si>
    <t>322376-537</t>
  </si>
  <si>
    <t>1109.07</t>
  </si>
  <si>
    <t>0308470000</t>
  </si>
  <si>
    <t>324397-539</t>
  </si>
  <si>
    <t>2944.05</t>
  </si>
  <si>
    <t>1356.05</t>
  </si>
  <si>
    <t>0316490000</t>
  </si>
  <si>
    <t>321452-527</t>
  </si>
  <si>
    <t>455.72</t>
  </si>
  <si>
    <t>0419690000</t>
  </si>
  <si>
    <t>316671-464</t>
  </si>
  <si>
    <t>2153.21</t>
  </si>
  <si>
    <t>0836980000</t>
  </si>
  <si>
    <t>304164-033</t>
  </si>
  <si>
    <t>849.64</t>
  </si>
  <si>
    <t>853.54</t>
  </si>
  <si>
    <t>863.33</t>
  </si>
  <si>
    <t>HERNANDO COUNTY</t>
  </si>
  <si>
    <t>090270000</t>
  </si>
  <si>
    <t>00614856</t>
  </si>
  <si>
    <t>328510-584</t>
  </si>
  <si>
    <t>354.73</t>
  </si>
  <si>
    <t>01535510</t>
  </si>
  <si>
    <t>321122-513</t>
  </si>
  <si>
    <t>4958.95</t>
  </si>
  <si>
    <t>5433.59</t>
  </si>
  <si>
    <t>JACKSON COUNTY</t>
  </si>
  <si>
    <t>090320000</t>
  </si>
  <si>
    <t>27-4N-09-0000-0020-0010</t>
  </si>
  <si>
    <t>308174-310</t>
  </si>
  <si>
    <t>1471.97</t>
  </si>
  <si>
    <t>1511.67</t>
  </si>
  <si>
    <t>1550.08</t>
  </si>
  <si>
    <t>MIAMI-DADE COUNTY TAX COLLECTOR</t>
  </si>
  <si>
    <t>090130000</t>
  </si>
  <si>
    <t>02-3226-007-3300</t>
  </si>
  <si>
    <t>312267-403</t>
  </si>
  <si>
    <t>4738.49</t>
  </si>
  <si>
    <t>02-4203-291-1500</t>
  </si>
  <si>
    <t>321085-513</t>
  </si>
  <si>
    <t>11247.43</t>
  </si>
  <si>
    <t>02-4204-014-2230</t>
  </si>
  <si>
    <t>RB18091</t>
  </si>
  <si>
    <t>13029.59</t>
  </si>
  <si>
    <t>03-4107-016-1200</t>
  </si>
  <si>
    <t>328418-584</t>
  </si>
  <si>
    <t>9606.12</t>
  </si>
  <si>
    <t>03-4107-018-8070</t>
  </si>
  <si>
    <t>328419-584</t>
  </si>
  <si>
    <t>14251.53</t>
  </si>
  <si>
    <t>04-2035-114-0320</t>
  </si>
  <si>
    <t>317490-481</t>
  </si>
  <si>
    <t>2138.04</t>
  </si>
  <si>
    <t>06-2228-007-0340</t>
  </si>
  <si>
    <t>321812-535</t>
  </si>
  <si>
    <t>5326.30</t>
  </si>
  <si>
    <t>06-2228-038-0130</t>
  </si>
  <si>
    <t>314961-434</t>
  </si>
  <si>
    <t>1666.59</t>
  </si>
  <si>
    <t>07-2207-073-0300</t>
  </si>
  <si>
    <t>309100-339</t>
  </si>
  <si>
    <t>1737.35</t>
  </si>
  <si>
    <t>07-2210-001-1470</t>
  </si>
  <si>
    <t>308658-323</t>
  </si>
  <si>
    <t>27888.18</t>
  </si>
  <si>
    <t>13-2227-013-0180</t>
  </si>
  <si>
    <t>321087-513</t>
  </si>
  <si>
    <t>2500.82</t>
  </si>
  <si>
    <t>2337.47</t>
  </si>
  <si>
    <t>16-7824-018-0020</t>
  </si>
  <si>
    <t>319322-496</t>
  </si>
  <si>
    <t>525.78</t>
  </si>
  <si>
    <t>23-3209-053-0980</t>
  </si>
  <si>
    <t>324132-539</t>
  </si>
  <si>
    <t>8300.91</t>
  </si>
  <si>
    <t>28-1235-087-0140</t>
  </si>
  <si>
    <t>328428-584</t>
  </si>
  <si>
    <t>15208.30</t>
  </si>
  <si>
    <t>28-2210-060-0990</t>
  </si>
  <si>
    <t>309775-353</t>
  </si>
  <si>
    <t>3961.47</t>
  </si>
  <si>
    <t>4136.51</t>
  </si>
  <si>
    <t>2827.42</t>
  </si>
  <si>
    <t>30-2135-001-0220</t>
  </si>
  <si>
    <t>328426-584</t>
  </si>
  <si>
    <t>3657.98</t>
  </si>
  <si>
    <t>30-4021-029-0110</t>
  </si>
  <si>
    <t>317344-481</t>
  </si>
  <si>
    <t>3018.96</t>
  </si>
  <si>
    <t>2820.58</t>
  </si>
  <si>
    <t>30-4030-002-0960</t>
  </si>
  <si>
    <t>323346-538</t>
  </si>
  <si>
    <t>2634.74</t>
  </si>
  <si>
    <t>30-5933-011-0100</t>
  </si>
  <si>
    <t>327378-572</t>
  </si>
  <si>
    <t>3452.03</t>
  </si>
  <si>
    <t>30-6019-012-0040</t>
  </si>
  <si>
    <t>313136-415</t>
  </si>
  <si>
    <t>5196.02</t>
  </si>
  <si>
    <t>30-6821-000-4430</t>
  </si>
  <si>
    <t>308627-323</t>
  </si>
  <si>
    <t>6984.38</t>
  </si>
  <si>
    <t>7285.24</t>
  </si>
  <si>
    <t>6779.25</t>
  </si>
  <si>
    <t>30-6911-007-0310</t>
  </si>
  <si>
    <t>315428-444</t>
  </si>
  <si>
    <t>3145.93</t>
  </si>
  <si>
    <t>30-6912-041-0260</t>
  </si>
  <si>
    <t>308797-325</t>
  </si>
  <si>
    <t>1356.62</t>
  </si>
  <si>
    <t>1261.29</t>
  </si>
  <si>
    <t>30-6925-012-0750</t>
  </si>
  <si>
    <t>324508-539</t>
  </si>
  <si>
    <t>3935.64</t>
  </si>
  <si>
    <t>30-6925-012-1560</t>
  </si>
  <si>
    <t>313137-415</t>
  </si>
  <si>
    <t>1677.41</t>
  </si>
  <si>
    <t>1580.42</t>
  </si>
  <si>
    <t>30-6933-014-1640</t>
  </si>
  <si>
    <t>330275-597</t>
  </si>
  <si>
    <t>1038.40</t>
  </si>
  <si>
    <t>1052.48</t>
  </si>
  <si>
    <t>30-7903-025-0790</t>
  </si>
  <si>
    <t>312265-403</t>
  </si>
  <si>
    <t>3177.96</t>
  </si>
  <si>
    <t>33-5034-042-0280</t>
  </si>
  <si>
    <t>322438-537</t>
  </si>
  <si>
    <t>9276.43</t>
  </si>
  <si>
    <t>34-1135-031-4530</t>
  </si>
  <si>
    <t>303232-030</t>
  </si>
  <si>
    <t>7664.57</t>
  </si>
  <si>
    <t>34-2101-002-0180</t>
  </si>
  <si>
    <t>324559-549</t>
  </si>
  <si>
    <t>4657.64</t>
  </si>
  <si>
    <t>34-2102-005-2770</t>
  </si>
  <si>
    <t>324522-539</t>
  </si>
  <si>
    <t>6015.58</t>
  </si>
  <si>
    <t>34-2115-001-1930</t>
  </si>
  <si>
    <t>308634-323</t>
  </si>
  <si>
    <t>5220.92</t>
  </si>
  <si>
    <t>34-2116-001-1730</t>
  </si>
  <si>
    <t>306351-041</t>
  </si>
  <si>
    <t>2163.75</t>
  </si>
  <si>
    <t>OSCEOLA COUNTY</t>
  </si>
  <si>
    <t>090490000</t>
  </si>
  <si>
    <t>R062631-073600010020</t>
  </si>
  <si>
    <t>321484-527</t>
  </si>
  <si>
    <t>971.57</t>
  </si>
  <si>
    <t>3142.88</t>
  </si>
  <si>
    <t>R252628-611815350080</t>
  </si>
  <si>
    <t>322535-537</t>
  </si>
  <si>
    <t>996.50</t>
  </si>
  <si>
    <t>R252628-613821790180</t>
  </si>
  <si>
    <t>301007-013</t>
  </si>
  <si>
    <t>979.49</t>
  </si>
  <si>
    <t>R342530-520000010150</t>
  </si>
  <si>
    <t>316817-466</t>
  </si>
  <si>
    <t>3386.15</t>
  </si>
  <si>
    <t>PALM BEACH COUNTY</t>
  </si>
  <si>
    <t>090500000</t>
  </si>
  <si>
    <t>00-42-45-21-03-094-2010</t>
  </si>
  <si>
    <t>RF18043</t>
  </si>
  <si>
    <t>2056.88</t>
  </si>
  <si>
    <t>04/16/2020</t>
  </si>
  <si>
    <t>00-42-45-22-02-000-0690</t>
  </si>
  <si>
    <t>322487-537</t>
  </si>
  <si>
    <t>1408.33</t>
  </si>
  <si>
    <t>06-42-47-25-13-061-0220</t>
  </si>
  <si>
    <t>321104-513</t>
  </si>
  <si>
    <t>3229.20</t>
  </si>
  <si>
    <t>3089.50</t>
  </si>
  <si>
    <t>08-43-45-08-05-018-0020</t>
  </si>
  <si>
    <t>309869-355</t>
  </si>
  <si>
    <t>3903.24</t>
  </si>
  <si>
    <t>3708.00</t>
  </si>
  <si>
    <t>12-43-46-17-27-001-0230</t>
  </si>
  <si>
    <t>305614-036</t>
  </si>
  <si>
    <t>5192.36</t>
  </si>
  <si>
    <t>12-43-46-30-06-022-2070</t>
  </si>
  <si>
    <t>328443-584</t>
  </si>
  <si>
    <t>2473.90</t>
  </si>
  <si>
    <t>30-42-41-22-02-105-0033</t>
  </si>
  <si>
    <t>329464-590</t>
  </si>
  <si>
    <t>1127.07</t>
  </si>
  <si>
    <t>32-43-40-31-01-000-1150</t>
  </si>
  <si>
    <t>328446-584</t>
  </si>
  <si>
    <t>25815.33</t>
  </si>
  <si>
    <t>52-42-42-09-13-000-0690</t>
  </si>
  <si>
    <t>324576-550</t>
  </si>
  <si>
    <t>9686.89</t>
  </si>
  <si>
    <t>60-42-40-25-25-000-1770</t>
  </si>
  <si>
    <t>321100-513</t>
  </si>
  <si>
    <t>4521.43</t>
  </si>
  <si>
    <t>4351.33</t>
  </si>
  <si>
    <t>74-42-43-12-23-000-0970</t>
  </si>
  <si>
    <t>315431-444</t>
  </si>
  <si>
    <t>1009.92</t>
  </si>
  <si>
    <t>74-42-43-19-14-000-0260</t>
  </si>
  <si>
    <t>328440-584</t>
  </si>
  <si>
    <t>6016.66</t>
  </si>
  <si>
    <t>74-43-43-09-07-037-0010</t>
  </si>
  <si>
    <t>326917-571</t>
  </si>
  <si>
    <t>865.47</t>
  </si>
  <si>
    <t>74-43-43-27-14-000-0060</t>
  </si>
  <si>
    <t>312037-394</t>
  </si>
  <si>
    <t>2925.08</t>
  </si>
  <si>
    <t>74-43-43-28-08-012-0160</t>
  </si>
  <si>
    <t>325124-553</t>
  </si>
  <si>
    <t>987.37</t>
  </si>
  <si>
    <t>74-43-43-33-41-003-0420</t>
  </si>
  <si>
    <t>328439-584</t>
  </si>
  <si>
    <t>731.65</t>
  </si>
  <si>
    <t>PINELLAS COUNTY</t>
  </si>
  <si>
    <t>090520000</t>
  </si>
  <si>
    <t>12827 02-29-15-09126-000-0060</t>
  </si>
  <si>
    <t>328464-584</t>
  </si>
  <si>
    <t>1182.29</t>
  </si>
  <si>
    <t>147375 14-28-15-18628-000-0640</t>
  </si>
  <si>
    <t>328513-584</t>
  </si>
  <si>
    <t>3961.98</t>
  </si>
  <si>
    <t>17449 02-31-15-04212-000-0550</t>
  </si>
  <si>
    <t>314046-429</t>
  </si>
  <si>
    <t>2145.83</t>
  </si>
  <si>
    <t>242509 22-31-16-14418-005-0110</t>
  </si>
  <si>
    <t>325797-555</t>
  </si>
  <si>
    <t>360.54</t>
  </si>
  <si>
    <t>267928 25-28-15-71818-000-1070</t>
  </si>
  <si>
    <t>324501-539</t>
  </si>
  <si>
    <t>3453.10</t>
  </si>
  <si>
    <t>330932 30-30-17-75672-024-0030</t>
  </si>
  <si>
    <t>328461-584</t>
  </si>
  <si>
    <t>2495.70</t>
  </si>
  <si>
    <t>356382 32-30-15-00000-210-0100</t>
  </si>
  <si>
    <t>322513-537</t>
  </si>
  <si>
    <t>8676.13</t>
  </si>
  <si>
    <t>40990 04-31-17-81522-003-0260</t>
  </si>
  <si>
    <t>324213-539</t>
  </si>
  <si>
    <t>6577.48</t>
  </si>
  <si>
    <t>431042 11-28-15-35853-015-2430</t>
  </si>
  <si>
    <t>325825-555</t>
  </si>
  <si>
    <t>1108.21</t>
  </si>
  <si>
    <t>WAKULLA COUNTY</t>
  </si>
  <si>
    <t>090650000</t>
  </si>
  <si>
    <t>01-6S-02W-286-03569-A26</t>
  </si>
  <si>
    <t>328370-584</t>
  </si>
  <si>
    <t>121.58</t>
  </si>
  <si>
    <t>WOOD-RIDGE BOROUGH</t>
  </si>
  <si>
    <t>290021756</t>
  </si>
  <si>
    <t>BLOCK 00282 LOT 00004</t>
  </si>
  <si>
    <t>318575-494</t>
  </si>
  <si>
    <t>1995.47</t>
  </si>
  <si>
    <t>1932.09</t>
  </si>
  <si>
    <t>ROSWELL CITY</t>
  </si>
  <si>
    <t>100600104</t>
  </si>
  <si>
    <t>12 -2313-0568-047-8</t>
  </si>
  <si>
    <t>314883-434</t>
  </si>
  <si>
    <t>570.14</t>
  </si>
  <si>
    <t>LONG BEACH CITY</t>
  </si>
  <si>
    <t>310300106</t>
  </si>
  <si>
    <t>028-59-236 -00420</t>
  </si>
  <si>
    <t>325339-555</t>
  </si>
  <si>
    <t>3611.71</t>
  </si>
  <si>
    <t>04/21/2020</t>
  </si>
  <si>
    <t>WOLCOTT TOWN</t>
  </si>
  <si>
    <t>060050210</t>
  </si>
  <si>
    <t>D0156800</t>
  </si>
  <si>
    <t>308424-319</t>
  </si>
  <si>
    <t>1917.15</t>
  </si>
  <si>
    <t>NEW CASTLE SEWER CHARGE</t>
  </si>
  <si>
    <t>070021101</t>
  </si>
  <si>
    <t>06-013.00-251</t>
  </si>
  <si>
    <t>316720-465</t>
  </si>
  <si>
    <t>411.46</t>
  </si>
  <si>
    <t>06-030.00-148</t>
  </si>
  <si>
    <t>322179-537</t>
  </si>
  <si>
    <t>11.70</t>
  </si>
  <si>
    <t>06-031.00-150</t>
  </si>
  <si>
    <t>311317-375</t>
  </si>
  <si>
    <t>10.80</t>
  </si>
  <si>
    <t>06-070.00-094</t>
  </si>
  <si>
    <t>326865-571</t>
  </si>
  <si>
    <t>158.75</t>
  </si>
  <si>
    <t>321.46</t>
  </si>
  <si>
    <t>06-080.00-159</t>
  </si>
  <si>
    <t>318612-494</t>
  </si>
  <si>
    <t>347.11</t>
  </si>
  <si>
    <t>06-140.00-168</t>
  </si>
  <si>
    <t>327403-572</t>
  </si>
  <si>
    <t>247.48</t>
  </si>
  <si>
    <t>334.32</t>
  </si>
  <si>
    <t>06-146.00-600</t>
  </si>
  <si>
    <t>324063-539</t>
  </si>
  <si>
    <t>264.06</t>
  </si>
  <si>
    <t>275.54</t>
  </si>
  <si>
    <t>183.69</t>
  </si>
  <si>
    <t>195.17</t>
  </si>
  <si>
    <t>180.02</t>
  </si>
  <si>
    <t>154.30</t>
  </si>
  <si>
    <t>07-034.40-476</t>
  </si>
  <si>
    <t>321344-527</t>
  </si>
  <si>
    <t>192.88</t>
  </si>
  <si>
    <t>07-037.40-017</t>
  </si>
  <si>
    <t>316719-465</t>
  </si>
  <si>
    <t>168.86</t>
  </si>
  <si>
    <t>218.13</t>
  </si>
  <si>
    <t>218.59</t>
  </si>
  <si>
    <t>08-013.10-227</t>
  </si>
  <si>
    <t>317186-475</t>
  </si>
  <si>
    <t>09-027.20-097</t>
  </si>
  <si>
    <t>319178-496</t>
  </si>
  <si>
    <t>330.01</t>
  </si>
  <si>
    <t>09-034.10-079</t>
  </si>
  <si>
    <t>322174-537</t>
  </si>
  <si>
    <t>244.31</t>
  </si>
  <si>
    <t>10-010.20-570</t>
  </si>
  <si>
    <t>306410-041</t>
  </si>
  <si>
    <t>237.88</t>
  </si>
  <si>
    <t>10-019.40-212</t>
  </si>
  <si>
    <t>329245-590</t>
  </si>
  <si>
    <t>10-019.40-278</t>
  </si>
  <si>
    <t>321343-527</t>
  </si>
  <si>
    <t>291.96</t>
  </si>
  <si>
    <t>287.02</t>
  </si>
  <si>
    <t>309.98</t>
  </si>
  <si>
    <t>298.50</t>
  </si>
  <si>
    <t>424.33</t>
  </si>
  <si>
    <t>10-023.30-073</t>
  </si>
  <si>
    <t>315765-455</t>
  </si>
  <si>
    <t>217.67</t>
  </si>
  <si>
    <t>10-029.20-441</t>
  </si>
  <si>
    <t>319179-496</t>
  </si>
  <si>
    <t>245.08</t>
  </si>
  <si>
    <t>205.73</t>
  </si>
  <si>
    <t>10-029.40-021</t>
  </si>
  <si>
    <t>312351-407</t>
  </si>
  <si>
    <t>231.63</t>
  </si>
  <si>
    <t>10-044.40-228</t>
  </si>
  <si>
    <t>326866-571</t>
  </si>
  <si>
    <t>668.63</t>
  </si>
  <si>
    <t>475.76</t>
  </si>
  <si>
    <t>10-049.20-266</t>
  </si>
  <si>
    <t>319876-500</t>
  </si>
  <si>
    <t>11-008.00-181</t>
  </si>
  <si>
    <t>321012-513</t>
  </si>
  <si>
    <t>38.68</t>
  </si>
  <si>
    <t>398.61</t>
  </si>
  <si>
    <t>411.47</t>
  </si>
  <si>
    <t>11-015.30-120</t>
  </si>
  <si>
    <t>322175-537</t>
  </si>
  <si>
    <t>372.89</t>
  </si>
  <si>
    <t>11-016.40-018</t>
  </si>
  <si>
    <t>329243-590</t>
  </si>
  <si>
    <t>700.32</t>
  </si>
  <si>
    <t>617.20</t>
  </si>
  <si>
    <t>591.48</t>
  </si>
  <si>
    <t>11-017.40-217</t>
  </si>
  <si>
    <t>319177-496</t>
  </si>
  <si>
    <t>258.98</t>
  </si>
  <si>
    <t>252.57</t>
  </si>
  <si>
    <t>797.22</t>
  </si>
  <si>
    <t>11-023.20-050</t>
  </si>
  <si>
    <t>313835-429</t>
  </si>
  <si>
    <t>229.61</t>
  </si>
  <si>
    <t>137.77</t>
  </si>
  <si>
    <t>141.44</t>
  </si>
  <si>
    <t>115.73</t>
  </si>
  <si>
    <t>11-038.00-093</t>
  </si>
  <si>
    <t>321011-513</t>
  </si>
  <si>
    <t>0.51</t>
  </si>
  <si>
    <t>360.03</t>
  </si>
  <si>
    <t>17-002.00-384</t>
  </si>
  <si>
    <t>322178-537</t>
  </si>
  <si>
    <t>347.18</t>
  </si>
  <si>
    <t>25-008.00-036</t>
  </si>
  <si>
    <t>304017-033</t>
  </si>
  <si>
    <t>11.04</t>
  </si>
  <si>
    <t>295.74</t>
  </si>
  <si>
    <t>WILMINGTON SEWER/WATER</t>
  </si>
  <si>
    <t>070020901</t>
  </si>
  <si>
    <t>26-019.40-247</t>
  </si>
  <si>
    <t>319877-500</t>
  </si>
  <si>
    <t>432.74</t>
  </si>
  <si>
    <t>1025.21</t>
  </si>
  <si>
    <t>308.06</t>
  </si>
  <si>
    <t>26-030.10-260</t>
  </si>
  <si>
    <t>325398-555</t>
  </si>
  <si>
    <t>198.03</t>
  </si>
  <si>
    <t>26-057.20-091</t>
  </si>
  <si>
    <t>322176-537</t>
  </si>
  <si>
    <t>252.42</t>
  </si>
  <si>
    <t>559.56</t>
  </si>
  <si>
    <t>1005.95</t>
  </si>
  <si>
    <t>317.02</t>
  </si>
  <si>
    <t>2588.11</t>
  </si>
  <si>
    <t>3720.00</t>
  </si>
  <si>
    <t>AIKEN COUNTY</t>
  </si>
  <si>
    <t>390020000</t>
  </si>
  <si>
    <t>012-16-03-003</t>
  </si>
  <si>
    <t>326896-571</t>
  </si>
  <si>
    <t>2255.75</t>
  </si>
  <si>
    <t>2287.90</t>
  </si>
  <si>
    <t>GREENVILLE COUNTY</t>
  </si>
  <si>
    <t>390230000</t>
  </si>
  <si>
    <t>0187.00-04-003.00</t>
  </si>
  <si>
    <t>319248-496</t>
  </si>
  <si>
    <t>920.21</t>
  </si>
  <si>
    <t>HORRY COUNTY</t>
  </si>
  <si>
    <t>390260000</t>
  </si>
  <si>
    <t>17816020009</t>
  </si>
  <si>
    <t>330206-597</t>
  </si>
  <si>
    <t>364.15</t>
  </si>
  <si>
    <t>31201030066</t>
  </si>
  <si>
    <t>314857-434</t>
  </si>
  <si>
    <t>451.26</t>
  </si>
  <si>
    <t>32002040005</t>
  </si>
  <si>
    <t>328292-584</t>
  </si>
  <si>
    <t>321.69</t>
  </si>
  <si>
    <t>35116030107</t>
  </si>
  <si>
    <t>318696-494</t>
  </si>
  <si>
    <t>623.08</t>
  </si>
  <si>
    <t>44012020001</t>
  </si>
  <si>
    <t>328296-584</t>
  </si>
  <si>
    <t>601.34</t>
  </si>
  <si>
    <t>PICKENS COUNTY</t>
  </si>
  <si>
    <t>390390000</t>
  </si>
  <si>
    <t>5028-13-03-2335</t>
  </si>
  <si>
    <t>328300-584</t>
  </si>
  <si>
    <t>2455.72</t>
  </si>
  <si>
    <t>03/30/2020</t>
  </si>
  <si>
    <t>SPARTANBURG COUNTY</t>
  </si>
  <si>
    <t>390420000</t>
  </si>
  <si>
    <t>6-18-14-001.01</t>
  </si>
  <si>
    <t>325159-554</t>
  </si>
  <si>
    <t>922.99</t>
  </si>
  <si>
    <t>SCARBOROUGH TOWN</t>
  </si>
  <si>
    <t>180030213</t>
  </si>
  <si>
    <t>U047-004</t>
  </si>
  <si>
    <t>312432-411</t>
  </si>
  <si>
    <t>3092.88</t>
  </si>
  <si>
    <t>HAMILTON COUNTY</t>
  </si>
  <si>
    <t>410330000</t>
  </si>
  <si>
    <t>129J D 009</t>
  </si>
  <si>
    <t>321493-527</t>
  </si>
  <si>
    <t>1042.48</t>
  </si>
  <si>
    <t>149E C 017</t>
  </si>
  <si>
    <t>319356-496</t>
  </si>
  <si>
    <t>1088.11</t>
  </si>
  <si>
    <t>171D A 012</t>
  </si>
  <si>
    <t>316747-465</t>
  </si>
  <si>
    <t>1206.32</t>
  </si>
  <si>
    <t>KNOX COUNTY</t>
  </si>
  <si>
    <t>410470000</t>
  </si>
  <si>
    <t>123HB016</t>
  </si>
  <si>
    <t>322575-537</t>
  </si>
  <si>
    <t>261.00</t>
  </si>
  <si>
    <t>05/02/2020</t>
  </si>
  <si>
    <t>132ME021</t>
  </si>
  <si>
    <t>317023-466</t>
  </si>
  <si>
    <t>959.00</t>
  </si>
  <si>
    <t>148DA029</t>
  </si>
  <si>
    <t>325852-555</t>
  </si>
  <si>
    <t>747.00</t>
  </si>
  <si>
    <t>BARBOUR COUNTY</t>
  </si>
  <si>
    <t>470010000</t>
  </si>
  <si>
    <t>01-700810003</t>
  </si>
  <si>
    <t>318660-494</t>
  </si>
  <si>
    <t>521.06</t>
  </si>
  <si>
    <t>CABELL COUNTY</t>
  </si>
  <si>
    <t>470060000</t>
  </si>
  <si>
    <t>04 8A-0026.0005 0000</t>
  </si>
  <si>
    <t>321383-527</t>
  </si>
  <si>
    <t>260.80</t>
  </si>
  <si>
    <t>04/17/2020</t>
  </si>
  <si>
    <t>KANAWHA COUNTY</t>
  </si>
  <si>
    <t>470200000</t>
  </si>
  <si>
    <t>23 29A 0075 0000 0000 06939343</t>
  </si>
  <si>
    <t>308779-325</t>
  </si>
  <si>
    <t>203.71</t>
  </si>
  <si>
    <t>25 20 0026 0001 0000 07584754</t>
  </si>
  <si>
    <t>329327-590</t>
  </si>
  <si>
    <t>1116.06</t>
  </si>
  <si>
    <t>BERRIEN COUNTY DELINQUENCY</t>
  </si>
  <si>
    <t>210114000</t>
  </si>
  <si>
    <t>07-0030-0031-00-2</t>
  </si>
  <si>
    <t>328603-584</t>
  </si>
  <si>
    <t>254.19</t>
  </si>
  <si>
    <t>04/13/2020</t>
  </si>
  <si>
    <t>12-0026-0009-03-4</t>
  </si>
  <si>
    <t>RD18001</t>
  </si>
  <si>
    <t>1519.45</t>
  </si>
  <si>
    <t>CLINTON COUNTY DELINQUENCY</t>
  </si>
  <si>
    <t>210194000</t>
  </si>
  <si>
    <t>010-008-200-010-00</t>
  </si>
  <si>
    <t>315455-444</t>
  </si>
  <si>
    <t>51.84</t>
  </si>
  <si>
    <t>010-278-000-039-00</t>
  </si>
  <si>
    <t>316751-465</t>
  </si>
  <si>
    <t>68.01</t>
  </si>
  <si>
    <t>INGHAM COUNTY DELINQUENCY</t>
  </si>
  <si>
    <t>210334000</t>
  </si>
  <si>
    <t>33-09-09-02-300-027</t>
  </si>
  <si>
    <t>321544-527</t>
  </si>
  <si>
    <t>4413.49</t>
  </si>
  <si>
    <t>04/20/2020</t>
  </si>
  <si>
    <t>33-25-05-13-103-004</t>
  </si>
  <si>
    <t>312195-399</t>
  </si>
  <si>
    <t>143.87</t>
  </si>
  <si>
    <t>KENT COUNTY DELINQUENCY</t>
  </si>
  <si>
    <t>210414000</t>
  </si>
  <si>
    <t>41-14-07-228-008</t>
  </si>
  <si>
    <t>322696-537</t>
  </si>
  <si>
    <t>2601.58</t>
  </si>
  <si>
    <t>04/06/2020</t>
  </si>
  <si>
    <t>41-17-21-476-005</t>
  </si>
  <si>
    <t>322697-537</t>
  </si>
  <si>
    <t>2068.06</t>
  </si>
  <si>
    <t>41-21-26-200-028</t>
  </si>
  <si>
    <t>328605-584</t>
  </si>
  <si>
    <t>1842.99</t>
  </si>
  <si>
    <t>LENAWEE COUNTY DELINQUENCY</t>
  </si>
  <si>
    <t>210464000</t>
  </si>
  <si>
    <t>FR0-110-1670-00</t>
  </si>
  <si>
    <t>305708-036</t>
  </si>
  <si>
    <t>278.37</t>
  </si>
  <si>
    <t>855.33</t>
  </si>
  <si>
    <t>LIVINGSTON COUNTY DELINQUENCY</t>
  </si>
  <si>
    <t>210474000</t>
  </si>
  <si>
    <t>4703-32-200-007</t>
  </si>
  <si>
    <t>305551-036</t>
  </si>
  <si>
    <t>650.10</t>
  </si>
  <si>
    <t>4716-04-201-015</t>
  </si>
  <si>
    <t>320239-509</t>
  </si>
  <si>
    <t>2113.75</t>
  </si>
  <si>
    <t>MONROE COUNTY DELINQUENCY</t>
  </si>
  <si>
    <t>210584000</t>
  </si>
  <si>
    <t>08 075 022 00</t>
  </si>
  <si>
    <t>322663-537</t>
  </si>
  <si>
    <t>917.62</t>
  </si>
  <si>
    <t>09 130 094 00</t>
  </si>
  <si>
    <t>328586-584</t>
  </si>
  <si>
    <t>3158.68</t>
  </si>
  <si>
    <t>09 130 269 00</t>
  </si>
  <si>
    <t>325907-555</t>
  </si>
  <si>
    <t>1853.14</t>
  </si>
  <si>
    <t>MUSKEGON COUNTY DELINQUENCY</t>
  </si>
  <si>
    <t>210614000</t>
  </si>
  <si>
    <t>24-613-000-0898-10</t>
  </si>
  <si>
    <t>322695-537</t>
  </si>
  <si>
    <t>1387.87</t>
  </si>
  <si>
    <t>04/14/2020</t>
  </si>
  <si>
    <t>ST CLAIR COUNTY DELINQUENCY</t>
  </si>
  <si>
    <t>210744000</t>
  </si>
  <si>
    <t>18-749-0009-000</t>
  </si>
  <si>
    <t>320236-509</t>
  </si>
  <si>
    <t>2183.36</t>
  </si>
  <si>
    <t>23-024-2006-070</t>
  </si>
  <si>
    <t>319979-500</t>
  </si>
  <si>
    <t>2021.57</t>
  </si>
  <si>
    <t>25-007-3027-500</t>
  </si>
  <si>
    <t>311883-391</t>
  </si>
  <si>
    <t>432.09</t>
  </si>
  <si>
    <t>29-009-1003-200</t>
  </si>
  <si>
    <t>329550-590</t>
  </si>
  <si>
    <t>466.45</t>
  </si>
  <si>
    <t>ST JOSEPH COUNTY DELINQUENCY</t>
  </si>
  <si>
    <t>210754000</t>
  </si>
  <si>
    <t>003 014 007 15</t>
  </si>
  <si>
    <t>329560-590</t>
  </si>
  <si>
    <t>553.16</t>
  </si>
  <si>
    <t>04/15/2020</t>
  </si>
  <si>
    <t>PLATTE COUNTY</t>
  </si>
  <si>
    <t>240830000</t>
  </si>
  <si>
    <t>19-3.0-06-400-013-002.000</t>
  </si>
  <si>
    <t>313154-415</t>
  </si>
  <si>
    <t>3682.00</t>
  </si>
  <si>
    <t>CHESTERFIELD COUNTY</t>
  </si>
  <si>
    <t>450210000</t>
  </si>
  <si>
    <t>727-67-15-69-000-000</t>
  </si>
  <si>
    <t>318640-494</t>
  </si>
  <si>
    <t>6178.73</t>
  </si>
  <si>
    <t>797-63-51-56-800-000</t>
  </si>
  <si>
    <t>322249-537</t>
  </si>
  <si>
    <t>760.76</t>
  </si>
  <si>
    <t>WARREN COUNTY</t>
  </si>
  <si>
    <t>450900000</t>
  </si>
  <si>
    <t>20A811 8</t>
  </si>
  <si>
    <t>314748-434</t>
  </si>
  <si>
    <t>303.55</t>
  </si>
  <si>
    <t>04/07/2020</t>
  </si>
  <si>
    <t>308.22</t>
  </si>
  <si>
    <t>120.00</t>
  </si>
  <si>
    <t>345.84</t>
  </si>
  <si>
    <t>230300000</t>
  </si>
  <si>
    <t>61038123.000</t>
  </si>
  <si>
    <t>321496-527</t>
  </si>
  <si>
    <t>2274.65</t>
  </si>
  <si>
    <t>NEW ORLEANS CITY</t>
  </si>
  <si>
    <t>170360101</t>
  </si>
  <si>
    <t>1645-SHIRLEYDR</t>
  </si>
  <si>
    <t>322822-537</t>
  </si>
  <si>
    <t>297.03</t>
  </si>
  <si>
    <t>111.95</t>
  </si>
  <si>
    <t>2678-ACACIAST</t>
  </si>
  <si>
    <t>318872-494</t>
  </si>
  <si>
    <t>716.62</t>
  </si>
  <si>
    <t>4913-PAPANIADR</t>
  </si>
  <si>
    <t>319431-496</t>
  </si>
  <si>
    <t>453.49</t>
  </si>
  <si>
    <t>7181-ERENAISSANCECT</t>
  </si>
  <si>
    <t>322826-537</t>
  </si>
  <si>
    <t>1103.24</t>
  </si>
  <si>
    <t>BOONE COUNTY</t>
  </si>
  <si>
    <t>240100000</t>
  </si>
  <si>
    <t>12-701-00-01-170.00</t>
  </si>
  <si>
    <t>328679-584</t>
  </si>
  <si>
    <t>2534.04</t>
  </si>
  <si>
    <t>2238.58</t>
  </si>
  <si>
    <t>CAPE GIRARDEAU COUNTY</t>
  </si>
  <si>
    <t>240160000</t>
  </si>
  <si>
    <t>05-300-02-00-00901-0000</t>
  </si>
  <si>
    <t>330385-597</t>
  </si>
  <si>
    <t>443.04</t>
  </si>
  <si>
    <t>16-712-00-04-00800-0000</t>
  </si>
  <si>
    <t>316490-461</t>
  </si>
  <si>
    <t>1316.50</t>
  </si>
  <si>
    <t>16-718-00-16-01900-0000</t>
  </si>
  <si>
    <t>325984-555</t>
  </si>
  <si>
    <t>1078.99</t>
  </si>
  <si>
    <t>2001.01</t>
  </si>
  <si>
    <t>GREENE COUNTY</t>
  </si>
  <si>
    <t>240390000</t>
  </si>
  <si>
    <t>88-12-07-214-011</t>
  </si>
  <si>
    <t>318384-493</t>
  </si>
  <si>
    <t>740.20</t>
  </si>
  <si>
    <t>241100000</t>
  </si>
  <si>
    <t>12-29.0-2-12-001.000.000</t>
  </si>
  <si>
    <t>314268-429</t>
  </si>
  <si>
    <t>935.53</t>
  </si>
  <si>
    <t>ALDINE ISD</t>
  </si>
  <si>
    <t>421010603</t>
  </si>
  <si>
    <t>122-632-001-0001</t>
  </si>
  <si>
    <t>312306-403</t>
  </si>
  <si>
    <t>1538.05</t>
  </si>
  <si>
    <t>GALVESTON COUNTY</t>
  </si>
  <si>
    <t>420840000</t>
  </si>
  <si>
    <t>120082</t>
  </si>
  <si>
    <t>330457-597</t>
  </si>
  <si>
    <t>1470.68</t>
  </si>
  <si>
    <t>KLEIN ISD</t>
  </si>
  <si>
    <t>421010615</t>
  </si>
  <si>
    <t>017-1144470160004</t>
  </si>
  <si>
    <t>1147.24</t>
  </si>
  <si>
    <t>1106.00</t>
  </si>
  <si>
    <t>850.31</t>
  </si>
  <si>
    <t>709.31</t>
  </si>
  <si>
    <t>1064.69</t>
  </si>
  <si>
    <t>017-1151840030050</t>
  </si>
  <si>
    <t>326166-555</t>
  </si>
  <si>
    <t>1922.13</t>
  </si>
  <si>
    <t>017-1255200040019</t>
  </si>
  <si>
    <t>310634-363</t>
  </si>
  <si>
    <t>2403.62</t>
  </si>
  <si>
    <t>MIDLAND CENTRAL APPRAISAL DISTRICT</t>
  </si>
  <si>
    <t>421650000</t>
  </si>
  <si>
    <t>00036100.003.0350.</t>
  </si>
  <si>
    <t>320267-509</t>
  </si>
  <si>
    <t>3691.17</t>
  </si>
  <si>
    <t>TRAVIS COUNTY</t>
  </si>
  <si>
    <t>422270000</t>
  </si>
  <si>
    <t>02-1926-0230-0000</t>
  </si>
  <si>
    <t>325176-554</t>
  </si>
  <si>
    <t>675.62</t>
  </si>
  <si>
    <t>04/10/2020</t>
  </si>
  <si>
    <t>03-0516-0614-0000</t>
  </si>
  <si>
    <t>312879-411</t>
  </si>
  <si>
    <t>1016.76</t>
  </si>
  <si>
    <t>UNITED ISD</t>
  </si>
  <si>
    <t>422400601</t>
  </si>
  <si>
    <t>951-00012-002</t>
  </si>
  <si>
    <t>318948-494</t>
  </si>
  <si>
    <t>503.57</t>
  </si>
  <si>
    <t>WALKER COUNTY</t>
  </si>
  <si>
    <t>422360000</t>
  </si>
  <si>
    <t>5300-121-0-15100</t>
  </si>
  <si>
    <t>309151-342</t>
  </si>
  <si>
    <t>1644.84</t>
  </si>
  <si>
    <t>1676.49</t>
  </si>
  <si>
    <t>1929.25</t>
  </si>
  <si>
    <t>1732.60</t>
  </si>
  <si>
    <t>1725.50</t>
  </si>
  <si>
    <t>1639.32</t>
  </si>
  <si>
    <t>422460000</t>
  </si>
  <si>
    <t>R361602</t>
  </si>
  <si>
    <t>307335-045</t>
  </si>
  <si>
    <t>4589.34</t>
  </si>
  <si>
    <t>04/12/2020</t>
  </si>
  <si>
    <t>4759.77</t>
  </si>
  <si>
    <t>R389647</t>
  </si>
  <si>
    <t>319508-496</t>
  </si>
  <si>
    <t>4989.94</t>
  </si>
  <si>
    <t>5039.25</t>
  </si>
  <si>
    <t>NEW HAVEN CITY</t>
  </si>
  <si>
    <t>060050106</t>
  </si>
  <si>
    <t>351 1109 01700</t>
  </si>
  <si>
    <t>320129-509</t>
  </si>
  <si>
    <t>122.62</t>
  </si>
  <si>
    <t>ROCKY HILL TOWN</t>
  </si>
  <si>
    <t>060020218</t>
  </si>
  <si>
    <t>001127</t>
  </si>
  <si>
    <t>313684-429</t>
  </si>
  <si>
    <t>3095.14</t>
  </si>
  <si>
    <t>WEST HAVEN CITY</t>
  </si>
  <si>
    <t>060050108</t>
  </si>
  <si>
    <t>12582</t>
  </si>
  <si>
    <t>320805-513</t>
  </si>
  <si>
    <t>3231.52</t>
  </si>
  <si>
    <t>04/01/2020</t>
  </si>
  <si>
    <t>FOREST PARK CITY</t>
  </si>
  <si>
    <t>100310102</t>
  </si>
  <si>
    <t>13079CD029</t>
  </si>
  <si>
    <t>328323-584</t>
  </si>
  <si>
    <t>261.20</t>
  </si>
  <si>
    <t>RANDOLPH COUNTY</t>
  </si>
  <si>
    <t>240880000</t>
  </si>
  <si>
    <t>10-1.0-01.0-3.0-002-043.000</t>
  </si>
  <si>
    <t>328680-584</t>
  </si>
  <si>
    <t>406.77</t>
  </si>
  <si>
    <t>COPIAH COUNTY</t>
  </si>
  <si>
    <t>230150000</t>
  </si>
  <si>
    <t>012146 1-127 -15-014.00</t>
  </si>
  <si>
    <t>314108-429</t>
  </si>
  <si>
    <t>280.30</t>
  </si>
  <si>
    <t>PEEKSKILL CITY</t>
  </si>
  <si>
    <t>310600102</t>
  </si>
  <si>
    <t>551200-023.013-0008-034.000-0000</t>
  </si>
  <si>
    <t>320870-513</t>
  </si>
  <si>
    <t>2423.44</t>
  </si>
  <si>
    <t>04/03/2020</t>
  </si>
  <si>
    <t>5890.43</t>
  </si>
  <si>
    <t>4963.46</t>
  </si>
  <si>
    <t>6591.80</t>
  </si>
  <si>
    <t>FRONT ROYAL TOWN</t>
  </si>
  <si>
    <t>450900201</t>
  </si>
  <si>
    <t>71.28</t>
  </si>
  <si>
    <t>20A811 17</t>
  </si>
  <si>
    <t>142.60</t>
  </si>
  <si>
    <t>LOUDOUN COUNTY</t>
  </si>
  <si>
    <t>450530000</t>
  </si>
  <si>
    <t>019-46-9933-000</t>
  </si>
  <si>
    <t>328156-584</t>
  </si>
  <si>
    <t>1985.70</t>
  </si>
  <si>
    <t>156-29-9574-000</t>
  </si>
  <si>
    <t>317152-472</t>
  </si>
  <si>
    <t>4200.01</t>
  </si>
  <si>
    <t>189-36-6568-021</t>
  </si>
  <si>
    <t>325154-554</t>
  </si>
  <si>
    <t>8.86</t>
  </si>
  <si>
    <t>1027.98</t>
  </si>
  <si>
    <t>1209.22</t>
  </si>
  <si>
    <t>310-36-3632-000</t>
  </si>
  <si>
    <t>314705-434</t>
  </si>
  <si>
    <t>1795.14</t>
  </si>
  <si>
    <t>1759.47</t>
  </si>
  <si>
    <t>ROANOKE CITY</t>
  </si>
  <si>
    <t>457702300</t>
  </si>
  <si>
    <t>3340713</t>
  </si>
  <si>
    <t>325508-555</t>
  </si>
  <si>
    <t>9.67</t>
  </si>
  <si>
    <t>04/02/2020</t>
  </si>
  <si>
    <t>3340715</t>
  </si>
  <si>
    <t>6.69</t>
  </si>
  <si>
    <t>YORK COUNTY</t>
  </si>
  <si>
    <t>450950000</t>
  </si>
  <si>
    <t>H13C-0728-0393</t>
  </si>
  <si>
    <t>321860-536</t>
  </si>
  <si>
    <t>1115.78</t>
  </si>
  <si>
    <t>BEACON FALLS TOWN</t>
  </si>
  <si>
    <t>060050213</t>
  </si>
  <si>
    <t>00177000</t>
  </si>
  <si>
    <t>327908-584</t>
  </si>
  <si>
    <t>1710.46</t>
  </si>
  <si>
    <t>NAUGATUCK BOROUGH</t>
  </si>
  <si>
    <t>060051701</t>
  </si>
  <si>
    <t>005-9100</t>
  </si>
  <si>
    <t>315323-444</t>
  </si>
  <si>
    <t>2901.39</t>
  </si>
  <si>
    <t>072-1200</t>
  </si>
  <si>
    <t>316216-461</t>
  </si>
  <si>
    <t>2226.90</t>
  </si>
  <si>
    <t>NORTH HAVEN TOWN</t>
  </si>
  <si>
    <t>060050219</t>
  </si>
  <si>
    <t>045900</t>
  </si>
  <si>
    <t>304076-033</t>
  </si>
  <si>
    <t>3988.70</t>
  </si>
  <si>
    <t>086350</t>
  </si>
  <si>
    <t>RB18102</t>
  </si>
  <si>
    <t>2229.53</t>
  </si>
  <si>
    <t>WATERFORD TOWN</t>
  </si>
  <si>
    <t>060060204</t>
  </si>
  <si>
    <t>00159100</t>
  </si>
  <si>
    <t>327907-584</t>
  </si>
  <si>
    <t>2244.00</t>
  </si>
  <si>
    <t>00514700</t>
  </si>
  <si>
    <t>327905-584</t>
  </si>
  <si>
    <t>3081.72</t>
  </si>
  <si>
    <t>00757500</t>
  </si>
  <si>
    <t>321706-535</t>
  </si>
  <si>
    <t>3380.69</t>
  </si>
  <si>
    <t>DISTRICT OF COLUMBIA</t>
  </si>
  <si>
    <t>080010101</t>
  </si>
  <si>
    <t>0212 2211</t>
  </si>
  <si>
    <t>321017-513</t>
  </si>
  <si>
    <t>115.57</t>
  </si>
  <si>
    <t>0281 2272</t>
  </si>
  <si>
    <t>312130-398</t>
  </si>
  <si>
    <t>182.01</t>
  </si>
  <si>
    <t>0455 2111</t>
  </si>
  <si>
    <t>318012-482</t>
  </si>
  <si>
    <t>154.93</t>
  </si>
  <si>
    <t>0540 2270</t>
  </si>
  <si>
    <t>319887-500</t>
  </si>
  <si>
    <t>289.93</t>
  </si>
  <si>
    <t>0834 0804</t>
  </si>
  <si>
    <t>321347-527</t>
  </si>
  <si>
    <t>401.87</t>
  </si>
  <si>
    <t>1212 0185</t>
  </si>
  <si>
    <t>313838-429</t>
  </si>
  <si>
    <t>518.08</t>
  </si>
  <si>
    <t>1822 2031</t>
  </si>
  <si>
    <t>311452-377</t>
  </si>
  <si>
    <t>277.27</t>
  </si>
  <si>
    <t>1977 2195</t>
  </si>
  <si>
    <t>318614-494</t>
  </si>
  <si>
    <t>141.32</t>
  </si>
  <si>
    <t>2042 0002</t>
  </si>
  <si>
    <t>325399-555</t>
  </si>
  <si>
    <t>828.07</t>
  </si>
  <si>
    <t>2600 0089</t>
  </si>
  <si>
    <t>319881-500</t>
  </si>
  <si>
    <t>528.02</t>
  </si>
  <si>
    <t>3023 0013</t>
  </si>
  <si>
    <t>321019-513</t>
  </si>
  <si>
    <t>353.81</t>
  </si>
  <si>
    <t>3052 0153</t>
  </si>
  <si>
    <t>319878-500</t>
  </si>
  <si>
    <t>3148.29</t>
  </si>
  <si>
    <t>3125 0070</t>
  </si>
  <si>
    <t>324180-539</t>
  </si>
  <si>
    <t>475.53</t>
  </si>
  <si>
    <t>3127 0041</t>
  </si>
  <si>
    <t>308158-310</t>
  </si>
  <si>
    <t>463.93</t>
  </si>
  <si>
    <t>3151 0039</t>
  </si>
  <si>
    <t>317039-466</t>
  </si>
  <si>
    <t>160.77</t>
  </si>
  <si>
    <t>3389 2004</t>
  </si>
  <si>
    <t>313494-421</t>
  </si>
  <si>
    <t>75.31</t>
  </si>
  <si>
    <t>3396 0042</t>
  </si>
  <si>
    <t>325400-555</t>
  </si>
  <si>
    <t>177.22</t>
  </si>
  <si>
    <t>3733 0852</t>
  </si>
  <si>
    <t>324973-550</t>
  </si>
  <si>
    <t>118.76</t>
  </si>
  <si>
    <t>3741 0070</t>
  </si>
  <si>
    <t>318215-493</t>
  </si>
  <si>
    <t>3017.63</t>
  </si>
  <si>
    <t>2575.63</t>
  </si>
  <si>
    <t>2408.38</t>
  </si>
  <si>
    <t>3786 0011</t>
  </si>
  <si>
    <t>317640-481</t>
  </si>
  <si>
    <t>183.54</t>
  </si>
  <si>
    <t>3891 0131</t>
  </si>
  <si>
    <t>312131-398</t>
  </si>
  <si>
    <t>283.29</t>
  </si>
  <si>
    <t>3891 0801</t>
  </si>
  <si>
    <t>17.70</t>
  </si>
  <si>
    <t>3900 0026</t>
  </si>
  <si>
    <t>325401-555</t>
  </si>
  <si>
    <t>222.21</t>
  </si>
  <si>
    <t>3912 0038</t>
  </si>
  <si>
    <t>318216-493</t>
  </si>
  <si>
    <t>140.47</t>
  </si>
  <si>
    <t>3920 0083</t>
  </si>
  <si>
    <t>316890-466</t>
  </si>
  <si>
    <t>216.44</t>
  </si>
  <si>
    <t>4079S 2005</t>
  </si>
  <si>
    <t>321851-536</t>
  </si>
  <si>
    <t>133.30</t>
  </si>
  <si>
    <t>4127 0817</t>
  </si>
  <si>
    <t>321020-513</t>
  </si>
  <si>
    <t>150.17</t>
  </si>
  <si>
    <t>4289 0028</t>
  </si>
  <si>
    <t>324598-550</t>
  </si>
  <si>
    <t>61.43</t>
  </si>
  <si>
    <t>4302 0819</t>
  </si>
  <si>
    <t>315994-459</t>
  </si>
  <si>
    <t>224.88</t>
  </si>
  <si>
    <t>4304E 0818</t>
  </si>
  <si>
    <t>321811-535</t>
  </si>
  <si>
    <t>234.81</t>
  </si>
  <si>
    <t>4342 0038</t>
  </si>
  <si>
    <t>319882-500</t>
  </si>
  <si>
    <t>121.69</t>
  </si>
  <si>
    <t>5056 2015</t>
  </si>
  <si>
    <t>325402-555</t>
  </si>
  <si>
    <t>100.89</t>
  </si>
  <si>
    <t>5172 0086</t>
  </si>
  <si>
    <t>325403-555</t>
  </si>
  <si>
    <t>75.21</t>
  </si>
  <si>
    <t>5389 0105</t>
  </si>
  <si>
    <t>324985-550</t>
  </si>
  <si>
    <t>111.61</t>
  </si>
  <si>
    <t>5402 0117</t>
  </si>
  <si>
    <t>319883-500</t>
  </si>
  <si>
    <t>152.64</t>
  </si>
  <si>
    <t>5561 0031</t>
  </si>
  <si>
    <t>319884-500</t>
  </si>
  <si>
    <t>135.25</t>
  </si>
  <si>
    <t>5561 0032</t>
  </si>
  <si>
    <t>319885-500</t>
  </si>
  <si>
    <t>131.02</t>
  </si>
  <si>
    <t>5603 0087</t>
  </si>
  <si>
    <t>305214-037</t>
  </si>
  <si>
    <t>67.43</t>
  </si>
  <si>
    <t>5624 0152</t>
  </si>
  <si>
    <t>319886-500</t>
  </si>
  <si>
    <t>97.07</t>
  </si>
  <si>
    <t>5773 0974</t>
  </si>
  <si>
    <t>323327-538</t>
  </si>
  <si>
    <t>150.93</t>
  </si>
  <si>
    <t>5850 0019</t>
  </si>
  <si>
    <t>319602-498</t>
  </si>
  <si>
    <t>118.98</t>
  </si>
  <si>
    <t>5870 0080</t>
  </si>
  <si>
    <t>317395-481</t>
  </si>
  <si>
    <t>120.66</t>
  </si>
  <si>
    <t>5871 2006</t>
  </si>
  <si>
    <t>325405-555</t>
  </si>
  <si>
    <t>136.03</t>
  </si>
  <si>
    <t>5885 0061</t>
  </si>
  <si>
    <t>317111-468</t>
  </si>
  <si>
    <t>181.96</t>
  </si>
  <si>
    <t>5889 0028</t>
  </si>
  <si>
    <t>308075-304</t>
  </si>
  <si>
    <t>1575.54</t>
  </si>
  <si>
    <t>1453.83</t>
  </si>
  <si>
    <t>1571.57</t>
  </si>
  <si>
    <t>1520.43</t>
  </si>
  <si>
    <t>5956 2011</t>
  </si>
  <si>
    <t>325408-555</t>
  </si>
  <si>
    <t>37.42</t>
  </si>
  <si>
    <t>6163 2006</t>
  </si>
  <si>
    <t>325407-555</t>
  </si>
  <si>
    <t>15.03</t>
  </si>
  <si>
    <t>6208 0043</t>
  </si>
  <si>
    <t>321021-513</t>
  </si>
  <si>
    <t>597.30</t>
  </si>
  <si>
    <t>6239 2005</t>
  </si>
  <si>
    <t>325406-555</t>
  </si>
  <si>
    <t>308.18</t>
  </si>
  <si>
    <t>504.84</t>
  </si>
  <si>
    <t>495.53</t>
  </si>
  <si>
    <t>6271 0025</t>
  </si>
  <si>
    <t>327368-572</t>
  </si>
  <si>
    <t>1378.98</t>
  </si>
  <si>
    <t>1612.55</t>
  </si>
  <si>
    <t>1432.78</t>
  </si>
  <si>
    <t>1554.79</t>
  </si>
  <si>
    <t>EDISON CITY</t>
  </si>
  <si>
    <t>100190102</t>
  </si>
  <si>
    <t>E11-014</t>
  </si>
  <si>
    <t>328552-584</t>
  </si>
  <si>
    <t>290.78</t>
  </si>
  <si>
    <t>03/26/2020</t>
  </si>
  <si>
    <t>LONG COUNTY</t>
  </si>
  <si>
    <t>100910000</t>
  </si>
  <si>
    <t>034 021</t>
  </si>
  <si>
    <t>313965-429</t>
  </si>
  <si>
    <t>2186.44</t>
  </si>
  <si>
    <t>04/08/2020</t>
  </si>
  <si>
    <t>OGLETHORPE COUNTY</t>
  </si>
  <si>
    <t>101090000</t>
  </si>
  <si>
    <t>049 040</t>
  </si>
  <si>
    <t>321442-527</t>
  </si>
  <si>
    <t>2030.78</t>
  </si>
  <si>
    <t>2078.66</t>
  </si>
  <si>
    <t>ROBESON COUNTY</t>
  </si>
  <si>
    <t>320780000</t>
  </si>
  <si>
    <t>0604-01-014</t>
  </si>
  <si>
    <t>AV1009</t>
  </si>
  <si>
    <t>337.21</t>
  </si>
  <si>
    <t>CITY AND COUNTY OF HONOLULU</t>
  </si>
  <si>
    <t>510010000</t>
  </si>
  <si>
    <t>1-3-9-034-049-0004</t>
  </si>
  <si>
    <t>328972-584</t>
  </si>
  <si>
    <t>1166.37</t>
  </si>
  <si>
    <t>03/25/2020</t>
  </si>
  <si>
    <t>1-4-7-004-030-0043</t>
  </si>
  <si>
    <t>321674-527</t>
  </si>
  <si>
    <t>931.70</t>
  </si>
  <si>
    <t>1-9-1-061-050-0008</t>
  </si>
  <si>
    <t>321233-513</t>
  </si>
  <si>
    <t>574.00</t>
  </si>
  <si>
    <t>664.48</t>
  </si>
  <si>
    <t>664.47</t>
  </si>
  <si>
    <t>1-9-4-096-060-0000</t>
  </si>
  <si>
    <t>318068-483</t>
  </si>
  <si>
    <t>969.15</t>
  </si>
  <si>
    <t>1-9-4-135-048-0000</t>
  </si>
  <si>
    <t>320344-509</t>
  </si>
  <si>
    <t>776.35</t>
  </si>
  <si>
    <t>1221.50</t>
  </si>
  <si>
    <t>1-9-5-001-044-0078</t>
  </si>
  <si>
    <t>319098-494</t>
  </si>
  <si>
    <t>824.60</t>
  </si>
  <si>
    <t>1-9-5-066-061-0000</t>
  </si>
  <si>
    <t>321243-513</t>
  </si>
  <si>
    <t>1615.78</t>
  </si>
  <si>
    <t>1615.77</t>
  </si>
  <si>
    <t>2634.30</t>
  </si>
  <si>
    <t>1-9-5-093-001-0026</t>
  </si>
  <si>
    <t>321244-513</t>
  </si>
  <si>
    <t>1521.80</t>
  </si>
  <si>
    <t>1573.08</t>
  </si>
  <si>
    <t>1573.07</t>
  </si>
  <si>
    <t>1-9-9-058-024-0000</t>
  </si>
  <si>
    <t>318525-493</t>
  </si>
  <si>
    <t>1283.62</t>
  </si>
  <si>
    <t>1-9-9-060-068-0000</t>
  </si>
  <si>
    <t>321245-513</t>
  </si>
  <si>
    <t>1345.05</t>
  </si>
  <si>
    <t>1419.78</t>
  </si>
  <si>
    <t>1419.77</t>
  </si>
  <si>
    <t>HAWAII COUNTY</t>
  </si>
  <si>
    <t>510030000</t>
  </si>
  <si>
    <t>3-1-5-044-081-0000</t>
  </si>
  <si>
    <t>RF18026</t>
  </si>
  <si>
    <t>4.51</t>
  </si>
  <si>
    <t>03/18/2020</t>
  </si>
  <si>
    <t>3-1-5-056-088-0000</t>
  </si>
  <si>
    <t>324513-539</t>
  </si>
  <si>
    <t>204.88</t>
  </si>
  <si>
    <t>1234.20</t>
  </si>
  <si>
    <t>3-2-4-078-036-0000</t>
  </si>
  <si>
    <t>308869-326</t>
  </si>
  <si>
    <t>2027.08</t>
  </si>
  <si>
    <t>2099.08</t>
  </si>
  <si>
    <t>3-5-5-002-049-0000</t>
  </si>
  <si>
    <t>314489-429</t>
  </si>
  <si>
    <t>435.42</t>
  </si>
  <si>
    <t>3-7-5-004-021-0019</t>
  </si>
  <si>
    <t>321236-513</t>
  </si>
  <si>
    <t>55.74</t>
  </si>
  <si>
    <t>66.85</t>
  </si>
  <si>
    <t>66.84</t>
  </si>
  <si>
    <t>3-7-7-026-014-0000</t>
  </si>
  <si>
    <t>321237-513</t>
  </si>
  <si>
    <t>3830.06</t>
  </si>
  <si>
    <t>3830.05</t>
  </si>
  <si>
    <t>4004.88</t>
  </si>
  <si>
    <t>KAUAI COUNTY</t>
  </si>
  <si>
    <t>510040000</t>
  </si>
  <si>
    <t>4-3-8-012-058-0000</t>
  </si>
  <si>
    <t>319097-494</t>
  </si>
  <si>
    <t>620.07</t>
  </si>
  <si>
    <t>4-4-8-008-020-0000</t>
  </si>
  <si>
    <t>RF18054</t>
  </si>
  <si>
    <t>658.07</t>
  </si>
  <si>
    <t>MAUI COUNTY</t>
  </si>
  <si>
    <t>510020000</t>
  </si>
  <si>
    <t>2-2-3-033-147-0000</t>
  </si>
  <si>
    <t>320343-509</t>
  </si>
  <si>
    <t>1887.02</t>
  </si>
  <si>
    <t>1887.01</t>
  </si>
  <si>
    <t>03/31/2020</t>
  </si>
  <si>
    <t>2004.52</t>
  </si>
  <si>
    <t>2-2-5-007-046-0000</t>
  </si>
  <si>
    <t>RB18104</t>
  </si>
  <si>
    <t>1137.64</t>
  </si>
  <si>
    <t>2-3-3-011-110-0000</t>
  </si>
  <si>
    <t>329905-590</t>
  </si>
  <si>
    <t>581.45</t>
  </si>
  <si>
    <t>2-3-8-092-011-0000</t>
  </si>
  <si>
    <t>318104-489</t>
  </si>
  <si>
    <t>833.60</t>
  </si>
  <si>
    <t>2-4-4-001-066-0021</t>
  </si>
  <si>
    <t>324504-539</t>
  </si>
  <si>
    <t>576.42</t>
  </si>
  <si>
    <t>576.41</t>
  </si>
  <si>
    <t>2-4-4-011-024-0000</t>
  </si>
  <si>
    <t>318528-493</t>
  </si>
  <si>
    <t>1403.77</t>
  </si>
  <si>
    <t>3580.92</t>
  </si>
  <si>
    <t>BRAZORIA COUNTY</t>
  </si>
  <si>
    <t>420200000</t>
  </si>
  <si>
    <t>7486-0001-005</t>
  </si>
  <si>
    <t>328751-584</t>
  </si>
  <si>
    <t>3433.94</t>
  </si>
  <si>
    <t>3302.56</t>
  </si>
  <si>
    <t>CYPRESS-FAIRBANKS ISD</t>
  </si>
  <si>
    <t>421010619</t>
  </si>
  <si>
    <t>114-738-005-0012</t>
  </si>
  <si>
    <t>328728-584</t>
  </si>
  <si>
    <t>1132.33</t>
  </si>
  <si>
    <t>1266.81</t>
  </si>
  <si>
    <t>120-397-003-0001</t>
  </si>
  <si>
    <t>1678.05</t>
  </si>
  <si>
    <t>2235.05</t>
  </si>
  <si>
    <t>DALLAS COUNTY</t>
  </si>
  <si>
    <t>420570000</t>
  </si>
  <si>
    <t>00000326839000000</t>
  </si>
  <si>
    <t>316530-461</t>
  </si>
  <si>
    <t>2604.56</t>
  </si>
  <si>
    <t>00000501208000000</t>
  </si>
  <si>
    <t>315027-434</t>
  </si>
  <si>
    <t>42.28</t>
  </si>
  <si>
    <t>00000715516000000</t>
  </si>
  <si>
    <t>311155-368</t>
  </si>
  <si>
    <t>1815.29</t>
  </si>
  <si>
    <t>1959.36</t>
  </si>
  <si>
    <t>0060480X000170000</t>
  </si>
  <si>
    <t>305685-036</t>
  </si>
  <si>
    <t>1713.32</t>
  </si>
  <si>
    <t>3880.33</t>
  </si>
  <si>
    <t>32057500070010000</t>
  </si>
  <si>
    <t>316524-461</t>
  </si>
  <si>
    <t>550.53</t>
  </si>
  <si>
    <t>38120500020140000</t>
  </si>
  <si>
    <t>318097-488</t>
  </si>
  <si>
    <t>796.79</t>
  </si>
  <si>
    <t>ECAD000000228814</t>
  </si>
  <si>
    <t>315024-434</t>
  </si>
  <si>
    <t>35.70</t>
  </si>
  <si>
    <t>2176.65</t>
  </si>
  <si>
    <t>GARLAND CITY</t>
  </si>
  <si>
    <t>420570119</t>
  </si>
  <si>
    <t>413.92</t>
  </si>
  <si>
    <t>03/16/2020</t>
  </si>
  <si>
    <t>HARRIS COUNTY</t>
  </si>
  <si>
    <t>421010000</t>
  </si>
  <si>
    <t>061-168-036-0022</t>
  </si>
  <si>
    <t>600204-551</t>
  </si>
  <si>
    <t>7854.07</t>
  </si>
  <si>
    <t>077-204-032-0001</t>
  </si>
  <si>
    <t>326093-555</t>
  </si>
  <si>
    <t>9282.53</t>
  </si>
  <si>
    <t>082-210-000-0012</t>
  </si>
  <si>
    <t>314321-429</t>
  </si>
  <si>
    <t>1507.40</t>
  </si>
  <si>
    <t>083-211-000-0008</t>
  </si>
  <si>
    <t>330454-597</t>
  </si>
  <si>
    <t>2040.64</t>
  </si>
  <si>
    <t>100-131-000-0030</t>
  </si>
  <si>
    <t>309095-339</t>
  </si>
  <si>
    <t>1006.10</t>
  </si>
  <si>
    <t>109-852-000-0005</t>
  </si>
  <si>
    <t>304018-033</t>
  </si>
  <si>
    <t>1562.39</t>
  </si>
  <si>
    <t>112-014-000-0371</t>
  </si>
  <si>
    <t>C16048</t>
  </si>
  <si>
    <t>80.29</t>
  </si>
  <si>
    <t>81.40</t>
  </si>
  <si>
    <t>114-447-016-0004</t>
  </si>
  <si>
    <t>204.57</t>
  </si>
  <si>
    <t>186.46</t>
  </si>
  <si>
    <t>185.19</t>
  </si>
  <si>
    <t>205.12</t>
  </si>
  <si>
    <t>229.88</t>
  </si>
  <si>
    <t>254.42</t>
  </si>
  <si>
    <t>316.27</t>
  </si>
  <si>
    <t>398.04</t>
  </si>
  <si>
    <t>483.55</t>
  </si>
  <si>
    <t>1045.08</t>
  </si>
  <si>
    <t>1159.75</t>
  </si>
  <si>
    <t>114-793-000-0032</t>
  </si>
  <si>
    <t>326098-555</t>
  </si>
  <si>
    <t>17.29</t>
  </si>
  <si>
    <t>1405.00</t>
  </si>
  <si>
    <t>1482.81</t>
  </si>
  <si>
    <t>1542.01</t>
  </si>
  <si>
    <t>1004.91</t>
  </si>
  <si>
    <t>125-520-004-0019</t>
  </si>
  <si>
    <t>1477.90</t>
  </si>
  <si>
    <t>HIDALGO COUNTY</t>
  </si>
  <si>
    <t>421080000</t>
  </si>
  <si>
    <t>W0100-00-048-0004-14</t>
  </si>
  <si>
    <t>309733-352</t>
  </si>
  <si>
    <t>2202.10</t>
  </si>
  <si>
    <t>IRION COUNTY</t>
  </si>
  <si>
    <t>421180000</t>
  </si>
  <si>
    <t>001400305000000000000</t>
  </si>
  <si>
    <t>319459-496</t>
  </si>
  <si>
    <t>969.60</t>
  </si>
  <si>
    <t>SPRING BRANCH ISD</t>
  </si>
  <si>
    <t>421010604</t>
  </si>
  <si>
    <t>114-243-001-0031</t>
  </si>
  <si>
    <t>316762-465</t>
  </si>
  <si>
    <t>1488.19</t>
  </si>
  <si>
    <t>TARRANT COUNTY</t>
  </si>
  <si>
    <t>422200000</t>
  </si>
  <si>
    <t>00002494310</t>
  </si>
  <si>
    <t>302902-026</t>
  </si>
  <si>
    <t>5812.85</t>
  </si>
  <si>
    <t>00004044258</t>
  </si>
  <si>
    <t>318413-493</t>
  </si>
  <si>
    <t>1560.90</t>
  </si>
  <si>
    <t>1690.50</t>
  </si>
  <si>
    <t>00005145929</t>
  </si>
  <si>
    <t>305448-036</t>
  </si>
  <si>
    <t>3638.98</t>
  </si>
  <si>
    <t>00007046677</t>
  </si>
  <si>
    <t>316839-466</t>
  </si>
  <si>
    <t>4645.62</t>
  </si>
  <si>
    <t>00007262566</t>
  </si>
  <si>
    <t>314317-429</t>
  </si>
  <si>
    <t>5468.63</t>
  </si>
  <si>
    <t>130290000</t>
  </si>
  <si>
    <t>11-07-30-04-08-049.000</t>
  </si>
  <si>
    <t>321531-527</t>
  </si>
  <si>
    <t>1991.68</t>
  </si>
  <si>
    <t>03/27/2020</t>
  </si>
  <si>
    <t>13-15-04-00-00-021.000</t>
  </si>
  <si>
    <t>325891-555</t>
  </si>
  <si>
    <t>1466.06</t>
  </si>
  <si>
    <t>17-10-19-00-10-027.000</t>
  </si>
  <si>
    <t>322630-537</t>
  </si>
  <si>
    <t>2095.19</t>
  </si>
  <si>
    <t>KING GEORGE COUNTY</t>
  </si>
  <si>
    <t>450490000</t>
  </si>
  <si>
    <t>021A 10 116</t>
  </si>
  <si>
    <t>318250-493</t>
  </si>
  <si>
    <t>1324.05</t>
  </si>
  <si>
    <t>KING WILLIAM COUNTY</t>
  </si>
  <si>
    <t>450500000</t>
  </si>
  <si>
    <t>029 25</t>
  </si>
  <si>
    <t>321858-536</t>
  </si>
  <si>
    <t>679.42</t>
  </si>
  <si>
    <t>664.65</t>
  </si>
  <si>
    <t>649.88</t>
  </si>
  <si>
    <t>635.11</t>
  </si>
  <si>
    <t>EAST HARTFORD TOWN</t>
  </si>
  <si>
    <t>060020202</t>
  </si>
  <si>
    <t>00005061</t>
  </si>
  <si>
    <t>325102-553</t>
  </si>
  <si>
    <t>2531.38</t>
  </si>
  <si>
    <t>00015005</t>
  </si>
  <si>
    <t>321990-537</t>
  </si>
  <si>
    <t>4945.38</t>
  </si>
  <si>
    <t>MIDDLETOWN CITY</t>
  </si>
  <si>
    <t>060040101</t>
  </si>
  <si>
    <t>R11585</t>
  </si>
  <si>
    <t>312439-411</t>
  </si>
  <si>
    <t>2359.26</t>
  </si>
  <si>
    <t>WINCHESTER TOWN</t>
  </si>
  <si>
    <t>060030227</t>
  </si>
  <si>
    <t>000723</t>
  </si>
  <si>
    <t>306455-041</t>
  </si>
  <si>
    <t>380.86</t>
  </si>
  <si>
    <t>BALTIMORE INDEPENDENT CITY</t>
  </si>
  <si>
    <t>195102301</t>
  </si>
  <si>
    <t>040100608 007</t>
  </si>
  <si>
    <t>CRE018</t>
  </si>
  <si>
    <t>8651.95</t>
  </si>
  <si>
    <t>090103903 033</t>
  </si>
  <si>
    <t>312534-411</t>
  </si>
  <si>
    <t>2610.16</t>
  </si>
  <si>
    <t>162402372 010</t>
  </si>
  <si>
    <t>318238-493</t>
  </si>
  <si>
    <t>1522.20</t>
  </si>
  <si>
    <t>GREENBURGH TOWN</t>
  </si>
  <si>
    <t>310600203</t>
  </si>
  <si>
    <t>55260500505001040010000000</t>
  </si>
  <si>
    <t>314542-431</t>
  </si>
  <si>
    <t>1535.42</t>
  </si>
  <si>
    <t>03/23/2020</t>
  </si>
  <si>
    <t>55261100107000380120000000</t>
  </si>
  <si>
    <t>324025-539</t>
  </si>
  <si>
    <t>9429.02</t>
  </si>
  <si>
    <t>1860.11</t>
  </si>
  <si>
    <t>MOBILE COUNTY</t>
  </si>
  <si>
    <t>010490000</t>
  </si>
  <si>
    <t>00470706</t>
  </si>
  <si>
    <t>311824-389</t>
  </si>
  <si>
    <t>674.37</t>
  </si>
  <si>
    <t>00560538</t>
  </si>
  <si>
    <t>322553-537</t>
  </si>
  <si>
    <t>434.65</t>
  </si>
  <si>
    <t>00983528</t>
  </si>
  <si>
    <t>311810-389</t>
  </si>
  <si>
    <t>366.07</t>
  </si>
  <si>
    <t>01058642</t>
  </si>
  <si>
    <t>319693-499</t>
  </si>
  <si>
    <t>1870.71</t>
  </si>
  <si>
    <t>01079610</t>
  </si>
  <si>
    <t>306361-041</t>
  </si>
  <si>
    <t>476.56</t>
  </si>
  <si>
    <t>01202763</t>
  </si>
  <si>
    <t>328528-584</t>
  </si>
  <si>
    <t>353.01</t>
  </si>
  <si>
    <t>01747916</t>
  </si>
  <si>
    <t>305477-036</t>
  </si>
  <si>
    <t>172.18</t>
  </si>
  <si>
    <t>02394527</t>
  </si>
  <si>
    <t>316743-465</t>
  </si>
  <si>
    <t>1074.69</t>
  </si>
  <si>
    <t>02716573</t>
  </si>
  <si>
    <t>319970-500</t>
  </si>
  <si>
    <t>788.54</t>
  </si>
  <si>
    <t>02851603</t>
  </si>
  <si>
    <t>307032-045</t>
  </si>
  <si>
    <t>599.39</t>
  </si>
  <si>
    <t>02865448</t>
  </si>
  <si>
    <t>317836-481</t>
  </si>
  <si>
    <t>2843.97</t>
  </si>
  <si>
    <t>03556020</t>
  </si>
  <si>
    <t>322554-537</t>
  </si>
  <si>
    <t>1012.61</t>
  </si>
  <si>
    <t>03625544</t>
  </si>
  <si>
    <t>A16015</t>
  </si>
  <si>
    <t>8407.40</t>
  </si>
  <si>
    <t>MORGAN COUNTY</t>
  </si>
  <si>
    <t>010520000</t>
  </si>
  <si>
    <t>52-23-08-28-0-000-014.000</t>
  </si>
  <si>
    <t>319344-496</t>
  </si>
  <si>
    <t>110.71</t>
  </si>
  <si>
    <t>LINCOLN TOWN</t>
  </si>
  <si>
    <t>280050223</t>
  </si>
  <si>
    <t>118-039-001-04-0000D</t>
  </si>
  <si>
    <t>327881-584</t>
  </si>
  <si>
    <t>4404.62</t>
  </si>
  <si>
    <t>COLLIN COUNTY</t>
  </si>
  <si>
    <t>420430000</t>
  </si>
  <si>
    <t>R425700F00201</t>
  </si>
  <si>
    <t>312301-403</t>
  </si>
  <si>
    <t>4749.57</t>
  </si>
  <si>
    <t>03/20/2020</t>
  </si>
  <si>
    <t>ELLIS COUNTY</t>
  </si>
  <si>
    <t>420700000</t>
  </si>
  <si>
    <t>162632</t>
  </si>
  <si>
    <t>310629-363</t>
  </si>
  <si>
    <t>1052.36</t>
  </si>
  <si>
    <t>3521.79</t>
  </si>
  <si>
    <t>228814</t>
  </si>
  <si>
    <t>2209.19</t>
  </si>
  <si>
    <t>4131.09</t>
  </si>
  <si>
    <t>4319.02</t>
  </si>
  <si>
    <t>PASADENA ISD</t>
  </si>
  <si>
    <t>421010608</t>
  </si>
  <si>
    <t>073-107-001-0069</t>
  </si>
  <si>
    <t>318943-494</t>
  </si>
  <si>
    <t>71.57</t>
  </si>
  <si>
    <t>081-274-000-0020</t>
  </si>
  <si>
    <t>312868-411</t>
  </si>
  <si>
    <t>618.03</t>
  </si>
  <si>
    <t>085-097-000-0062</t>
  </si>
  <si>
    <t>307012-045</t>
  </si>
  <si>
    <t>775.93</t>
  </si>
  <si>
    <t>SAN JACINTO COUNTY</t>
  </si>
  <si>
    <t>422040000</t>
  </si>
  <si>
    <t>R76518</t>
  </si>
  <si>
    <t>318928-494</t>
  </si>
  <si>
    <t>742.14</t>
  </si>
  <si>
    <t>03/12/2020</t>
  </si>
  <si>
    <t>691.81</t>
  </si>
  <si>
    <t>543.18</t>
  </si>
  <si>
    <t>515.76</t>
  </si>
  <si>
    <t>488.37</t>
  </si>
  <si>
    <t>478.07</t>
  </si>
  <si>
    <t>371.01</t>
  </si>
  <si>
    <t>345.65</t>
  </si>
  <si>
    <t>324.32</t>
  </si>
  <si>
    <t>310.55</t>
  </si>
  <si>
    <t>309.33</t>
  </si>
  <si>
    <t>LEESBURG TOWN_(DELQ ONLY)</t>
  </si>
  <si>
    <t>450530201</t>
  </si>
  <si>
    <t>174.33</t>
  </si>
  <si>
    <t>04/05/2020</t>
  </si>
  <si>
    <t>PITTSYLVANIA COUNTY</t>
  </si>
  <si>
    <t>450690000</t>
  </si>
  <si>
    <t>2317096319</t>
  </si>
  <si>
    <t>308161-310</t>
  </si>
  <si>
    <t>138.60</t>
  </si>
  <si>
    <t>03/28/2020</t>
  </si>
  <si>
    <t>459.73</t>
  </si>
  <si>
    <t>2401997019</t>
  </si>
  <si>
    <t>307412-045</t>
  </si>
  <si>
    <t>139.70</t>
  </si>
  <si>
    <t>STRATFORD TOWN</t>
  </si>
  <si>
    <t>060010206</t>
  </si>
  <si>
    <t>0319200</t>
  </si>
  <si>
    <t>320131-509</t>
  </si>
  <si>
    <t>396.00</t>
  </si>
  <si>
    <t>1090800</t>
  </si>
  <si>
    <t>319137-496</t>
  </si>
  <si>
    <t>1482400</t>
  </si>
  <si>
    <t>305645-036</t>
  </si>
  <si>
    <t>450.00</t>
  </si>
  <si>
    <t>2408.24</t>
  </si>
  <si>
    <t>MANVILLE FIRE DIST</t>
  </si>
  <si>
    <t>380042209</t>
  </si>
  <si>
    <t>F15-03000-03</t>
  </si>
  <si>
    <t>329031-590</t>
  </si>
  <si>
    <t>308.99</t>
  </si>
  <si>
    <t>BETHANY TOWN</t>
  </si>
  <si>
    <t>060050212</t>
  </si>
  <si>
    <t>00021900</t>
  </si>
  <si>
    <t>321291-527</t>
  </si>
  <si>
    <t>3799.23</t>
  </si>
  <si>
    <t>03/19/2020</t>
  </si>
  <si>
    <t>00037100</t>
  </si>
  <si>
    <t>324081-539</t>
  </si>
  <si>
    <t>7078.35</t>
  </si>
  <si>
    <t>BLOOMFIELD TOWN</t>
  </si>
  <si>
    <t>060020227</t>
  </si>
  <si>
    <t>R01079</t>
  </si>
  <si>
    <t>311081-368</t>
  </si>
  <si>
    <t>48.18</t>
  </si>
  <si>
    <t>R02391</t>
  </si>
  <si>
    <t>305457-036</t>
  </si>
  <si>
    <t>96.37</t>
  </si>
  <si>
    <t>R03240</t>
  </si>
  <si>
    <t>321986-537</t>
  </si>
  <si>
    <t>46.49</t>
  </si>
  <si>
    <t>HAMDEN TOWN</t>
  </si>
  <si>
    <t>060050202</t>
  </si>
  <si>
    <t>2225-417-00-0000</t>
  </si>
  <si>
    <t>305577-036</t>
  </si>
  <si>
    <t>2443.74</t>
  </si>
  <si>
    <t>2325-198-00-0000</t>
  </si>
  <si>
    <t>326744-571</t>
  </si>
  <si>
    <t>2667.76</t>
  </si>
  <si>
    <t>HARTFORD CITY</t>
  </si>
  <si>
    <t>060020101</t>
  </si>
  <si>
    <t>167729084</t>
  </si>
  <si>
    <t>318150-493</t>
  </si>
  <si>
    <t>MANCHESTER TOWN</t>
  </si>
  <si>
    <t>060020206</t>
  </si>
  <si>
    <t>186000036</t>
  </si>
  <si>
    <t>320128-509</t>
  </si>
  <si>
    <t>2053.73</t>
  </si>
  <si>
    <t>03/17/2020</t>
  </si>
  <si>
    <t>NEW LONDON CITY</t>
  </si>
  <si>
    <t>060060101</t>
  </si>
  <si>
    <t>D16 0096 0014</t>
  </si>
  <si>
    <t>327904-584</t>
  </si>
  <si>
    <t>1447.95</t>
  </si>
  <si>
    <t>PORTLAND TOWN</t>
  </si>
  <si>
    <t>060040212</t>
  </si>
  <si>
    <t>00208200</t>
  </si>
  <si>
    <t>308504-323</t>
  </si>
  <si>
    <t>2663.72</t>
  </si>
  <si>
    <t>SOUTHBURY TOWN</t>
  </si>
  <si>
    <t>060050209</t>
  </si>
  <si>
    <t>00257913</t>
  </si>
  <si>
    <t>321999-537</t>
  </si>
  <si>
    <t>7817.43</t>
  </si>
  <si>
    <t>TORRINGTON CITY SEWER</t>
  </si>
  <si>
    <t>060030901</t>
  </si>
  <si>
    <t>0014192</t>
  </si>
  <si>
    <t>322002-537</t>
  </si>
  <si>
    <t>5.90</t>
  </si>
  <si>
    <t>274.00</t>
  </si>
  <si>
    <t>DE SOTO COUNTY</t>
  </si>
  <si>
    <t>230170000</t>
  </si>
  <si>
    <t>2065-2103.0-00026.00</t>
  </si>
  <si>
    <t>314107-429</t>
  </si>
  <si>
    <t>300.00</t>
  </si>
  <si>
    <t>JOHNSON COUNTY</t>
  </si>
  <si>
    <t>421260000</t>
  </si>
  <si>
    <t>126-2784-02080</t>
  </si>
  <si>
    <t>317124-468</t>
  </si>
  <si>
    <t>5733.28</t>
  </si>
  <si>
    <t>LAKE MUD</t>
  </si>
  <si>
    <t>421015982</t>
  </si>
  <si>
    <t>129-316-000-0176</t>
  </si>
  <si>
    <t>324056-539</t>
  </si>
  <si>
    <t>911.79</t>
  </si>
  <si>
    <t>WEBB COUNTY</t>
  </si>
  <si>
    <t>422400000</t>
  </si>
  <si>
    <t>729.16</t>
  </si>
  <si>
    <t>03/24/2020</t>
  </si>
  <si>
    <t>010590000</t>
  </si>
  <si>
    <t>03 8 34 0 015 041.000</t>
  </si>
  <si>
    <t>318324-493</t>
  </si>
  <si>
    <t>1103.49</t>
  </si>
  <si>
    <t>010640000</t>
  </si>
  <si>
    <t>10-07-26-0-000-033.000</t>
  </si>
  <si>
    <t>314084-429</t>
  </si>
  <si>
    <t>132.60</t>
  </si>
  <si>
    <t>10-07-26-0-000-033.001</t>
  </si>
  <si>
    <t>85.54</t>
  </si>
  <si>
    <t>MOUNT PLEASANT TOWN</t>
  </si>
  <si>
    <t>310600207</t>
  </si>
  <si>
    <t>553489-099.006-0002-067.000-0000</t>
  </si>
  <si>
    <t>328014-584</t>
  </si>
  <si>
    <t>13812.39</t>
  </si>
  <si>
    <t>OSSINING VILLAGE</t>
  </si>
  <si>
    <t>310600415</t>
  </si>
  <si>
    <t>554203-089.019-0001-007.000-0093</t>
  </si>
  <si>
    <t>315755-455</t>
  </si>
  <si>
    <t>680.25</t>
  </si>
  <si>
    <t>680.24</t>
  </si>
  <si>
    <t>1523.45</t>
  </si>
  <si>
    <t>PORTCHESTER VILLAGE</t>
  </si>
  <si>
    <t>310600406</t>
  </si>
  <si>
    <t>03/05/2020</t>
  </si>
  <si>
    <t>4530.07</t>
  </si>
  <si>
    <t>TARRYTOWN VILLAGE</t>
  </si>
  <si>
    <t>310600413</t>
  </si>
  <si>
    <t>5974.90</t>
  </si>
  <si>
    <t>03/04/2020</t>
  </si>
  <si>
    <t>FAIRFAX CITY</t>
  </si>
  <si>
    <t>456002300</t>
  </si>
  <si>
    <t>58 3 12 002</t>
  </si>
  <si>
    <t>313880-429</t>
  </si>
  <si>
    <t>1307.77</t>
  </si>
  <si>
    <t>2141.94</t>
  </si>
  <si>
    <t>FAIRFAX COUNTY</t>
  </si>
  <si>
    <t>450290000</t>
  </si>
  <si>
    <t>0171 091B0089</t>
  </si>
  <si>
    <t>311921-393</t>
  </si>
  <si>
    <t>2035.55</t>
  </si>
  <si>
    <t>03/01/2020</t>
  </si>
  <si>
    <t>0171 30 0436</t>
  </si>
  <si>
    <t>319891-500</t>
  </si>
  <si>
    <t>3028.63</t>
  </si>
  <si>
    <t>0302 49 0048</t>
  </si>
  <si>
    <t>315892-457</t>
  </si>
  <si>
    <t>5106.69</t>
  </si>
  <si>
    <t>0401 16 0284</t>
  </si>
  <si>
    <t>318247-493</t>
  </si>
  <si>
    <t>3269.36</t>
  </si>
  <si>
    <t>BURKE COUNTY</t>
  </si>
  <si>
    <t>100170000</t>
  </si>
  <si>
    <t>127A018</t>
  </si>
  <si>
    <t>328333-584</t>
  </si>
  <si>
    <t>1268.38</t>
  </si>
  <si>
    <t>03/06/2020</t>
  </si>
  <si>
    <t>1004.05</t>
  </si>
  <si>
    <t>CALHOUN COUNTY</t>
  </si>
  <si>
    <t>100190000</t>
  </si>
  <si>
    <t>E011 014</t>
  </si>
  <si>
    <t>467.02</t>
  </si>
  <si>
    <t>CARROLL COUNTY</t>
  </si>
  <si>
    <t>100220000</t>
  </si>
  <si>
    <t>C020460056</t>
  </si>
  <si>
    <t>316347-461</t>
  </si>
  <si>
    <t>1217.44</t>
  </si>
  <si>
    <t>03/10/2020</t>
  </si>
  <si>
    <t>COWETA COUNTY</t>
  </si>
  <si>
    <t>100380000</t>
  </si>
  <si>
    <t>111C 026</t>
  </si>
  <si>
    <t>328319-584</t>
  </si>
  <si>
    <t>2320.57</t>
  </si>
  <si>
    <t>G03 0007 003</t>
  </si>
  <si>
    <t>318310-493</t>
  </si>
  <si>
    <t>1482.22</t>
  </si>
  <si>
    <t>DOUGHERTY COUNTY</t>
  </si>
  <si>
    <t>100470000</t>
  </si>
  <si>
    <t>00148-00001-070</t>
  </si>
  <si>
    <t>328348-584</t>
  </si>
  <si>
    <t>1906.90</t>
  </si>
  <si>
    <t>00366-00001-035</t>
  </si>
  <si>
    <t>328349-584</t>
  </si>
  <si>
    <t>151.29</t>
  </si>
  <si>
    <t>ST. MARY'S CITY</t>
  </si>
  <si>
    <t>100200102</t>
  </si>
  <si>
    <t>160C-595</t>
  </si>
  <si>
    <t>328346-584</t>
  </si>
  <si>
    <t>31.68</t>
  </si>
  <si>
    <t>03/03/2020</t>
  </si>
  <si>
    <t>TWIGGS COUNTY</t>
  </si>
  <si>
    <t>101430000</t>
  </si>
  <si>
    <t>T076 -052</t>
  </si>
  <si>
    <t>314526-431</t>
  </si>
  <si>
    <t>261.73</t>
  </si>
  <si>
    <t>03/13/2020</t>
  </si>
  <si>
    <t>247.86</t>
  </si>
  <si>
    <t>HAVRE DE GRACE CITY</t>
  </si>
  <si>
    <t>190130101</t>
  </si>
  <si>
    <t>06-020437</t>
  </si>
  <si>
    <t>309610-347</t>
  </si>
  <si>
    <t>117.52</t>
  </si>
  <si>
    <t>118.40</t>
  </si>
  <si>
    <t>HOWARD COUNTY</t>
  </si>
  <si>
    <t>190140000</t>
  </si>
  <si>
    <t>02-360977</t>
  </si>
  <si>
    <t>C18017</t>
  </si>
  <si>
    <t>3941.92</t>
  </si>
  <si>
    <t>3566.65</t>
  </si>
  <si>
    <t>02/28/2020</t>
  </si>
  <si>
    <t>16-199451</t>
  </si>
  <si>
    <t>324493-539</t>
  </si>
  <si>
    <t>2242.16</t>
  </si>
  <si>
    <t>PRINCE GEORGES COUNTY</t>
  </si>
  <si>
    <t>190170000</t>
  </si>
  <si>
    <t>0121632</t>
  </si>
  <si>
    <t>328173-584</t>
  </si>
  <si>
    <t>5894.63</t>
  </si>
  <si>
    <t>0675355</t>
  </si>
  <si>
    <t>313109-415</t>
  </si>
  <si>
    <t>6282.34</t>
  </si>
  <si>
    <t>1506773</t>
  </si>
  <si>
    <t>308159-310</t>
  </si>
  <si>
    <t>2185.64</t>
  </si>
  <si>
    <t>1576644</t>
  </si>
  <si>
    <t>313108-415</t>
  </si>
  <si>
    <t>3432.17</t>
  </si>
  <si>
    <t>2026193</t>
  </si>
  <si>
    <t>308774-325</t>
  </si>
  <si>
    <t>1481.26</t>
  </si>
  <si>
    <t>2159093</t>
  </si>
  <si>
    <t>312064-395</t>
  </si>
  <si>
    <t>3185.05</t>
  </si>
  <si>
    <t>2968.90</t>
  </si>
  <si>
    <t>2932333</t>
  </si>
  <si>
    <t>308023-300</t>
  </si>
  <si>
    <t>3896.34</t>
  </si>
  <si>
    <t>3012515</t>
  </si>
  <si>
    <t>308013-300</t>
  </si>
  <si>
    <t>2349.88</t>
  </si>
  <si>
    <t>130550000</t>
  </si>
  <si>
    <t>55-09-34-359-004.000-021</t>
  </si>
  <si>
    <t>321534-527</t>
  </si>
  <si>
    <t>0.25</t>
  </si>
  <si>
    <t>03/08/2020</t>
  </si>
  <si>
    <t>55-09-36-100-012.000-020</t>
  </si>
  <si>
    <t>313441-416</t>
  </si>
  <si>
    <t>465.86</t>
  </si>
  <si>
    <t>PATERSON CITY</t>
  </si>
  <si>
    <t>290160102</t>
  </si>
  <si>
    <t>BLOCK 00901 LOT 00005</t>
  </si>
  <si>
    <t>308115-310</t>
  </si>
  <si>
    <t>1501.41</t>
  </si>
  <si>
    <t>1277.85</t>
  </si>
  <si>
    <t>02/26/2020</t>
  </si>
  <si>
    <t>BLOCK 01307 LOT 00021</t>
  </si>
  <si>
    <t>309661-351</t>
  </si>
  <si>
    <t>2519.14</t>
  </si>
  <si>
    <t>BLOCK 06315 LOT 00023</t>
  </si>
  <si>
    <t>311431-377</t>
  </si>
  <si>
    <t>1328.68</t>
  </si>
  <si>
    <t>BRONX CITY LIEN SALE 60-DAY</t>
  </si>
  <si>
    <t>310034011</t>
  </si>
  <si>
    <t>04714 0005</t>
  </si>
  <si>
    <t>RF18021</t>
  </si>
  <si>
    <t>BRONX FRONTAGE LIEN SALE 60-DAY</t>
  </si>
  <si>
    <t>310034012</t>
  </si>
  <si>
    <t>03100 0010</t>
  </si>
  <si>
    <t>325319-555</t>
  </si>
  <si>
    <t>04768 0006</t>
  </si>
  <si>
    <t>319149-496</t>
  </si>
  <si>
    <t>04860 0062</t>
  </si>
  <si>
    <t>317927-482</t>
  </si>
  <si>
    <t>04977 0060</t>
  </si>
  <si>
    <t>324019-539</t>
  </si>
  <si>
    <t>BROOKLYN CITY LIEN SALE 60-DAY</t>
  </si>
  <si>
    <t>310244011</t>
  </si>
  <si>
    <t>01477 0021</t>
  </si>
  <si>
    <t>308284-314</t>
  </si>
  <si>
    <t>01585 0047</t>
  </si>
  <si>
    <t>308917-331</t>
  </si>
  <si>
    <t>02000 0009</t>
  </si>
  <si>
    <t>311875-390</t>
  </si>
  <si>
    <t>03837 0043</t>
  </si>
  <si>
    <t>313417-416</t>
  </si>
  <si>
    <t>BROOKLYN FRONTAGE LIEN SALE 60-DAY</t>
  </si>
  <si>
    <t>310244012</t>
  </si>
  <si>
    <t>03523 0101</t>
  </si>
  <si>
    <t>324022-539</t>
  </si>
  <si>
    <t>04150 0040</t>
  </si>
  <si>
    <t>327099-572</t>
  </si>
  <si>
    <t>04181 0028</t>
  </si>
  <si>
    <t>312381-410</t>
  </si>
  <si>
    <t>04330 0060</t>
  </si>
  <si>
    <t>320887-513</t>
  </si>
  <si>
    <t>04767 0031</t>
  </si>
  <si>
    <t>308283-314</t>
  </si>
  <si>
    <t>04776 0060</t>
  </si>
  <si>
    <t>308127-310</t>
  </si>
  <si>
    <t>06461 0122</t>
  </si>
  <si>
    <t>324616-550</t>
  </si>
  <si>
    <t>08237 0069</t>
  </si>
  <si>
    <t>319858-500</t>
  </si>
  <si>
    <t>MANHATTAN FRONTAGE LIEN SALE 60-DAY</t>
  </si>
  <si>
    <t>310314012</t>
  </si>
  <si>
    <t>01623 0102</t>
  </si>
  <si>
    <t>319849-500</t>
  </si>
  <si>
    <t>QUEENS CITY LIEN SALE 60-DAY</t>
  </si>
  <si>
    <t>310414011</t>
  </si>
  <si>
    <t>03468 0001</t>
  </si>
  <si>
    <t>500170-313</t>
  </si>
  <si>
    <t>QUEENS FRONTAGE LIEN SALE 60-DAY</t>
  </si>
  <si>
    <t>310414012</t>
  </si>
  <si>
    <t>07185 0066</t>
  </si>
  <si>
    <t>319860-500</t>
  </si>
  <si>
    <t>09776 0049</t>
  </si>
  <si>
    <t>312025-394</t>
  </si>
  <si>
    <t>13544 0026</t>
  </si>
  <si>
    <t>319864-500</t>
  </si>
  <si>
    <t>15749 0193</t>
  </si>
  <si>
    <t>320914-513</t>
  </si>
  <si>
    <t>STATEN ISLAND FRONTAGE LIEN 60-DAY</t>
  </si>
  <si>
    <t>310434012</t>
  </si>
  <si>
    <t>00518 0040</t>
  </si>
  <si>
    <t>329141-590</t>
  </si>
  <si>
    <t>01278 0128</t>
  </si>
  <si>
    <t>PK0128</t>
  </si>
  <si>
    <t>01495 1080</t>
  </si>
  <si>
    <t>RF18029</t>
  </si>
  <si>
    <t>05644 0009</t>
  </si>
  <si>
    <t>309195-344</t>
  </si>
  <si>
    <t>BEXAR COUNTY</t>
  </si>
  <si>
    <t>420150000</t>
  </si>
  <si>
    <t>04527-101-0180</t>
  </si>
  <si>
    <t>322918-537</t>
  </si>
  <si>
    <t>6071.83</t>
  </si>
  <si>
    <t>04528-401-0110</t>
  </si>
  <si>
    <t>321200-513</t>
  </si>
  <si>
    <t>5525.51</t>
  </si>
  <si>
    <t>05197-122-0020</t>
  </si>
  <si>
    <t>307292-045</t>
  </si>
  <si>
    <t>2119.14</t>
  </si>
  <si>
    <t>08374-002-0070</t>
  </si>
  <si>
    <t>318952-494</t>
  </si>
  <si>
    <t>1943.54</t>
  </si>
  <si>
    <t>08876-020-0280</t>
  </si>
  <si>
    <t>308038-301</t>
  </si>
  <si>
    <t>790.04</t>
  </si>
  <si>
    <t>706.74</t>
  </si>
  <si>
    <t>722.01</t>
  </si>
  <si>
    <t>738.26</t>
  </si>
  <si>
    <t>778.45</t>
  </si>
  <si>
    <t>09668-006-0210</t>
  </si>
  <si>
    <t>305647-036</t>
  </si>
  <si>
    <t>995.83</t>
  </si>
  <si>
    <t>10809-015-0440</t>
  </si>
  <si>
    <t>319492-496</t>
  </si>
  <si>
    <t>15.34</t>
  </si>
  <si>
    <t>327.22</t>
  </si>
  <si>
    <t>11269-001-0080</t>
  </si>
  <si>
    <t>311261-373</t>
  </si>
  <si>
    <t>534.71</t>
  </si>
  <si>
    <t>698.58</t>
  </si>
  <si>
    <t>712.15</t>
  </si>
  <si>
    <t>711.76</t>
  </si>
  <si>
    <t>717.84</t>
  </si>
  <si>
    <t>714.88</t>
  </si>
  <si>
    <t>711.62</t>
  </si>
  <si>
    <t>710.15</t>
  </si>
  <si>
    <t>713.37</t>
  </si>
  <si>
    <t>37.91</t>
  </si>
  <si>
    <t>185.80</t>
  </si>
  <si>
    <t>174.60</t>
  </si>
  <si>
    <t>192.04</t>
  </si>
  <si>
    <t>12536-014-0380</t>
  </si>
  <si>
    <t>317338-481</t>
  </si>
  <si>
    <t>859.04</t>
  </si>
  <si>
    <t>15912-001-0280</t>
  </si>
  <si>
    <t>317318-480</t>
  </si>
  <si>
    <t>640.84</t>
  </si>
  <si>
    <t>16288-006-0110</t>
  </si>
  <si>
    <t>307009-045</t>
  </si>
  <si>
    <t>1479.28</t>
  </si>
  <si>
    <t>1817.18</t>
  </si>
  <si>
    <t>18820-024-0240</t>
  </si>
  <si>
    <t>318080-486</t>
  </si>
  <si>
    <t>2679.50</t>
  </si>
  <si>
    <t>3305.39</t>
  </si>
  <si>
    <t>CAMERON COUNTY</t>
  </si>
  <si>
    <t>420310000</t>
  </si>
  <si>
    <t>06-4370-0080-0070-00</t>
  </si>
  <si>
    <t>310637-363</t>
  </si>
  <si>
    <t>2152.69</t>
  </si>
  <si>
    <t>2256.42</t>
  </si>
  <si>
    <t>22-2470-0000-0140-00</t>
  </si>
  <si>
    <t>322934-537</t>
  </si>
  <si>
    <t>622.62</t>
  </si>
  <si>
    <t>31-8000-0010-0150-00</t>
  </si>
  <si>
    <t>326218-555</t>
  </si>
  <si>
    <t>1322.77</t>
  </si>
  <si>
    <t>88-3370-0480-0100-00</t>
  </si>
  <si>
    <t>309879-355</t>
  </si>
  <si>
    <t>449.32</t>
  </si>
  <si>
    <t>CHAMBERS COUNTY</t>
  </si>
  <si>
    <t>420360000</t>
  </si>
  <si>
    <t>45888</t>
  </si>
  <si>
    <t>313526-421</t>
  </si>
  <si>
    <t>178.39</t>
  </si>
  <si>
    <t>EL PASO CONSOLIDATED TAX OFFICE</t>
  </si>
  <si>
    <t>420712001</t>
  </si>
  <si>
    <t>A700-999-0070-4600</t>
  </si>
  <si>
    <t>314339-429</t>
  </si>
  <si>
    <t>306.23</t>
  </si>
  <si>
    <t>L199-000-0010-3400</t>
  </si>
  <si>
    <t>315056-434</t>
  </si>
  <si>
    <t>4895.96</t>
  </si>
  <si>
    <t>5150.70</t>
  </si>
  <si>
    <t>5464.86</t>
  </si>
  <si>
    <t>V893-999-4590-2050</t>
  </si>
  <si>
    <t>322948-537</t>
  </si>
  <si>
    <t>1954.70</t>
  </si>
  <si>
    <t>FANNIN CO CENTRAL APPRAISAL DISTRICT</t>
  </si>
  <si>
    <t>420742001</t>
  </si>
  <si>
    <t>0788-011-0000-07</t>
  </si>
  <si>
    <t>330424-597</t>
  </si>
  <si>
    <t>7345.43</t>
  </si>
  <si>
    <t>FORT BEND COUNTY</t>
  </si>
  <si>
    <t>420790000</t>
  </si>
  <si>
    <t>1955-02-001-0020-907</t>
  </si>
  <si>
    <t>328744-584</t>
  </si>
  <si>
    <t>1492.58</t>
  </si>
  <si>
    <t>2150-02-008-2100-907</t>
  </si>
  <si>
    <t>322908-537</t>
  </si>
  <si>
    <t>443.27</t>
  </si>
  <si>
    <t>6560-01-007-0060-907</t>
  </si>
  <si>
    <t>316542-461</t>
  </si>
  <si>
    <t>6721.81</t>
  </si>
  <si>
    <t>7559-01-003-0070-907</t>
  </si>
  <si>
    <t>315918-458</t>
  </si>
  <si>
    <t>2707.38</t>
  </si>
  <si>
    <t>8700-01-002-0540-907</t>
  </si>
  <si>
    <t>318941-494</t>
  </si>
  <si>
    <t>800.37</t>
  </si>
  <si>
    <t>HARRIS COUNTY FWSD 61</t>
  </si>
  <si>
    <t>421010905</t>
  </si>
  <si>
    <t>619.20</t>
  </si>
  <si>
    <t>IRVING ISD</t>
  </si>
  <si>
    <t>420570617</t>
  </si>
  <si>
    <t>817.93</t>
  </si>
  <si>
    <t>MONTGOMERY COUNTY</t>
  </si>
  <si>
    <t>421700000</t>
  </si>
  <si>
    <t>0053900702600</t>
  </si>
  <si>
    <t>330447-597</t>
  </si>
  <si>
    <t>1728.25</t>
  </si>
  <si>
    <t>OCHILTREE CO CENTRAL COLLECTIONS</t>
  </si>
  <si>
    <t>421792001</t>
  </si>
  <si>
    <t>398011000000000000</t>
  </si>
  <si>
    <t>326228-555</t>
  </si>
  <si>
    <t>1420.43</t>
  </si>
  <si>
    <t>PARKER COUNTY CENTRAL TAX AUTHORITY</t>
  </si>
  <si>
    <t>421840000</t>
  </si>
  <si>
    <t>11640-001-040-00</t>
  </si>
  <si>
    <t>304232-035</t>
  </si>
  <si>
    <t>9341.66</t>
  </si>
  <si>
    <t>11640-001-040-50</t>
  </si>
  <si>
    <t>8.91</t>
  </si>
  <si>
    <t>SPRING ISD</t>
  </si>
  <si>
    <t>421010606</t>
  </si>
  <si>
    <t>1390.67</t>
  </si>
  <si>
    <t>JEFFERSON COUNTY - BIRMINGHAM</t>
  </si>
  <si>
    <t>010370000</t>
  </si>
  <si>
    <t>RR-05-00-01-0-000-036.001</t>
  </si>
  <si>
    <t>RD18002</t>
  </si>
  <si>
    <t>657.45</t>
  </si>
  <si>
    <t>594.28</t>
  </si>
  <si>
    <t>320070000</t>
  </si>
  <si>
    <t>7183</t>
  </si>
  <si>
    <t>322274-537</t>
  </si>
  <si>
    <t>1006.23</t>
  </si>
  <si>
    <t>BRUNSWICK COUNTY</t>
  </si>
  <si>
    <t>320100000</t>
  </si>
  <si>
    <t>184E A 020</t>
  </si>
  <si>
    <t>328265-584</t>
  </si>
  <si>
    <t>355.75</t>
  </si>
  <si>
    <t>NEW HANOVER COUNTY</t>
  </si>
  <si>
    <t>320650000</t>
  </si>
  <si>
    <t>R04307-005-002-000</t>
  </si>
  <si>
    <t>319235-496</t>
  </si>
  <si>
    <t>932.93</t>
  </si>
  <si>
    <t>R04813-018-010-000</t>
  </si>
  <si>
    <t>315390-444</t>
  </si>
  <si>
    <t>971.23</t>
  </si>
  <si>
    <t>ROWAN COUNTY</t>
  </si>
  <si>
    <t>320800000</t>
  </si>
  <si>
    <t>014 034</t>
  </si>
  <si>
    <t>328255-584</t>
  </si>
  <si>
    <t>379.76</t>
  </si>
  <si>
    <t>561 016</t>
  </si>
  <si>
    <t>316314-461</t>
  </si>
  <si>
    <t>1766.94</t>
  </si>
  <si>
    <t>ACCOMACK COUNTY</t>
  </si>
  <si>
    <t>450010000</t>
  </si>
  <si>
    <t>092A0 A0 00 0012 00</t>
  </si>
  <si>
    <t>312080-396</t>
  </si>
  <si>
    <t>380.95</t>
  </si>
  <si>
    <t>03/02/2020</t>
  </si>
  <si>
    <t>NORTHUMBERLAND COUNTY</t>
  </si>
  <si>
    <t>450640000</t>
  </si>
  <si>
    <t>44-(6)--14-</t>
  </si>
  <si>
    <t>325491-555</t>
  </si>
  <si>
    <t>2948.82</t>
  </si>
  <si>
    <t>PRINCE WILLIAM COUNTY</t>
  </si>
  <si>
    <t>450730000</t>
  </si>
  <si>
    <t>030972</t>
  </si>
  <si>
    <t>307188-045</t>
  </si>
  <si>
    <t>3530.99</t>
  </si>
  <si>
    <t>040263</t>
  </si>
  <si>
    <t>319708-507</t>
  </si>
  <si>
    <t>4306.55</t>
  </si>
  <si>
    <t>205503</t>
  </si>
  <si>
    <t>323331-538</t>
  </si>
  <si>
    <t>4569.28</t>
  </si>
  <si>
    <t>STAFFORD COUNTY</t>
  </si>
  <si>
    <t>450860000</t>
  </si>
  <si>
    <t>029C 7 725</t>
  </si>
  <si>
    <t>322232-537</t>
  </si>
  <si>
    <t>2128.58</t>
  </si>
  <si>
    <t>045 104B</t>
  </si>
  <si>
    <t>316069-460</t>
  </si>
  <si>
    <t>183.57</t>
  </si>
  <si>
    <t>1258.79</t>
  </si>
  <si>
    <t>1284.22</t>
  </si>
  <si>
    <t>BRIDGEPORT CITY</t>
  </si>
  <si>
    <t>060010103</t>
  </si>
  <si>
    <t>1117--11-------</t>
  </si>
  <si>
    <t>312440-411</t>
  </si>
  <si>
    <t>3656.80</t>
  </si>
  <si>
    <t>2229--12A------</t>
  </si>
  <si>
    <t>321830-536</t>
  </si>
  <si>
    <t>3490.19</t>
  </si>
  <si>
    <t>2355--03-------</t>
  </si>
  <si>
    <t>327914-584</t>
  </si>
  <si>
    <t>2509.19</t>
  </si>
  <si>
    <t>2811--07-------</t>
  </si>
  <si>
    <t>304404-033</t>
  </si>
  <si>
    <t>3104.43</t>
  </si>
  <si>
    <t>GREENWICH TOWN</t>
  </si>
  <si>
    <t>060010203</t>
  </si>
  <si>
    <t>03-1843/S</t>
  </si>
  <si>
    <t>322004-537</t>
  </si>
  <si>
    <t>1643.10</t>
  </si>
  <si>
    <t>08-3033/S</t>
  </si>
  <si>
    <t>322003-537</t>
  </si>
  <si>
    <t>6852.80</t>
  </si>
  <si>
    <t>NEWTOWN TOWN</t>
  </si>
  <si>
    <t>060010201</t>
  </si>
  <si>
    <t>00503500</t>
  </si>
  <si>
    <t>304186-033</t>
  </si>
  <si>
    <t>8707.46</t>
  </si>
  <si>
    <t>STAMFORD CITY</t>
  </si>
  <si>
    <t>060010102</t>
  </si>
  <si>
    <t>002-5341</t>
  </si>
  <si>
    <t>320806-513</t>
  </si>
  <si>
    <t>3221.69</t>
  </si>
  <si>
    <t>EAST BATON ROUGE PARISH</t>
  </si>
  <si>
    <t>170170000</t>
  </si>
  <si>
    <t>00216445</t>
  </si>
  <si>
    <t>316508-461</t>
  </si>
  <si>
    <t>896.23</t>
  </si>
  <si>
    <t>02/24/2020</t>
  </si>
  <si>
    <t>JEFFERSON PARISH</t>
  </si>
  <si>
    <t>170260000</t>
  </si>
  <si>
    <t>0400004893</t>
  </si>
  <si>
    <t>311502-377</t>
  </si>
  <si>
    <t>356.12</t>
  </si>
  <si>
    <t>NEW ROCHELLE CITY</t>
  </si>
  <si>
    <t>310600101</t>
  </si>
  <si>
    <t>29450001</t>
  </si>
  <si>
    <t>325326-555</t>
  </si>
  <si>
    <t>4026.67</t>
  </si>
  <si>
    <t>OSSINING TOWN</t>
  </si>
  <si>
    <t>310600215</t>
  </si>
  <si>
    <t>570.55</t>
  </si>
  <si>
    <t>6571.94</t>
  </si>
  <si>
    <t>CHARLES COUNTY</t>
  </si>
  <si>
    <t>190090000</t>
  </si>
  <si>
    <t>03-00136-9</t>
  </si>
  <si>
    <t>317537-481</t>
  </si>
  <si>
    <t>2142.25</t>
  </si>
  <si>
    <t>02/25/2020</t>
  </si>
  <si>
    <t>06-19406-0</t>
  </si>
  <si>
    <t>313848-429</t>
  </si>
  <si>
    <t>3414.11</t>
  </si>
  <si>
    <t>LAPORTE COUNTY</t>
  </si>
  <si>
    <t>130460000</t>
  </si>
  <si>
    <t>46-03-20-200-018.000-048</t>
  </si>
  <si>
    <t>317914-482</t>
  </si>
  <si>
    <t>894.91</t>
  </si>
  <si>
    <t>ANOKA COUNTY</t>
  </si>
  <si>
    <t>220020000</t>
  </si>
  <si>
    <t>07-31-23-14-0040</t>
  </si>
  <si>
    <t>319399-496</t>
  </si>
  <si>
    <t>502.50</t>
  </si>
  <si>
    <t>21-31-24-21-0015</t>
  </si>
  <si>
    <t>312298-403</t>
  </si>
  <si>
    <t>1274.98</t>
  </si>
  <si>
    <t>1166.44</t>
  </si>
  <si>
    <t>1355.36</t>
  </si>
  <si>
    <t>3444.65</t>
  </si>
  <si>
    <t>FLUVANNA COUNTY</t>
  </si>
  <si>
    <t>450320000</t>
  </si>
  <si>
    <t>18A-3-205</t>
  </si>
  <si>
    <t>319908-500</t>
  </si>
  <si>
    <t>883.41</t>
  </si>
  <si>
    <t>02/18/2020</t>
  </si>
  <si>
    <t>HENRICO COUNTY</t>
  </si>
  <si>
    <t>450430000</t>
  </si>
  <si>
    <t>738-770-3343</t>
  </si>
  <si>
    <t>312132-398</t>
  </si>
  <si>
    <t>2806.62</t>
  </si>
  <si>
    <t>766-740-4141</t>
  </si>
  <si>
    <t>316309-461</t>
  </si>
  <si>
    <t>732.54</t>
  </si>
  <si>
    <t>803-706-4590</t>
  </si>
  <si>
    <t>317968-482</t>
  </si>
  <si>
    <t>754.29</t>
  </si>
  <si>
    <t>804-736-8304</t>
  </si>
  <si>
    <t>306848-044</t>
  </si>
  <si>
    <t>602.91</t>
  </si>
  <si>
    <t>622.05</t>
  </si>
  <si>
    <t>ROANOKE COUNTY</t>
  </si>
  <si>
    <t>450770000</t>
  </si>
  <si>
    <t>086.08-05-11.03-0000</t>
  </si>
  <si>
    <t>304256-033</t>
  </si>
  <si>
    <t>1848.09</t>
  </si>
  <si>
    <t>02/21/2020</t>
  </si>
  <si>
    <t>SMITHFIELD TOWN</t>
  </si>
  <si>
    <t>450460201</t>
  </si>
  <si>
    <t>21E-01- 011</t>
  </si>
  <si>
    <t>322243-537</t>
  </si>
  <si>
    <t>2515.23</t>
  </si>
  <si>
    <t>801.93</t>
  </si>
  <si>
    <t>CAHABA VALLEY FIRE DISTRICT</t>
  </si>
  <si>
    <t>010592201</t>
  </si>
  <si>
    <t>1207.03</t>
  </si>
  <si>
    <t>FREEPORT VILLAGE</t>
  </si>
  <si>
    <t>310300401</t>
  </si>
  <si>
    <t>54-337 -01020</t>
  </si>
  <si>
    <t>309813-353</t>
  </si>
  <si>
    <t>4972.91</t>
  </si>
  <si>
    <t>55-365 -07820</t>
  </si>
  <si>
    <t>307606-046</t>
  </si>
  <si>
    <t>2458.28</t>
  </si>
  <si>
    <t>4693.30</t>
  </si>
  <si>
    <t>55-401 -02630</t>
  </si>
  <si>
    <t>313748-429</t>
  </si>
  <si>
    <t>4599.94</t>
  </si>
  <si>
    <t>3840.93</t>
  </si>
  <si>
    <t>62-032 -00030</t>
  </si>
  <si>
    <t>320905-513</t>
  </si>
  <si>
    <t>2904.31</t>
  </si>
  <si>
    <t>5325.21</t>
  </si>
  <si>
    <t>62-138 -00400</t>
  </si>
  <si>
    <t>309790-353</t>
  </si>
  <si>
    <t>6873.73</t>
  </si>
  <si>
    <t>HEMPSTEAD VILLAGE</t>
  </si>
  <si>
    <t>310300406</t>
  </si>
  <si>
    <t>34-451 -00360</t>
  </si>
  <si>
    <t>313749-429</t>
  </si>
  <si>
    <t>3563.35</t>
  </si>
  <si>
    <t>02/27/2020</t>
  </si>
  <si>
    <t>35-455 -01640</t>
  </si>
  <si>
    <t>RF18040</t>
  </si>
  <si>
    <t>3459.88</t>
  </si>
  <si>
    <t>36-015 -00080</t>
  </si>
  <si>
    <t>319158-496</t>
  </si>
  <si>
    <t>8128.45</t>
  </si>
  <si>
    <t>3709.27</t>
  </si>
  <si>
    <t>HARFORD COUNTY</t>
  </si>
  <si>
    <t>190130000</t>
  </si>
  <si>
    <t>01-045326</t>
  </si>
  <si>
    <t>321856-536</t>
  </si>
  <si>
    <t>1007.35</t>
  </si>
  <si>
    <t>02/13/2020</t>
  </si>
  <si>
    <t>379.10</t>
  </si>
  <si>
    <t>FRIES TOWN</t>
  </si>
  <si>
    <t>450380202</t>
  </si>
  <si>
    <t>25A1-2-39</t>
  </si>
  <si>
    <t>322252-537</t>
  </si>
  <si>
    <t>157.32</t>
  </si>
  <si>
    <t>GOOCHLAND COUNTY</t>
  </si>
  <si>
    <t>450370000</t>
  </si>
  <si>
    <t>017 1 20</t>
  </si>
  <si>
    <t>328213-584</t>
  </si>
  <si>
    <t>182.32</t>
  </si>
  <si>
    <t>WINCHESTER CITY</t>
  </si>
  <si>
    <t>458402300</t>
  </si>
  <si>
    <t>06596</t>
  </si>
  <si>
    <t>314747-434</t>
  </si>
  <si>
    <t>994.17</t>
  </si>
  <si>
    <t>GASTON COUNTY</t>
  </si>
  <si>
    <t>320360000</t>
  </si>
  <si>
    <t>135614</t>
  </si>
  <si>
    <t>319231-496</t>
  </si>
  <si>
    <t>1427.59</t>
  </si>
  <si>
    <t>187746</t>
  </si>
  <si>
    <t>324597-550</t>
  </si>
  <si>
    <t>12509.22</t>
  </si>
  <si>
    <t>DEKALB COUNTY</t>
  </si>
  <si>
    <t>100440000</t>
  </si>
  <si>
    <t>16 091 02 252</t>
  </si>
  <si>
    <t>330219-597</t>
  </si>
  <si>
    <t>955.68</t>
  </si>
  <si>
    <t>16 160 06 169</t>
  </si>
  <si>
    <t>327809-576</t>
  </si>
  <si>
    <t>46.12</t>
  </si>
  <si>
    <t>BUNCOMBE COUNTY</t>
  </si>
  <si>
    <t>320110000</t>
  </si>
  <si>
    <t>0619-18-3413-00000</t>
  </si>
  <si>
    <t>321410-527</t>
  </si>
  <si>
    <t>1626.51</t>
  </si>
  <si>
    <t>02/12/2020</t>
  </si>
  <si>
    <t>0619-97-8713-00000</t>
  </si>
  <si>
    <t>309453-346</t>
  </si>
  <si>
    <t>791.13</t>
  </si>
  <si>
    <t>ROCKINGHAM COUNTY</t>
  </si>
  <si>
    <t>320790000</t>
  </si>
  <si>
    <t>106187</t>
  </si>
  <si>
    <t>311827-389</t>
  </si>
  <si>
    <t>435.48</t>
  </si>
  <si>
    <t>128542</t>
  </si>
  <si>
    <t>328232-584</t>
  </si>
  <si>
    <t>511.13</t>
  </si>
  <si>
    <t>FARIBAULT COUNTY</t>
  </si>
  <si>
    <t>220220000</t>
  </si>
  <si>
    <t>30.582.0010</t>
  </si>
  <si>
    <t>307061-045</t>
  </si>
  <si>
    <t>850.00</t>
  </si>
  <si>
    <t>02/19/2020</t>
  </si>
  <si>
    <t>1200.00</t>
  </si>
  <si>
    <t>1219.30</t>
  </si>
  <si>
    <t>010080000</t>
  </si>
  <si>
    <t>12-02-04-0-000-002.000</t>
  </si>
  <si>
    <t>311243-373</t>
  </si>
  <si>
    <t>251.90</t>
  </si>
  <si>
    <t>SHREVEPORT CITY</t>
  </si>
  <si>
    <t>170080101</t>
  </si>
  <si>
    <t>171410 086 0064 00</t>
  </si>
  <si>
    <t>314297-429</t>
  </si>
  <si>
    <t>79.41</t>
  </si>
  <si>
    <t>02/07/2020</t>
  </si>
  <si>
    <t>171422 048 0096 00</t>
  </si>
  <si>
    <t>308212-310</t>
  </si>
  <si>
    <t>123.30</t>
  </si>
  <si>
    <t>WICOMICO COUNTY</t>
  </si>
  <si>
    <t>190230000</t>
  </si>
  <si>
    <t>09-009558</t>
  </si>
  <si>
    <t>318246-493</t>
  </si>
  <si>
    <t>418.07</t>
  </si>
  <si>
    <t>344.50</t>
  </si>
  <si>
    <t>09-010246</t>
  </si>
  <si>
    <t>322223-537</t>
  </si>
  <si>
    <t>406.06</t>
  </si>
  <si>
    <t>332.83</t>
  </si>
  <si>
    <t>12-002866</t>
  </si>
  <si>
    <t>324396-539</t>
  </si>
  <si>
    <t>195.05</t>
  </si>
  <si>
    <t>12-002874</t>
  </si>
  <si>
    <t>189.52</t>
  </si>
  <si>
    <t>12-002882</t>
  </si>
  <si>
    <t>497.50</t>
  </si>
  <si>
    <t>421.68</t>
  </si>
  <si>
    <t>SALT LAKE COUNTY</t>
  </si>
  <si>
    <t>430180000</t>
  </si>
  <si>
    <t>16-29-251-007-0000</t>
  </si>
  <si>
    <t>308909-330</t>
  </si>
  <si>
    <t>1418.12</t>
  </si>
  <si>
    <t>20-14-251-003-0000</t>
  </si>
  <si>
    <t>324981-550</t>
  </si>
  <si>
    <t>2472.83</t>
  </si>
  <si>
    <t>20-24-156-032-0000</t>
  </si>
  <si>
    <t>321621-527</t>
  </si>
  <si>
    <t>2035.94</t>
  </si>
  <si>
    <t>20-24-231-018-0000</t>
  </si>
  <si>
    <t>319771-507</t>
  </si>
  <si>
    <t>1345.57</t>
  </si>
  <si>
    <t>21-27-430-016-0000</t>
  </si>
  <si>
    <t>308415-319</t>
  </si>
  <si>
    <t>2065.60</t>
  </si>
  <si>
    <t>28-08-403-007-0000</t>
  </si>
  <si>
    <t>327007-571</t>
  </si>
  <si>
    <t>2617.42</t>
  </si>
  <si>
    <t>RICHMOND COUNTY</t>
  </si>
  <si>
    <t>101210000</t>
  </si>
  <si>
    <t>119-0-346-00-0</t>
  </si>
  <si>
    <t>328336-584</t>
  </si>
  <si>
    <t>1414.97</t>
  </si>
  <si>
    <t>BRONX CITY LIEN SALE 90-DAY</t>
  </si>
  <si>
    <t>310034001</t>
  </si>
  <si>
    <t>BRONX FRONTAGE LIEN SALE 90-DAY</t>
  </si>
  <si>
    <t>310034002</t>
  </si>
  <si>
    <t>04939 0042</t>
  </si>
  <si>
    <t>307431-045</t>
  </si>
  <si>
    <t>BROOKLYN CITY LIEN SALE 90-DAY</t>
  </si>
  <si>
    <t>310244001</t>
  </si>
  <si>
    <t>BROOKLYN FRONTAGE LIEN SALE 90-DAY</t>
  </si>
  <si>
    <t>310244002</t>
  </si>
  <si>
    <t>01375 0048</t>
  </si>
  <si>
    <t>329165-590</t>
  </si>
  <si>
    <t>MANHATTAN FRONTAGE LIEN SALE 90-DAY</t>
  </si>
  <si>
    <t>310314002</t>
  </si>
  <si>
    <t>QUEENS CITY LIEN SALE 90-DAY</t>
  </si>
  <si>
    <t>310414001</t>
  </si>
  <si>
    <t>08644 0013</t>
  </si>
  <si>
    <t>309351-344</t>
  </si>
  <si>
    <t>QUEENS FRONTAGE LIEN SALE 90-DAY</t>
  </si>
  <si>
    <t>310414002</t>
  </si>
  <si>
    <t>09405 0003</t>
  </si>
  <si>
    <t>319863-500</t>
  </si>
  <si>
    <t>13158 0049</t>
  </si>
  <si>
    <t>309812-353</t>
  </si>
  <si>
    <t>STATEN ISLAND FRONTAGE LIEN 90-DAY</t>
  </si>
  <si>
    <t>310434002</t>
  </si>
  <si>
    <t>00537 0007</t>
  </si>
  <si>
    <t>324340-539</t>
  </si>
  <si>
    <t>ALLEN COUNTY</t>
  </si>
  <si>
    <t>130020000</t>
  </si>
  <si>
    <t>02-08-35-203-005.000-085</t>
  </si>
  <si>
    <t>320235-509</t>
  </si>
  <si>
    <t>898.13</t>
  </si>
  <si>
    <t>01/28/2020</t>
  </si>
  <si>
    <t>02-12-24-227-014.000-074</t>
  </si>
  <si>
    <t>312715-411</t>
  </si>
  <si>
    <t>197.16</t>
  </si>
  <si>
    <t>02-13-19-282-003.000-070</t>
  </si>
  <si>
    <t>307389-045</t>
  </si>
  <si>
    <t>38.50</t>
  </si>
  <si>
    <t>CRAWFORD COUNTY</t>
  </si>
  <si>
    <t>130130000</t>
  </si>
  <si>
    <t>13-08-06-201-001.000-006</t>
  </si>
  <si>
    <t>312717-411</t>
  </si>
  <si>
    <t>259.47</t>
  </si>
  <si>
    <t>DELAWARE COUNTY</t>
  </si>
  <si>
    <t>130180000</t>
  </si>
  <si>
    <t>18-02-32-300-003.000-024</t>
  </si>
  <si>
    <t>324445-539</t>
  </si>
  <si>
    <t>966.22</t>
  </si>
  <si>
    <t>02/11/2020</t>
  </si>
  <si>
    <t>130490000</t>
  </si>
  <si>
    <t>490134114002000407</t>
  </si>
  <si>
    <t>326665-565</t>
  </si>
  <si>
    <t>546.79</t>
  </si>
  <si>
    <t>02/10/2020</t>
  </si>
  <si>
    <t>490434103025000600</t>
  </si>
  <si>
    <t>321880-536</t>
  </si>
  <si>
    <t>131.70</t>
  </si>
  <si>
    <t>1371.99</t>
  </si>
  <si>
    <t>490514109042000600</t>
  </si>
  <si>
    <t>316983-466</t>
  </si>
  <si>
    <t>58.84</t>
  </si>
  <si>
    <t>627.89</t>
  </si>
  <si>
    <t>490612154001000801</t>
  </si>
  <si>
    <t>326938-571</t>
  </si>
  <si>
    <t>6339.93</t>
  </si>
  <si>
    <t>490629105004000901</t>
  </si>
  <si>
    <t>305584-036</t>
  </si>
  <si>
    <t>231.55</t>
  </si>
  <si>
    <t>490721138161000101</t>
  </si>
  <si>
    <t>314158-429</t>
  </si>
  <si>
    <t>7.70</t>
  </si>
  <si>
    <t>490834122033000700</t>
  </si>
  <si>
    <t>320384-510</t>
  </si>
  <si>
    <t>1696.49</t>
  </si>
  <si>
    <t>1916.30</t>
  </si>
  <si>
    <t>490834126007000700</t>
  </si>
  <si>
    <t>308734-323</t>
  </si>
  <si>
    <t>558.76</t>
  </si>
  <si>
    <t>614.00</t>
  </si>
  <si>
    <t>491013115010000700</t>
  </si>
  <si>
    <t>320233-509</t>
  </si>
  <si>
    <t>1463.74</t>
  </si>
  <si>
    <t>491024105024000700</t>
  </si>
  <si>
    <t>312296-403</t>
  </si>
  <si>
    <t>841.49</t>
  </si>
  <si>
    <t>980.08</t>
  </si>
  <si>
    <t>491113180001000101</t>
  </si>
  <si>
    <t>309745-353</t>
  </si>
  <si>
    <t>12.31</t>
  </si>
  <si>
    <t>491411109009000500</t>
  </si>
  <si>
    <t>326692-569</t>
  </si>
  <si>
    <t>275.62</t>
  </si>
  <si>
    <t>130530000</t>
  </si>
  <si>
    <t>53-09-13-107-011.000-015</t>
  </si>
  <si>
    <t>315811-455</t>
  </si>
  <si>
    <t>792.14</t>
  </si>
  <si>
    <t>02/04/2020</t>
  </si>
  <si>
    <t>53-11-30-100-002.000-006</t>
  </si>
  <si>
    <t>321155-513</t>
  </si>
  <si>
    <t>763.16</t>
  </si>
  <si>
    <t>VIGO COUNTY</t>
  </si>
  <si>
    <t>130840000</t>
  </si>
  <si>
    <t>84-10-21-206-001.000-020</t>
  </si>
  <si>
    <t>311821-389</t>
  </si>
  <si>
    <t>175.30</t>
  </si>
  <si>
    <t>HENNEPIN COUNTY</t>
  </si>
  <si>
    <t>220270000</t>
  </si>
  <si>
    <t>06-028-23 43 0107</t>
  </si>
  <si>
    <t>322727-537</t>
  </si>
  <si>
    <t>1260.13</t>
  </si>
  <si>
    <t>15-119-22 41 0074</t>
  </si>
  <si>
    <t>321885-536</t>
  </si>
  <si>
    <t>2335.36</t>
  </si>
  <si>
    <t>19-028-23 23 0077</t>
  </si>
  <si>
    <t>310474-362</t>
  </si>
  <si>
    <t>115.37</t>
  </si>
  <si>
    <t>320120000</t>
  </si>
  <si>
    <t>018648</t>
  </si>
  <si>
    <t>307056-045</t>
  </si>
  <si>
    <t>922.76</t>
  </si>
  <si>
    <t>01/20/2020</t>
  </si>
  <si>
    <t>CABARRUS COUNTY</t>
  </si>
  <si>
    <t>320130000</t>
  </si>
  <si>
    <t>02040E0159.000000</t>
  </si>
  <si>
    <t>316320-461</t>
  </si>
  <si>
    <t>2096.93</t>
  </si>
  <si>
    <t>03008A0039.000000</t>
  </si>
  <si>
    <t>315301-442</t>
  </si>
  <si>
    <t>1168.29</t>
  </si>
  <si>
    <t>04031H0017.000000</t>
  </si>
  <si>
    <t>325158-554</t>
  </si>
  <si>
    <t>1258.75</t>
  </si>
  <si>
    <t>04031H0037.000000</t>
  </si>
  <si>
    <t>325118-553</t>
  </si>
  <si>
    <t>1447.27</t>
  </si>
  <si>
    <t>09009 0001.110000</t>
  </si>
  <si>
    <t>307411-045</t>
  </si>
  <si>
    <t>3014.17</t>
  </si>
  <si>
    <t>11024A0109.000000</t>
  </si>
  <si>
    <t>310367-361</t>
  </si>
  <si>
    <t>1480.59</t>
  </si>
  <si>
    <t>11033B0342.000000</t>
  </si>
  <si>
    <t>320176-509</t>
  </si>
  <si>
    <t>1424.35</t>
  </si>
  <si>
    <t>12002 0022.000000</t>
  </si>
  <si>
    <t>317117-468</t>
  </si>
  <si>
    <t>2236.99</t>
  </si>
  <si>
    <t>12011 0104.000000</t>
  </si>
  <si>
    <t>316074-460</t>
  </si>
  <si>
    <t>1061.04</t>
  </si>
  <si>
    <t>12013 0080.700000</t>
  </si>
  <si>
    <t>RE19003</t>
  </si>
  <si>
    <t>655.39</t>
  </si>
  <si>
    <t>12022 0107.000000</t>
  </si>
  <si>
    <t>310368-361</t>
  </si>
  <si>
    <t>861.57</t>
  </si>
  <si>
    <t>12057 0020.000000</t>
  </si>
  <si>
    <t>314807-434</t>
  </si>
  <si>
    <t>1387.50</t>
  </si>
  <si>
    <t>CUMBERLAND COUNTY</t>
  </si>
  <si>
    <t>320260000</t>
  </si>
  <si>
    <t>0406-92-0360-</t>
  </si>
  <si>
    <t>317288-479</t>
  </si>
  <si>
    <t>1312.73</t>
  </si>
  <si>
    <t>02/09/2020</t>
  </si>
  <si>
    <t>GUILFORD COUNTY</t>
  </si>
  <si>
    <t>320410000</t>
  </si>
  <si>
    <t>0011100</t>
  </si>
  <si>
    <t>328238-584</t>
  </si>
  <si>
    <t>270.51</t>
  </si>
  <si>
    <t>02/02/2020</t>
  </si>
  <si>
    <t>0049609</t>
  </si>
  <si>
    <t>328239-584</t>
  </si>
  <si>
    <t>841.60</t>
  </si>
  <si>
    <t>0059497</t>
  </si>
  <si>
    <t>314783-434</t>
  </si>
  <si>
    <t>5297.27</t>
  </si>
  <si>
    <t>0079895</t>
  </si>
  <si>
    <t>326891-571</t>
  </si>
  <si>
    <t>2874.06</t>
  </si>
  <si>
    <t>327065-571</t>
  </si>
  <si>
    <t>0204489</t>
  </si>
  <si>
    <t>328234-584</t>
  </si>
  <si>
    <t>1324.33</t>
  </si>
  <si>
    <t>1217.67</t>
  </si>
  <si>
    <t>0213857</t>
  </si>
  <si>
    <t>319716-507</t>
  </si>
  <si>
    <t>431.31</t>
  </si>
  <si>
    <t>HENDERSON COUNTY</t>
  </si>
  <si>
    <t>320450000</t>
  </si>
  <si>
    <t>99-48999</t>
  </si>
  <si>
    <t>318686-494</t>
  </si>
  <si>
    <t>1659.85</t>
  </si>
  <si>
    <t>01/26/2020</t>
  </si>
  <si>
    <t>320500000</t>
  </si>
  <si>
    <t>7592-42-5718</t>
  </si>
  <si>
    <t>328274-584</t>
  </si>
  <si>
    <t>2850.87</t>
  </si>
  <si>
    <t>LENOIR COUNTY</t>
  </si>
  <si>
    <t>320540000</t>
  </si>
  <si>
    <t>348600260029</t>
  </si>
  <si>
    <t>312578-411</t>
  </si>
  <si>
    <t>511.06</t>
  </si>
  <si>
    <t>320590000</t>
  </si>
  <si>
    <t>02-00857</t>
  </si>
  <si>
    <t>321400-527</t>
  </si>
  <si>
    <t>172.00</t>
  </si>
  <si>
    <t>1873.78</t>
  </si>
  <si>
    <t>05-03438</t>
  </si>
  <si>
    <t>322276-537</t>
  </si>
  <si>
    <t>571.78</t>
  </si>
  <si>
    <t>MARVIN VILLAGE</t>
  </si>
  <si>
    <t>320900207</t>
  </si>
  <si>
    <t>06156334</t>
  </si>
  <si>
    <t>315388-444</t>
  </si>
  <si>
    <t>288.39</t>
  </si>
  <si>
    <t>MECKLENBURG COUNTY</t>
  </si>
  <si>
    <t>320600000</t>
  </si>
  <si>
    <t>033 044 60</t>
  </si>
  <si>
    <t>314829-434</t>
  </si>
  <si>
    <t>2109.88</t>
  </si>
  <si>
    <t>WAKE COUNTY</t>
  </si>
  <si>
    <t>320920000</t>
  </si>
  <si>
    <t>0465557</t>
  </si>
  <si>
    <t>310740-364</t>
  </si>
  <si>
    <t>727.68</t>
  </si>
  <si>
    <t>02/14/2020</t>
  </si>
  <si>
    <t>WATAUGA COUNTY</t>
  </si>
  <si>
    <t>320950000</t>
  </si>
  <si>
    <t>1887-23-0834-000</t>
  </si>
  <si>
    <t>317874-482</t>
  </si>
  <si>
    <t>528.47</t>
  </si>
  <si>
    <t>YADKIN COUNTY</t>
  </si>
  <si>
    <t>320990000</t>
  </si>
  <si>
    <t>142902</t>
  </si>
  <si>
    <t>325516-555</t>
  </si>
  <si>
    <t>370.93</t>
  </si>
  <si>
    <t>02/06/2020</t>
  </si>
  <si>
    <t>UTAH COUNTY</t>
  </si>
  <si>
    <t>430250000</t>
  </si>
  <si>
    <t>38 274 0037</t>
  </si>
  <si>
    <t>324116-539</t>
  </si>
  <si>
    <t>1710.91</t>
  </si>
  <si>
    <t>GWINNETT COUNTY</t>
  </si>
  <si>
    <t>100670000</t>
  </si>
  <si>
    <t>R4322 083</t>
  </si>
  <si>
    <t>317791-481</t>
  </si>
  <si>
    <t>396.33</t>
  </si>
  <si>
    <t>02/17/2020</t>
  </si>
  <si>
    <t>R5080 227</t>
  </si>
  <si>
    <t>308784-325</t>
  </si>
  <si>
    <t>309.07</t>
  </si>
  <si>
    <t>MILLEDGEVILLE CITY</t>
  </si>
  <si>
    <t>100050101</t>
  </si>
  <si>
    <t>M21 054</t>
  </si>
  <si>
    <t>313963-429</t>
  </si>
  <si>
    <t>321.53</t>
  </si>
  <si>
    <t>ASCENSION PARISH</t>
  </si>
  <si>
    <t>170030000</t>
  </si>
  <si>
    <t>20009565</t>
  </si>
  <si>
    <t>321587-527</t>
  </si>
  <si>
    <t>901.54</t>
  </si>
  <si>
    <t>BALL TOWN</t>
  </si>
  <si>
    <t>170400202</t>
  </si>
  <si>
    <t>1200093700</t>
  </si>
  <si>
    <t>322836-537</t>
  </si>
  <si>
    <t>46.75</t>
  </si>
  <si>
    <t>02/03/2020</t>
  </si>
  <si>
    <t>PATTERSON CITY</t>
  </si>
  <si>
    <t>170510103</t>
  </si>
  <si>
    <t>2864341120.00</t>
  </si>
  <si>
    <t>314293-429</t>
  </si>
  <si>
    <t>131.38</t>
  </si>
  <si>
    <t>01/29/2020</t>
  </si>
  <si>
    <t>RAPIDES PARISH</t>
  </si>
  <si>
    <t>170400000</t>
  </si>
  <si>
    <t>116.66</t>
  </si>
  <si>
    <t>190160000</t>
  </si>
  <si>
    <t>00708226</t>
  </si>
  <si>
    <t>321853-536</t>
  </si>
  <si>
    <t>268.37</t>
  </si>
  <si>
    <t>299.64</t>
  </si>
  <si>
    <t>01856373</t>
  </si>
  <si>
    <t>A17022</t>
  </si>
  <si>
    <t>1838.13</t>
  </si>
  <si>
    <t>190220000</t>
  </si>
  <si>
    <t>11-004571</t>
  </si>
  <si>
    <t>319204-496</t>
  </si>
  <si>
    <t>2565.27</t>
  </si>
  <si>
    <t>01/24/2020</t>
  </si>
  <si>
    <t>ALBANY COUNTY DELINQUENT TAX</t>
  </si>
  <si>
    <t>310014000</t>
  </si>
  <si>
    <t>010100-76.49-2-19</t>
  </si>
  <si>
    <t>322107-537</t>
  </si>
  <si>
    <t>4495.71</t>
  </si>
  <si>
    <t>012689-32.2-2-36</t>
  </si>
  <si>
    <t>320966-513</t>
  </si>
  <si>
    <t>7747.49</t>
  </si>
  <si>
    <t>BIBB COUNTY</t>
  </si>
  <si>
    <t>100110000</t>
  </si>
  <si>
    <t>M083-0170</t>
  </si>
  <si>
    <t>313964-429</t>
  </si>
  <si>
    <t>1001.10</t>
  </si>
  <si>
    <t>814.60</t>
  </si>
  <si>
    <t>840.08</t>
  </si>
  <si>
    <t>967.15</t>
  </si>
  <si>
    <t>620.47</t>
  </si>
  <si>
    <t>CLAYTON COUNTY</t>
  </si>
  <si>
    <t>100310000</t>
  </si>
  <si>
    <t>13079C D029</t>
  </si>
  <si>
    <t>77.82</t>
  </si>
  <si>
    <t>13137D D017</t>
  </si>
  <si>
    <t>328322-584</t>
  </si>
  <si>
    <t>1176.48</t>
  </si>
  <si>
    <t>13203B E002</t>
  </si>
  <si>
    <t>328320-584</t>
  </si>
  <si>
    <t>1114.72</t>
  </si>
  <si>
    <t>COBB COUNTY</t>
  </si>
  <si>
    <t>100330000</t>
  </si>
  <si>
    <t>18018800380</t>
  </si>
  <si>
    <t>318305-493</t>
  </si>
  <si>
    <t>01/27/2020</t>
  </si>
  <si>
    <t>1064.02</t>
  </si>
  <si>
    <t>18019400470</t>
  </si>
  <si>
    <t>320196-509</t>
  </si>
  <si>
    <t>472.14</t>
  </si>
  <si>
    <t>FULTON COUNTY</t>
  </si>
  <si>
    <t>100600000</t>
  </si>
  <si>
    <t>14 -0194-0001-043-6</t>
  </si>
  <si>
    <t>324038-539</t>
  </si>
  <si>
    <t>558.84</t>
  </si>
  <si>
    <t>14 -0204-0005-042-2</t>
  </si>
  <si>
    <t>329404-590</t>
  </si>
  <si>
    <t>14.30</t>
  </si>
  <si>
    <t>LOWNDES COUNTY</t>
  </si>
  <si>
    <t>100920000</t>
  </si>
  <si>
    <t>0159A 110</t>
  </si>
  <si>
    <t>318320-493</t>
  </si>
  <si>
    <t>99.41</t>
  </si>
  <si>
    <t>02/05/2020</t>
  </si>
  <si>
    <t>AMHERST COUNTY</t>
  </si>
  <si>
    <t>450050000</t>
  </si>
  <si>
    <t>095 1 3A</t>
  </si>
  <si>
    <t>318020-482</t>
  </si>
  <si>
    <t>578.28</t>
  </si>
  <si>
    <t>GLOUCESTER COUNTY</t>
  </si>
  <si>
    <t>450360000</t>
  </si>
  <si>
    <t>31781</t>
  </si>
  <si>
    <t>B16016</t>
  </si>
  <si>
    <t>1103.65</t>
  </si>
  <si>
    <t>SPOTSYLVANIA COUNTY</t>
  </si>
  <si>
    <t>450850000</t>
  </si>
  <si>
    <t>022- A - 54-</t>
  </si>
  <si>
    <t>326605-564</t>
  </si>
  <si>
    <t>464.80</t>
  </si>
  <si>
    <t>SPOKANE COUNTY</t>
  </si>
  <si>
    <t>460320000</t>
  </si>
  <si>
    <t>39243.9096</t>
  </si>
  <si>
    <t>310439-362</t>
  </si>
  <si>
    <t>1197.53</t>
  </si>
  <si>
    <t>CONECUH COUNTY</t>
  </si>
  <si>
    <t>010180000</t>
  </si>
  <si>
    <t>0406140000002004</t>
  </si>
  <si>
    <t>318769-494</t>
  </si>
  <si>
    <t>918.17</t>
  </si>
  <si>
    <t>HENDRICKS COUNTY</t>
  </si>
  <si>
    <t>130320000</t>
  </si>
  <si>
    <t>32-07-01-493-008.000-016</t>
  </si>
  <si>
    <t>315308-442</t>
  </si>
  <si>
    <t>1170.38</t>
  </si>
  <si>
    <t>CATAWBA COUNTY</t>
  </si>
  <si>
    <t>320180000</t>
  </si>
  <si>
    <t>0036153</t>
  </si>
  <si>
    <t>308467-320</t>
  </si>
  <si>
    <t>187.77</t>
  </si>
  <si>
    <t>340.93</t>
  </si>
  <si>
    <t>CLEVELAND COUNTY</t>
  </si>
  <si>
    <t>320230000</t>
  </si>
  <si>
    <t>13049</t>
  </si>
  <si>
    <t>311703-384</t>
  </si>
  <si>
    <t>1187.80</t>
  </si>
  <si>
    <t>01/21/2020</t>
  </si>
  <si>
    <t>CURRITUCK COUNTY</t>
  </si>
  <si>
    <t>320270000</t>
  </si>
  <si>
    <t>117A00001720000</t>
  </si>
  <si>
    <t>325547-555</t>
  </si>
  <si>
    <t>3017.81</t>
  </si>
  <si>
    <t>01/22/2020</t>
  </si>
  <si>
    <t>DAVIDSON COUNTY</t>
  </si>
  <si>
    <t>320290000</t>
  </si>
  <si>
    <t>07-039-E-000-0023-</t>
  </si>
  <si>
    <t>321387-527</t>
  </si>
  <si>
    <t>826.95</t>
  </si>
  <si>
    <t>DURHAM COUNTY</t>
  </si>
  <si>
    <t>320320000</t>
  </si>
  <si>
    <t>180092</t>
  </si>
  <si>
    <t>318668-494</t>
  </si>
  <si>
    <t>2692.92</t>
  </si>
  <si>
    <t>PERSON COUNTY</t>
  </si>
  <si>
    <t>320730000</t>
  </si>
  <si>
    <t>A13 117</t>
  </si>
  <si>
    <t>328236-584</t>
  </si>
  <si>
    <t>393.44</t>
  </si>
  <si>
    <t>320760000</t>
  </si>
  <si>
    <t>77-22-40-63-45</t>
  </si>
  <si>
    <t>322265-537</t>
  </si>
  <si>
    <t>850.91</t>
  </si>
  <si>
    <t>320770000</t>
  </si>
  <si>
    <t>749002896536</t>
  </si>
  <si>
    <t>308164-310</t>
  </si>
  <si>
    <t>666.74</t>
  </si>
  <si>
    <t>320900000</t>
  </si>
  <si>
    <t>04063005</t>
  </si>
  <si>
    <t>319233-496</t>
  </si>
  <si>
    <t>557.68</t>
  </si>
  <si>
    <t>01/23/2020</t>
  </si>
  <si>
    <t>4196.26</t>
  </si>
  <si>
    <t>06165305</t>
  </si>
  <si>
    <t>317963-482</t>
  </si>
  <si>
    <t>1936.01</t>
  </si>
  <si>
    <t>09345054A</t>
  </si>
  <si>
    <t>306352-041</t>
  </si>
  <si>
    <t>1015.95</t>
  </si>
  <si>
    <t>ANNE ARUNDEL COUNTY</t>
  </si>
  <si>
    <t>190020000</t>
  </si>
  <si>
    <t>1747-0249-2000</t>
  </si>
  <si>
    <t>309233-344</t>
  </si>
  <si>
    <t>2208.57</t>
  </si>
  <si>
    <t>01/31/2020</t>
  </si>
  <si>
    <t>3000-3174-1800</t>
  </si>
  <si>
    <t>328181-584</t>
  </si>
  <si>
    <t>3168.59</t>
  </si>
  <si>
    <t>3388-3173-5800</t>
  </si>
  <si>
    <t>318233-493</t>
  </si>
  <si>
    <t>3100.38</t>
  </si>
  <si>
    <t>3656-3217-1700</t>
  </si>
  <si>
    <t>321360-527</t>
  </si>
  <si>
    <t>4324.80</t>
  </si>
  <si>
    <t>3660-2648-3550</t>
  </si>
  <si>
    <t>316721-465</t>
  </si>
  <si>
    <t>11366.68</t>
  </si>
  <si>
    <t>4571-9007-8831</t>
  </si>
  <si>
    <t>324066-539</t>
  </si>
  <si>
    <t>3408.62</t>
  </si>
  <si>
    <t>5693-9000-1226</t>
  </si>
  <si>
    <t>322217-537</t>
  </si>
  <si>
    <t>1284.53</t>
  </si>
  <si>
    <t>BALTIMORE COUNTY</t>
  </si>
  <si>
    <t>190030000</t>
  </si>
  <si>
    <t>08-19-033930</t>
  </si>
  <si>
    <t>RF18032</t>
  </si>
  <si>
    <t>2840.33</t>
  </si>
  <si>
    <t>08-19-033931</t>
  </si>
  <si>
    <t>65.45</t>
  </si>
  <si>
    <t>09-13-200900</t>
  </si>
  <si>
    <t>314735-434</t>
  </si>
  <si>
    <t>2111.64</t>
  </si>
  <si>
    <t>2459.56</t>
  </si>
  <si>
    <t>2834.26</t>
  </si>
  <si>
    <t>09-19-715640</t>
  </si>
  <si>
    <t>328198-584</t>
  </si>
  <si>
    <t>2486.81</t>
  </si>
  <si>
    <t>12-03-077660</t>
  </si>
  <si>
    <t>315374-444</t>
  </si>
  <si>
    <t>2758.09</t>
  </si>
  <si>
    <t>12-06-058050</t>
  </si>
  <si>
    <t>303613-031</t>
  </si>
  <si>
    <t>3492.47</t>
  </si>
  <si>
    <t>14-19-014550</t>
  </si>
  <si>
    <t>313868-429</t>
  </si>
  <si>
    <t>2292.29</t>
  </si>
  <si>
    <t>15-18-000590</t>
  </si>
  <si>
    <t>322216-537</t>
  </si>
  <si>
    <t>3583.66</t>
  </si>
  <si>
    <t>18-00-009614</t>
  </si>
  <si>
    <t>321024-513</t>
  </si>
  <si>
    <t>2618.29</t>
  </si>
  <si>
    <t>22-00-019208</t>
  </si>
  <si>
    <t>315774-455</t>
  </si>
  <si>
    <t>2274.37</t>
  </si>
  <si>
    <t>22-00-025099</t>
  </si>
  <si>
    <t>328188-584</t>
  </si>
  <si>
    <t>2399.64</t>
  </si>
  <si>
    <t>25-00-004866</t>
  </si>
  <si>
    <t>327813-577</t>
  </si>
  <si>
    <t>6184.63</t>
  </si>
  <si>
    <t>FREDERICK COUNTY</t>
  </si>
  <si>
    <t>190110000</t>
  </si>
  <si>
    <t>01-014862</t>
  </si>
  <si>
    <t>330128-597</t>
  </si>
  <si>
    <t>2212.22</t>
  </si>
  <si>
    <t>02-232154</t>
  </si>
  <si>
    <t>327210-572</t>
  </si>
  <si>
    <t>1816.27</t>
  </si>
  <si>
    <t>22-431676</t>
  </si>
  <si>
    <t>324463-539</t>
  </si>
  <si>
    <t>3577.71</t>
  </si>
  <si>
    <t>BOX ELDER COUNTY</t>
  </si>
  <si>
    <t>430020000</t>
  </si>
  <si>
    <t>R00022375</t>
  </si>
  <si>
    <t>310433-362</t>
  </si>
  <si>
    <t>1137.53</t>
  </si>
  <si>
    <t>DAVIS COUNTY</t>
  </si>
  <si>
    <t>430060000</t>
  </si>
  <si>
    <t>12-133-0025</t>
  </si>
  <si>
    <t>316554-461</t>
  </si>
  <si>
    <t>430270000</t>
  </si>
  <si>
    <t>0758816</t>
  </si>
  <si>
    <t>327009-571</t>
  </si>
  <si>
    <t>6393.93</t>
  </si>
  <si>
    <t>WEBER COUNTY</t>
  </si>
  <si>
    <t>430290000</t>
  </si>
  <si>
    <t>07 218 0004</t>
  </si>
  <si>
    <t>320032-500</t>
  </si>
  <si>
    <t>2151.46</t>
  </si>
  <si>
    <t>DAKOTA COUNTY</t>
  </si>
  <si>
    <t>220190000</t>
  </si>
  <si>
    <t>20-51000-02-080</t>
  </si>
  <si>
    <t>319983-500</t>
  </si>
  <si>
    <t>1567.80</t>
  </si>
  <si>
    <t>1633.88</t>
  </si>
  <si>
    <t>42-31052-03-012</t>
  </si>
  <si>
    <t>311490-377</t>
  </si>
  <si>
    <t>1411.93</t>
  </si>
  <si>
    <t>FALLS CHURCH CITY</t>
  </si>
  <si>
    <t>456102300</t>
  </si>
  <si>
    <t>52302005</t>
  </si>
  <si>
    <t>322226-537</t>
  </si>
  <si>
    <t>3389.78</t>
  </si>
  <si>
    <t>FLOYD COUNTY</t>
  </si>
  <si>
    <t>100570000</t>
  </si>
  <si>
    <t>B13 -043</t>
  </si>
  <si>
    <t>307232-045</t>
  </si>
  <si>
    <t>1819.23</t>
  </si>
  <si>
    <t>ST JOSEPH COUNTY</t>
  </si>
  <si>
    <t>130710000</t>
  </si>
  <si>
    <t>71-08-03-103-008.000-026</t>
  </si>
  <si>
    <t>308841-326</t>
  </si>
  <si>
    <t>265.88</t>
  </si>
  <si>
    <t>71-08-09-102-014.000-026</t>
  </si>
  <si>
    <t>314171-429</t>
  </si>
  <si>
    <t>402.50</t>
  </si>
  <si>
    <t>GOODHUE COUNTY</t>
  </si>
  <si>
    <t>220250000</t>
  </si>
  <si>
    <t>55.070.0020</t>
  </si>
  <si>
    <t>316466-461</t>
  </si>
  <si>
    <t>671.50</t>
  </si>
  <si>
    <t>SHERBURNE COUNTY</t>
  </si>
  <si>
    <t>220710000</t>
  </si>
  <si>
    <t>75-719-0302</t>
  </si>
  <si>
    <t>321555-527</t>
  </si>
  <si>
    <t>996.00</t>
  </si>
  <si>
    <t>01/13/2020</t>
  </si>
  <si>
    <t>WILKIN COUNTY</t>
  </si>
  <si>
    <t>220840000</t>
  </si>
  <si>
    <t>23-622-0090</t>
  </si>
  <si>
    <t>318821-494</t>
  </si>
  <si>
    <t>1018.98</t>
  </si>
  <si>
    <t>ALBEMARLE COUNTY</t>
  </si>
  <si>
    <t>450020000</t>
  </si>
  <si>
    <t>09900-00-00-02400</t>
  </si>
  <si>
    <t>328210-584</t>
  </si>
  <si>
    <t>422.10</t>
  </si>
  <si>
    <t>11100-00-00-003A0</t>
  </si>
  <si>
    <t>RE19001</t>
  </si>
  <si>
    <t>11578.92</t>
  </si>
  <si>
    <t>ARLINGTON COUNTY</t>
  </si>
  <si>
    <t>450070000</t>
  </si>
  <si>
    <t>34-027-496</t>
  </si>
  <si>
    <t>326883-571</t>
  </si>
  <si>
    <t>3889.56</t>
  </si>
  <si>
    <t>CHARLOTTESVILLE CITY</t>
  </si>
  <si>
    <t>455402300</t>
  </si>
  <si>
    <t>590333000</t>
  </si>
  <si>
    <t>318252-493</t>
  </si>
  <si>
    <t>1747.21</t>
  </si>
  <si>
    <t>450910000</t>
  </si>
  <si>
    <t>160 A 55A</t>
  </si>
  <si>
    <t>318659-494</t>
  </si>
  <si>
    <t>559.76</t>
  </si>
  <si>
    <t>SNOHOMISH COUNTY</t>
  </si>
  <si>
    <t>460310000</t>
  </si>
  <si>
    <t>00382600001300</t>
  </si>
  <si>
    <t>316963-466</t>
  </si>
  <si>
    <t>2480.80</t>
  </si>
  <si>
    <t>00598100005700</t>
  </si>
  <si>
    <t>328987-584</t>
  </si>
  <si>
    <t>443.21</t>
  </si>
  <si>
    <t>00894200003000</t>
  </si>
  <si>
    <t>323280-537</t>
  </si>
  <si>
    <t>3500.37</t>
  </si>
  <si>
    <t>00937500000600</t>
  </si>
  <si>
    <t>327039-571</t>
  </si>
  <si>
    <t>4210.15</t>
  </si>
  <si>
    <t>00959402323010</t>
  </si>
  <si>
    <t>311594-377</t>
  </si>
  <si>
    <t>2673.22</t>
  </si>
  <si>
    <t>CASTLETON FIRE DIST #2</t>
  </si>
  <si>
    <t>440112229</t>
  </si>
  <si>
    <t>242000036</t>
  </si>
  <si>
    <t>RF18053</t>
  </si>
  <si>
    <t>116.22</t>
  </si>
  <si>
    <t>01/10/2020</t>
  </si>
  <si>
    <t>96.85</t>
  </si>
  <si>
    <t>CAMDEN COUNTY</t>
  </si>
  <si>
    <t>100200000</t>
  </si>
  <si>
    <t>160C 595</t>
  </si>
  <si>
    <t>152.59</t>
  </si>
  <si>
    <t>CHATHAM COUNTY</t>
  </si>
  <si>
    <t>100250000</t>
  </si>
  <si>
    <t>10318 01033</t>
  </si>
  <si>
    <t>318318-493</t>
  </si>
  <si>
    <t>63.96</t>
  </si>
  <si>
    <t>20135 01004</t>
  </si>
  <si>
    <t>321446-527</t>
  </si>
  <si>
    <t>1008.50</t>
  </si>
  <si>
    <t>20581 01009</t>
  </si>
  <si>
    <t>318319-493</t>
  </si>
  <si>
    <t>835.27</t>
  </si>
  <si>
    <t>DOUGLAS COUNTY</t>
  </si>
  <si>
    <t>100480000</t>
  </si>
  <si>
    <t>03641820024</t>
  </si>
  <si>
    <t>319266-496</t>
  </si>
  <si>
    <t>1138.20</t>
  </si>
  <si>
    <t>100560000</t>
  </si>
  <si>
    <t>13 0108 011</t>
  </si>
  <si>
    <t>317201-475</t>
  </si>
  <si>
    <t>312.13</t>
  </si>
  <si>
    <t>100660000</t>
  </si>
  <si>
    <t>086-A-00-001-0</t>
  </si>
  <si>
    <t>328334-584</t>
  </si>
  <si>
    <t>374.23</t>
  </si>
  <si>
    <t>HAPEVILLE CITY</t>
  </si>
  <si>
    <t>100600107</t>
  </si>
  <si>
    <t>14 -0094-0006-030-9</t>
  </si>
  <si>
    <t>317636-481</t>
  </si>
  <si>
    <t>18.38</t>
  </si>
  <si>
    <t>01/16/2020</t>
  </si>
  <si>
    <t>44.10</t>
  </si>
  <si>
    <t>HENRY COUNTY</t>
  </si>
  <si>
    <t>100750000</t>
  </si>
  <si>
    <t>022E01117000</t>
  </si>
  <si>
    <t>327810-576</t>
  </si>
  <si>
    <t>2679.44</t>
  </si>
  <si>
    <t>PAULDING COUNTY</t>
  </si>
  <si>
    <t>101100000</t>
  </si>
  <si>
    <t>R068911</t>
  </si>
  <si>
    <t>313130-415</t>
  </si>
  <si>
    <t>2397.51</t>
  </si>
  <si>
    <t>2693.11</t>
  </si>
  <si>
    <t>SAVANNAH CITY</t>
  </si>
  <si>
    <t>100250101</t>
  </si>
  <si>
    <t>552.42</t>
  </si>
  <si>
    <t>01/03/2020</t>
  </si>
  <si>
    <t>337.97</t>
  </si>
  <si>
    <t>SPALDING COUNTY</t>
  </si>
  <si>
    <t>101260000</t>
  </si>
  <si>
    <t>254 02029C</t>
  </si>
  <si>
    <t>306477-041</t>
  </si>
  <si>
    <t>1757.21</t>
  </si>
  <si>
    <t>01/12/2020</t>
  </si>
  <si>
    <t>TIFT COUNTY</t>
  </si>
  <si>
    <t>101370000</t>
  </si>
  <si>
    <t>T029 077</t>
  </si>
  <si>
    <t>328350-584</t>
  </si>
  <si>
    <t>1983.25</t>
  </si>
  <si>
    <t>101540000</t>
  </si>
  <si>
    <t>057 028</t>
  </si>
  <si>
    <t>307231-045</t>
  </si>
  <si>
    <t>4216.49</t>
  </si>
  <si>
    <t>120490000</t>
  </si>
  <si>
    <t>16-33-103-007</t>
  </si>
  <si>
    <t>RB18087</t>
  </si>
  <si>
    <t>104.00</t>
  </si>
  <si>
    <t>11008.52</t>
  </si>
  <si>
    <t>BROOKHAVEN TOWN</t>
  </si>
  <si>
    <t>310520203</t>
  </si>
  <si>
    <t>1618670</t>
  </si>
  <si>
    <t>320948-513</t>
  </si>
  <si>
    <t>2578.88</t>
  </si>
  <si>
    <t>01/17/2020</t>
  </si>
  <si>
    <t>2350036</t>
  </si>
  <si>
    <t>RB18037</t>
  </si>
  <si>
    <t>6288.60</t>
  </si>
  <si>
    <t>2614890</t>
  </si>
  <si>
    <t>317982-482</t>
  </si>
  <si>
    <t>3543.42</t>
  </si>
  <si>
    <t>3543.41</t>
  </si>
  <si>
    <t>4207530</t>
  </si>
  <si>
    <t>309388-344</t>
  </si>
  <si>
    <t>14125.08</t>
  </si>
  <si>
    <t>14433.63</t>
  </si>
  <si>
    <t>14432.03</t>
  </si>
  <si>
    <t>6294.86</t>
  </si>
  <si>
    <t>5413800</t>
  </si>
  <si>
    <t>320962-513</t>
  </si>
  <si>
    <t>4726.12</t>
  </si>
  <si>
    <t>4726.11</t>
  </si>
  <si>
    <t>5425091</t>
  </si>
  <si>
    <t>308146-310</t>
  </si>
  <si>
    <t>10679.82</t>
  </si>
  <si>
    <t>4766.04</t>
  </si>
  <si>
    <t>5714500</t>
  </si>
  <si>
    <t>320951-513</t>
  </si>
  <si>
    <t>4363.62</t>
  </si>
  <si>
    <t>4363.61</t>
  </si>
  <si>
    <t>6044304</t>
  </si>
  <si>
    <t>309218-344</t>
  </si>
  <si>
    <t>53.73</t>
  </si>
  <si>
    <t>8013062</t>
  </si>
  <si>
    <t>313424-416</t>
  </si>
  <si>
    <t>7635.77</t>
  </si>
  <si>
    <t>4340.81</t>
  </si>
  <si>
    <t>3848.63</t>
  </si>
  <si>
    <t>8212773</t>
  </si>
  <si>
    <t>320960-513</t>
  </si>
  <si>
    <t>5839.84</t>
  </si>
  <si>
    <t>8309210</t>
  </si>
  <si>
    <t>320946-513</t>
  </si>
  <si>
    <t>4197.16</t>
  </si>
  <si>
    <t>8315070</t>
  </si>
  <si>
    <t>324212-539</t>
  </si>
  <si>
    <t>2517.92</t>
  </si>
  <si>
    <t>8620645</t>
  </si>
  <si>
    <t>320930-513</t>
  </si>
  <si>
    <t>5907.10</t>
  </si>
  <si>
    <t>8801554</t>
  </si>
  <si>
    <t>320922-513</t>
  </si>
  <si>
    <t>11005.30</t>
  </si>
  <si>
    <t>SOUTHAMPTON TOWN</t>
  </si>
  <si>
    <t>310520201</t>
  </si>
  <si>
    <t>0900-053.00-01.00-012.007-0000</t>
  </si>
  <si>
    <t>324068-539</t>
  </si>
  <si>
    <t>1107.46</t>
  </si>
  <si>
    <t>01/09/2020</t>
  </si>
  <si>
    <t>0900-130.00-01.00-008.000-0000</t>
  </si>
  <si>
    <t>320963-513</t>
  </si>
  <si>
    <t>996.92</t>
  </si>
  <si>
    <t>0900-142.00-01.00-001.030-0000</t>
  </si>
  <si>
    <t>307352-045</t>
  </si>
  <si>
    <t>1609.09</t>
  </si>
  <si>
    <t>1594.85</t>
  </si>
  <si>
    <t>PLUM BOROUGH/SCHOOL</t>
  </si>
  <si>
    <t>370021706</t>
  </si>
  <si>
    <t>880 1240-P-00387-0000 00</t>
  </si>
  <si>
    <t>308772-325</t>
  </si>
  <si>
    <t>2359.08</t>
  </si>
  <si>
    <t>01/15/2020</t>
  </si>
  <si>
    <t>460060000</t>
  </si>
  <si>
    <t>0035385-000</t>
  </si>
  <si>
    <t>324012-538</t>
  </si>
  <si>
    <t>2605.59</t>
  </si>
  <si>
    <t>0110291-088</t>
  </si>
  <si>
    <t>328996-584</t>
  </si>
  <si>
    <t>2959.47</t>
  </si>
  <si>
    <t>0130274-032</t>
  </si>
  <si>
    <t>315895-457</t>
  </si>
  <si>
    <t>3256.20</t>
  </si>
  <si>
    <t>0175038-000</t>
  </si>
  <si>
    <t>319585-496</t>
  </si>
  <si>
    <t>1485.08</t>
  </si>
  <si>
    <t>0263015-000</t>
  </si>
  <si>
    <t>317676-481</t>
  </si>
  <si>
    <t>3541.34</t>
  </si>
  <si>
    <t>COWLITZ COUNTY</t>
  </si>
  <si>
    <t>460080000</t>
  </si>
  <si>
    <t>0003014150</t>
  </si>
  <si>
    <t>305638-036</t>
  </si>
  <si>
    <t>3376.19</t>
  </si>
  <si>
    <t>KING COUNTY</t>
  </si>
  <si>
    <t>460170000</t>
  </si>
  <si>
    <t>025700-0033-01</t>
  </si>
  <si>
    <t>326548-555</t>
  </si>
  <si>
    <t>2366.82</t>
  </si>
  <si>
    <t>082606-9221-00</t>
  </si>
  <si>
    <t>325097-552</t>
  </si>
  <si>
    <t>3450.01</t>
  </si>
  <si>
    <t>202607-9033-01</t>
  </si>
  <si>
    <t>311595-377</t>
  </si>
  <si>
    <t>7590.16</t>
  </si>
  <si>
    <t>3630.72</t>
  </si>
  <si>
    <t>264490-0151-06</t>
  </si>
  <si>
    <t>324880-550</t>
  </si>
  <si>
    <t>2761.22</t>
  </si>
  <si>
    <t>312720-0047-03</t>
  </si>
  <si>
    <t>323276-537</t>
  </si>
  <si>
    <t>4313.95</t>
  </si>
  <si>
    <t>362900-0070-00</t>
  </si>
  <si>
    <t>325099-552</t>
  </si>
  <si>
    <t>2168.01</t>
  </si>
  <si>
    <t>379600-0247-05</t>
  </si>
  <si>
    <t>325098-552</t>
  </si>
  <si>
    <t>2962.25</t>
  </si>
  <si>
    <t>515320-0556-08</t>
  </si>
  <si>
    <t>304380-033</t>
  </si>
  <si>
    <t>2163.31</t>
  </si>
  <si>
    <t>642110-0093-04</t>
  </si>
  <si>
    <t>315646-444</t>
  </si>
  <si>
    <t>1998.48</t>
  </si>
  <si>
    <t>4630.57</t>
  </si>
  <si>
    <t>5144.51</t>
  </si>
  <si>
    <t>797260-3770-08</t>
  </si>
  <si>
    <t>313641-426</t>
  </si>
  <si>
    <t>2206.19</t>
  </si>
  <si>
    <t>810190-0135-00</t>
  </si>
  <si>
    <t>315649-444</t>
  </si>
  <si>
    <t>1887.21</t>
  </si>
  <si>
    <t>953310-0160-01</t>
  </si>
  <si>
    <t>324007-538</t>
  </si>
  <si>
    <t>3776.67</t>
  </si>
  <si>
    <t>CRAIGHEAD COUNTY</t>
  </si>
  <si>
    <t>030160000</t>
  </si>
  <si>
    <t>12-136181-00700</t>
  </si>
  <si>
    <t>321195-513</t>
  </si>
  <si>
    <t>106.58</t>
  </si>
  <si>
    <t>128.02</t>
  </si>
  <si>
    <t>FAULKNER COUNTY</t>
  </si>
  <si>
    <t>030230000</t>
  </si>
  <si>
    <t>710-00520-000</t>
  </si>
  <si>
    <t>328698-584</t>
  </si>
  <si>
    <t>526.72</t>
  </si>
  <si>
    <t>609.52</t>
  </si>
  <si>
    <t>657.92</t>
  </si>
  <si>
    <t>703.51</t>
  </si>
  <si>
    <t>535.74</t>
  </si>
  <si>
    <t>1185.06</t>
  </si>
  <si>
    <t>612.35</t>
  </si>
  <si>
    <t>505.65</t>
  </si>
  <si>
    <t>PULASKI COUNTY</t>
  </si>
  <si>
    <t>030600000</t>
  </si>
  <si>
    <t>34L1970000900</t>
  </si>
  <si>
    <t>328702-584</t>
  </si>
  <si>
    <t>428.90</t>
  </si>
  <si>
    <t>LAWRENCE COUNTY</t>
  </si>
  <si>
    <t>130470000</t>
  </si>
  <si>
    <t>47-03-07-300-002.000-006</t>
  </si>
  <si>
    <t>318343-493</t>
  </si>
  <si>
    <t>1591.49</t>
  </si>
  <si>
    <t>ELIZABETH CITY</t>
  </si>
  <si>
    <t>290200104</t>
  </si>
  <si>
    <t>BLOCK 00006 LOT 00496</t>
  </si>
  <si>
    <t>324500-539</t>
  </si>
  <si>
    <t>3250.20</t>
  </si>
  <si>
    <t>3250.19</t>
  </si>
  <si>
    <t>3292.86</t>
  </si>
  <si>
    <t>3292.85</t>
  </si>
  <si>
    <t>BLOCK 00010 LOT 01858</t>
  </si>
  <si>
    <t>324456-539</t>
  </si>
  <si>
    <t>0.01</t>
  </si>
  <si>
    <t>PRINCETON</t>
  </si>
  <si>
    <t>290111705</t>
  </si>
  <si>
    <t>BLOCK 02001 LOT 00039</t>
  </si>
  <si>
    <t>324996-550</t>
  </si>
  <si>
    <t>542.90</t>
  </si>
  <si>
    <t>10370.96</t>
  </si>
  <si>
    <t>BLOCK 06402 LOT 00010</t>
  </si>
  <si>
    <t>324749-550</t>
  </si>
  <si>
    <t>247.44</t>
  </si>
  <si>
    <t>5732.85</t>
  </si>
  <si>
    <t>UNION CITY</t>
  </si>
  <si>
    <t>290090104</t>
  </si>
  <si>
    <t>BLOCK 00190 LOT 00012 C0003</t>
  </si>
  <si>
    <t>324069-539</t>
  </si>
  <si>
    <t>2868.86</t>
  </si>
  <si>
    <t>BLOCK 00284 LOT 00016 C000F</t>
  </si>
  <si>
    <t>327931-584</t>
  </si>
  <si>
    <t>604.11</t>
  </si>
  <si>
    <t>NEW IPSWICH TOWN</t>
  </si>
  <si>
    <t>280060215</t>
  </si>
  <si>
    <t>000002-00005I-000000</t>
  </si>
  <si>
    <t>313677-429</t>
  </si>
  <si>
    <t>2903.00</t>
  </si>
  <si>
    <t>COOK COUNTY</t>
  </si>
  <si>
    <t>120160000</t>
  </si>
  <si>
    <t>10-22-305-036-0000</t>
  </si>
  <si>
    <t>308977-332</t>
  </si>
  <si>
    <t>0.62</t>
  </si>
  <si>
    <t>12/31/2019</t>
  </si>
  <si>
    <t>15-10-412-015-0000</t>
  </si>
  <si>
    <t>322743-537</t>
  </si>
  <si>
    <t>937.52</t>
  </si>
  <si>
    <t>1085.18</t>
  </si>
  <si>
    <t>542.59</t>
  </si>
  <si>
    <t>531.83</t>
  </si>
  <si>
    <t>537.21</t>
  </si>
  <si>
    <t>573.08</t>
  </si>
  <si>
    <t>392.01</t>
  </si>
  <si>
    <t>16-15-402-006-0000</t>
  </si>
  <si>
    <t>317851-481</t>
  </si>
  <si>
    <t>2377.21</t>
  </si>
  <si>
    <t>2563.81</t>
  </si>
  <si>
    <t>1410.10</t>
  </si>
  <si>
    <t>1365.11</t>
  </si>
  <si>
    <t>19-26-326-064-0000</t>
  </si>
  <si>
    <t>316481-461</t>
  </si>
  <si>
    <t>550.32</t>
  </si>
  <si>
    <t>20-14-311-011-0000</t>
  </si>
  <si>
    <t>308810-325</t>
  </si>
  <si>
    <t>4604.37</t>
  </si>
  <si>
    <t>7375.36</t>
  </si>
  <si>
    <t>25-15-407-037-0000</t>
  </si>
  <si>
    <t>309040-335</t>
  </si>
  <si>
    <t>690.52</t>
  </si>
  <si>
    <t>359.73</t>
  </si>
  <si>
    <t>28-21-215-008-0000</t>
  </si>
  <si>
    <t>319412-496</t>
  </si>
  <si>
    <t>5372.43</t>
  </si>
  <si>
    <t>4414.61</t>
  </si>
  <si>
    <t>29-08-311-043-0000</t>
  </si>
  <si>
    <t>312772-411</t>
  </si>
  <si>
    <t>983.85</t>
  </si>
  <si>
    <t>801.49</t>
  </si>
  <si>
    <t>29-14-318-002-0000</t>
  </si>
  <si>
    <t>RF18050</t>
  </si>
  <si>
    <t>3033.03</t>
  </si>
  <si>
    <t>2610.15</t>
  </si>
  <si>
    <t>31-13-204-003-0000</t>
  </si>
  <si>
    <t>311612-376</t>
  </si>
  <si>
    <t>15609.59</t>
  </si>
  <si>
    <t>8585.27</t>
  </si>
  <si>
    <t>7370.87</t>
  </si>
  <si>
    <t>31-24-320-009-0000</t>
  </si>
  <si>
    <t>312774-411</t>
  </si>
  <si>
    <t>436.36</t>
  </si>
  <si>
    <t>2186.98</t>
  </si>
  <si>
    <t>ALLENDALE BOROUGH</t>
  </si>
  <si>
    <t>290021714</t>
  </si>
  <si>
    <t>BLOCK 00406 LOT 00038</t>
  </si>
  <si>
    <t>313467-421</t>
  </si>
  <si>
    <t>877.95</t>
  </si>
  <si>
    <t>3938.21</t>
  </si>
  <si>
    <t>4150.80</t>
  </si>
  <si>
    <t>4082.22</t>
  </si>
  <si>
    <t>01/14/2020</t>
  </si>
  <si>
    <t>CHESILHURST BOROUGH</t>
  </si>
  <si>
    <t>290041719</t>
  </si>
  <si>
    <t>BLOCK 00506 LOT 00005</t>
  </si>
  <si>
    <t>326789-571</t>
  </si>
  <si>
    <t>37.47</t>
  </si>
  <si>
    <t>BLOCK 01003 LOT 00005 01</t>
  </si>
  <si>
    <t>316037-460</t>
  </si>
  <si>
    <t>HOLMDEL TOWNSHIP</t>
  </si>
  <si>
    <t>290130206</t>
  </si>
  <si>
    <t>BLOCK 00056 LOT 00007 01 C0033</t>
  </si>
  <si>
    <t>325290-555</t>
  </si>
  <si>
    <t>HOWELL TOWNSHIP</t>
  </si>
  <si>
    <t>290130204</t>
  </si>
  <si>
    <t>BLOCK 00002 15 LOT 00010</t>
  </si>
  <si>
    <t>AJ2024</t>
  </si>
  <si>
    <t>1682.42</t>
  </si>
  <si>
    <t>BLOCK 00035 76 LOT 00026</t>
  </si>
  <si>
    <t>310692-364</t>
  </si>
  <si>
    <t>8.26</t>
  </si>
  <si>
    <t>BLOCK 00110 LOT 00178 06</t>
  </si>
  <si>
    <t>326776-571</t>
  </si>
  <si>
    <t>9.75</t>
  </si>
  <si>
    <t>BLOCK 00136 LOT 00002</t>
  </si>
  <si>
    <t>AJ0077</t>
  </si>
  <si>
    <t>7.93</t>
  </si>
  <si>
    <t>BLOCK 00148 LOT 00004 01</t>
  </si>
  <si>
    <t>321837-536</t>
  </si>
  <si>
    <t>6.57</t>
  </si>
  <si>
    <t>KEARNY TOWN</t>
  </si>
  <si>
    <t>290090205</t>
  </si>
  <si>
    <t>BLOCK 00045 LOT 00017</t>
  </si>
  <si>
    <t>315734-455</t>
  </si>
  <si>
    <t>2170.80</t>
  </si>
  <si>
    <t>2175.62</t>
  </si>
  <si>
    <t>NEW BRUNSWICK CITY</t>
  </si>
  <si>
    <t>290120103</t>
  </si>
  <si>
    <t>BLOCK 00183 LOT 00019</t>
  </si>
  <si>
    <t>324543-549</t>
  </si>
  <si>
    <t>BLOCK 00356 LOT 00009 01</t>
  </si>
  <si>
    <t>326804-571</t>
  </si>
  <si>
    <t>PISCATAWAY TOWNSHIP</t>
  </si>
  <si>
    <t>290120203</t>
  </si>
  <si>
    <t>BLOCK 06804 LOT 00005</t>
  </si>
  <si>
    <t>328004-584</t>
  </si>
  <si>
    <t>1560.08</t>
  </si>
  <si>
    <t>1567.30</t>
  </si>
  <si>
    <t>1640.30</t>
  </si>
  <si>
    <t>TRENTON CITY</t>
  </si>
  <si>
    <t>290110101</t>
  </si>
  <si>
    <t>BLOCK 06201 LOT 00060</t>
  </si>
  <si>
    <t>313717-429</t>
  </si>
  <si>
    <t>709.33</t>
  </si>
  <si>
    <t>BLOCK 06704 LOT 00034</t>
  </si>
  <si>
    <t>325305-555</t>
  </si>
  <si>
    <t>3.75</t>
  </si>
  <si>
    <t>BLOCK 08903 LOT 00061</t>
  </si>
  <si>
    <t>306426-041</t>
  </si>
  <si>
    <t>2.33</t>
  </si>
  <si>
    <t>BLOCK 10203 LOT 00004</t>
  </si>
  <si>
    <t>327985-584</t>
  </si>
  <si>
    <t>534.67</t>
  </si>
  <si>
    <t>BLOCK 18903 LOT 00010</t>
  </si>
  <si>
    <t>309190-344</t>
  </si>
  <si>
    <t>BLOCK 28302 LOT 00003</t>
  </si>
  <si>
    <t>325307-555</t>
  </si>
  <si>
    <t>4.80</t>
  </si>
  <si>
    <t>WEST AMWELL TOWNSHIP</t>
  </si>
  <si>
    <t>290100215</t>
  </si>
  <si>
    <t>BLOCK 00014 LOT 00026</t>
  </si>
  <si>
    <t>320849-513</t>
  </si>
  <si>
    <t>118.46</t>
  </si>
  <si>
    <t>DERRY TOWN</t>
  </si>
  <si>
    <t>280080201</t>
  </si>
  <si>
    <t>10-041-006</t>
  </si>
  <si>
    <t>319131-496</t>
  </si>
  <si>
    <t>4476.67</t>
  </si>
  <si>
    <t>35-008-001</t>
  </si>
  <si>
    <t>325004-552</t>
  </si>
  <si>
    <t>5404.23</t>
  </si>
  <si>
    <t>MINNEHAHA COUNTY</t>
  </si>
  <si>
    <t>400490000</t>
  </si>
  <si>
    <t>076522</t>
  </si>
  <si>
    <t>RB18099</t>
  </si>
  <si>
    <t>1575.16</t>
  </si>
  <si>
    <t>WESTBURY VILLAGE</t>
  </si>
  <si>
    <t>310300417</t>
  </si>
  <si>
    <t>10-184 -00050</t>
  </si>
  <si>
    <t>320912-513</t>
  </si>
  <si>
    <t>755.17</t>
  </si>
  <si>
    <t>12/16/2019</t>
  </si>
  <si>
    <t>CHELAN COUNTY</t>
  </si>
  <si>
    <t>460040000</t>
  </si>
  <si>
    <t>241832220100</t>
  </si>
  <si>
    <t>326653-564</t>
  </si>
  <si>
    <t>574.58</t>
  </si>
  <si>
    <t>01/06/2020</t>
  </si>
  <si>
    <t>4452.40</t>
  </si>
  <si>
    <t>4310.72</t>
  </si>
  <si>
    <t>KITSAP COUNTY</t>
  </si>
  <si>
    <t>460180000</t>
  </si>
  <si>
    <t>4468-000-010-0104</t>
  </si>
  <si>
    <t>323281-537</t>
  </si>
  <si>
    <t>2838.98</t>
  </si>
  <si>
    <t>5406-000-007-0002</t>
  </si>
  <si>
    <t>321683-527</t>
  </si>
  <si>
    <t>5360.98</t>
  </si>
  <si>
    <t>PEND OREILLE COUNTY</t>
  </si>
  <si>
    <t>460260000</t>
  </si>
  <si>
    <t>453124-32-0004</t>
  </si>
  <si>
    <t>311620-376</t>
  </si>
  <si>
    <t>1411.84</t>
  </si>
  <si>
    <t>WHATCOM COUNTY</t>
  </si>
  <si>
    <t>460370000</t>
  </si>
  <si>
    <t>390430 442037 0000</t>
  </si>
  <si>
    <t>327038-571</t>
  </si>
  <si>
    <t>1066.45</t>
  </si>
  <si>
    <t>400522 250257 0000</t>
  </si>
  <si>
    <t>317666-481</t>
  </si>
  <si>
    <t>1150.03</t>
  </si>
  <si>
    <t>ALLENSTOWN TOWN</t>
  </si>
  <si>
    <t>280070213</t>
  </si>
  <si>
    <t>000113-000015-000000</t>
  </si>
  <si>
    <t>311693-383</t>
  </si>
  <si>
    <t>2794.00</t>
  </si>
  <si>
    <t>12/25/2019</t>
  </si>
  <si>
    <t>BARTLETT TOWN</t>
  </si>
  <si>
    <t>280020206</t>
  </si>
  <si>
    <t>2COVBR-000014-000000</t>
  </si>
  <si>
    <t>313680-429</t>
  </si>
  <si>
    <t>2171.00</t>
  </si>
  <si>
    <t>01/05/2020</t>
  </si>
  <si>
    <t>DURHAM TOWN</t>
  </si>
  <si>
    <t>280090201</t>
  </si>
  <si>
    <t>06-3-13</t>
  </si>
  <si>
    <t>318145-493</t>
  </si>
  <si>
    <t>1229.90</t>
  </si>
  <si>
    <t>01/02/2020</t>
  </si>
  <si>
    <t>GOFFSTOWN TOWN</t>
  </si>
  <si>
    <t>280060209</t>
  </si>
  <si>
    <t>8-12-1-20</t>
  </si>
  <si>
    <t>325244-555</t>
  </si>
  <si>
    <t>3865.18</t>
  </si>
  <si>
    <t>MANCHESTER CITY</t>
  </si>
  <si>
    <t>280060102</t>
  </si>
  <si>
    <t>0766 0041</t>
  </si>
  <si>
    <t>313678-429</t>
  </si>
  <si>
    <t>2064.19</t>
  </si>
  <si>
    <t>NASHUA CITY</t>
  </si>
  <si>
    <t>280060101</t>
  </si>
  <si>
    <t>00027248</t>
  </si>
  <si>
    <t>311905-393</t>
  </si>
  <si>
    <t>3364.35</t>
  </si>
  <si>
    <t>PITTSFIELD TOWN</t>
  </si>
  <si>
    <t>280070212</t>
  </si>
  <si>
    <t>000R22-000001-000028</t>
  </si>
  <si>
    <t>321973-537</t>
  </si>
  <si>
    <t>486.80</t>
  </si>
  <si>
    <t>12/26/2019</t>
  </si>
  <si>
    <t>RAYMOND TOWN</t>
  </si>
  <si>
    <t>280080214</t>
  </si>
  <si>
    <t>034/003/035</t>
  </si>
  <si>
    <t>320788-513</t>
  </si>
  <si>
    <t>4078.79</t>
  </si>
  <si>
    <t>7132.00</t>
  </si>
  <si>
    <t>SEABROOK TOWN</t>
  </si>
  <si>
    <t>280080215</t>
  </si>
  <si>
    <t>9-157</t>
  </si>
  <si>
    <t>316706-465</t>
  </si>
  <si>
    <t>2404.00</t>
  </si>
  <si>
    <t>9-158</t>
  </si>
  <si>
    <t>1559.58</t>
  </si>
  <si>
    <t>STRATHAM TOWN</t>
  </si>
  <si>
    <t>280080238</t>
  </si>
  <si>
    <t>000018-000101-000000</t>
  </si>
  <si>
    <t>309024-335</t>
  </si>
  <si>
    <t>5497.00</t>
  </si>
  <si>
    <t>6396.00</t>
  </si>
  <si>
    <t>AUDUBON BOROUGH</t>
  </si>
  <si>
    <t>290041715</t>
  </si>
  <si>
    <t>BLOCK 00138 LOT 00006</t>
  </si>
  <si>
    <t>326793-571</t>
  </si>
  <si>
    <t>EAGLESWOOD TOWNSHIP</t>
  </si>
  <si>
    <t>290150210</t>
  </si>
  <si>
    <t>BLOCK 00036 LOT 00008 08</t>
  </si>
  <si>
    <t>326790-571</t>
  </si>
  <si>
    <t>2058.94</t>
  </si>
  <si>
    <t>2058.93</t>
  </si>
  <si>
    <t>12/12/2019</t>
  </si>
  <si>
    <t>EDISON TOWNSHIP</t>
  </si>
  <si>
    <t>290120204</t>
  </si>
  <si>
    <t>BLOCK 00184 LOT 00054</t>
  </si>
  <si>
    <t>313591-417</t>
  </si>
  <si>
    <t>IRVINGTON TOWNSHIP</t>
  </si>
  <si>
    <t>290070201</t>
  </si>
  <si>
    <t>BLOCK 00063 LOT 00002</t>
  </si>
  <si>
    <t>PB0007</t>
  </si>
  <si>
    <t>01/07/2020</t>
  </si>
  <si>
    <t>BLOCK 00128 LOT 00025</t>
  </si>
  <si>
    <t>316218-461</t>
  </si>
  <si>
    <t>10.01</t>
  </si>
  <si>
    <t>BLOCK 00212 LOT 00008</t>
  </si>
  <si>
    <t>324363-539</t>
  </si>
  <si>
    <t>BLOCK 00268 LOT 00018</t>
  </si>
  <si>
    <t>326764-571</t>
  </si>
  <si>
    <t>16.68</t>
  </si>
  <si>
    <t>BLOCK 00319 LOT 00017</t>
  </si>
  <si>
    <t>321294-527</t>
  </si>
  <si>
    <t>JACKSON TOWNSHIP</t>
  </si>
  <si>
    <t>290150203</t>
  </si>
  <si>
    <t>BLOCK 07702 LOT 00013</t>
  </si>
  <si>
    <t>320367-510</t>
  </si>
  <si>
    <t>JERSEY CITY</t>
  </si>
  <si>
    <t>290090101</t>
  </si>
  <si>
    <t>BLOCK 03404 LOT 00025</t>
  </si>
  <si>
    <t>315741-455</t>
  </si>
  <si>
    <t>598.74</t>
  </si>
  <si>
    <t>BLOCK 11603 LOT 00025 C1007</t>
  </si>
  <si>
    <t>319842-500</t>
  </si>
  <si>
    <t>3947.02</t>
  </si>
  <si>
    <t>7930.09</t>
  </si>
  <si>
    <t>BLOCK 16602 LOT 00018</t>
  </si>
  <si>
    <t>309550-347</t>
  </si>
  <si>
    <t>672.78</t>
  </si>
  <si>
    <t>BLOCK 25303 LOT 00019</t>
  </si>
  <si>
    <t>316025-460</t>
  </si>
  <si>
    <t>645.98</t>
  </si>
  <si>
    <t>BLOCK 30003 LOT 00047</t>
  </si>
  <si>
    <t>327938-584</t>
  </si>
  <si>
    <t>5974.12</t>
  </si>
  <si>
    <t>MONTVILLE TOWNSHIP</t>
  </si>
  <si>
    <t>290140222</t>
  </si>
  <si>
    <t>BLOCK 00024 1 LOT 00002</t>
  </si>
  <si>
    <t>309660-351</t>
  </si>
  <si>
    <t>NEWARK CITY</t>
  </si>
  <si>
    <t>290070102</t>
  </si>
  <si>
    <t>BLOCK 03682 LOT 00055</t>
  </si>
  <si>
    <t>327937-584</t>
  </si>
  <si>
    <t>BLOCK 04058 LOT 00012</t>
  </si>
  <si>
    <t>310259-358</t>
  </si>
  <si>
    <t>BLOCK 04079 01 LOT 00085</t>
  </si>
  <si>
    <t>327934-584</t>
  </si>
  <si>
    <t>1313.81</t>
  </si>
  <si>
    <t>0.29</t>
  </si>
  <si>
    <t>BLOCK 04132 LOT 00042</t>
  </si>
  <si>
    <t>320818-513</t>
  </si>
  <si>
    <t>NEWFIELD BOROUGH</t>
  </si>
  <si>
    <t>290081706</t>
  </si>
  <si>
    <t>BLOCK 00901 LOT 00014</t>
  </si>
  <si>
    <t>313713-429</t>
  </si>
  <si>
    <t>18.91</t>
  </si>
  <si>
    <t>2014.74</t>
  </si>
  <si>
    <t>12/19/2019</t>
  </si>
  <si>
    <t>OAKLAND BOROUGH</t>
  </si>
  <si>
    <t>290021716</t>
  </si>
  <si>
    <t>BLOCK 01801 LOT 00003</t>
  </si>
  <si>
    <t>320134-509</t>
  </si>
  <si>
    <t>01/08/2020</t>
  </si>
  <si>
    <t>OLD BRIDGE TOWNSHIP</t>
  </si>
  <si>
    <t>290120202</t>
  </si>
  <si>
    <t>BLOCK 01069 LOT 00075</t>
  </si>
  <si>
    <t>311433-377</t>
  </si>
  <si>
    <t>PASSAIC CITY</t>
  </si>
  <si>
    <t>290160101</t>
  </si>
  <si>
    <t>BLOCK 01015 LOT 00009</t>
  </si>
  <si>
    <t>313600-426</t>
  </si>
  <si>
    <t>29.79</t>
  </si>
  <si>
    <t>12/20/2019</t>
  </si>
  <si>
    <t>BLOCK 02178 LOT 00020</t>
  </si>
  <si>
    <t>320362-510</t>
  </si>
  <si>
    <t>37.54</t>
  </si>
  <si>
    <t>BLOCK 03220 LOT 00013</t>
  </si>
  <si>
    <t>324540-549</t>
  </si>
  <si>
    <t>44.16</t>
  </si>
  <si>
    <t>BLOCK 04099 LOT 00062</t>
  </si>
  <si>
    <t>308112-310</t>
  </si>
  <si>
    <t>RED BANK BOROUGH</t>
  </si>
  <si>
    <t>290131725</t>
  </si>
  <si>
    <t>BLOCK 00075 04 LOT 00042</t>
  </si>
  <si>
    <t>327948-584</t>
  </si>
  <si>
    <t>RIVERSIDE TOWNSHIP</t>
  </si>
  <si>
    <t>290030228</t>
  </si>
  <si>
    <t>BLOCK 01801 LOT 00011</t>
  </si>
  <si>
    <t>316860-466</t>
  </si>
  <si>
    <t>488.89</t>
  </si>
  <si>
    <t>2335.03</t>
  </si>
  <si>
    <t>RUMSON BOROUGH</t>
  </si>
  <si>
    <t>290131727</t>
  </si>
  <si>
    <t>BLOCK 00070 LOT 00033</t>
  </si>
  <si>
    <t>322025-537</t>
  </si>
  <si>
    <t>31.45</t>
  </si>
  <si>
    <t>SUMMIT CITY</t>
  </si>
  <si>
    <t>290200101</t>
  </si>
  <si>
    <t>BLOCK 01801 LOT 00005</t>
  </si>
  <si>
    <t>324744-550</t>
  </si>
  <si>
    <t>2683.06</t>
  </si>
  <si>
    <t>WEST DEPTFORD TOWNSHIP</t>
  </si>
  <si>
    <t>290080212</t>
  </si>
  <si>
    <t>BLOCK 00098 LOT 00010</t>
  </si>
  <si>
    <t>327964-584</t>
  </si>
  <si>
    <t>1222.41</t>
  </si>
  <si>
    <t>1085.49</t>
  </si>
  <si>
    <t>WEST LONG BRANCH BOROUGH</t>
  </si>
  <si>
    <t>290131701</t>
  </si>
  <si>
    <t>BLOCK 00044 LOT 00001</t>
  </si>
  <si>
    <t>324983-550</t>
  </si>
  <si>
    <t>WESTWOOD BOROUGH</t>
  </si>
  <si>
    <t>290021711</t>
  </si>
  <si>
    <t>BLOCK 01903 LOT 00007</t>
  </si>
  <si>
    <t>309288-344</t>
  </si>
  <si>
    <t>292.11</t>
  </si>
  <si>
    <t>1233.52</t>
  </si>
  <si>
    <t>1555.41</t>
  </si>
  <si>
    <t>1344.32</t>
  </si>
  <si>
    <t>WILLINGBORO TOWNSHIP</t>
  </si>
  <si>
    <t>290030203</t>
  </si>
  <si>
    <t>BLOCK 01003 LOT 00132</t>
  </si>
  <si>
    <t>RB18093</t>
  </si>
  <si>
    <t>1904.25</t>
  </si>
  <si>
    <t>WORTHINGTON HILLS CITY</t>
  </si>
  <si>
    <t>160560156</t>
  </si>
  <si>
    <t>21-1611-0150-0000</t>
  </si>
  <si>
    <t>308411-319</t>
  </si>
  <si>
    <t>274.73</t>
  </si>
  <si>
    <t>01/01/2020</t>
  </si>
  <si>
    <t>FERRY COUNTY</t>
  </si>
  <si>
    <t>460100000</t>
  </si>
  <si>
    <t>4-40-30-4-2-0001200</t>
  </si>
  <si>
    <t>326558-555</t>
  </si>
  <si>
    <t>567.23</t>
  </si>
  <si>
    <t>12/27/2019</t>
  </si>
  <si>
    <t>4-40-30-4-2-0001300</t>
  </si>
  <si>
    <t>155.56</t>
  </si>
  <si>
    <t>ABERDEEN TOWNSHIP</t>
  </si>
  <si>
    <t>290130207</t>
  </si>
  <si>
    <t>BLOCK 00020 LOT 00002</t>
  </si>
  <si>
    <t>327952-584</t>
  </si>
  <si>
    <t>11/27/2019</t>
  </si>
  <si>
    <t>BEACHWOOD BOROUGH</t>
  </si>
  <si>
    <t>290151709</t>
  </si>
  <si>
    <t>BLOCK 00010 01 LOT 00005</t>
  </si>
  <si>
    <t>316233-461</t>
  </si>
  <si>
    <t>11.09</t>
  </si>
  <si>
    <t>BLOCK 00010 31 LOT 00015</t>
  </si>
  <si>
    <t>326800-571</t>
  </si>
  <si>
    <t>12.88</t>
  </si>
  <si>
    <t>327042-571</t>
  </si>
  <si>
    <t>BERGENFIELD BOROUGH</t>
  </si>
  <si>
    <t>290021701</t>
  </si>
  <si>
    <t>BLOCK 00022 LOT 00017</t>
  </si>
  <si>
    <t>322018-537</t>
  </si>
  <si>
    <t>84.15</t>
  </si>
  <si>
    <t>12/17/2019</t>
  </si>
  <si>
    <t>BERLIN BOROUGH</t>
  </si>
  <si>
    <t>290041701</t>
  </si>
  <si>
    <t>BLOCK 02202 LOT 00027 01</t>
  </si>
  <si>
    <t>326780-571</t>
  </si>
  <si>
    <t>57.02</t>
  </si>
  <si>
    <t>BLOOMFIELD TOWNSHIP</t>
  </si>
  <si>
    <t>290070202</t>
  </si>
  <si>
    <t>BLOCK 00008 LOT 00028</t>
  </si>
  <si>
    <t>325269-555</t>
  </si>
  <si>
    <t>BRICK TOWNSHIP</t>
  </si>
  <si>
    <t>290150207</t>
  </si>
  <si>
    <t>BLOCK 01429 02 LOT 00002 C1264</t>
  </si>
  <si>
    <t>321304-527</t>
  </si>
  <si>
    <t>BRIDGETON CITY</t>
  </si>
  <si>
    <t>290060103</t>
  </si>
  <si>
    <t>BLOCK 00164 LOT 00006</t>
  </si>
  <si>
    <t>325300-555</t>
  </si>
  <si>
    <t>12/18/2019</t>
  </si>
  <si>
    <t>BLOCK 00220 LOT 00003</t>
  </si>
  <si>
    <t>320845-513</t>
  </si>
  <si>
    <t>500.63</t>
  </si>
  <si>
    <t>546.64</t>
  </si>
  <si>
    <t>546.63</t>
  </si>
  <si>
    <t>BUENA VISTA TOWNSHIP</t>
  </si>
  <si>
    <t>290010205</t>
  </si>
  <si>
    <t>BLOCK 01508 LOT 00003</t>
  </si>
  <si>
    <t>RB18002</t>
  </si>
  <si>
    <t>1014.89</t>
  </si>
  <si>
    <t>1033.52</t>
  </si>
  <si>
    <t>CARTERET BOROUGH</t>
  </si>
  <si>
    <t>290121701</t>
  </si>
  <si>
    <t>BLOCK 03206 LOT 00018</t>
  </si>
  <si>
    <t>320809-513</t>
  </si>
  <si>
    <t>BLOCK 06404 LOT 00009</t>
  </si>
  <si>
    <t>309623-347</t>
  </si>
  <si>
    <t>CHESTERFIELD TOWNSHIP</t>
  </si>
  <si>
    <t>290030211</t>
  </si>
  <si>
    <t>BLOCK 00801 LOT 00011</t>
  </si>
  <si>
    <t>326799-571</t>
  </si>
  <si>
    <t>76.30</t>
  </si>
  <si>
    <t>2344.21</t>
  </si>
  <si>
    <t>12/22/2019</t>
  </si>
  <si>
    <t>CITY OF ORANGE TOWNSHIP</t>
  </si>
  <si>
    <t>290070103</t>
  </si>
  <si>
    <t>BLOCK 01301 LOT 00001</t>
  </si>
  <si>
    <t>315190-436</t>
  </si>
  <si>
    <t>349.53</t>
  </si>
  <si>
    <t>3509.88</t>
  </si>
  <si>
    <t>BLOCK 05103 LOT 00031</t>
  </si>
  <si>
    <t>313698-429</t>
  </si>
  <si>
    <t>2976.74</t>
  </si>
  <si>
    <t>CLARK TOWNSHIP</t>
  </si>
  <si>
    <t>290200205</t>
  </si>
  <si>
    <t>BLOCK 00006 02 LOT 00011</t>
  </si>
  <si>
    <t>327928-584</t>
  </si>
  <si>
    <t>3186.16</t>
  </si>
  <si>
    <t>3306.10</t>
  </si>
  <si>
    <t>COMMERCIAL TOWNSHIP</t>
  </si>
  <si>
    <t>290060201</t>
  </si>
  <si>
    <t>BLOCK 00221 LOT 00001</t>
  </si>
  <si>
    <t>327978-584</t>
  </si>
  <si>
    <t>250.00</t>
  </si>
  <si>
    <t>723.16</t>
  </si>
  <si>
    <t>840.17</t>
  </si>
  <si>
    <t>840.16</t>
  </si>
  <si>
    <t>CRANFORD TOWNSHIP</t>
  </si>
  <si>
    <t>290200206</t>
  </si>
  <si>
    <t>BLOCK 00198 LOT 00044</t>
  </si>
  <si>
    <t>327922-584</t>
  </si>
  <si>
    <t>3064.71</t>
  </si>
  <si>
    <t>3163.00</t>
  </si>
  <si>
    <t>12/15/2019</t>
  </si>
  <si>
    <t>DEPTFORD TOWNSHIP</t>
  </si>
  <si>
    <t>290080206</t>
  </si>
  <si>
    <t>BLOCK 00055 LOT 00012</t>
  </si>
  <si>
    <t>326791-571</t>
  </si>
  <si>
    <t>20.14</t>
  </si>
  <si>
    <t>934.34</t>
  </si>
  <si>
    <t>12/23/2019</t>
  </si>
  <si>
    <t>EAST ORANGE CITY</t>
  </si>
  <si>
    <t>290070101</t>
  </si>
  <si>
    <t>BLOCK 00270 LOT 00018 08</t>
  </si>
  <si>
    <t>315325-444</t>
  </si>
  <si>
    <t>12.01</t>
  </si>
  <si>
    <t>BLOCK 00422 LOT 00001 02</t>
  </si>
  <si>
    <t>314610-433</t>
  </si>
  <si>
    <t>10.16</t>
  </si>
  <si>
    <t>BLOCK 00464 LOT 00014 01</t>
  </si>
  <si>
    <t>313694-429</t>
  </si>
  <si>
    <t>7.02</t>
  </si>
  <si>
    <t>BLOCK 00500 LOT 00046</t>
  </si>
  <si>
    <t>309484-347</t>
  </si>
  <si>
    <t>2122.56</t>
  </si>
  <si>
    <t>FAIR LAWN BOROUGH</t>
  </si>
  <si>
    <t>290021729</t>
  </si>
  <si>
    <t>BLOCK 05521 LOT 00023</t>
  </si>
  <si>
    <t>327940-584</t>
  </si>
  <si>
    <t>2010.64</t>
  </si>
  <si>
    <t>2176.75</t>
  </si>
  <si>
    <t>2174.20</t>
  </si>
  <si>
    <t>FAIRVIEW BOROUGH</t>
  </si>
  <si>
    <t>290021730</t>
  </si>
  <si>
    <t>BLOCK 00328 LOT 00026</t>
  </si>
  <si>
    <t>317604-481</t>
  </si>
  <si>
    <t>19.58</t>
  </si>
  <si>
    <t>1789.00</t>
  </si>
  <si>
    <t>BLOCK 00328 LOT 00035</t>
  </si>
  <si>
    <t>313461-421</t>
  </si>
  <si>
    <t>37.70</t>
  </si>
  <si>
    <t>2672.00</t>
  </si>
  <si>
    <t>BLOCK 00716 LOT 00011 C000B</t>
  </si>
  <si>
    <t>313695-429</t>
  </si>
  <si>
    <t>39.80</t>
  </si>
  <si>
    <t>2774.00</t>
  </si>
  <si>
    <t>FRANKLIN TOWNSHIP</t>
  </si>
  <si>
    <t>290180201</t>
  </si>
  <si>
    <t>BLOCK 00251 LOT 00030</t>
  </si>
  <si>
    <t>316858-466</t>
  </si>
  <si>
    <t>132.71</t>
  </si>
  <si>
    <t>1290.95</t>
  </si>
  <si>
    <t>FREEHOLD TOWNSHIP</t>
  </si>
  <si>
    <t>290130201</t>
  </si>
  <si>
    <t>BLOCK 00087 LOT 00002 061</t>
  </si>
  <si>
    <t>320826-513</t>
  </si>
  <si>
    <t>4530.94</t>
  </si>
  <si>
    <t>4530.93</t>
  </si>
  <si>
    <t>GLOUCESTER TOWNSHIP</t>
  </si>
  <si>
    <t>290040201</t>
  </si>
  <si>
    <t>BLOCK 01309 LOT 00006</t>
  </si>
  <si>
    <t>327958-584</t>
  </si>
  <si>
    <t>125.00</t>
  </si>
  <si>
    <t>131.46</t>
  </si>
  <si>
    <t>BLOCK 20302 LOT 00001</t>
  </si>
  <si>
    <t>RB18066</t>
  </si>
  <si>
    <t>1793.17</t>
  </si>
  <si>
    <t>HAMILTON TOWNSHIP</t>
  </si>
  <si>
    <t>290110203</t>
  </si>
  <si>
    <t>BLOCK 01839 LOT 00079</t>
  </si>
  <si>
    <t>327987-584</t>
  </si>
  <si>
    <t>994.54</t>
  </si>
  <si>
    <t>1082.51</t>
  </si>
  <si>
    <t>1082.50</t>
  </si>
  <si>
    <t>1094.86</t>
  </si>
  <si>
    <t>BLOCK 02079 LOT 00005</t>
  </si>
  <si>
    <t>313716-429</t>
  </si>
  <si>
    <t>HILLSBOROUGH TOWNSHIP</t>
  </si>
  <si>
    <t>290180202</t>
  </si>
  <si>
    <t>BLOCK 00030 LOT 00002</t>
  </si>
  <si>
    <t>327999-584</t>
  </si>
  <si>
    <t>1769.90</t>
  </si>
  <si>
    <t>1769.89</t>
  </si>
  <si>
    <t>1980.26</t>
  </si>
  <si>
    <t>1949.18</t>
  </si>
  <si>
    <t>BLOCK 00200 01 LOT 00009</t>
  </si>
  <si>
    <t>AJ2019</t>
  </si>
  <si>
    <t>HILLSIDE TOWNSHIP</t>
  </si>
  <si>
    <t>290200207</t>
  </si>
  <si>
    <t>BLOCK 00401 LOT 00049</t>
  </si>
  <si>
    <t>326766-571</t>
  </si>
  <si>
    <t>1948.00</t>
  </si>
  <si>
    <t>BLOCK 01106 LOT 00018</t>
  </si>
  <si>
    <t>326767-571</t>
  </si>
  <si>
    <t>HOBOKEN CITY</t>
  </si>
  <si>
    <t>290090103</t>
  </si>
  <si>
    <t>BLOCK 00249 LOT 00028</t>
  </si>
  <si>
    <t>324759-550</t>
  </si>
  <si>
    <t>10.55</t>
  </si>
  <si>
    <t>HOLLAND TOWNSHIP</t>
  </si>
  <si>
    <t>290100211</t>
  </si>
  <si>
    <t>BLOCK 00011 LOT 00013</t>
  </si>
  <si>
    <t>328002-584</t>
  </si>
  <si>
    <t>1460.26</t>
  </si>
  <si>
    <t>1781.22</t>
  </si>
  <si>
    <t>HOPATCONG BOROUGH</t>
  </si>
  <si>
    <t>290191702</t>
  </si>
  <si>
    <t>BLOCK 10210 LOT 00012</t>
  </si>
  <si>
    <t>321299-527</t>
  </si>
  <si>
    <t>451.53</t>
  </si>
  <si>
    <t>JERSEY CITY ABATEMENTS</t>
  </si>
  <si>
    <t>290091801</t>
  </si>
  <si>
    <t>12/24/2019</t>
  </si>
  <si>
    <t>LACEY TOWNSHIP</t>
  </si>
  <si>
    <t>290150204</t>
  </si>
  <si>
    <t>BLOCK 00422 LOT 00034</t>
  </si>
  <si>
    <t>321840-536</t>
  </si>
  <si>
    <t>LITTLE EGG HARBOR TOWNSHIP</t>
  </si>
  <si>
    <t>290150201</t>
  </si>
  <si>
    <t>BLOCK 00276. LOT 00007.</t>
  </si>
  <si>
    <t>324289-539</t>
  </si>
  <si>
    <t>LONG HILL TOWNSHIP</t>
  </si>
  <si>
    <t>290140206</t>
  </si>
  <si>
    <t>BLOCK 13302 LOT 00014</t>
  </si>
  <si>
    <t>312075-395</t>
  </si>
  <si>
    <t>4526.64</t>
  </si>
  <si>
    <t>LOPATCONG TOWNSHIP</t>
  </si>
  <si>
    <t>290210216</t>
  </si>
  <si>
    <t>BLOCK 00095 LOT 00019</t>
  </si>
  <si>
    <t>317400-481</t>
  </si>
  <si>
    <t>8.45</t>
  </si>
  <si>
    <t>BLOCK 00105 LOT 00032</t>
  </si>
  <si>
    <t>319848-500</t>
  </si>
  <si>
    <t>18.23</t>
  </si>
  <si>
    <t>MANALAPAN TOWNSHIP</t>
  </si>
  <si>
    <t>290130210</t>
  </si>
  <si>
    <t>BLOCK 01205 LOT 00017</t>
  </si>
  <si>
    <t>309446-346</t>
  </si>
  <si>
    <t>280.05</t>
  </si>
  <si>
    <t>2697.43</t>
  </si>
  <si>
    <t>3089.45</t>
  </si>
  <si>
    <t>3089.44</t>
  </si>
  <si>
    <t>MAPLEWOOD TOWNSHIP</t>
  </si>
  <si>
    <t>290070203</t>
  </si>
  <si>
    <t>BLOCK 00036 06 LOT 00053</t>
  </si>
  <si>
    <t>321768-535</t>
  </si>
  <si>
    <t>79.88</t>
  </si>
  <si>
    <t>BLOCK 00042 04 LOT 00327</t>
  </si>
  <si>
    <t>324338-539</t>
  </si>
  <si>
    <t>3314.79</t>
  </si>
  <si>
    <t>MENDHAM TOWNSHIP</t>
  </si>
  <si>
    <t>290140216</t>
  </si>
  <si>
    <t>BLOCK 00117 LOT 00040</t>
  </si>
  <si>
    <t>324127-539</t>
  </si>
  <si>
    <t>0.03</t>
  </si>
  <si>
    <t>MILLSTONE TOWNSHIP</t>
  </si>
  <si>
    <t>290130203</t>
  </si>
  <si>
    <t>BLOCK 00061 LOT 00022</t>
  </si>
  <si>
    <t>RB18016</t>
  </si>
  <si>
    <t>22.21</t>
  </si>
  <si>
    <t>MILLVILLE CITY</t>
  </si>
  <si>
    <t>290060101</t>
  </si>
  <si>
    <t>BLOCK 00387 LOT 00010</t>
  </si>
  <si>
    <t>RB18065</t>
  </si>
  <si>
    <t>1101.25</t>
  </si>
  <si>
    <t>1107.72</t>
  </si>
  <si>
    <t>BLOCK 00549 LOT 00030</t>
  </si>
  <si>
    <t>307380-045</t>
  </si>
  <si>
    <t>560.55</t>
  </si>
  <si>
    <t>469.48</t>
  </si>
  <si>
    <t>554.87</t>
  </si>
  <si>
    <t>413.80</t>
  </si>
  <si>
    <t>580.89</t>
  </si>
  <si>
    <t>489.82</t>
  </si>
  <si>
    <t>MONMOUTH BEACH BOROUGH</t>
  </si>
  <si>
    <t>290131722</t>
  </si>
  <si>
    <t>BLOCK 00043 02 LOT 00001</t>
  </si>
  <si>
    <t>324578-550</t>
  </si>
  <si>
    <t>64.70</t>
  </si>
  <si>
    <t>MONROE TOWNSHIP</t>
  </si>
  <si>
    <t>290080203</t>
  </si>
  <si>
    <t>BLOCK 000090304 LOT 00022</t>
  </si>
  <si>
    <t>325104-553</t>
  </si>
  <si>
    <t>12.54</t>
  </si>
  <si>
    <t>BLOCK 09205 LOT 00019</t>
  </si>
  <si>
    <t>326792-571</t>
  </si>
  <si>
    <t>327056-571</t>
  </si>
  <si>
    <t>BLOCK 11504 LOT 00026</t>
  </si>
  <si>
    <t>309127-342</t>
  </si>
  <si>
    <t>14.86</t>
  </si>
  <si>
    <t>BLOCK 14701 LOT 00009</t>
  </si>
  <si>
    <t>RB18024</t>
  </si>
  <si>
    <t>1744.81</t>
  </si>
  <si>
    <t>MONTCLAIR TOWNSHIP</t>
  </si>
  <si>
    <t>290070205</t>
  </si>
  <si>
    <t>BLOCK 03004 LOT 00027</t>
  </si>
  <si>
    <t>326755-571</t>
  </si>
  <si>
    <t>126.41</t>
  </si>
  <si>
    <t>3336.31</t>
  </si>
  <si>
    <t>BLOCK 03301 LOT 00015</t>
  </si>
  <si>
    <t>326572-564</t>
  </si>
  <si>
    <t>MOORESTOWN TOWNSHIP</t>
  </si>
  <si>
    <t>290030220</t>
  </si>
  <si>
    <t>BLOCK 01101 LOT 00031</t>
  </si>
  <si>
    <t>308118-310</t>
  </si>
  <si>
    <t>MOUNT EPHRAIM BOROUGH</t>
  </si>
  <si>
    <t>290041724</t>
  </si>
  <si>
    <t>BLOCK 00015 LOT 00012 02</t>
  </si>
  <si>
    <t>326786-571</t>
  </si>
  <si>
    <t>MULLICA TOWNSHIP</t>
  </si>
  <si>
    <t>290010203</t>
  </si>
  <si>
    <t>BLOCK 10203 LOT 00013</t>
  </si>
  <si>
    <t>318582-494</t>
  </si>
  <si>
    <t>9.72</t>
  </si>
  <si>
    <t>NORTH BERGEN TOWNSHIP</t>
  </si>
  <si>
    <t>290090201</t>
  </si>
  <si>
    <t>BLOCK 00025 LOT 00015</t>
  </si>
  <si>
    <t>326756-571</t>
  </si>
  <si>
    <t>NORWOOD BOROUGH</t>
  </si>
  <si>
    <t>290021719</t>
  </si>
  <si>
    <t>BLOCK 00115 LOT 00031</t>
  </si>
  <si>
    <t>327945-584</t>
  </si>
  <si>
    <t>2.94</t>
  </si>
  <si>
    <t>NUTLEY TOWNSHIP</t>
  </si>
  <si>
    <t>290070206</t>
  </si>
  <si>
    <t>BLOCK 00300 LOT 00055</t>
  </si>
  <si>
    <t>319841-500</t>
  </si>
  <si>
    <t>BLOCK 05502 LOT 00006</t>
  </si>
  <si>
    <t>318576-494</t>
  </si>
  <si>
    <t>OCEAN CITY</t>
  </si>
  <si>
    <t>290050103</t>
  </si>
  <si>
    <t>BLOCK 01103 LOT 00008 C1</t>
  </si>
  <si>
    <t>319847-500</t>
  </si>
  <si>
    <t>7.43</t>
  </si>
  <si>
    <t>12/13/2019</t>
  </si>
  <si>
    <t>PAULSBORO BOROUGH</t>
  </si>
  <si>
    <t>290081701</t>
  </si>
  <si>
    <t>BLOCK 00015 LOT 00037</t>
  </si>
  <si>
    <t>320840-513</t>
  </si>
  <si>
    <t>1118.74</t>
  </si>
  <si>
    <t>PLAINFIELD CITY</t>
  </si>
  <si>
    <t>290200103</t>
  </si>
  <si>
    <t>BLOCK 00627 LOT 00019</t>
  </si>
  <si>
    <t>321713-535</t>
  </si>
  <si>
    <t>POHATCONG TOWNSHIP</t>
  </si>
  <si>
    <t>290210203</t>
  </si>
  <si>
    <t>BLOCK 00026 01 LOT 00004</t>
  </si>
  <si>
    <t>313725-429</t>
  </si>
  <si>
    <t>1682.43</t>
  </si>
  <si>
    <t>POINT PLEASANT BOROUGH</t>
  </si>
  <si>
    <t>290151706</t>
  </si>
  <si>
    <t>BLOCK 00001 LOT 00014</t>
  </si>
  <si>
    <t>327990-584</t>
  </si>
  <si>
    <t>READINGTON TOWNSHIP</t>
  </si>
  <si>
    <t>290100213</t>
  </si>
  <si>
    <t>BLOCK 00036 LOT 00088</t>
  </si>
  <si>
    <t>328007-584</t>
  </si>
  <si>
    <t>536.46</t>
  </si>
  <si>
    <t>ROCHELLE PARK TOWNSHIP</t>
  </si>
  <si>
    <t>290020207</t>
  </si>
  <si>
    <t>BLOCK 00027 LOT 00005</t>
  </si>
  <si>
    <t>316222-461</t>
  </si>
  <si>
    <t>2057.00</t>
  </si>
  <si>
    <t>ROSELLE BOROUGH</t>
  </si>
  <si>
    <t>290201707</t>
  </si>
  <si>
    <t>BLOCK 00903 LOT 00032</t>
  </si>
  <si>
    <t>307194-045</t>
  </si>
  <si>
    <t>274.30</t>
  </si>
  <si>
    <t>1774.56</t>
  </si>
  <si>
    <t>BLOCK 01104 LOT 00016</t>
  </si>
  <si>
    <t>313703-429</t>
  </si>
  <si>
    <t>0.12</t>
  </si>
  <si>
    <t>ROXBURY TOWNSHIP</t>
  </si>
  <si>
    <t>290140208</t>
  </si>
  <si>
    <t>BLOCK 03901 LOT 00019</t>
  </si>
  <si>
    <t>311655-380</t>
  </si>
  <si>
    <t>0.02</t>
  </si>
  <si>
    <t>BLOCK 06801 LOT 00002</t>
  </si>
  <si>
    <t>316227-461</t>
  </si>
  <si>
    <t>3.81</t>
  </si>
  <si>
    <t>SAYREVILLE BOROUGH</t>
  </si>
  <si>
    <t>290121705</t>
  </si>
  <si>
    <t>BLOCK 00154 01 LOT 00046</t>
  </si>
  <si>
    <t>308120-310</t>
  </si>
  <si>
    <t>SCOTCH PLAINS TOWNSHIP</t>
  </si>
  <si>
    <t>290200202</t>
  </si>
  <si>
    <t>BLOCK 12401 LOT 00046</t>
  </si>
  <si>
    <t>322011-537</t>
  </si>
  <si>
    <t>SOUTH BRUNSWICK TOWNSHIP</t>
  </si>
  <si>
    <t>290120205</t>
  </si>
  <si>
    <t>BLOCK 00090 03 LOT 00017 05</t>
  </si>
  <si>
    <t>317536-481</t>
  </si>
  <si>
    <t>58.50</t>
  </si>
  <si>
    <t>BLOCK 00319 LOT 00026</t>
  </si>
  <si>
    <t>325311-555</t>
  </si>
  <si>
    <t>22.76</t>
  </si>
  <si>
    <t>SOUTH PLAINFIELD BOROUGH</t>
  </si>
  <si>
    <t>290121710</t>
  </si>
  <si>
    <t>BLOCK 00341 LOT 00010</t>
  </si>
  <si>
    <t>326761-571</t>
  </si>
  <si>
    <t>43.88</t>
  </si>
  <si>
    <t>1702.03</t>
  </si>
  <si>
    <t>BLOCK 00528 LOT 00043 C0836</t>
  </si>
  <si>
    <t>326760-571</t>
  </si>
  <si>
    <t>27.61</t>
  </si>
  <si>
    <t>1229.75</t>
  </si>
  <si>
    <t>SOUTHAMPTON TOWNSHIP</t>
  </si>
  <si>
    <t>290030208</t>
  </si>
  <si>
    <t>BLOCK 01006 LOT 00005</t>
  </si>
  <si>
    <t>325299-555</t>
  </si>
  <si>
    <t>SPOTSWOOD BOROUGH</t>
  </si>
  <si>
    <t>290121712</t>
  </si>
  <si>
    <t>BLOCK 00031 LOT 00003 2</t>
  </si>
  <si>
    <t>308300-316</t>
  </si>
  <si>
    <t>23.90</t>
  </si>
  <si>
    <t>UNION TOWNSHIP</t>
  </si>
  <si>
    <t>290200201</t>
  </si>
  <si>
    <t>BLOCK 02909 LOT 00002</t>
  </si>
  <si>
    <t>327930-584</t>
  </si>
  <si>
    <t>111.31</t>
  </si>
  <si>
    <t>2804.40</t>
  </si>
  <si>
    <t>VINELAND CITY</t>
  </si>
  <si>
    <t>290060102</t>
  </si>
  <si>
    <t>BLOCK 04906 LOT 00013</t>
  </si>
  <si>
    <t>RF18001</t>
  </si>
  <si>
    <t>18.19</t>
  </si>
  <si>
    <t>843.71</t>
  </si>
  <si>
    <t>WARREN TOWNSHIP</t>
  </si>
  <si>
    <t>290180207</t>
  </si>
  <si>
    <t>BLOCK 00213 LOT 00033</t>
  </si>
  <si>
    <t>321293-527</t>
  </si>
  <si>
    <t>WEST ORANGE TOWNSHIP</t>
  </si>
  <si>
    <t>290070207</t>
  </si>
  <si>
    <t>BLOCK 00062 LOT 00021</t>
  </si>
  <si>
    <t>500246-417</t>
  </si>
  <si>
    <t>1530.68</t>
  </si>
  <si>
    <t>BLOCK 00065 LOT 00028</t>
  </si>
  <si>
    <t>3295.62</t>
  </si>
  <si>
    <t>BLOCK 00065 LOT 00032</t>
  </si>
  <si>
    <t>2811.36</t>
  </si>
  <si>
    <t>BLOCK 00065 LOT 00033</t>
  </si>
  <si>
    <t>1767.58</t>
  </si>
  <si>
    <t>WESTAMPTON TOWNSHIP</t>
  </si>
  <si>
    <t>290030202</t>
  </si>
  <si>
    <t>BLOCK 00906 01 LOT 00016</t>
  </si>
  <si>
    <t>319593-498</t>
  </si>
  <si>
    <t>36.18</t>
  </si>
  <si>
    <t>2737.10</t>
  </si>
  <si>
    <t>BLOCK 01209 LOT 00004</t>
  </si>
  <si>
    <t>309602-347</t>
  </si>
  <si>
    <t>10.72</t>
  </si>
  <si>
    <t>1269.65</t>
  </si>
  <si>
    <t>WOODLAND PARK BOROUGH</t>
  </si>
  <si>
    <t>290161710</t>
  </si>
  <si>
    <t>BLOCK 00110 09 LOT 00016</t>
  </si>
  <si>
    <t>325286-555</t>
  </si>
  <si>
    <t>2985.37</t>
  </si>
  <si>
    <t>WOOLWICH TOWNSHIP</t>
  </si>
  <si>
    <t>290080213</t>
  </si>
  <si>
    <t>BLOCK 00023 LOT 00002 17</t>
  </si>
  <si>
    <t>308937-332</t>
  </si>
  <si>
    <t>65.05</t>
  </si>
  <si>
    <t>WYCKOFF TOWNSHIP</t>
  </si>
  <si>
    <t>290020205</t>
  </si>
  <si>
    <t>BLOCK 00441 LOT 00029</t>
  </si>
  <si>
    <t>320135-509</t>
  </si>
  <si>
    <t>139.55</t>
  </si>
  <si>
    <t>2893.99</t>
  </si>
  <si>
    <t>BABYLON TOWN</t>
  </si>
  <si>
    <t>310520202</t>
  </si>
  <si>
    <t>0100-148.00-02.00-012.000 220439005</t>
  </si>
  <si>
    <t>309107-340</t>
  </si>
  <si>
    <t>7915.08</t>
  </si>
  <si>
    <t>12/30/2019</t>
  </si>
  <si>
    <t>4058.42</t>
  </si>
  <si>
    <t>0100-202.00-02.00-088.000 282084004</t>
  </si>
  <si>
    <t>308138-310</t>
  </si>
  <si>
    <t>8736.87</t>
  </si>
  <si>
    <t>8908.49</t>
  </si>
  <si>
    <t>4511.51</t>
  </si>
  <si>
    <t>4511.50</t>
  </si>
  <si>
    <t>0103-006.00-04.00-081.000 052093000</t>
  </si>
  <si>
    <t>312384-410</t>
  </si>
  <si>
    <t>3791.41</t>
  </si>
  <si>
    <t>0103-008.00-02.00-023.000 060564003</t>
  </si>
  <si>
    <t>RB18043</t>
  </si>
  <si>
    <t>6850.72</t>
  </si>
  <si>
    <t>ISLIP TOWN</t>
  </si>
  <si>
    <t>310520205</t>
  </si>
  <si>
    <t>0500-031.00-03.00-104.000 535670</t>
  </si>
  <si>
    <t>311913-393</t>
  </si>
  <si>
    <t>5222.22</t>
  </si>
  <si>
    <t>10560.70</t>
  </si>
  <si>
    <t>0500-115.00-03.00-042.002 313165</t>
  </si>
  <si>
    <t>320923-513</t>
  </si>
  <si>
    <t>8761.04</t>
  </si>
  <si>
    <t>0500-183.00-04.00-023.000 754676</t>
  </si>
  <si>
    <t>310549-363</t>
  </si>
  <si>
    <t>9981.36</t>
  </si>
  <si>
    <t>0500-203.00-01.00-041.000 755938</t>
  </si>
  <si>
    <t>313753-429</t>
  </si>
  <si>
    <t>4662.40</t>
  </si>
  <si>
    <t>8533.08</t>
  </si>
  <si>
    <t>8149.96</t>
  </si>
  <si>
    <t>0500-216.00-03.00-089.000 768880</t>
  </si>
  <si>
    <t>309373-344</t>
  </si>
  <si>
    <t>14031.98</t>
  </si>
  <si>
    <t>13290.35</t>
  </si>
  <si>
    <t>12452.98</t>
  </si>
  <si>
    <t>0500-438.00-04.00-073.000 142970</t>
  </si>
  <si>
    <t>RB18095</t>
  </si>
  <si>
    <t>15533.79</t>
  </si>
  <si>
    <t>SCHENECTADY CITY</t>
  </si>
  <si>
    <t>310470101</t>
  </si>
  <si>
    <t>421500-49.60-4-10</t>
  </si>
  <si>
    <t>310551-363</t>
  </si>
  <si>
    <t>567.05</t>
  </si>
  <si>
    <t>11/26/2019</t>
  </si>
  <si>
    <t>421500-60.30-3-22</t>
  </si>
  <si>
    <t>320969-513</t>
  </si>
  <si>
    <t>786.62</t>
  </si>
  <si>
    <t>HUNTINGTON TOWN</t>
  </si>
  <si>
    <t>310520204</t>
  </si>
  <si>
    <t>0400-024.00-03.00-031.000</t>
  </si>
  <si>
    <t>311629-378</t>
  </si>
  <si>
    <t>2162.83</t>
  </si>
  <si>
    <t>2379.10</t>
  </si>
  <si>
    <t>2218.73</t>
  </si>
  <si>
    <t>2440.59</t>
  </si>
  <si>
    <t>0400-024.00-03.00-038.000</t>
  </si>
  <si>
    <t>85.39</t>
  </si>
  <si>
    <t>93.92</t>
  </si>
  <si>
    <t>87.64</t>
  </si>
  <si>
    <t>96.40</t>
  </si>
  <si>
    <t>0400-064.00-01.00-019.000</t>
  </si>
  <si>
    <t>309667-351</t>
  </si>
  <si>
    <t>8593.27</t>
  </si>
  <si>
    <t>9452.59</t>
  </si>
  <si>
    <t>0400-107.00-02.00-020.000</t>
  </si>
  <si>
    <t>321716-535</t>
  </si>
  <si>
    <t>4571.97</t>
  </si>
  <si>
    <t>4910.03</t>
  </si>
  <si>
    <t>0400-197.00-02.00-109.000</t>
  </si>
  <si>
    <t>320936-513</t>
  </si>
  <si>
    <t>4068.11</t>
  </si>
  <si>
    <t>4474.91</t>
  </si>
  <si>
    <t>0400-235.00-02.00-026.000</t>
  </si>
  <si>
    <t>320939-513</t>
  </si>
  <si>
    <t>5211.77</t>
  </si>
  <si>
    <t>5732.95</t>
  </si>
  <si>
    <t>0400-280.00-06.00-002.000</t>
  </si>
  <si>
    <t>309506-347</t>
  </si>
  <si>
    <t>8387.55</t>
  </si>
  <si>
    <t>9226.29</t>
  </si>
  <si>
    <t>8617.07</t>
  </si>
  <si>
    <t>9478.77</t>
  </si>
  <si>
    <t>8796.25</t>
  </si>
  <si>
    <t>9675.88</t>
  </si>
  <si>
    <t>0400-282.00-03.00-164.000</t>
  </si>
  <si>
    <t>320935-513</t>
  </si>
  <si>
    <t>4967.30</t>
  </si>
  <si>
    <t>0400-284.00-01.00-185.000</t>
  </si>
  <si>
    <t>320938-513</t>
  </si>
  <si>
    <t>6207.80</t>
  </si>
  <si>
    <t>6828.58</t>
  </si>
  <si>
    <t>SMITHTOWN TOWN</t>
  </si>
  <si>
    <t>310520206</t>
  </si>
  <si>
    <t>0800-072.00-01.00-050.000-0000</t>
  </si>
  <si>
    <t>318195-493</t>
  </si>
  <si>
    <t>7318.86</t>
  </si>
  <si>
    <t>7666.25</t>
  </si>
  <si>
    <t>0800-165.00-02.00-034.003-0000</t>
  </si>
  <si>
    <t>322100-537</t>
  </si>
  <si>
    <t>7723.78</t>
  </si>
  <si>
    <t>0802-004.00-02.00-001.001-0000</t>
  </si>
  <si>
    <t>316252-461</t>
  </si>
  <si>
    <t>15725.22</t>
  </si>
  <si>
    <t>KENNEWICK IRRIGATION DISTRICT</t>
  </si>
  <si>
    <t>460030801</t>
  </si>
  <si>
    <t>1-0589-101-0717-002</t>
  </si>
  <si>
    <t>321687-527</t>
  </si>
  <si>
    <t>27.37</t>
  </si>
  <si>
    <t>12/02/2019</t>
  </si>
  <si>
    <t>LEWIS COUNTY</t>
  </si>
  <si>
    <t>460210000</t>
  </si>
  <si>
    <t>002874-000-000</t>
  </si>
  <si>
    <t>320353-509</t>
  </si>
  <si>
    <t>854.08</t>
  </si>
  <si>
    <t>12/05/2019</t>
  </si>
  <si>
    <t>PIERCE COUNTY</t>
  </si>
  <si>
    <t>460270000</t>
  </si>
  <si>
    <t>031902-100-4</t>
  </si>
  <si>
    <t>319813-507</t>
  </si>
  <si>
    <t>2300.85</t>
  </si>
  <si>
    <t>12/08/2019</t>
  </si>
  <si>
    <t>051901-701-8</t>
  </si>
  <si>
    <t>320352-509</t>
  </si>
  <si>
    <t>2270.78</t>
  </si>
  <si>
    <t>2270.77</t>
  </si>
  <si>
    <t>2323.22</t>
  </si>
  <si>
    <t>2323.21</t>
  </si>
  <si>
    <t>700057-018-0</t>
  </si>
  <si>
    <t>321684-527</t>
  </si>
  <si>
    <t>1491.50</t>
  </si>
  <si>
    <t>710753-006-0</t>
  </si>
  <si>
    <t>318070-483</t>
  </si>
  <si>
    <t>1806.27</t>
  </si>
  <si>
    <t>1803.41</t>
  </si>
  <si>
    <t>981500-030-1</t>
  </si>
  <si>
    <t>324010-538</t>
  </si>
  <si>
    <t>2781.74</t>
  </si>
  <si>
    <t>SKAMANIA COUNTY</t>
  </si>
  <si>
    <t>460300000</t>
  </si>
  <si>
    <t>03-07-25-4-0-0206-00</t>
  </si>
  <si>
    <t>324406-539</t>
  </si>
  <si>
    <t>1388.66</t>
  </si>
  <si>
    <t>1388.65</t>
  </si>
  <si>
    <t>12/11/2019</t>
  </si>
  <si>
    <t>THURSTON COUNTY</t>
  </si>
  <si>
    <t>460340000</t>
  </si>
  <si>
    <t>34310000300</t>
  </si>
  <si>
    <t>324295-539</t>
  </si>
  <si>
    <t>2445.45</t>
  </si>
  <si>
    <t>12/10/2019</t>
  </si>
  <si>
    <t>77740003600</t>
  </si>
  <si>
    <t>328994-584</t>
  </si>
  <si>
    <t>2211.02</t>
  </si>
  <si>
    <t>YAKIMA COUNTY</t>
  </si>
  <si>
    <t>460390000</t>
  </si>
  <si>
    <t>230907-32401</t>
  </si>
  <si>
    <t>310427-361</t>
  </si>
  <si>
    <t>542.72</t>
  </si>
  <si>
    <t>030380000</t>
  </si>
  <si>
    <t>00100245000</t>
  </si>
  <si>
    <t>322840-537</t>
  </si>
  <si>
    <t>121.70</t>
  </si>
  <si>
    <t>12/03/2019</t>
  </si>
  <si>
    <t>LINCOLN COUNTY</t>
  </si>
  <si>
    <t>030400000</t>
  </si>
  <si>
    <t>000-04127-000</t>
  </si>
  <si>
    <t>311874-389</t>
  </si>
  <si>
    <t>72.65</t>
  </si>
  <si>
    <t>BUFFALO CITY SEWER/WATER</t>
  </si>
  <si>
    <t>310150901</t>
  </si>
  <si>
    <t>140200-100.78-4-17</t>
  </si>
  <si>
    <t>308571-323</t>
  </si>
  <si>
    <t>214.57</t>
  </si>
  <si>
    <t>11/14/2019</t>
  </si>
  <si>
    <t>211.72</t>
  </si>
  <si>
    <t>140200-123.25-1-7</t>
  </si>
  <si>
    <t>309514-347</t>
  </si>
  <si>
    <t>120.09</t>
  </si>
  <si>
    <t>140200-79.80-4-6</t>
  </si>
  <si>
    <t>312490-411</t>
  </si>
  <si>
    <t>91.64</t>
  </si>
  <si>
    <t>MC HENRY COUNTY</t>
  </si>
  <si>
    <t>120560000</t>
  </si>
  <si>
    <t>10-07-428-004</t>
  </si>
  <si>
    <t>326953-571</t>
  </si>
  <si>
    <t>1680.06</t>
  </si>
  <si>
    <t>11/15/2019</t>
  </si>
  <si>
    <t>13-08-402-009</t>
  </si>
  <si>
    <t>326957-571</t>
  </si>
  <si>
    <t>4077.97</t>
  </si>
  <si>
    <t>WILL COUNTY</t>
  </si>
  <si>
    <t>120990000</t>
  </si>
  <si>
    <t>05-06-09-211-008-0000</t>
  </si>
  <si>
    <t>326695-569</t>
  </si>
  <si>
    <t>2758.82</t>
  </si>
  <si>
    <t>05-06-24-106-030-0000</t>
  </si>
  <si>
    <t>326963-571</t>
  </si>
  <si>
    <t>2587.46</t>
  </si>
  <si>
    <t>06-03-12-308-026-0000</t>
  </si>
  <si>
    <t>326966-571</t>
  </si>
  <si>
    <t>3146.16</t>
  </si>
  <si>
    <t>06-03-24-309-009-0000</t>
  </si>
  <si>
    <t>318834-494</t>
  </si>
  <si>
    <t>3313.51</t>
  </si>
  <si>
    <t>12-02-09-419-012-0000</t>
  </si>
  <si>
    <t>326964-571</t>
  </si>
  <si>
    <t>2451.06</t>
  </si>
  <si>
    <t>12-02-31-407-009-0000</t>
  </si>
  <si>
    <t>326971-571</t>
  </si>
  <si>
    <t>1554.19</t>
  </si>
  <si>
    <t>21-14-22-106-003-0000</t>
  </si>
  <si>
    <t>326967-571</t>
  </si>
  <si>
    <t>3302.47</t>
  </si>
  <si>
    <t>CUYAHOGA COUNTY</t>
  </si>
  <si>
    <t>340180000</t>
  </si>
  <si>
    <t>103-31-098-</t>
  </si>
  <si>
    <t>324283-539</t>
  </si>
  <si>
    <t>1086.34</t>
  </si>
  <si>
    <t>137-07-029-</t>
  </si>
  <si>
    <t>314136-429</t>
  </si>
  <si>
    <t>152.33</t>
  </si>
  <si>
    <t>687-02-007-</t>
  </si>
  <si>
    <t>303344-034</t>
  </si>
  <si>
    <t>3201.53</t>
  </si>
  <si>
    <t>687-17-022-</t>
  </si>
  <si>
    <t>324488-539</t>
  </si>
  <si>
    <t>3078.86</t>
  </si>
  <si>
    <t>340430000</t>
  </si>
  <si>
    <t>11-A-011-G-00-017-0</t>
  </si>
  <si>
    <t>314134-429</t>
  </si>
  <si>
    <t>332.63</t>
  </si>
  <si>
    <t>11/18/2019</t>
  </si>
  <si>
    <t>16-C-081-D-00-019-0</t>
  </si>
  <si>
    <t>307387-045</t>
  </si>
  <si>
    <t>1413.68</t>
  </si>
  <si>
    <t>16-D-111-Q-00-013-0</t>
  </si>
  <si>
    <t>311958-393</t>
  </si>
  <si>
    <t>736.82</t>
  </si>
  <si>
    <t>19-A-092-L-00-025-0</t>
  </si>
  <si>
    <t>305583-036</t>
  </si>
  <si>
    <t>1630.68</t>
  </si>
  <si>
    <t>28-A-042-E-00-004-0</t>
  </si>
  <si>
    <t>310288-358</t>
  </si>
  <si>
    <t>1592.05</t>
  </si>
  <si>
    <t>29-B-007-E-00-049-0</t>
  </si>
  <si>
    <t>322610-537</t>
  </si>
  <si>
    <t>1113.43</t>
  </si>
  <si>
    <t>31-A-002-D-00-010-0</t>
  </si>
  <si>
    <t>312703-411</t>
  </si>
  <si>
    <t>5621.31</t>
  </si>
  <si>
    <t>34-A-017-A-00-017-0</t>
  </si>
  <si>
    <t>309020-334</t>
  </si>
  <si>
    <t>1436.79</t>
  </si>
  <si>
    <t>CHRISTIANSTED TOWN (ST. CROIX)</t>
  </si>
  <si>
    <t>540100201</t>
  </si>
  <si>
    <t>2-04600-0103-00</t>
  </si>
  <si>
    <t>320752-513</t>
  </si>
  <si>
    <t>845.99</t>
  </si>
  <si>
    <t>PUTNAM COUNTY DELINQUENCY</t>
  </si>
  <si>
    <t>310404000</t>
  </si>
  <si>
    <t>372400-25.79-1-80</t>
  </si>
  <si>
    <t>320972-513</t>
  </si>
  <si>
    <t>6035.81</t>
  </si>
  <si>
    <t>11/11/2019</t>
  </si>
  <si>
    <t>372800-74.17-1-35</t>
  </si>
  <si>
    <t>320871-513</t>
  </si>
  <si>
    <t>14255.52</t>
  </si>
  <si>
    <t>KANE COUNTY</t>
  </si>
  <si>
    <t>120450000</t>
  </si>
  <si>
    <t>15-18-403-006</t>
  </si>
  <si>
    <t>326969-571</t>
  </si>
  <si>
    <t>2335.31</t>
  </si>
  <si>
    <t>11/13/2019</t>
  </si>
  <si>
    <t>GARLAND COUNTY</t>
  </si>
  <si>
    <t>030260000</t>
  </si>
  <si>
    <t>R42103</t>
  </si>
  <si>
    <t>310628-363</t>
  </si>
  <si>
    <t>370.95</t>
  </si>
  <si>
    <t>11/12/2019</t>
  </si>
  <si>
    <t>350.98</t>
  </si>
  <si>
    <t>DU PAGE COUNTY</t>
  </si>
  <si>
    <t>120220000</t>
  </si>
  <si>
    <t>03-34-209-008</t>
  </si>
  <si>
    <t>311377-375</t>
  </si>
  <si>
    <t>1650.80</t>
  </si>
  <si>
    <t>11/05/2019</t>
  </si>
  <si>
    <t>05-16-328-005</t>
  </si>
  <si>
    <t>324625-550</t>
  </si>
  <si>
    <t>4055.30</t>
  </si>
  <si>
    <t>09-08-102-016</t>
  </si>
  <si>
    <t>321564-527</t>
  </si>
  <si>
    <t>4461.16</t>
  </si>
  <si>
    <t>BUFFALO CITY STATE AND COUNTY</t>
  </si>
  <si>
    <t>310150001</t>
  </si>
  <si>
    <t>656.56</t>
  </si>
  <si>
    <t>11/24/2019</t>
  </si>
  <si>
    <t>712.41</t>
  </si>
  <si>
    <t>140200-122.35-4-31</t>
  </si>
  <si>
    <t>309392-344</t>
  </si>
  <si>
    <t>168.76</t>
  </si>
  <si>
    <t>182.98</t>
  </si>
  <si>
    <t>201.95</t>
  </si>
  <si>
    <t>207.36</t>
  </si>
  <si>
    <t>394.04</t>
  </si>
  <si>
    <t>140200-78.66-2-38</t>
  </si>
  <si>
    <t>320989-513</t>
  </si>
  <si>
    <t>991.74</t>
  </si>
  <si>
    <t>ERIE COUNTY DELINQUENCY</t>
  </si>
  <si>
    <t>310154000</t>
  </si>
  <si>
    <t>141600-52.50-1-3</t>
  </si>
  <si>
    <t>318199-493</t>
  </si>
  <si>
    <t>729.25</t>
  </si>
  <si>
    <t>142289-55.07-2-17</t>
  </si>
  <si>
    <t>328105-584</t>
  </si>
  <si>
    <t>3483.59</t>
  </si>
  <si>
    <t>5860.76</t>
  </si>
  <si>
    <t>5994.84</t>
  </si>
  <si>
    <t>142600-257.00-2-31</t>
  </si>
  <si>
    <t>320985-513</t>
  </si>
  <si>
    <t>2206.75</t>
  </si>
  <si>
    <t>KINGS POINT VILLAGE</t>
  </si>
  <si>
    <t>310300442</t>
  </si>
  <si>
    <t>01-201 -00590</t>
  </si>
  <si>
    <t>304184-033</t>
  </si>
  <si>
    <t>11283.84</t>
  </si>
  <si>
    <t>11/25/2019</t>
  </si>
  <si>
    <t>WILMINGTON CITY</t>
  </si>
  <si>
    <t>070020104</t>
  </si>
  <si>
    <t>26-015.20-148</t>
  </si>
  <si>
    <t>311316-375</t>
  </si>
  <si>
    <t>758.10</t>
  </si>
  <si>
    <t>26-036.30-319</t>
  </si>
  <si>
    <t>324377-539</t>
  </si>
  <si>
    <t>330.84</t>
  </si>
  <si>
    <t>LINDENHURST VILLAGE</t>
  </si>
  <si>
    <t>310520407</t>
  </si>
  <si>
    <t>0103-006.00-04.00-081.000</t>
  </si>
  <si>
    <t>1019.99</t>
  </si>
  <si>
    <t>ONONDAGA COUNTY DELINQUENCY</t>
  </si>
  <si>
    <t>310344000</t>
  </si>
  <si>
    <t>312489-093.-01-02.0</t>
  </si>
  <si>
    <t>320981-513</t>
  </si>
  <si>
    <t>7201.80</t>
  </si>
  <si>
    <t>313689-048.-01-02.1</t>
  </si>
  <si>
    <t>312027-394</t>
  </si>
  <si>
    <t>1557.17</t>
  </si>
  <si>
    <t>5056.81</t>
  </si>
  <si>
    <t>4967.75</t>
  </si>
  <si>
    <t>RIVERHEAD TOWN</t>
  </si>
  <si>
    <t>310520208</t>
  </si>
  <si>
    <t>0600-127.00-07.00-024.001-0000</t>
  </si>
  <si>
    <t>309271-344</t>
  </si>
  <si>
    <t>10690.12</t>
  </si>
  <si>
    <t>4899.67</t>
  </si>
  <si>
    <t>340310000</t>
  </si>
  <si>
    <t>116-0002-0232-00</t>
  </si>
  <si>
    <t>314148-429</t>
  </si>
  <si>
    <t>2132.98</t>
  </si>
  <si>
    <t>BROWN COUNTY</t>
  </si>
  <si>
    <t>480054000</t>
  </si>
  <si>
    <t>2 -915</t>
  </si>
  <si>
    <t>311818-389</t>
  </si>
  <si>
    <t>1862.41</t>
  </si>
  <si>
    <t>1883.13</t>
  </si>
  <si>
    <t>PORTAGE COUNTY</t>
  </si>
  <si>
    <t>480504000</t>
  </si>
  <si>
    <t>281-23-0804100438</t>
  </si>
  <si>
    <t>311138-368</t>
  </si>
  <si>
    <t>1922.42</t>
  </si>
  <si>
    <t>1955.14</t>
  </si>
  <si>
    <t>FRANKLIN COUNTY</t>
  </si>
  <si>
    <t>340250000</t>
  </si>
  <si>
    <t>010-119067-00</t>
  </si>
  <si>
    <t>314127-429</t>
  </si>
  <si>
    <t>247.90</t>
  </si>
  <si>
    <t>060-003868-00</t>
  </si>
  <si>
    <t>324509-539</t>
  </si>
  <si>
    <t>1232.64</t>
  </si>
  <si>
    <t>150-001996-00</t>
  </si>
  <si>
    <t>314126-429</t>
  </si>
  <si>
    <t>806.06</t>
  </si>
  <si>
    <t>170-003623-00</t>
  </si>
  <si>
    <t>312283-403</t>
  </si>
  <si>
    <t>3652.20</t>
  </si>
  <si>
    <t>590-174882-00</t>
  </si>
  <si>
    <t>321879-536</t>
  </si>
  <si>
    <t>2192.02</t>
  </si>
  <si>
    <t>STARK COUNTY</t>
  </si>
  <si>
    <t>340760000</t>
  </si>
  <si>
    <t>052-10748</t>
  </si>
  <si>
    <t>312706-411</t>
  </si>
  <si>
    <t>3066.50</t>
  </si>
  <si>
    <t>11/08/2019</t>
  </si>
  <si>
    <t>638.87</t>
  </si>
  <si>
    <t>SAN MATEO COUNTY</t>
  </si>
  <si>
    <t>040410000</t>
  </si>
  <si>
    <t>048-094-130</t>
  </si>
  <si>
    <t>320326-509</t>
  </si>
  <si>
    <t>2050.78</t>
  </si>
  <si>
    <t>DENVER CITY AND COUNTY</t>
  </si>
  <si>
    <t>050160000</t>
  </si>
  <si>
    <t>01301-17-007-000</t>
  </si>
  <si>
    <t>322955-537</t>
  </si>
  <si>
    <t>350.73</t>
  </si>
  <si>
    <t>11/19/2019</t>
  </si>
  <si>
    <t>05012-03-025-000</t>
  </si>
  <si>
    <t>324615-550</t>
  </si>
  <si>
    <t>2793.15</t>
  </si>
  <si>
    <t>131.84</t>
  </si>
  <si>
    <t>05183-23-002-000</t>
  </si>
  <si>
    <t>315518-444</t>
  </si>
  <si>
    <t>188.28</t>
  </si>
  <si>
    <t>05305-23-005-000</t>
  </si>
  <si>
    <t>322956-537</t>
  </si>
  <si>
    <t>192.57</t>
  </si>
  <si>
    <t>COLES COUNTY</t>
  </si>
  <si>
    <t>120150000</t>
  </si>
  <si>
    <t>12-0-00939-000</t>
  </si>
  <si>
    <t>322792-537</t>
  </si>
  <si>
    <t>184.68</t>
  </si>
  <si>
    <t>11/01/2019</t>
  </si>
  <si>
    <t>BRONX CITY</t>
  </si>
  <si>
    <t>310030101</t>
  </si>
  <si>
    <t>02518 0122</t>
  </si>
  <si>
    <t>319852-500</t>
  </si>
  <si>
    <t>1026.61</t>
  </si>
  <si>
    <t>10/20/2019</t>
  </si>
  <si>
    <t>02931 0140</t>
  </si>
  <si>
    <t>319853-500</t>
  </si>
  <si>
    <t>999.08</t>
  </si>
  <si>
    <t>1033.03</t>
  </si>
  <si>
    <t>1015.35</t>
  </si>
  <si>
    <t>03041 0010</t>
  </si>
  <si>
    <t>324188-539</t>
  </si>
  <si>
    <t>702.15</t>
  </si>
  <si>
    <t>03263 0219</t>
  </si>
  <si>
    <t>316857-466</t>
  </si>
  <si>
    <t>1166.86</t>
  </si>
  <si>
    <t>03445 0149</t>
  </si>
  <si>
    <t>324159-539</t>
  </si>
  <si>
    <t>882.25</t>
  </si>
  <si>
    <t>03627 0030</t>
  </si>
  <si>
    <t>319854-500</t>
  </si>
  <si>
    <t>463.41</t>
  </si>
  <si>
    <t>462.00</t>
  </si>
  <si>
    <t>453.92</t>
  </si>
  <si>
    <t>446.50</t>
  </si>
  <si>
    <t>03763 0016</t>
  </si>
  <si>
    <t>307421-045</t>
  </si>
  <si>
    <t>1154.08</t>
  </si>
  <si>
    <t>1506.68</t>
  </si>
  <si>
    <t>1480.90</t>
  </si>
  <si>
    <t>04664 1023</t>
  </si>
  <si>
    <t>318180-493</t>
  </si>
  <si>
    <t>164.42</t>
  </si>
  <si>
    <t>158.83</t>
  </si>
  <si>
    <t>156.11</t>
  </si>
  <si>
    <t>04695 0060</t>
  </si>
  <si>
    <t>304000-033</t>
  </si>
  <si>
    <t>1089.35</t>
  </si>
  <si>
    <t>1123.30</t>
  </si>
  <si>
    <t>1106.44</t>
  </si>
  <si>
    <t>1132.78</t>
  </si>
  <si>
    <t>1088.09</t>
  </si>
  <si>
    <t>1069.06</t>
  </si>
  <si>
    <t>1105.39</t>
  </si>
  <si>
    <t>1086.48</t>
  </si>
  <si>
    <t>1515.29</t>
  </si>
  <si>
    <t>1566.79</t>
  </si>
  <si>
    <t>1539.98</t>
  </si>
  <si>
    <t>BROOKLYN CITY</t>
  </si>
  <si>
    <t>310240101</t>
  </si>
  <si>
    <t>01233 0005</t>
  </si>
  <si>
    <t>313738-429</t>
  </si>
  <si>
    <t>817.31</t>
  </si>
  <si>
    <t>01237 0009</t>
  </si>
  <si>
    <t>309834-353</t>
  </si>
  <si>
    <t>34.19</t>
  </si>
  <si>
    <t>01539 0063</t>
  </si>
  <si>
    <t>319857-500</t>
  </si>
  <si>
    <t>14.24</t>
  </si>
  <si>
    <t>1888.14</t>
  </si>
  <si>
    <t>1961.45</t>
  </si>
  <si>
    <t>1927.89</t>
  </si>
  <si>
    <t>2265.22</t>
  </si>
  <si>
    <t>2231.22</t>
  </si>
  <si>
    <t>2138.76</t>
  </si>
  <si>
    <t>2107.35</t>
  </si>
  <si>
    <t>2272.75</t>
  </si>
  <si>
    <t>2233.01</t>
  </si>
  <si>
    <t>2157.04</t>
  </si>
  <si>
    <t>2120.13</t>
  </si>
  <si>
    <t>01653 0035</t>
  </si>
  <si>
    <t>306302-041</t>
  </si>
  <si>
    <t>1218.13</t>
  </si>
  <si>
    <t>01767 0077</t>
  </si>
  <si>
    <t>321842-536</t>
  </si>
  <si>
    <t>1713.67</t>
  </si>
  <si>
    <t>616.58</t>
  </si>
  <si>
    <t>1723.14</t>
  </si>
  <si>
    <t>1693.66</t>
  </si>
  <si>
    <t>03468 0042</t>
  </si>
  <si>
    <t>309664-351</t>
  </si>
  <si>
    <t>518.15</t>
  </si>
  <si>
    <t>509.29</t>
  </si>
  <si>
    <t>2040.41</t>
  </si>
  <si>
    <t>1406.92</t>
  </si>
  <si>
    <t>1755.01</t>
  </si>
  <si>
    <t>1728.68</t>
  </si>
  <si>
    <t>1657.04</t>
  </si>
  <si>
    <t>1632.71</t>
  </si>
  <si>
    <t>1760.05</t>
  </si>
  <si>
    <t>1729.27</t>
  </si>
  <si>
    <t>1670.45</t>
  </si>
  <si>
    <t>1641.87</t>
  </si>
  <si>
    <t>03846 0123</t>
  </si>
  <si>
    <t>311303-375</t>
  </si>
  <si>
    <t>35.89</t>
  </si>
  <si>
    <t>03897 0042</t>
  </si>
  <si>
    <t>321843-536</t>
  </si>
  <si>
    <t>1288.74</t>
  </si>
  <si>
    <t>1266.68</t>
  </si>
  <si>
    <t>03960 0001</t>
  </si>
  <si>
    <t>319855-500</t>
  </si>
  <si>
    <t>1075.81</t>
  </si>
  <si>
    <t>1112.37</t>
  </si>
  <si>
    <t>1093.34</t>
  </si>
  <si>
    <t>44.87</t>
  </si>
  <si>
    <t>04208 0040</t>
  </si>
  <si>
    <t>324262-539</t>
  </si>
  <si>
    <t>18.81</t>
  </si>
  <si>
    <t>1401.04</t>
  </si>
  <si>
    <t>1448.65</t>
  </si>
  <si>
    <t>1423.87</t>
  </si>
  <si>
    <t>04332 0009</t>
  </si>
  <si>
    <t>313736-429</t>
  </si>
  <si>
    <t>1034.78</t>
  </si>
  <si>
    <t>1017.08</t>
  </si>
  <si>
    <t>04423 1144</t>
  </si>
  <si>
    <t>306531-041</t>
  </si>
  <si>
    <t>482.36</t>
  </si>
  <si>
    <t>04503 0044</t>
  </si>
  <si>
    <t>322076-537</t>
  </si>
  <si>
    <t>24.56</t>
  </si>
  <si>
    <t>04749 0001</t>
  </si>
  <si>
    <t>320890-513</t>
  </si>
  <si>
    <t>1311.92</t>
  </si>
  <si>
    <t>1356.50</t>
  </si>
  <si>
    <t>1333.29</t>
  </si>
  <si>
    <t>1292.73</t>
  </si>
  <si>
    <t>1324.27</t>
  </si>
  <si>
    <t>1301.12</t>
  </si>
  <si>
    <t>1345.34</t>
  </si>
  <si>
    <t>1322.32</t>
  </si>
  <si>
    <t>1553.30</t>
  </si>
  <si>
    <t>04826 0082</t>
  </si>
  <si>
    <t>317014-466</t>
  </si>
  <si>
    <t>1099.38</t>
  </si>
  <si>
    <t>04954 0002</t>
  </si>
  <si>
    <t>318086-488</t>
  </si>
  <si>
    <t>783.15</t>
  </si>
  <si>
    <t>04955 0048</t>
  </si>
  <si>
    <t>322074-537</t>
  </si>
  <si>
    <t>1227.39</t>
  </si>
  <si>
    <t>04959 0052</t>
  </si>
  <si>
    <t>324109-539</t>
  </si>
  <si>
    <t>1158.71</t>
  </si>
  <si>
    <t>04972 0026</t>
  </si>
  <si>
    <t>320885-513</t>
  </si>
  <si>
    <t>991.06</t>
  </si>
  <si>
    <t>1024.86</t>
  </si>
  <si>
    <t>1007.33</t>
  </si>
  <si>
    <t>05090 0050</t>
  </si>
  <si>
    <t>308129-310</t>
  </si>
  <si>
    <t>1958.47</t>
  </si>
  <si>
    <t>05935 0023</t>
  </si>
  <si>
    <t>310699-364</t>
  </si>
  <si>
    <t>1830.35</t>
  </si>
  <si>
    <t>06541 0084</t>
  </si>
  <si>
    <t>309553-347</t>
  </si>
  <si>
    <t>2429.93</t>
  </si>
  <si>
    <t>07341 0035</t>
  </si>
  <si>
    <t>307399-045</t>
  </si>
  <si>
    <t>65.43</t>
  </si>
  <si>
    <t>07440 0087</t>
  </si>
  <si>
    <t>500248-449</t>
  </si>
  <si>
    <t>3668.73</t>
  </si>
  <si>
    <t>07661 0040</t>
  </si>
  <si>
    <t>309203-344</t>
  </si>
  <si>
    <t>2561.47</t>
  </si>
  <si>
    <t>07729 0230</t>
  </si>
  <si>
    <t>304097-033</t>
  </si>
  <si>
    <t>1551.13</t>
  </si>
  <si>
    <t>07747 0025</t>
  </si>
  <si>
    <t>313737-429</t>
  </si>
  <si>
    <t>1116.80</t>
  </si>
  <si>
    <t>07892 0058</t>
  </si>
  <si>
    <t>304012-033</t>
  </si>
  <si>
    <t>1416.47</t>
  </si>
  <si>
    <t>07973 0022</t>
  </si>
  <si>
    <t>313452-418</t>
  </si>
  <si>
    <t>13.78</t>
  </si>
  <si>
    <t>07974 0067</t>
  </si>
  <si>
    <t>322078-537</t>
  </si>
  <si>
    <t>2145.15</t>
  </si>
  <si>
    <t>08142 0056</t>
  </si>
  <si>
    <t>319596-498</t>
  </si>
  <si>
    <t>1307.65</t>
  </si>
  <si>
    <t>1216.64</t>
  </si>
  <si>
    <t>1195.37</t>
  </si>
  <si>
    <t>1235.99</t>
  </si>
  <si>
    <t>1214.84</t>
  </si>
  <si>
    <t>08275 0088</t>
  </si>
  <si>
    <t>309665-351</t>
  </si>
  <si>
    <t>1696.78</t>
  </si>
  <si>
    <t>08296 0061</t>
  </si>
  <si>
    <t>316888-466</t>
  </si>
  <si>
    <t>1728.66</t>
  </si>
  <si>
    <t>08306 0063</t>
  </si>
  <si>
    <t>320891-513</t>
  </si>
  <si>
    <t>1123.09</t>
  </si>
  <si>
    <t>1161.26</t>
  </si>
  <si>
    <t>1141.39</t>
  </si>
  <si>
    <t>08362 0054</t>
  </si>
  <si>
    <t>308130-310</t>
  </si>
  <si>
    <t>2644.74</t>
  </si>
  <si>
    <t>08463 0041</t>
  </si>
  <si>
    <t>307263-045</t>
  </si>
  <si>
    <t>2479.53</t>
  </si>
  <si>
    <t>08513 0059</t>
  </si>
  <si>
    <t>324122-539</t>
  </si>
  <si>
    <t>1433.91</t>
  </si>
  <si>
    <t>08720 1825</t>
  </si>
  <si>
    <t>316835-466</t>
  </si>
  <si>
    <t>1308.90</t>
  </si>
  <si>
    <t>08823 1006</t>
  </si>
  <si>
    <t>321311-527</t>
  </si>
  <si>
    <t>938.26</t>
  </si>
  <si>
    <t>922.21</t>
  </si>
  <si>
    <t>08827 0013</t>
  </si>
  <si>
    <t>320889-513</t>
  </si>
  <si>
    <t>1061.11</t>
  </si>
  <si>
    <t>1097.17</t>
  </si>
  <si>
    <t>1078.40</t>
  </si>
  <si>
    <t>08827 0015</t>
  </si>
  <si>
    <t>208.14</t>
  </si>
  <si>
    <t>215.21</t>
  </si>
  <si>
    <t>211.53</t>
  </si>
  <si>
    <t>BUFFALO CITY</t>
  </si>
  <si>
    <t>310150101</t>
  </si>
  <si>
    <t>2331.45</t>
  </si>
  <si>
    <t>1171.03</t>
  </si>
  <si>
    <t>1324.36</t>
  </si>
  <si>
    <t>MANHATTAN CITY</t>
  </si>
  <si>
    <t>310310101</t>
  </si>
  <si>
    <t>00027 1044</t>
  </si>
  <si>
    <t>321308-527</t>
  </si>
  <si>
    <t>10028.57</t>
  </si>
  <si>
    <t>01833 1099</t>
  </si>
  <si>
    <t>324307-539</t>
  </si>
  <si>
    <t>1217.68</t>
  </si>
  <si>
    <t>NEW YORK CITY FRONTAGE</t>
  </si>
  <si>
    <t>310030102</t>
  </si>
  <si>
    <t>0000347421001</t>
  </si>
  <si>
    <t>313418-416</t>
  </si>
  <si>
    <t>5778.21</t>
  </si>
  <si>
    <t>9000218165001</t>
  </si>
  <si>
    <t>4318.48</t>
  </si>
  <si>
    <t>QUEENS CITY</t>
  </si>
  <si>
    <t>310410101</t>
  </si>
  <si>
    <t>01629 0107</t>
  </si>
  <si>
    <t>324034-539</t>
  </si>
  <si>
    <t>526.46</t>
  </si>
  <si>
    <t>03234 0101</t>
  </si>
  <si>
    <t>308559-323</t>
  </si>
  <si>
    <t>1954.60</t>
  </si>
  <si>
    <t>2002.24</t>
  </si>
  <si>
    <t>1967.22</t>
  </si>
  <si>
    <t>2034.08</t>
  </si>
  <si>
    <t>1999.27</t>
  </si>
  <si>
    <t>03684 0063</t>
  </si>
  <si>
    <t>321845-536</t>
  </si>
  <si>
    <t>14.60</t>
  </si>
  <si>
    <t>1577.71</t>
  </si>
  <si>
    <t>04714 0014</t>
  </si>
  <si>
    <t>324051-539</t>
  </si>
  <si>
    <t>2352.22</t>
  </si>
  <si>
    <t>07920 0007</t>
  </si>
  <si>
    <t>324175-539</t>
  </si>
  <si>
    <t>1657.60</t>
  </si>
  <si>
    <t>08203 0208</t>
  </si>
  <si>
    <t>322081-537</t>
  </si>
  <si>
    <t>2126.70</t>
  </si>
  <si>
    <t>08395 0030</t>
  </si>
  <si>
    <t>320893-513</t>
  </si>
  <si>
    <t>1388.60</t>
  </si>
  <si>
    <t>1435.79</t>
  </si>
  <si>
    <t>1411.22</t>
  </si>
  <si>
    <t>08979 0041</t>
  </si>
  <si>
    <t>324167-539</t>
  </si>
  <si>
    <t>1238.15</t>
  </si>
  <si>
    <t>09312 0048</t>
  </si>
  <si>
    <t>324481-539</t>
  </si>
  <si>
    <t>09539 0064</t>
  </si>
  <si>
    <t>308133-310</t>
  </si>
  <si>
    <t>1317.45</t>
  </si>
  <si>
    <t>1269.40</t>
  </si>
  <si>
    <t>1299.63</t>
  </si>
  <si>
    <t>1280.54</t>
  </si>
  <si>
    <t>1317.30</t>
  </si>
  <si>
    <t>1294.26</t>
  </si>
  <si>
    <t>1338.24</t>
  </si>
  <si>
    <t>1315.34</t>
  </si>
  <si>
    <t>10197 0061</t>
  </si>
  <si>
    <t>319156-496</t>
  </si>
  <si>
    <t>10847 0033</t>
  </si>
  <si>
    <t>324490-539</t>
  </si>
  <si>
    <t>1126.85</t>
  </si>
  <si>
    <t>10857 0034</t>
  </si>
  <si>
    <t>316248-461</t>
  </si>
  <si>
    <t>1213.06</t>
  </si>
  <si>
    <t>11011 0039</t>
  </si>
  <si>
    <t>324263-539</t>
  </si>
  <si>
    <t>1080.23</t>
  </si>
  <si>
    <t>11042 0010</t>
  </si>
  <si>
    <t>324018-539</t>
  </si>
  <si>
    <t>939.84</t>
  </si>
  <si>
    <t>955.16</t>
  </si>
  <si>
    <t>11198 0118</t>
  </si>
  <si>
    <t>320898-513</t>
  </si>
  <si>
    <t>902.72</t>
  </si>
  <si>
    <t>942.54</t>
  </si>
  <si>
    <t>926.41</t>
  </si>
  <si>
    <t>11674 0007</t>
  </si>
  <si>
    <t>324312-539</t>
  </si>
  <si>
    <t>1440.76</t>
  </si>
  <si>
    <t>12292 0013</t>
  </si>
  <si>
    <t>305533-036</t>
  </si>
  <si>
    <t>1379.66</t>
  </si>
  <si>
    <t>1333.38</t>
  </si>
  <si>
    <t>1310.06</t>
  </si>
  <si>
    <t>1354.58</t>
  </si>
  <si>
    <t>1331.40</t>
  </si>
  <si>
    <t>12389 0287</t>
  </si>
  <si>
    <t>316944-466</t>
  </si>
  <si>
    <t>997.01</t>
  </si>
  <si>
    <t>13057 0044</t>
  </si>
  <si>
    <t>313420-416</t>
  </si>
  <si>
    <t>72.89</t>
  </si>
  <si>
    <t>1642.70</t>
  </si>
  <si>
    <t>13177 0054</t>
  </si>
  <si>
    <t>320897-513</t>
  </si>
  <si>
    <t>764.20</t>
  </si>
  <si>
    <t>794.32</t>
  </si>
  <si>
    <t>1318.83</t>
  </si>
  <si>
    <t>1389.64</t>
  </si>
  <si>
    <t>1365.86</t>
  </si>
  <si>
    <t>13270 0040</t>
  </si>
  <si>
    <t>324272-539</t>
  </si>
  <si>
    <t>898.97</t>
  </si>
  <si>
    <t>13730 0028</t>
  </si>
  <si>
    <t>313483-421</t>
  </si>
  <si>
    <t>1398.01</t>
  </si>
  <si>
    <t>14168 0055</t>
  </si>
  <si>
    <t>308560-323</t>
  </si>
  <si>
    <t>1248.14</t>
  </si>
  <si>
    <t>1559.95</t>
  </si>
  <si>
    <t>1532.67</t>
  </si>
  <si>
    <t>1584.76</t>
  </si>
  <si>
    <t>1557.65</t>
  </si>
  <si>
    <t>15733 0053</t>
  </si>
  <si>
    <t>324230-539</t>
  </si>
  <si>
    <t>1038.76</t>
  </si>
  <si>
    <t>543.20</t>
  </si>
  <si>
    <t>560.78</t>
  </si>
  <si>
    <t>559.25</t>
  </si>
  <si>
    <t>1136.57</t>
  </si>
  <si>
    <t>1175.20</t>
  </si>
  <si>
    <t>1155.10</t>
  </si>
  <si>
    <t>16064 0003</t>
  </si>
  <si>
    <t>321774-535</t>
  </si>
  <si>
    <t>592.55</t>
  </si>
  <si>
    <t>582.41</t>
  </si>
  <si>
    <t>16066 0030</t>
  </si>
  <si>
    <t>324311-539</t>
  </si>
  <si>
    <t>253.07</t>
  </si>
  <si>
    <t>16238 0040</t>
  </si>
  <si>
    <t>308565-323</t>
  </si>
  <si>
    <t>3743.34</t>
  </si>
  <si>
    <t>3834.78</t>
  </si>
  <si>
    <t>3767.72</t>
  </si>
  <si>
    <t>3895.77</t>
  </si>
  <si>
    <t>3829.11</t>
  </si>
  <si>
    <t>STATEN ISLAND CITY</t>
  </si>
  <si>
    <t>310430101</t>
  </si>
  <si>
    <t>00182 0026</t>
  </si>
  <si>
    <t>324112-539</t>
  </si>
  <si>
    <t>772.27</t>
  </si>
  <si>
    <t>00242 0065</t>
  </si>
  <si>
    <t>320863-513</t>
  </si>
  <si>
    <t>2511.80</t>
  </si>
  <si>
    <t>2597.16</t>
  </si>
  <si>
    <t>2552.72</t>
  </si>
  <si>
    <t>858.67</t>
  </si>
  <si>
    <t>01196 0065</t>
  </si>
  <si>
    <t>RF18045</t>
  </si>
  <si>
    <t>698.85</t>
  </si>
  <si>
    <t>01263 0028</t>
  </si>
  <si>
    <t>320860-513</t>
  </si>
  <si>
    <t>1097.80</t>
  </si>
  <si>
    <t>1135.11</t>
  </si>
  <si>
    <t>1115.69</t>
  </si>
  <si>
    <t>01264 0050</t>
  </si>
  <si>
    <t>324173-539</t>
  </si>
  <si>
    <t>1344.44</t>
  </si>
  <si>
    <t>01682 0117</t>
  </si>
  <si>
    <t>324015-539</t>
  </si>
  <si>
    <t>1003.20</t>
  </si>
  <si>
    <t>02967 0011</t>
  </si>
  <si>
    <t>324077-539</t>
  </si>
  <si>
    <t>1119.70</t>
  </si>
  <si>
    <t>03275 0062</t>
  </si>
  <si>
    <t>320861-513</t>
  </si>
  <si>
    <t>1475.47</t>
  </si>
  <si>
    <t>1525.61</t>
  </si>
  <si>
    <t>1499.51</t>
  </si>
  <si>
    <t>03396 0012</t>
  </si>
  <si>
    <t>324214-539</t>
  </si>
  <si>
    <t>1488.64</t>
  </si>
  <si>
    <t>03604 0026</t>
  </si>
  <si>
    <t>321719-535</t>
  </si>
  <si>
    <t>9.74</t>
  </si>
  <si>
    <t>30.83</t>
  </si>
  <si>
    <t>1771.13</t>
  </si>
  <si>
    <t>04645 0255</t>
  </si>
  <si>
    <t>RB18089</t>
  </si>
  <si>
    <t>1513.75</t>
  </si>
  <si>
    <t>1565.20</t>
  </si>
  <si>
    <t>1538.42</t>
  </si>
  <si>
    <t>05284 0028</t>
  </si>
  <si>
    <t>324299-539</t>
  </si>
  <si>
    <t>1337.76</t>
  </si>
  <si>
    <t>05362 0042</t>
  </si>
  <si>
    <t>324300-539</t>
  </si>
  <si>
    <t>1675.54</t>
  </si>
  <si>
    <t>05406 0023</t>
  </si>
  <si>
    <t>317001-466</t>
  </si>
  <si>
    <t>1656.87</t>
  </si>
  <si>
    <t>05658 0169</t>
  </si>
  <si>
    <t>317864-482</t>
  </si>
  <si>
    <t>1234.90</t>
  </si>
  <si>
    <t>1216.77</t>
  </si>
  <si>
    <t>1251.92</t>
  </si>
  <si>
    <t>1230.03</t>
  </si>
  <si>
    <t>1271.83</t>
  </si>
  <si>
    <t>1250.07</t>
  </si>
  <si>
    <t>05716 0007</t>
  </si>
  <si>
    <t>324176-539</t>
  </si>
  <si>
    <t>1447.00</t>
  </si>
  <si>
    <t>06249 0259</t>
  </si>
  <si>
    <t>321309-527</t>
  </si>
  <si>
    <t>2114.52</t>
  </si>
  <si>
    <t>2114.50</t>
  </si>
  <si>
    <t>06722 0020</t>
  </si>
  <si>
    <t>324443-539</t>
  </si>
  <si>
    <t>2241.71</t>
  </si>
  <si>
    <t>3652.08</t>
  </si>
  <si>
    <t>07267 0379</t>
  </si>
  <si>
    <t>324435-539</t>
  </si>
  <si>
    <t>1590.62</t>
  </si>
  <si>
    <t>BUFFALO COUNTY</t>
  </si>
  <si>
    <t>260100000</t>
  </si>
  <si>
    <t>600738000</t>
  </si>
  <si>
    <t>318870-494</t>
  </si>
  <si>
    <t>2079.34</t>
  </si>
  <si>
    <t>11/17/2019</t>
  </si>
  <si>
    <t>MONROEVILLE BOROUGH</t>
  </si>
  <si>
    <t>370021726</t>
  </si>
  <si>
    <t>879 0637-S-00379-0000 00</t>
  </si>
  <si>
    <t>309668-351</t>
  </si>
  <si>
    <t>360.36</t>
  </si>
  <si>
    <t>MILWAUKEE CITY</t>
  </si>
  <si>
    <t>480410101</t>
  </si>
  <si>
    <t>243 0028 000</t>
  </si>
  <si>
    <t>322706-537</t>
  </si>
  <si>
    <t>152.45</t>
  </si>
  <si>
    <t>288 1140 000</t>
  </si>
  <si>
    <t>314209-429</t>
  </si>
  <si>
    <t>2773.33</t>
  </si>
  <si>
    <t>308 0450 000</t>
  </si>
  <si>
    <t>305553-036</t>
  </si>
  <si>
    <t>2548.43</t>
  </si>
  <si>
    <t>540 1220 110</t>
  </si>
  <si>
    <t>311894-391</t>
  </si>
  <si>
    <t>333.24</t>
  </si>
  <si>
    <t>ATHENS COUNTY</t>
  </si>
  <si>
    <t>340050000</t>
  </si>
  <si>
    <t>F01-00100342-02</t>
  </si>
  <si>
    <t>322627-537</t>
  </si>
  <si>
    <t>879.34</t>
  </si>
  <si>
    <t>967.27</t>
  </si>
  <si>
    <t>340510000</t>
  </si>
  <si>
    <t>12-104001-3900</t>
  </si>
  <si>
    <t>322606-537</t>
  </si>
  <si>
    <t>345.58</t>
  </si>
  <si>
    <t>12-327080-0100</t>
  </si>
  <si>
    <t>322605-537</t>
  </si>
  <si>
    <t>448.28</t>
  </si>
  <si>
    <t>PATCHOGUE VILLAGE</t>
  </si>
  <si>
    <t>310520415</t>
  </si>
  <si>
    <t>0012</t>
  </si>
  <si>
    <t>610.00</t>
  </si>
  <si>
    <t>1764.33</t>
  </si>
  <si>
    <t>PUEBLO COUNTY</t>
  </si>
  <si>
    <t>050510000</t>
  </si>
  <si>
    <t>1403023011</t>
  </si>
  <si>
    <t>319522-496</t>
  </si>
  <si>
    <t>366.42</t>
  </si>
  <si>
    <t>11/07/2019</t>
  </si>
  <si>
    <t>1501127009</t>
  </si>
  <si>
    <t>309066-336</t>
  </si>
  <si>
    <t>294.93</t>
  </si>
  <si>
    <t>572.00</t>
  </si>
  <si>
    <t>524318011</t>
  </si>
  <si>
    <t>316774-465</t>
  </si>
  <si>
    <t>333.69</t>
  </si>
  <si>
    <t>623214007</t>
  </si>
  <si>
    <t>307160-045</t>
  </si>
  <si>
    <t>764.28</t>
  </si>
  <si>
    <t>HURON COUNTY</t>
  </si>
  <si>
    <t>340390000</t>
  </si>
  <si>
    <t>16-042C-01-004-0000</t>
  </si>
  <si>
    <t>312019-391</t>
  </si>
  <si>
    <t>414.14</t>
  </si>
  <si>
    <t>340400000</t>
  </si>
  <si>
    <t>B02-002-00-256-02</t>
  </si>
  <si>
    <t>305481-036</t>
  </si>
  <si>
    <t>462.29</t>
  </si>
  <si>
    <t>11/06/2019</t>
  </si>
  <si>
    <t>G11-003-00-110-00</t>
  </si>
  <si>
    <t>308452-319</t>
  </si>
  <si>
    <t>9182.90</t>
  </si>
  <si>
    <t>340520000</t>
  </si>
  <si>
    <t>025-01A-36-010</t>
  </si>
  <si>
    <t>319976-500</t>
  </si>
  <si>
    <t>1775.80</t>
  </si>
  <si>
    <t>11/03/2019</t>
  </si>
  <si>
    <t>026-06C-13-174</t>
  </si>
  <si>
    <t>317925-482</t>
  </si>
  <si>
    <t>1985.24</t>
  </si>
  <si>
    <t>MORROW COUNTY</t>
  </si>
  <si>
    <t>340590000</t>
  </si>
  <si>
    <t>J24-001-00-064-00</t>
  </si>
  <si>
    <t>321514-527</t>
  </si>
  <si>
    <t>26.25</t>
  </si>
  <si>
    <t>27.63</t>
  </si>
  <si>
    <t>10/30/2019</t>
  </si>
  <si>
    <t>PREBLE COUNTY</t>
  </si>
  <si>
    <t>340680000</t>
  </si>
  <si>
    <t>B45002400605018000</t>
  </si>
  <si>
    <t>319372-496</t>
  </si>
  <si>
    <t>698.71</t>
  </si>
  <si>
    <t>11/04/2019</t>
  </si>
  <si>
    <t>SUSSEX COUNTY</t>
  </si>
  <si>
    <t>070030000</t>
  </si>
  <si>
    <t>130-07.00-0005.02</t>
  </si>
  <si>
    <t>309115-342</t>
  </si>
  <si>
    <t>915.75</t>
  </si>
  <si>
    <t>231-15.00-0003.00</t>
  </si>
  <si>
    <t>304021-033</t>
  </si>
  <si>
    <t>484.72</t>
  </si>
  <si>
    <t>833.52</t>
  </si>
  <si>
    <t>SULLIVAN COUNTY DELINQUENCY</t>
  </si>
  <si>
    <t>310534000</t>
  </si>
  <si>
    <t>484689-50.-1-67</t>
  </si>
  <si>
    <t>316259-461</t>
  </si>
  <si>
    <t>2058.15</t>
  </si>
  <si>
    <t>10/10/2019</t>
  </si>
  <si>
    <t>2061.05</t>
  </si>
  <si>
    <t>2029.37</t>
  </si>
  <si>
    <t>ROCK COUNTY</t>
  </si>
  <si>
    <t>480544000</t>
  </si>
  <si>
    <t>008 02300101</t>
  </si>
  <si>
    <t>318811-494</t>
  </si>
  <si>
    <t>2387.74</t>
  </si>
  <si>
    <t>10/21/2019</t>
  </si>
  <si>
    <t>2298.95</t>
  </si>
  <si>
    <t>MEMPHIS CITY</t>
  </si>
  <si>
    <t>410790104</t>
  </si>
  <si>
    <t>017-006 -A-00037-</t>
  </si>
  <si>
    <t>144.50</t>
  </si>
  <si>
    <t>154.58</t>
  </si>
  <si>
    <t>151.01</t>
  </si>
  <si>
    <t>151.02</t>
  </si>
  <si>
    <t>017-006 -A-00121-</t>
  </si>
  <si>
    <t>267.92</t>
  </si>
  <si>
    <t>287.89</t>
  </si>
  <si>
    <t>281.24</t>
  </si>
  <si>
    <t>281.25</t>
  </si>
  <si>
    <t>040-019 - -00017-</t>
  </si>
  <si>
    <t>306541-041</t>
  </si>
  <si>
    <t>220.99</t>
  </si>
  <si>
    <t>190.56</t>
  </si>
  <si>
    <t>186.16</t>
  </si>
  <si>
    <t>186.17</t>
  </si>
  <si>
    <t>040-035 - -00028-</t>
  </si>
  <si>
    <t>319359-496</t>
  </si>
  <si>
    <t>799.01</t>
  </si>
  <si>
    <t>075-117 - -00024-</t>
  </si>
  <si>
    <t>394.78</t>
  </si>
  <si>
    <t>400.30</t>
  </si>
  <si>
    <t>077-073 - -00022-</t>
  </si>
  <si>
    <t>312043-394</t>
  </si>
  <si>
    <t>748.65</t>
  </si>
  <si>
    <t>086-027 - -00004-</t>
  </si>
  <si>
    <t>311825-389</t>
  </si>
  <si>
    <t>483.39</t>
  </si>
  <si>
    <t>090-058 - -00101-</t>
  </si>
  <si>
    <t>489.60</t>
  </si>
  <si>
    <t>489.91</t>
  </si>
  <si>
    <t>478.60</t>
  </si>
  <si>
    <t>478.61</t>
  </si>
  <si>
    <t>093-511 -D-00090-</t>
  </si>
  <si>
    <t>326929-571</t>
  </si>
  <si>
    <t>736.69</t>
  </si>
  <si>
    <t>NEW CASTLE COUNTY</t>
  </si>
  <si>
    <t>070020000</t>
  </si>
  <si>
    <t>06-044.00-160</t>
  </si>
  <si>
    <t>326867-571</t>
  </si>
  <si>
    <t>2588.76</t>
  </si>
  <si>
    <t>2462.82</t>
  </si>
  <si>
    <t>1678.74</t>
  </si>
  <si>
    <t>3908.96</t>
  </si>
  <si>
    <t>10-019.40-172</t>
  </si>
  <si>
    <t>321013-513</t>
  </si>
  <si>
    <t>1180.05</t>
  </si>
  <si>
    <t>10-041.10-078</t>
  </si>
  <si>
    <t>310555-363</t>
  </si>
  <si>
    <t>1424.91</t>
  </si>
  <si>
    <t>10-043.10-557</t>
  </si>
  <si>
    <t>324379-539</t>
  </si>
  <si>
    <t>1979.70</t>
  </si>
  <si>
    <t>1987.63</t>
  </si>
  <si>
    <t>1990.92</t>
  </si>
  <si>
    <t>2020.54</t>
  </si>
  <si>
    <t>4139.45</t>
  </si>
  <si>
    <t>4448.26</t>
  </si>
  <si>
    <t>2910.00</t>
  </si>
  <si>
    <t>2459.43</t>
  </si>
  <si>
    <t>1132.63</t>
  </si>
  <si>
    <t>1705.06</t>
  </si>
  <si>
    <t>471.27</t>
  </si>
  <si>
    <t>MACON COUNTY</t>
  </si>
  <si>
    <t>120580000</t>
  </si>
  <si>
    <t>18-08-31-156-016</t>
  </si>
  <si>
    <t>311984-393</t>
  </si>
  <si>
    <t>501.55</t>
  </si>
  <si>
    <t>10/07/2019</t>
  </si>
  <si>
    <t>ORANGE COUNTY DELINQUENCY</t>
  </si>
  <si>
    <t>310364000</t>
  </si>
  <si>
    <t>332003-205-5-8</t>
  </si>
  <si>
    <t>320143-509</t>
  </si>
  <si>
    <t>10057.48</t>
  </si>
  <si>
    <t>10/01/2019</t>
  </si>
  <si>
    <t>335200-92-2-2</t>
  </si>
  <si>
    <t>312475-411</t>
  </si>
  <si>
    <t>23351.52</t>
  </si>
  <si>
    <t>RENSSELAER COUNTY DELINQUENCY</t>
  </si>
  <si>
    <t>310424000</t>
  </si>
  <si>
    <t>382200-92.-2-10.1</t>
  </si>
  <si>
    <t>313765-429</t>
  </si>
  <si>
    <t>2251.18</t>
  </si>
  <si>
    <t>10/22/2019</t>
  </si>
  <si>
    <t>RIVERSIDE COUNTY</t>
  </si>
  <si>
    <t>040330000</t>
  </si>
  <si>
    <t>225-322-014</t>
  </si>
  <si>
    <t>319048-494</t>
  </si>
  <si>
    <t>1529.85</t>
  </si>
  <si>
    <t>10/08/2019</t>
  </si>
  <si>
    <t>1634.09</t>
  </si>
  <si>
    <t>1663.41</t>
  </si>
  <si>
    <t>284-081-016</t>
  </si>
  <si>
    <t>321922-536</t>
  </si>
  <si>
    <t>2054.20</t>
  </si>
  <si>
    <t>541-082-015</t>
  </si>
  <si>
    <t>312963-411</t>
  </si>
  <si>
    <t>488.75</t>
  </si>
  <si>
    <t>513.34</t>
  </si>
  <si>
    <t>522.20</t>
  </si>
  <si>
    <t>552-033-028</t>
  </si>
  <si>
    <t>309476-346</t>
  </si>
  <si>
    <t>1517.98</t>
  </si>
  <si>
    <t>612-050-011</t>
  </si>
  <si>
    <t>313301-041</t>
  </si>
  <si>
    <t>1269.83</t>
  </si>
  <si>
    <t>633-510-009</t>
  </si>
  <si>
    <t>324421-539</t>
  </si>
  <si>
    <t>4214.41</t>
  </si>
  <si>
    <t>637-253-011</t>
  </si>
  <si>
    <t>326404-555</t>
  </si>
  <si>
    <t>1745.24</t>
  </si>
  <si>
    <t>654-250-013</t>
  </si>
  <si>
    <t>312072-395</t>
  </si>
  <si>
    <t>717.95</t>
  </si>
  <si>
    <t>740.42</t>
  </si>
  <si>
    <t>753.09</t>
  </si>
  <si>
    <t>NEWPORT NEWS CITY</t>
  </si>
  <si>
    <t>457002300</t>
  </si>
  <si>
    <t>278000870</t>
  </si>
  <si>
    <t>318256-493</t>
  </si>
  <si>
    <t>541.21</t>
  </si>
  <si>
    <t>09/30/2019</t>
  </si>
  <si>
    <t>301010410</t>
  </si>
  <si>
    <t>311878-391</t>
  </si>
  <si>
    <t>826.35</t>
  </si>
  <si>
    <t>KENT COUNTY</t>
  </si>
  <si>
    <t>070010000</t>
  </si>
  <si>
    <t>000023224</t>
  </si>
  <si>
    <t>305468-036</t>
  </si>
  <si>
    <t>466.20</t>
  </si>
  <si>
    <t>000036882</t>
  </si>
  <si>
    <t>315366-444</t>
  </si>
  <si>
    <t>1052.96</t>
  </si>
  <si>
    <t>000077860</t>
  </si>
  <si>
    <t>311919-393</t>
  </si>
  <si>
    <t>1837.53</t>
  </si>
  <si>
    <t>TURLOCK IRRIGATION DISTRICT</t>
  </si>
  <si>
    <t>040500804</t>
  </si>
  <si>
    <t>044-048-012</t>
  </si>
  <si>
    <t>323970-538</t>
  </si>
  <si>
    <t>152.23</t>
  </si>
  <si>
    <t>10/02/2019</t>
  </si>
  <si>
    <t>WASHINGTON COUNTY DELINQUENCY</t>
  </si>
  <si>
    <t>310584000</t>
  </si>
  <si>
    <t>534000-177.-1-36.2</t>
  </si>
  <si>
    <t>307264-045</t>
  </si>
  <si>
    <t>861.68</t>
  </si>
  <si>
    <t>534401-154.6-4-48</t>
  </si>
  <si>
    <t>320977-513</t>
  </si>
  <si>
    <t>1408.59</t>
  </si>
  <si>
    <t>1466.62</t>
  </si>
  <si>
    <t>3162.90</t>
  </si>
  <si>
    <t>007-450-023-2-00</t>
  </si>
  <si>
    <t>323196-537</t>
  </si>
  <si>
    <t>4949.85</t>
  </si>
  <si>
    <t>5342.20</t>
  </si>
  <si>
    <t>116-1520-166-0000</t>
  </si>
  <si>
    <t>320096-500</t>
  </si>
  <si>
    <t>2065.97</t>
  </si>
  <si>
    <t>10/17/2019</t>
  </si>
  <si>
    <t>687-21-036-00</t>
  </si>
  <si>
    <t>321670-527</t>
  </si>
  <si>
    <t>10991.22</t>
  </si>
  <si>
    <t>10/15/2019</t>
  </si>
  <si>
    <t>10/14/2019</t>
  </si>
  <si>
    <t>340350000</t>
  </si>
  <si>
    <t>41-009421.2240</t>
  </si>
  <si>
    <t>314131-429</t>
  </si>
  <si>
    <t>385.52</t>
  </si>
  <si>
    <t>WILLIAMS COUNTY</t>
  </si>
  <si>
    <t>340860000</t>
  </si>
  <si>
    <t>073-170-00-012.000</t>
  </si>
  <si>
    <t>RB18069</t>
  </si>
  <si>
    <t>265.21</t>
  </si>
  <si>
    <t>480274000</t>
  </si>
  <si>
    <t>206-0120.0000</t>
  </si>
  <si>
    <t>304296-033</t>
  </si>
  <si>
    <t>1708.86</t>
  </si>
  <si>
    <t>09/26/2019</t>
  </si>
  <si>
    <t>DUTCHESS COUNTY DELINQUENCY</t>
  </si>
  <si>
    <t>310144000</t>
  </si>
  <si>
    <t>132400-6566-01-499800-0000</t>
  </si>
  <si>
    <t>305463-036</t>
  </si>
  <si>
    <t>1711.29</t>
  </si>
  <si>
    <t>10/09/2019</t>
  </si>
  <si>
    <t>132800-6655-01-201867-0000</t>
  </si>
  <si>
    <t>320973-513</t>
  </si>
  <si>
    <t>10011.97</t>
  </si>
  <si>
    <t>135400-6862-00-550686-0000</t>
  </si>
  <si>
    <t>316258-461</t>
  </si>
  <si>
    <t>25348.74</t>
  </si>
  <si>
    <t>25572.86</t>
  </si>
  <si>
    <t>GREENE COUNTY DELINQUENCY</t>
  </si>
  <si>
    <t>310204000</t>
  </si>
  <si>
    <t>192801-56.15-2-2</t>
  </si>
  <si>
    <t>313763-429</t>
  </si>
  <si>
    <t>2028.53</t>
  </si>
  <si>
    <t>10/11/2019</t>
  </si>
  <si>
    <t>WARREN COUNTY DELINQUENCY</t>
  </si>
  <si>
    <t>310574000</t>
  </si>
  <si>
    <t>523400-308.14-1-6</t>
  </si>
  <si>
    <t>321320-527</t>
  </si>
  <si>
    <t>2094.70</t>
  </si>
  <si>
    <t>09/17/2019</t>
  </si>
  <si>
    <t>10/04/2019</t>
  </si>
  <si>
    <t>10832.26</t>
  </si>
  <si>
    <t>5547.17</t>
  </si>
  <si>
    <t>941 -2806-073-00</t>
  </si>
  <si>
    <t>312166-398</t>
  </si>
  <si>
    <t>3214.24</t>
  </si>
  <si>
    <t>053-201-038-000</t>
  </si>
  <si>
    <t>323245-537</t>
  </si>
  <si>
    <t>630.26</t>
  </si>
  <si>
    <t>1911.90</t>
  </si>
  <si>
    <t>2146-008-209</t>
  </si>
  <si>
    <t>313280-036</t>
  </si>
  <si>
    <t>3213.04</t>
  </si>
  <si>
    <t>2201-006-020</t>
  </si>
  <si>
    <t>310877-364</t>
  </si>
  <si>
    <t>1039.80</t>
  </si>
  <si>
    <t>3375.90</t>
  </si>
  <si>
    <t>2532-011-051</t>
  </si>
  <si>
    <t>317016-466</t>
  </si>
  <si>
    <t>2385.41</t>
  </si>
  <si>
    <t>316169-460</t>
  </si>
  <si>
    <t>2645-020-016</t>
  </si>
  <si>
    <t>313548-421</t>
  </si>
  <si>
    <t>3199.24</t>
  </si>
  <si>
    <t>3269.72</t>
  </si>
  <si>
    <t>1953.09</t>
  </si>
  <si>
    <t>2022.97</t>
  </si>
  <si>
    <t>1738.64</t>
  </si>
  <si>
    <t>5001-019-017</t>
  </si>
  <si>
    <t>321637-527</t>
  </si>
  <si>
    <t>3695.40</t>
  </si>
  <si>
    <t>1858.25</t>
  </si>
  <si>
    <t>2196.35</t>
  </si>
  <si>
    <t>5376-033-016</t>
  </si>
  <si>
    <t>323096-537</t>
  </si>
  <si>
    <t>4108.86</t>
  </si>
  <si>
    <t>389.18</t>
  </si>
  <si>
    <t>5507-002-002</t>
  </si>
  <si>
    <t>323033-537</t>
  </si>
  <si>
    <t>7839.59</t>
  </si>
  <si>
    <t>5647-024-001</t>
  </si>
  <si>
    <t>326354-555</t>
  </si>
  <si>
    <t>3041.97</t>
  </si>
  <si>
    <t>7169.41</t>
  </si>
  <si>
    <t>2624.10</t>
  </si>
  <si>
    <t>1812.06</t>
  </si>
  <si>
    <t>6278-020-020</t>
  </si>
  <si>
    <t>314674-433</t>
  </si>
  <si>
    <t>289.04</t>
  </si>
  <si>
    <t>7130-016-065</t>
  </si>
  <si>
    <t>310503-362</t>
  </si>
  <si>
    <t>1307.05</t>
  </si>
  <si>
    <t>7133-005-035</t>
  </si>
  <si>
    <t>312092-396</t>
  </si>
  <si>
    <t>3801.56</t>
  </si>
  <si>
    <t>7160-010-046</t>
  </si>
  <si>
    <t>321918-536</t>
  </si>
  <si>
    <t>4494.08</t>
  </si>
  <si>
    <t>7168-011-014</t>
  </si>
  <si>
    <t>324242-539</t>
  </si>
  <si>
    <t>1636.00</t>
  </si>
  <si>
    <t>7187-008-009</t>
  </si>
  <si>
    <t>313304-041</t>
  </si>
  <si>
    <t>3167.78</t>
  </si>
  <si>
    <t>7257-009-006</t>
  </si>
  <si>
    <t>319786-507</t>
  </si>
  <si>
    <t>3620.56</t>
  </si>
  <si>
    <t>8270.27</t>
  </si>
  <si>
    <t>7273-016-031</t>
  </si>
  <si>
    <t>319785-507</t>
  </si>
  <si>
    <t>3819.64</t>
  </si>
  <si>
    <t>7375-012-027</t>
  </si>
  <si>
    <t>312160-398</t>
  </si>
  <si>
    <t>3504.81</t>
  </si>
  <si>
    <t>8039-001-024</t>
  </si>
  <si>
    <t>319784-507</t>
  </si>
  <si>
    <t>3797.33</t>
  </si>
  <si>
    <t>3867.28</t>
  </si>
  <si>
    <t>2874.85</t>
  </si>
  <si>
    <t>8123-012-036</t>
  </si>
  <si>
    <t>316594-461</t>
  </si>
  <si>
    <t>582.73</t>
  </si>
  <si>
    <t>357.91</t>
  </si>
  <si>
    <t>754.13</t>
  </si>
  <si>
    <t>767.96</t>
  </si>
  <si>
    <t>8402-019-017</t>
  </si>
  <si>
    <t>318061-483</t>
  </si>
  <si>
    <t>3209.82</t>
  </si>
  <si>
    <t>8620-014-007</t>
  </si>
  <si>
    <t>318474-493</t>
  </si>
  <si>
    <t>2443.98</t>
  </si>
  <si>
    <t>188.37</t>
  </si>
  <si>
    <t>10/06/2019</t>
  </si>
  <si>
    <t>0300-038-02-0000</t>
  </si>
  <si>
    <t>321650-527</t>
  </si>
  <si>
    <t>1278.83</t>
  </si>
  <si>
    <t>0311-452-36-0000</t>
  </si>
  <si>
    <t>317695-481</t>
  </si>
  <si>
    <t>6702.97</t>
  </si>
  <si>
    <t>6702.94</t>
  </si>
  <si>
    <t>1081.55</t>
  </si>
  <si>
    <t>565.67</t>
  </si>
  <si>
    <t>1003-151-11-0000</t>
  </si>
  <si>
    <t>323097-537</t>
  </si>
  <si>
    <t>4474.21</t>
  </si>
  <si>
    <t>1076-391-65-0000</t>
  </si>
  <si>
    <t>317242-475</t>
  </si>
  <si>
    <t>2753.04</t>
  </si>
  <si>
    <t>2215.58</t>
  </si>
  <si>
    <t>564.15</t>
  </si>
  <si>
    <t>050-061-020</t>
  </si>
  <si>
    <t>310939-364</t>
  </si>
  <si>
    <t>4987.43</t>
  </si>
  <si>
    <t>2029.84</t>
  </si>
  <si>
    <t>0151-333-02-0</t>
  </si>
  <si>
    <t>323203-537</t>
  </si>
  <si>
    <t>3773.75</t>
  </si>
  <si>
    <t>035-760-026-000</t>
  </si>
  <si>
    <t>314593-432</t>
  </si>
  <si>
    <t>2081.00</t>
  </si>
  <si>
    <t>VIRGINIA BEACH CITY</t>
  </si>
  <si>
    <t>458102301</t>
  </si>
  <si>
    <t>1475-64-4663-0000</t>
  </si>
  <si>
    <t>319916-500</t>
  </si>
  <si>
    <t>1440.09</t>
  </si>
  <si>
    <t>1461.65</t>
  </si>
  <si>
    <t>2419-70-4975-3720</t>
  </si>
  <si>
    <t>323336-538</t>
  </si>
  <si>
    <t>1847.61</t>
  </si>
  <si>
    <t>ANCHORAGE MUNICIPALITY</t>
  </si>
  <si>
    <t>500200000</t>
  </si>
  <si>
    <t>007-111-70-000-19</t>
  </si>
  <si>
    <t>A17017</t>
  </si>
  <si>
    <t>2101.92</t>
  </si>
  <si>
    <t>09/19/2019</t>
  </si>
  <si>
    <t>014-171-20-000-19</t>
  </si>
  <si>
    <t>321688-527</t>
  </si>
  <si>
    <t>1552.56</t>
  </si>
  <si>
    <t>310-483-10</t>
  </si>
  <si>
    <t>320402-510</t>
  </si>
  <si>
    <t>1917.78</t>
  </si>
  <si>
    <t>1061.68</t>
  </si>
  <si>
    <t>479-094-20</t>
  </si>
  <si>
    <t>321663-527</t>
  </si>
  <si>
    <t>356.60</t>
  </si>
  <si>
    <t>577-053-25S</t>
  </si>
  <si>
    <t>317521-481</t>
  </si>
  <si>
    <t>3993.46</t>
  </si>
  <si>
    <t>009-172-009-000</t>
  </si>
  <si>
    <t>319569-496</t>
  </si>
  <si>
    <t>9764.88</t>
  </si>
  <si>
    <t>09/16/2019</t>
  </si>
  <si>
    <t>167-042-009-000</t>
  </si>
  <si>
    <t>323186-537</t>
  </si>
  <si>
    <t>2955.73</t>
  </si>
  <si>
    <t>09/29/2019</t>
  </si>
  <si>
    <t>203-143-16</t>
  </si>
  <si>
    <t>315593-444</t>
  </si>
  <si>
    <t>3961.88</t>
  </si>
  <si>
    <t>359-193-06</t>
  </si>
  <si>
    <t>311566-377</t>
  </si>
  <si>
    <t>2734.49</t>
  </si>
  <si>
    <t>379-172-06</t>
  </si>
  <si>
    <t>323154-537</t>
  </si>
  <si>
    <t>8318.39</t>
  </si>
  <si>
    <t>1909.12</t>
  </si>
  <si>
    <t>008-034-017-000</t>
  </si>
  <si>
    <t>312219-399</t>
  </si>
  <si>
    <t>1283.95</t>
  </si>
  <si>
    <t>09/12/2019</t>
  </si>
  <si>
    <t>062-200-077-000</t>
  </si>
  <si>
    <t>310983-364</t>
  </si>
  <si>
    <t>1203.00</t>
  </si>
  <si>
    <t>055-120-020-000</t>
  </si>
  <si>
    <t>320329-509</t>
  </si>
  <si>
    <t>461.69</t>
  </si>
  <si>
    <t>10/05/2019</t>
  </si>
  <si>
    <t>309-093-48-00</t>
  </si>
  <si>
    <t>321224-513</t>
  </si>
  <si>
    <t>2777.72</t>
  </si>
  <si>
    <t>385-390-14-00</t>
  </si>
  <si>
    <t>312164-398</t>
  </si>
  <si>
    <t>1546.47</t>
  </si>
  <si>
    <t>6445.30</t>
  </si>
  <si>
    <t>623-132-15-00</t>
  </si>
  <si>
    <t>311615-376</t>
  </si>
  <si>
    <t>2767.28</t>
  </si>
  <si>
    <t>2478.26</t>
  </si>
  <si>
    <t>09/18/2019</t>
  </si>
  <si>
    <t>09/20/2019</t>
  </si>
  <si>
    <t>ESSEX COUNTY DELINQUENCY</t>
  </si>
  <si>
    <t>310164000</t>
  </si>
  <si>
    <t>153200-47.2-1-65.000</t>
  </si>
  <si>
    <t>320979-513</t>
  </si>
  <si>
    <t>3247.07</t>
  </si>
  <si>
    <t>09/13/2019</t>
  </si>
  <si>
    <t>ALLEGHENY COUNTY</t>
  </si>
  <si>
    <t>370020000</t>
  </si>
  <si>
    <t>38.89</t>
  </si>
  <si>
    <t>09/23/2019</t>
  </si>
  <si>
    <t>168.39</t>
  </si>
  <si>
    <t>812 0103-N-00178-0000 00</t>
  </si>
  <si>
    <t>318597-494</t>
  </si>
  <si>
    <t>221.36</t>
  </si>
  <si>
    <t>866 0298-A-00190-7315 00</t>
  </si>
  <si>
    <t>320992-513</t>
  </si>
  <si>
    <t>306.98</t>
  </si>
  <si>
    <t>873 0562-B-00176-0000 00</t>
  </si>
  <si>
    <t>324400-539</t>
  </si>
  <si>
    <t>524.08</t>
  </si>
  <si>
    <t>302.25</t>
  </si>
  <si>
    <t>SEDGWICK COUNTY</t>
  </si>
  <si>
    <t>150870000</t>
  </si>
  <si>
    <t>00327326</t>
  </si>
  <si>
    <t>319428-496</t>
  </si>
  <si>
    <t>1136.63</t>
  </si>
  <si>
    <t>09/03/2019</t>
  </si>
  <si>
    <t>UNIFIED GOVERNMENT (WYANDOTTE)</t>
  </si>
  <si>
    <t>151050000</t>
  </si>
  <si>
    <t>154989</t>
  </si>
  <si>
    <t>321580-527</t>
  </si>
  <si>
    <t>916.36</t>
  </si>
  <si>
    <t>09/25/2019</t>
  </si>
  <si>
    <t>WEST RUTLAND TOWN</t>
  </si>
  <si>
    <t>440110221</t>
  </si>
  <si>
    <t>210041503</t>
  </si>
  <si>
    <t>324451-539</t>
  </si>
  <si>
    <t>1017.89</t>
  </si>
  <si>
    <t>09/05/2019</t>
  </si>
  <si>
    <t>08-14-07-154-005</t>
  </si>
  <si>
    <t>308200-310</t>
  </si>
  <si>
    <t>487.18</t>
  </si>
  <si>
    <t>08/25/2019</t>
  </si>
  <si>
    <t>08-14-17-204-010</t>
  </si>
  <si>
    <t>312721-411</t>
  </si>
  <si>
    <t>514.65</t>
  </si>
  <si>
    <t>16-11-23-252-003</t>
  </si>
  <si>
    <t>303201-030</t>
  </si>
  <si>
    <t>1894.57</t>
  </si>
  <si>
    <t>OAKLAND COUNTY DELINQUENCY</t>
  </si>
  <si>
    <t>210634000</t>
  </si>
  <si>
    <t>44-25-13-353-002</t>
  </si>
  <si>
    <t>324250-539</t>
  </si>
  <si>
    <t>488.66</t>
  </si>
  <si>
    <t>08/27/2019</t>
  </si>
  <si>
    <t>64-14-18-279-013</t>
  </si>
  <si>
    <t>312744-411</t>
  </si>
  <si>
    <t>954.08</t>
  </si>
  <si>
    <t>H -11-10-133-006</t>
  </si>
  <si>
    <t>321541-527</t>
  </si>
  <si>
    <t>858.28</t>
  </si>
  <si>
    <t>CRANSTON CITY</t>
  </si>
  <si>
    <t>380040102</t>
  </si>
  <si>
    <t>005-1916-000</t>
  </si>
  <si>
    <t>307339-045</t>
  </si>
  <si>
    <t>114.73</t>
  </si>
  <si>
    <t>114.75</t>
  </si>
  <si>
    <t>09/09/2019</t>
  </si>
  <si>
    <t>007-0520-000</t>
  </si>
  <si>
    <t>325242-555</t>
  </si>
  <si>
    <t>46.33</t>
  </si>
  <si>
    <t>60.40</t>
  </si>
  <si>
    <t>018-1330-000</t>
  </si>
  <si>
    <t>325241-555</t>
  </si>
  <si>
    <t>8.06</t>
  </si>
  <si>
    <t>018-1916-000</t>
  </si>
  <si>
    <t>313459-421</t>
  </si>
  <si>
    <t>85.31</t>
  </si>
  <si>
    <t>ISLE OF WIGHT COUNTY</t>
  </si>
  <si>
    <t>450460000</t>
  </si>
  <si>
    <t>22R-01- 088</t>
  </si>
  <si>
    <t>320172-509</t>
  </si>
  <si>
    <t>1607.57</t>
  </si>
  <si>
    <t>09/02/2019</t>
  </si>
  <si>
    <t>NORFOLK CITY</t>
  </si>
  <si>
    <t>457102300</t>
  </si>
  <si>
    <t>37702500</t>
  </si>
  <si>
    <t>318018-482</t>
  </si>
  <si>
    <t>0.20</t>
  </si>
  <si>
    <t>1425.83</t>
  </si>
  <si>
    <t>09/06/2019</t>
  </si>
  <si>
    <t>POWHATAN COUNTY</t>
  </si>
  <si>
    <t>450700000</t>
  </si>
  <si>
    <t>028A3 1W 13A2</t>
  </si>
  <si>
    <t>321032-513</t>
  </si>
  <si>
    <t>0.30</t>
  </si>
  <si>
    <t>603.68</t>
  </si>
  <si>
    <t>08/28/2019</t>
  </si>
  <si>
    <t>DALTON TOWN</t>
  </si>
  <si>
    <t>200020206</t>
  </si>
  <si>
    <t>103 58 0</t>
  </si>
  <si>
    <t>315251-437</t>
  </si>
  <si>
    <t>2112.45</t>
  </si>
  <si>
    <t>2796.10</t>
  </si>
  <si>
    <t>104 52 0</t>
  </si>
  <si>
    <t>315247-437</t>
  </si>
  <si>
    <t>962.07</t>
  </si>
  <si>
    <t>576.38</t>
  </si>
  <si>
    <t>109 43 0</t>
  </si>
  <si>
    <t>315234-437</t>
  </si>
  <si>
    <t>762.43</t>
  </si>
  <si>
    <t>125 90 0</t>
  </si>
  <si>
    <t>315208-437</t>
  </si>
  <si>
    <t>385.68</t>
  </si>
  <si>
    <t>150460000</t>
  </si>
  <si>
    <t>DP69900000 0204</t>
  </si>
  <si>
    <t>322812-537</t>
  </si>
  <si>
    <t>3380.62</t>
  </si>
  <si>
    <t>08/05/2019</t>
  </si>
  <si>
    <t>SHAWNEE COUNTY</t>
  </si>
  <si>
    <t>150890000</t>
  </si>
  <si>
    <t>1311104001001000</t>
  </si>
  <si>
    <t>321894-536</t>
  </si>
  <si>
    <t>1463.98</t>
  </si>
  <si>
    <t>08/04/2019</t>
  </si>
  <si>
    <t>08/08/2019</t>
  </si>
  <si>
    <t>GILPIN COUNTY</t>
  </si>
  <si>
    <t>050240000</t>
  </si>
  <si>
    <t>R002570</t>
  </si>
  <si>
    <t>309735-352</t>
  </si>
  <si>
    <t>345.72</t>
  </si>
  <si>
    <t>08/15/2019</t>
  </si>
  <si>
    <t>LATAH COUNTY</t>
  </si>
  <si>
    <t>110290000</t>
  </si>
  <si>
    <t>RP40N02W066006</t>
  </si>
  <si>
    <t>310440-362</t>
  </si>
  <si>
    <t>2537.62</t>
  </si>
  <si>
    <t>08/01/2019</t>
  </si>
  <si>
    <t>SHOSHONE COUNTY</t>
  </si>
  <si>
    <t>110400000</t>
  </si>
  <si>
    <t>RP43N01E256750</t>
  </si>
  <si>
    <t>308848-326</t>
  </si>
  <si>
    <t>82.83</t>
  </si>
  <si>
    <t>07/31/2019</t>
  </si>
  <si>
    <t>RP43N01E256800</t>
  </si>
  <si>
    <t>4.18</t>
  </si>
  <si>
    <t>RP43N01E258500</t>
  </si>
  <si>
    <t>455.57</t>
  </si>
  <si>
    <t>COLUMBIA COUNTY DELINQUENCY</t>
  </si>
  <si>
    <t>310114000</t>
  </si>
  <si>
    <t>103600-169.-1-29</t>
  </si>
  <si>
    <t>320971-513</t>
  </si>
  <si>
    <t>4110.55</t>
  </si>
  <si>
    <t>08/12/2019</t>
  </si>
  <si>
    <t>TONAWANDA CITY</t>
  </si>
  <si>
    <t>310150103</t>
  </si>
  <si>
    <t>1775.44</t>
  </si>
  <si>
    <t>08/20/2019</t>
  </si>
  <si>
    <t>2567.50</t>
  </si>
  <si>
    <t>2803.54</t>
  </si>
  <si>
    <t>141600-53.29-5-15</t>
  </si>
  <si>
    <t>310266-358</t>
  </si>
  <si>
    <t>3262.98</t>
  </si>
  <si>
    <t>GRAY TOWN</t>
  </si>
  <si>
    <t>180030207</t>
  </si>
  <si>
    <t>051-024-039-000</t>
  </si>
  <si>
    <t>309600-347</t>
  </si>
  <si>
    <t>3294.16</t>
  </si>
  <si>
    <t>08/18/2019</t>
  </si>
  <si>
    <t>WORCESTER CITY</t>
  </si>
  <si>
    <t>200140103</t>
  </si>
  <si>
    <t>03-009-00007</t>
  </si>
  <si>
    <t>312405-411</t>
  </si>
  <si>
    <t>7751.04</t>
  </si>
  <si>
    <t>08/10/2019</t>
  </si>
  <si>
    <t>06-023-00013</t>
  </si>
  <si>
    <t>315189-436</t>
  </si>
  <si>
    <t>343.67</t>
  </si>
  <si>
    <t>16-012-00041</t>
  </si>
  <si>
    <t>312404-411</t>
  </si>
  <si>
    <t>3533.84</t>
  </si>
  <si>
    <t>24-031-0009A</t>
  </si>
  <si>
    <t>312403-411</t>
  </si>
  <si>
    <t>980.30</t>
  </si>
  <si>
    <t>08/23/2019</t>
  </si>
  <si>
    <t>CASTLETON TOWN</t>
  </si>
  <si>
    <t>440110227</t>
  </si>
  <si>
    <t>324374-539</t>
  </si>
  <si>
    <t>987.19</t>
  </si>
  <si>
    <t>08/21/2019</t>
  </si>
  <si>
    <t>PUERTO RICO MUNICIPALES</t>
  </si>
  <si>
    <t>530012001</t>
  </si>
  <si>
    <t>167-076-377-01-000</t>
  </si>
  <si>
    <t>311773-387</t>
  </si>
  <si>
    <t>72.72</t>
  </si>
  <si>
    <t>08/16/2019</t>
  </si>
  <si>
    <t>160560000</t>
  </si>
  <si>
    <t>05-068C-0012-0013</t>
  </si>
  <si>
    <t>324316-539</t>
  </si>
  <si>
    <t>1387.17</t>
  </si>
  <si>
    <t>1411.88</t>
  </si>
  <si>
    <t>1422.62</t>
  </si>
  <si>
    <t>11-054A-0047-0000</t>
  </si>
  <si>
    <t>321499-527</t>
  </si>
  <si>
    <t>892.18</t>
  </si>
  <si>
    <t>11-054A-0168-0000</t>
  </si>
  <si>
    <t>RF18015</t>
  </si>
  <si>
    <t>18.08</t>
  </si>
  <si>
    <t>18.54</t>
  </si>
  <si>
    <t>18.36</t>
  </si>
  <si>
    <t>18.31</t>
  </si>
  <si>
    <t>106.49</t>
  </si>
  <si>
    <t>108.20</t>
  </si>
  <si>
    <t>21-2407-0037-0000</t>
  </si>
  <si>
    <t>313148-415</t>
  </si>
  <si>
    <t>2644.56</t>
  </si>
  <si>
    <t>22-2877-0018-0000</t>
  </si>
  <si>
    <t>322596-537</t>
  </si>
  <si>
    <t>2248.04</t>
  </si>
  <si>
    <t>22-3157-0085-0000</t>
  </si>
  <si>
    <t>317910-482</t>
  </si>
  <si>
    <t>1703.82</t>
  </si>
  <si>
    <t>1852.74</t>
  </si>
  <si>
    <t>22-3206-0058-0000</t>
  </si>
  <si>
    <t>320382-510</t>
  </si>
  <si>
    <t>235.07</t>
  </si>
  <si>
    <t>23-0652-0334-0000</t>
  </si>
  <si>
    <t>317871-482</t>
  </si>
  <si>
    <t>142.03</t>
  </si>
  <si>
    <t>23-0911-0102-0000</t>
  </si>
  <si>
    <t>321500-527</t>
  </si>
  <si>
    <t>747.96</t>
  </si>
  <si>
    <t>23-3355-0124-0000</t>
  </si>
  <si>
    <t>313617-426</t>
  </si>
  <si>
    <t>2170.85</t>
  </si>
  <si>
    <t>023-560-35S</t>
  </si>
  <si>
    <t>321661-527</t>
  </si>
  <si>
    <t>941.89</t>
  </si>
  <si>
    <t>08/13/2019</t>
  </si>
  <si>
    <t>SUMMERS COUNTY</t>
  </si>
  <si>
    <t>470450000</t>
  </si>
  <si>
    <t>01- 14-0004.0000</t>
  </si>
  <si>
    <t>317011-466</t>
  </si>
  <si>
    <t>468.48</t>
  </si>
  <si>
    <t>08/14/2019</t>
  </si>
  <si>
    <t>04- 12-0123.0000</t>
  </si>
  <si>
    <t>322259-537</t>
  </si>
  <si>
    <t>289.31</t>
  </si>
  <si>
    <t>BELLINGHAM TOWN</t>
  </si>
  <si>
    <t>200110221</t>
  </si>
  <si>
    <t>0051 -0001 -0045</t>
  </si>
  <si>
    <t>325212-555</t>
  </si>
  <si>
    <t>130.13</t>
  </si>
  <si>
    <t>268.79</t>
  </si>
  <si>
    <t>BRAINTREE TOWN</t>
  </si>
  <si>
    <t>200110213</t>
  </si>
  <si>
    <t>1041-0-56</t>
  </si>
  <si>
    <t>320771-513</t>
  </si>
  <si>
    <t>1091.94</t>
  </si>
  <si>
    <t>CLARKSBURG TOWN</t>
  </si>
  <si>
    <t>200020205</t>
  </si>
  <si>
    <t>207.0-0000-0045.0</t>
  </si>
  <si>
    <t>315228-437</t>
  </si>
  <si>
    <t>901.33</t>
  </si>
  <si>
    <t>08/07/2019</t>
  </si>
  <si>
    <t>HULL TOWN</t>
  </si>
  <si>
    <t>200120210</t>
  </si>
  <si>
    <t>36-098</t>
  </si>
  <si>
    <t>311075-368</t>
  </si>
  <si>
    <t>3692.31</t>
  </si>
  <si>
    <t>08/06/2019</t>
  </si>
  <si>
    <t>776.50</t>
  </si>
  <si>
    <t>LAKEVILLE TOWN</t>
  </si>
  <si>
    <t>200120221</t>
  </si>
  <si>
    <t>026-002-0102-8</t>
  </si>
  <si>
    <t>320775-513</t>
  </si>
  <si>
    <t>74.49</t>
  </si>
  <si>
    <t>RAYNHAM TOWN</t>
  </si>
  <si>
    <t>200030205</t>
  </si>
  <si>
    <t>9 168 6</t>
  </si>
  <si>
    <t>309184-344</t>
  </si>
  <si>
    <t>5403.49</t>
  </si>
  <si>
    <t>07/22/2019</t>
  </si>
  <si>
    <t>SALEM CITY</t>
  </si>
  <si>
    <t>200050104</t>
  </si>
  <si>
    <t>15-0058</t>
  </si>
  <si>
    <t>317286-479</t>
  </si>
  <si>
    <t>1397.05</t>
  </si>
  <si>
    <t>WEBSTER TOWN</t>
  </si>
  <si>
    <t>200140254</t>
  </si>
  <si>
    <t>14-J-14-0</t>
  </si>
  <si>
    <t>324536-549</t>
  </si>
  <si>
    <t>2212.54</t>
  </si>
  <si>
    <t>63-A-14-0</t>
  </si>
  <si>
    <t>319816-500</t>
  </si>
  <si>
    <t>5985.07</t>
  </si>
  <si>
    <t>240480000</t>
  </si>
  <si>
    <t>30-110-08-15-00-0-00-000</t>
  </si>
  <si>
    <t>308844-326</t>
  </si>
  <si>
    <t>22.77</t>
  </si>
  <si>
    <t>30-110-08-16-00-0-00-000</t>
  </si>
  <si>
    <t>396.45</t>
  </si>
  <si>
    <t>31-430-13-24-00-0-00-000</t>
  </si>
  <si>
    <t>312814-411</t>
  </si>
  <si>
    <t>404.08</t>
  </si>
  <si>
    <t>46-320-14-05-00-0-00-000</t>
  </si>
  <si>
    <t>312813-411</t>
  </si>
  <si>
    <t>448.51</t>
  </si>
  <si>
    <t>457.46</t>
  </si>
  <si>
    <t>476.75</t>
  </si>
  <si>
    <t>47-740-11-17-00-0-00-000</t>
  </si>
  <si>
    <t>309727-352</t>
  </si>
  <si>
    <t>503.43</t>
  </si>
  <si>
    <t>451.90</t>
  </si>
  <si>
    <t>0330-00052</t>
  </si>
  <si>
    <t>321270-527</t>
  </si>
  <si>
    <t>1388.88</t>
  </si>
  <si>
    <t>07/17/2019</t>
  </si>
  <si>
    <t>WAREHAM TOWN</t>
  </si>
  <si>
    <t>200120207</t>
  </si>
  <si>
    <t>78-1-30</t>
  </si>
  <si>
    <t>321278-527</t>
  </si>
  <si>
    <t>472.70</t>
  </si>
  <si>
    <t>WEYMOUTH TOWN</t>
  </si>
  <si>
    <t>200110208</t>
  </si>
  <si>
    <t>13-130-052</t>
  </si>
  <si>
    <t>320772-513</t>
  </si>
  <si>
    <t>3987.69</t>
  </si>
  <si>
    <t>24-318-069</t>
  </si>
  <si>
    <t>319826-500</t>
  </si>
  <si>
    <t>3742.17</t>
  </si>
  <si>
    <t>5448.93</t>
  </si>
  <si>
    <t>3512.98</t>
  </si>
  <si>
    <t>819.72</t>
  </si>
  <si>
    <t>918.72</t>
  </si>
  <si>
    <t>962.83</t>
  </si>
  <si>
    <t>982.30</t>
  </si>
  <si>
    <t>BEAVERHEAD COUNTY</t>
  </si>
  <si>
    <t>250010000</t>
  </si>
  <si>
    <t>0401379</t>
  </si>
  <si>
    <t>318823-494</t>
  </si>
  <si>
    <t>933.55</t>
  </si>
  <si>
    <t>663.96</t>
  </si>
  <si>
    <t>975.62</t>
  </si>
  <si>
    <t>699.50</t>
  </si>
  <si>
    <t>MORRISTOWN CITY</t>
  </si>
  <si>
    <t>410320101</t>
  </si>
  <si>
    <t>142.50</t>
  </si>
  <si>
    <t>08/02/2019</t>
  </si>
  <si>
    <t>CHESAPEAKE CITY</t>
  </si>
  <si>
    <t>455502300</t>
  </si>
  <si>
    <t>0375001000990</t>
  </si>
  <si>
    <t>306323-041</t>
  </si>
  <si>
    <t>746.29</t>
  </si>
  <si>
    <t>07/09/2019</t>
  </si>
  <si>
    <t>0608013000350</t>
  </si>
  <si>
    <t>AJ2033</t>
  </si>
  <si>
    <t>739.99</t>
  </si>
  <si>
    <t>PRINCE GEORGE COUNTY</t>
  </si>
  <si>
    <t>450720000</t>
  </si>
  <si>
    <t>520(0A)-00-056-F</t>
  </si>
  <si>
    <t>318007-482</t>
  </si>
  <si>
    <t>1246.94</t>
  </si>
  <si>
    <t>RICHMOND CITY</t>
  </si>
  <si>
    <t>457602300</t>
  </si>
  <si>
    <t>C005-0621/024</t>
  </si>
  <si>
    <t>312018-391</t>
  </si>
  <si>
    <t>78.20</t>
  </si>
  <si>
    <t>07/07/2019</t>
  </si>
  <si>
    <t>486.00</t>
  </si>
  <si>
    <t>KITTERY TOWN</t>
  </si>
  <si>
    <t>180160220</t>
  </si>
  <si>
    <t>65-7F-1</t>
  </si>
  <si>
    <t>315896-458</t>
  </si>
  <si>
    <t>998.38</t>
  </si>
  <si>
    <t>07/14/2019</t>
  </si>
  <si>
    <t>BOSTON CITY</t>
  </si>
  <si>
    <t>200130101</t>
  </si>
  <si>
    <t>11-02116-000</t>
  </si>
  <si>
    <t>320767-513</t>
  </si>
  <si>
    <t>882.18</t>
  </si>
  <si>
    <t>07/11/2019</t>
  </si>
  <si>
    <t>12-01235-000</t>
  </si>
  <si>
    <t>310680-364</t>
  </si>
  <si>
    <t>2127.30</t>
  </si>
  <si>
    <t>12-02636-000</t>
  </si>
  <si>
    <t>318553-494</t>
  </si>
  <si>
    <t>1500.69</t>
  </si>
  <si>
    <t>13-00001-000</t>
  </si>
  <si>
    <t>309444-346</t>
  </si>
  <si>
    <t>11.19</t>
  </si>
  <si>
    <t>16-01477-000</t>
  </si>
  <si>
    <t>318133-493</t>
  </si>
  <si>
    <t>1096.94</t>
  </si>
  <si>
    <t>17-00091-000</t>
  </si>
  <si>
    <t>500242-428</t>
  </si>
  <si>
    <t>2165.50</t>
  </si>
  <si>
    <t>17-00092-000</t>
  </si>
  <si>
    <t>72.20</t>
  </si>
  <si>
    <t>17-00139-000</t>
  </si>
  <si>
    <t>321275-527</t>
  </si>
  <si>
    <t>1447.87</t>
  </si>
  <si>
    <t>17-00150-000</t>
  </si>
  <si>
    <t>167.78</t>
  </si>
  <si>
    <t>17-02510-000</t>
  </si>
  <si>
    <t>319823-500</t>
  </si>
  <si>
    <t>1721.71</t>
  </si>
  <si>
    <t>18-00096-000</t>
  </si>
  <si>
    <t>320123-509</t>
  </si>
  <si>
    <t>1397.43</t>
  </si>
  <si>
    <t>18-00097-000</t>
  </si>
  <si>
    <t>325.15</t>
  </si>
  <si>
    <t>18-04659-000</t>
  </si>
  <si>
    <t>321717-535</t>
  </si>
  <si>
    <t>10.98</t>
  </si>
  <si>
    <t>18-11821-000</t>
  </si>
  <si>
    <t>326567-564</t>
  </si>
  <si>
    <t>1130.26</t>
  </si>
  <si>
    <t>BROOKLINE TOWN</t>
  </si>
  <si>
    <t>200110211</t>
  </si>
  <si>
    <t>151-14-00</t>
  </si>
  <si>
    <t>311904-393</t>
  </si>
  <si>
    <t>6871.21</t>
  </si>
  <si>
    <t>44/N1-10A-R</t>
  </si>
  <si>
    <t>RB18051</t>
  </si>
  <si>
    <t>1656.84</t>
  </si>
  <si>
    <t>07/28/2019</t>
  </si>
  <si>
    <t>MARICOPA COUNTY</t>
  </si>
  <si>
    <t>020070000</t>
  </si>
  <si>
    <t>101-26-565 1</t>
  </si>
  <si>
    <t>303125-029</t>
  </si>
  <si>
    <t>07/04/2019</t>
  </si>
  <si>
    <t>1095.30</t>
  </si>
  <si>
    <t>102-09-238 6</t>
  </si>
  <si>
    <t>321627-527</t>
  </si>
  <si>
    <t>1825.01</t>
  </si>
  <si>
    <t>107-18-138 3</t>
  </si>
  <si>
    <t>314666-433</t>
  </si>
  <si>
    <t>107-47-070 1</t>
  </si>
  <si>
    <t>319650-498</t>
  </si>
  <si>
    <t>402.15</t>
  </si>
  <si>
    <t>116-32-174 9</t>
  </si>
  <si>
    <t>315721-448</t>
  </si>
  <si>
    <t>874.68</t>
  </si>
  <si>
    <t>135-59-126 1</t>
  </si>
  <si>
    <t>314668-433</t>
  </si>
  <si>
    <t>264.08</t>
  </si>
  <si>
    <t>545.02</t>
  </si>
  <si>
    <t>136-26-574 9</t>
  </si>
  <si>
    <t>320034-500</t>
  </si>
  <si>
    <t>556.11</t>
  </si>
  <si>
    <t>152-14-008D2</t>
  </si>
  <si>
    <t>316676-464</t>
  </si>
  <si>
    <t>774.14</t>
  </si>
  <si>
    <t>160-46-038 1</t>
  </si>
  <si>
    <t>318997-494</t>
  </si>
  <si>
    <t>1622.93</t>
  </si>
  <si>
    <t>169-06-011 8</t>
  </si>
  <si>
    <t>500257-511</t>
  </si>
  <si>
    <t>7962.80</t>
  </si>
  <si>
    <t>207-06-123 9</t>
  </si>
  <si>
    <t>319533-496</t>
  </si>
  <si>
    <t>902.56</t>
  </si>
  <si>
    <t>213-25-320 1</t>
  </si>
  <si>
    <t>309737-352</t>
  </si>
  <si>
    <t>587.70</t>
  </si>
  <si>
    <t>793.26</t>
  </si>
  <si>
    <t>855.06</t>
  </si>
  <si>
    <t>434.39</t>
  </si>
  <si>
    <t>909.68</t>
  </si>
  <si>
    <t>214-32-263 6</t>
  </si>
  <si>
    <t>320272-509</t>
  </si>
  <si>
    <t>218.35</t>
  </si>
  <si>
    <t>220-40-015 3</t>
  </si>
  <si>
    <t>308993-332</t>
  </si>
  <si>
    <t>1467.60</t>
  </si>
  <si>
    <t>300-02-134C3</t>
  </si>
  <si>
    <t>315539-444</t>
  </si>
  <si>
    <t>1747.99</t>
  </si>
  <si>
    <t>303-55-038 0</t>
  </si>
  <si>
    <t>320037-500</t>
  </si>
  <si>
    <t>3704.18</t>
  </si>
  <si>
    <t>313-01-899 4</t>
  </si>
  <si>
    <t>313169-415</t>
  </si>
  <si>
    <t>1728.56</t>
  </si>
  <si>
    <t>1793.62</t>
  </si>
  <si>
    <t>07/29/2019</t>
  </si>
  <si>
    <t>07/16/2019</t>
  </si>
  <si>
    <t>TRUMBULL TOWN</t>
  </si>
  <si>
    <t>060010207</t>
  </si>
  <si>
    <t>00922600</t>
  </si>
  <si>
    <t>318156-493</t>
  </si>
  <si>
    <t>120.96</t>
  </si>
  <si>
    <t>07/05/2019</t>
  </si>
  <si>
    <t>792.10</t>
  </si>
  <si>
    <t>BERNALILLO COUNTY</t>
  </si>
  <si>
    <t>300010000</t>
  </si>
  <si>
    <t>1-009-055-208-495-21409</t>
  </si>
  <si>
    <t>324193-539</t>
  </si>
  <si>
    <t>735.44</t>
  </si>
  <si>
    <t>07/19/2019</t>
  </si>
  <si>
    <t>1-009-057-528-304-11904</t>
  </si>
  <si>
    <t>312903-411</t>
  </si>
  <si>
    <t>916.91</t>
  </si>
  <si>
    <t>1-010-066-053-127-31101</t>
  </si>
  <si>
    <t>312330-403</t>
  </si>
  <si>
    <t>2190.82</t>
  </si>
  <si>
    <t>1867.93</t>
  </si>
  <si>
    <t>1-011-055-482-052-40730</t>
  </si>
  <si>
    <t>319013-494</t>
  </si>
  <si>
    <t>148.01</t>
  </si>
  <si>
    <t>1-011-059-117-316-20222</t>
  </si>
  <si>
    <t>321212-513</t>
  </si>
  <si>
    <t>857.15</t>
  </si>
  <si>
    <t>1-011-059-296-060-40219</t>
  </si>
  <si>
    <t>RB18058</t>
  </si>
  <si>
    <t>1.04</t>
  </si>
  <si>
    <t>1-012-057-063-500-21204</t>
  </si>
  <si>
    <t>321208-513</t>
  </si>
  <si>
    <t>525.80</t>
  </si>
  <si>
    <t>1-012-065-525-284-10920</t>
  </si>
  <si>
    <t>323016-537</t>
  </si>
  <si>
    <t>1334.84</t>
  </si>
  <si>
    <t>1-014-057-051-043-30121</t>
  </si>
  <si>
    <t>B15133</t>
  </si>
  <si>
    <t>824.70</t>
  </si>
  <si>
    <t>1-022-057-440-331-10977</t>
  </si>
  <si>
    <t>317076-466</t>
  </si>
  <si>
    <t>695.98</t>
  </si>
  <si>
    <t>1-034-053-297-430-10120</t>
  </si>
  <si>
    <t>323014-537</t>
  </si>
  <si>
    <t>1222.84</t>
  </si>
  <si>
    <t>22 085092.</t>
  </si>
  <si>
    <t>311801-389</t>
  </si>
  <si>
    <t>973.91</t>
  </si>
  <si>
    <t>07/01/2019</t>
  </si>
  <si>
    <t>22 093985.</t>
  </si>
  <si>
    <t>312736-411</t>
  </si>
  <si>
    <t>71.84</t>
  </si>
  <si>
    <t>406.74</t>
  </si>
  <si>
    <t>58.98</t>
  </si>
  <si>
    <t>CHATTANOOGA CITY</t>
  </si>
  <si>
    <t>410330101</t>
  </si>
  <si>
    <t>1026.71</t>
  </si>
  <si>
    <t>06/25/2019</t>
  </si>
  <si>
    <t>410190000</t>
  </si>
  <si>
    <t>024-00-0-0 650.0</t>
  </si>
  <si>
    <t>321491-527</t>
  </si>
  <si>
    <t>491.77</t>
  </si>
  <si>
    <t>080-07-0-097.00</t>
  </si>
  <si>
    <t>319354-496</t>
  </si>
  <si>
    <t>501.17</t>
  </si>
  <si>
    <t>470020000</t>
  </si>
  <si>
    <t>07 7-0006.00160000 07213368</t>
  </si>
  <si>
    <t>317882-482</t>
  </si>
  <si>
    <t>708.09</t>
  </si>
  <si>
    <t>181.11</t>
  </si>
  <si>
    <t>07/23/2019</t>
  </si>
  <si>
    <t>25 24 0112 0000 0000 06978700</t>
  </si>
  <si>
    <t>322256-537</t>
  </si>
  <si>
    <t>103.15</t>
  </si>
  <si>
    <t>WOOD COUNTY</t>
  </si>
  <si>
    <t>470540000</t>
  </si>
  <si>
    <t>09 33000I10000</t>
  </si>
  <si>
    <t>322262-537</t>
  </si>
  <si>
    <t>4.44</t>
  </si>
  <si>
    <t>177.75</t>
  </si>
  <si>
    <t>07/06/2019</t>
  </si>
  <si>
    <t>MOHAVE COUNTY</t>
  </si>
  <si>
    <t>020080000</t>
  </si>
  <si>
    <t>10437264</t>
  </si>
  <si>
    <t>315076-434</t>
  </si>
  <si>
    <t>76.60</t>
  </si>
  <si>
    <t>PIMA COUNTY</t>
  </si>
  <si>
    <t>020100000</t>
  </si>
  <si>
    <t>101-07-5240-2</t>
  </si>
  <si>
    <t>315855-456</t>
  </si>
  <si>
    <t>638.39</t>
  </si>
  <si>
    <t>638.38</t>
  </si>
  <si>
    <t>109-08-1110-3</t>
  </si>
  <si>
    <t>319010-494</t>
  </si>
  <si>
    <t>2399.14</t>
  </si>
  <si>
    <t>129-13-2510-6</t>
  </si>
  <si>
    <t>316567-461</t>
  </si>
  <si>
    <t>508.10</t>
  </si>
  <si>
    <t>508.09</t>
  </si>
  <si>
    <t>222-47-014J-0</t>
  </si>
  <si>
    <t>323012-537</t>
  </si>
  <si>
    <t>2920.78</t>
  </si>
  <si>
    <t>2394.98</t>
  </si>
  <si>
    <t>301-78-0280-1</t>
  </si>
  <si>
    <t>319011-494</t>
  </si>
  <si>
    <t>2096.92</t>
  </si>
  <si>
    <t>2092.04</t>
  </si>
  <si>
    <t>723.58</t>
  </si>
  <si>
    <t>PINAL COUNTY</t>
  </si>
  <si>
    <t>020110000</t>
  </si>
  <si>
    <t>100-30-0800-8</t>
  </si>
  <si>
    <t>315069-434</t>
  </si>
  <si>
    <t>243.71</t>
  </si>
  <si>
    <t>06/28/2019</t>
  </si>
  <si>
    <t>224.58</t>
  </si>
  <si>
    <t>020120000</t>
  </si>
  <si>
    <t>114-01-250</t>
  </si>
  <si>
    <t>309738-352</t>
  </si>
  <si>
    <t>484.90</t>
  </si>
  <si>
    <t>07/10/2019</t>
  </si>
  <si>
    <t>YAVAPAI COUNTY</t>
  </si>
  <si>
    <t>020130000</t>
  </si>
  <si>
    <t>406-15-31902</t>
  </si>
  <si>
    <t>321632-527</t>
  </si>
  <si>
    <t>632.67</t>
  </si>
  <si>
    <t>06/26/2019</t>
  </si>
  <si>
    <t>YUMA COUNTY</t>
  </si>
  <si>
    <t>020140000</t>
  </si>
  <si>
    <t>R0038088</t>
  </si>
  <si>
    <t>317303-479</t>
  </si>
  <si>
    <t>208.02</t>
  </si>
  <si>
    <t>DANBURY CITY</t>
  </si>
  <si>
    <t>060010105</t>
  </si>
  <si>
    <t>G13190</t>
  </si>
  <si>
    <t>319836-500</t>
  </si>
  <si>
    <t>36.41</t>
  </si>
  <si>
    <t>06/30/2019</t>
  </si>
  <si>
    <t>J11342</t>
  </si>
  <si>
    <t>313692-429</t>
  </si>
  <si>
    <t>38.30</t>
  </si>
  <si>
    <t>K05002</t>
  </si>
  <si>
    <t>310686-364</t>
  </si>
  <si>
    <t>44.77</t>
  </si>
  <si>
    <t>BOURNE TOWN</t>
  </si>
  <si>
    <t>200010212</t>
  </si>
  <si>
    <t>27.0 67.22</t>
  </si>
  <si>
    <t>310532-363</t>
  </si>
  <si>
    <t>9.90</t>
  </si>
  <si>
    <t>338.88</t>
  </si>
  <si>
    <t>BROCKTON CITY</t>
  </si>
  <si>
    <t>200120101</t>
  </si>
  <si>
    <t>072-402</t>
  </si>
  <si>
    <t>B15118</t>
  </si>
  <si>
    <t>1133.18</t>
  </si>
  <si>
    <t>06/29/2019</t>
  </si>
  <si>
    <t>METHUEN CITY</t>
  </si>
  <si>
    <t>200050209</t>
  </si>
  <si>
    <t>312-126A-66T</t>
  </si>
  <si>
    <t>318550-494</t>
  </si>
  <si>
    <t>33.98</t>
  </si>
  <si>
    <t>1093.46</t>
  </si>
  <si>
    <t>WATERTOWN TOWN</t>
  </si>
  <si>
    <t>200090210</t>
  </si>
  <si>
    <t>01616-00014-00007</t>
  </si>
  <si>
    <t>321727-535</t>
  </si>
  <si>
    <t>12.72</t>
  </si>
  <si>
    <t>WEST SPRINGFIELD TOWN</t>
  </si>
  <si>
    <t>200070217</t>
  </si>
  <si>
    <t>378-25600-0G-001</t>
  </si>
  <si>
    <t>324273-539</t>
  </si>
  <si>
    <t>779.12</t>
  </si>
  <si>
    <t>250240000</t>
  </si>
  <si>
    <t>012064</t>
  </si>
  <si>
    <t>321558-527</t>
  </si>
  <si>
    <t>433.50</t>
  </si>
  <si>
    <t>433.47</t>
  </si>
  <si>
    <t>YELLOWSTONE COUNTY</t>
  </si>
  <si>
    <t>250560000</t>
  </si>
  <si>
    <t>A26871</t>
  </si>
  <si>
    <t>308899-330</t>
  </si>
  <si>
    <t>1253.81</t>
  </si>
  <si>
    <t>1203.80</t>
  </si>
  <si>
    <t>1243.89</t>
  </si>
  <si>
    <t>LANE COUNTY</t>
  </si>
  <si>
    <t>360200000</t>
  </si>
  <si>
    <t>1127347</t>
  </si>
  <si>
    <t>319104-494</t>
  </si>
  <si>
    <t>06/27/2019</t>
  </si>
  <si>
    <t>1609.69</t>
  </si>
  <si>
    <t>1556.34</t>
  </si>
  <si>
    <t>1602.83</t>
  </si>
  <si>
    <t>4192785</t>
  </si>
  <si>
    <t>321678-527</t>
  </si>
  <si>
    <t>627.48</t>
  </si>
  <si>
    <t>533.37</t>
  </si>
  <si>
    <t>528.27</t>
  </si>
  <si>
    <t>360340000</t>
  </si>
  <si>
    <t>R136294</t>
  </si>
  <si>
    <t>310988-364</t>
  </si>
  <si>
    <t>3739.66</t>
  </si>
  <si>
    <t>06/18/2019</t>
  </si>
  <si>
    <t>R2005477</t>
  </si>
  <si>
    <t>304220-033</t>
  </si>
  <si>
    <t>3409.18</t>
  </si>
  <si>
    <t>R2151276</t>
  </si>
  <si>
    <t>313178-415</t>
  </si>
  <si>
    <t>5459.15</t>
  </si>
  <si>
    <t>5811.11</t>
  </si>
  <si>
    <t>5996.52</t>
  </si>
  <si>
    <t>00000274549000000</t>
  </si>
  <si>
    <t>600205-551</t>
  </si>
  <si>
    <t>06/24/2019</t>
  </si>
  <si>
    <t>1769.70</t>
  </si>
  <si>
    <t>3307.58</t>
  </si>
  <si>
    <t>00000433081000000</t>
  </si>
  <si>
    <t>316969-466</t>
  </si>
  <si>
    <t>0.04</t>
  </si>
  <si>
    <t>817.42</t>
  </si>
  <si>
    <t>3345.43</t>
  </si>
  <si>
    <t>123.97</t>
  </si>
  <si>
    <t>735.45</t>
  </si>
  <si>
    <t>44022250010230000</t>
  </si>
  <si>
    <t>315022-434</t>
  </si>
  <si>
    <t>0.65</t>
  </si>
  <si>
    <t>129.44</t>
  </si>
  <si>
    <t>2087.16</t>
  </si>
  <si>
    <t>WASHTENAW COUNTY DELINQUENCY</t>
  </si>
  <si>
    <t>210814000</t>
  </si>
  <si>
    <t>K -11-18-220-036</t>
  </si>
  <si>
    <t>316453-461</t>
  </si>
  <si>
    <t>617.57</t>
  </si>
  <si>
    <t>SANTA FE COUNTY</t>
  </si>
  <si>
    <t>300260000</t>
  </si>
  <si>
    <t>019100593</t>
  </si>
  <si>
    <t>310306-358</t>
  </si>
  <si>
    <t>3619.48</t>
  </si>
  <si>
    <t>06/20/2019</t>
  </si>
  <si>
    <t>5434.72</t>
  </si>
  <si>
    <t>1886.44</t>
  </si>
  <si>
    <t>3373.96</t>
  </si>
  <si>
    <t>07/12/2019</t>
  </si>
  <si>
    <t>270-134</t>
  </si>
  <si>
    <t>321959-537</t>
  </si>
  <si>
    <t>1030.28</t>
  </si>
  <si>
    <t>06/16/2019</t>
  </si>
  <si>
    <t>272-104</t>
  </si>
  <si>
    <t>321960-537</t>
  </si>
  <si>
    <t>797.25</t>
  </si>
  <si>
    <t>401.86</t>
  </si>
  <si>
    <t>2360.69</t>
  </si>
  <si>
    <t>294-061-00O</t>
  </si>
  <si>
    <t>317434-481</t>
  </si>
  <si>
    <t>559.72</t>
  </si>
  <si>
    <t>LAWRENCE CITY</t>
  </si>
  <si>
    <t>200050109</t>
  </si>
  <si>
    <t>0171-0000-0048</t>
  </si>
  <si>
    <t>324401-539</t>
  </si>
  <si>
    <t>854.68</t>
  </si>
  <si>
    <t>0190-0000-0077</t>
  </si>
  <si>
    <t>500101-025</t>
  </si>
  <si>
    <t>6986.41</t>
  </si>
  <si>
    <t>9441.72</t>
  </si>
  <si>
    <t>06/19/2019</t>
  </si>
  <si>
    <t>D04-0002-006</t>
  </si>
  <si>
    <t>312402-411</t>
  </si>
  <si>
    <t>892.78</t>
  </si>
  <si>
    <t>315248-437</t>
  </si>
  <si>
    <t>2590.10</t>
  </si>
  <si>
    <t>810.82</t>
  </si>
  <si>
    <t>860.29</t>
  </si>
  <si>
    <t>L07-0008-012</t>
  </si>
  <si>
    <t>315214-437</t>
  </si>
  <si>
    <t>1086.52</t>
  </si>
  <si>
    <t>3198.58</t>
  </si>
  <si>
    <t>REVERE CITY</t>
  </si>
  <si>
    <t>200130102</t>
  </si>
  <si>
    <t>002 51 002</t>
  </si>
  <si>
    <t>310477-362</t>
  </si>
  <si>
    <t>1111.32</t>
  </si>
  <si>
    <t>3224.44</t>
  </si>
  <si>
    <t>3224.43</t>
  </si>
  <si>
    <t>016 267 017</t>
  </si>
  <si>
    <t>316851-466</t>
  </si>
  <si>
    <t>3198.94</t>
  </si>
  <si>
    <t>018 312 007</t>
  </si>
  <si>
    <t>317178-475</t>
  </si>
  <si>
    <t>470.43</t>
  </si>
  <si>
    <t>760.43</t>
  </si>
  <si>
    <t>767.27</t>
  </si>
  <si>
    <t>767.26</t>
  </si>
  <si>
    <t>CLACKAMAS COUNTY</t>
  </si>
  <si>
    <t>360030000</t>
  </si>
  <si>
    <t>05010389</t>
  </si>
  <si>
    <t>312338-403</t>
  </si>
  <si>
    <t>6196.75</t>
  </si>
  <si>
    <t>6412.25</t>
  </si>
  <si>
    <t>7154.63</t>
  </si>
  <si>
    <t>CLATSOP COUNTY</t>
  </si>
  <si>
    <t>360040000</t>
  </si>
  <si>
    <t>06225</t>
  </si>
  <si>
    <t>600179-487</t>
  </si>
  <si>
    <t>11461.88</t>
  </si>
  <si>
    <t>11925.65</t>
  </si>
  <si>
    <t>360150000</t>
  </si>
  <si>
    <t>1-068643-2</t>
  </si>
  <si>
    <t>312056-394</t>
  </si>
  <si>
    <t>3144.61</t>
  </si>
  <si>
    <t>BRONX CITY (TAX LIEN SALE)</t>
  </si>
  <si>
    <t>03037 0107</t>
  </si>
  <si>
    <t>B14001</t>
  </si>
  <si>
    <t>BRONX FRONTAGE (TAX LIEN SALE)</t>
  </si>
  <si>
    <t>05008 0007</t>
  </si>
  <si>
    <t>313729-429</t>
  </si>
  <si>
    <t>BROOKLYN CITY (TAX LIEN SALE)</t>
  </si>
  <si>
    <t>BROOKLYN FRONTAGE (TAX LIEN SALE)</t>
  </si>
  <si>
    <t>01521 0032</t>
  </si>
  <si>
    <t>309714-352</t>
  </si>
  <si>
    <t>05213 0075</t>
  </si>
  <si>
    <t>312371-410</t>
  </si>
  <si>
    <t>08171 0156</t>
  </si>
  <si>
    <t>307814-047</t>
  </si>
  <si>
    <t>08274 0032</t>
  </si>
  <si>
    <t>RF18020</t>
  </si>
  <si>
    <t>QUEENS CITY (TAX LIEN SALE)</t>
  </si>
  <si>
    <t>08992 0201</t>
  </si>
  <si>
    <t>313744-429</t>
  </si>
  <si>
    <t>10057 0030</t>
  </si>
  <si>
    <t>320904-513</t>
  </si>
  <si>
    <t>QUEENS FRONTAGE (TAX LIEN SALE)</t>
  </si>
  <si>
    <t>01763 0025</t>
  </si>
  <si>
    <t>319861-500</t>
  </si>
  <si>
    <t>STATEN ISLAND FRONTAGE (TAX LIEN)</t>
  </si>
  <si>
    <t>03659 0037</t>
  </si>
  <si>
    <t>304081-033</t>
  </si>
  <si>
    <t>125738 11-32-16-85266-001-0080</t>
  </si>
  <si>
    <t>317063-466</t>
  </si>
  <si>
    <t>1352.08</t>
  </si>
  <si>
    <t>06/12/2019</t>
  </si>
  <si>
    <t>131802 12-30-15-20062-008-0240</t>
  </si>
  <si>
    <t>310476-362</t>
  </si>
  <si>
    <t>1938.81</t>
  </si>
  <si>
    <t>3518.85</t>
  </si>
  <si>
    <t>7284.14</t>
  </si>
  <si>
    <t>412.23</t>
  </si>
  <si>
    <t>840.06</t>
  </si>
  <si>
    <t>291350 27-28-16-11280-000-0770</t>
  </si>
  <si>
    <t>321124-513</t>
  </si>
  <si>
    <t>3614.11</t>
  </si>
  <si>
    <t>JESSAMINE COUNTY</t>
  </si>
  <si>
    <t>160570000</t>
  </si>
  <si>
    <t>042-00-00-010.05</t>
  </si>
  <si>
    <t>317755-481</t>
  </si>
  <si>
    <t>7540.24</t>
  </si>
  <si>
    <t>450340000</t>
  </si>
  <si>
    <t>55G 2 44</t>
  </si>
  <si>
    <t>321372-527</t>
  </si>
  <si>
    <t>12.45</t>
  </si>
  <si>
    <t>606.03</t>
  </si>
  <si>
    <t>75N 1 2 47</t>
  </si>
  <si>
    <t>321373-527</t>
  </si>
  <si>
    <t>630.74</t>
  </si>
  <si>
    <t>MULTNOMAH COUNTY</t>
  </si>
  <si>
    <t>360260000</t>
  </si>
  <si>
    <t>R116620</t>
  </si>
  <si>
    <t>325188-554</t>
  </si>
  <si>
    <t>1386.60</t>
  </si>
  <si>
    <t>R153582</t>
  </si>
  <si>
    <t>700001-504</t>
  </si>
  <si>
    <t>1462.17</t>
  </si>
  <si>
    <t>R218617</t>
  </si>
  <si>
    <t>321247-513</t>
  </si>
  <si>
    <t>3364.67</t>
  </si>
  <si>
    <t>WALLOWA COUNTY</t>
  </si>
  <si>
    <t>360320000</t>
  </si>
  <si>
    <t>00734</t>
  </si>
  <si>
    <t>321249-513</t>
  </si>
  <si>
    <t>2349.24</t>
  </si>
  <si>
    <t>WESTMORELAND COUNTY TAX CLAIM BUREAU</t>
  </si>
  <si>
    <t>370654000</t>
  </si>
  <si>
    <t>50 22 09 0 032</t>
  </si>
  <si>
    <t>320993-513</t>
  </si>
  <si>
    <t>2281.38</t>
  </si>
  <si>
    <t>CENTRAL FALLS CITY</t>
  </si>
  <si>
    <t>380040104</t>
  </si>
  <si>
    <t>4-377</t>
  </si>
  <si>
    <t>320124-509</t>
  </si>
  <si>
    <t>3517.65</t>
  </si>
  <si>
    <t>06/11/2019</t>
  </si>
  <si>
    <t>CAMPBELL COUNTY</t>
  </si>
  <si>
    <t>490030000</t>
  </si>
  <si>
    <t>000034271</t>
  </si>
  <si>
    <t>322969-537</t>
  </si>
  <si>
    <t>661.33</t>
  </si>
  <si>
    <t>BRIDGEWATER TOWN</t>
  </si>
  <si>
    <t>200120215</t>
  </si>
  <si>
    <t>58-22</t>
  </si>
  <si>
    <t>320774-513</t>
  </si>
  <si>
    <t>4490.79</t>
  </si>
  <si>
    <t>06/05/2019</t>
  </si>
  <si>
    <t>FRAMINGHAM CITY</t>
  </si>
  <si>
    <t>200090216</t>
  </si>
  <si>
    <t>133-35-2220-002</t>
  </si>
  <si>
    <t>313656-429</t>
  </si>
  <si>
    <t>3021.79</t>
  </si>
  <si>
    <t>06/06/2019</t>
  </si>
  <si>
    <t>FRANKLIN TOWN</t>
  </si>
  <si>
    <t>200110201</t>
  </si>
  <si>
    <t>326-005-000-000</t>
  </si>
  <si>
    <t>320358-510</t>
  </si>
  <si>
    <t>2890.34</t>
  </si>
  <si>
    <t>KINGSTON TOWN</t>
  </si>
  <si>
    <t>200120219</t>
  </si>
  <si>
    <t>0002-0011</t>
  </si>
  <si>
    <t>320776-513</t>
  </si>
  <si>
    <t>7983.07</t>
  </si>
  <si>
    <t>READING TOWN</t>
  </si>
  <si>
    <t>200090241</t>
  </si>
  <si>
    <t>246-0070-0000-02980</t>
  </si>
  <si>
    <t>305644-036</t>
  </si>
  <si>
    <t>4194.39</t>
  </si>
  <si>
    <t>SALISBURY TOWN</t>
  </si>
  <si>
    <t>200050223</t>
  </si>
  <si>
    <t>12-117</t>
  </si>
  <si>
    <t>320121-509</t>
  </si>
  <si>
    <t>438.85</t>
  </si>
  <si>
    <t>06/07/2019</t>
  </si>
  <si>
    <t>320782-513</t>
  </si>
  <si>
    <t>1045.40</t>
  </si>
  <si>
    <t>1174.41</t>
  </si>
  <si>
    <t>1348.50</t>
  </si>
  <si>
    <t>VALENCIA COUNTY</t>
  </si>
  <si>
    <t>300320000</t>
  </si>
  <si>
    <t>R00164383</t>
  </si>
  <si>
    <t>318444-493</t>
  </si>
  <si>
    <t>6.86</t>
  </si>
  <si>
    <t>06/13/2019</t>
  </si>
  <si>
    <t>Agency Name</t>
  </si>
  <si>
    <t>Agency ID</t>
  </si>
  <si>
    <t>Tax ID</t>
  </si>
  <si>
    <t>Loan Number</t>
  </si>
  <si>
    <t>Installment #1</t>
  </si>
  <si>
    <t>Installment #2</t>
  </si>
  <si>
    <t>Installment #3</t>
  </si>
  <si>
    <t>Installment #4</t>
  </si>
  <si>
    <t>Posted Date</t>
  </si>
  <si>
    <t>Severity Description</t>
  </si>
  <si>
    <t>Ah,</t>
  </si>
  <si>
    <t>Loan</t>
  </si>
  <si>
    <t>Row Labels</t>
  </si>
  <si>
    <t>Grand Total</t>
  </si>
  <si>
    <t>Lien Flag</t>
  </si>
  <si>
    <t>Top Priority</t>
  </si>
  <si>
    <t xml:space="preserve">Critical </t>
  </si>
  <si>
    <t>Review</t>
  </si>
  <si>
    <t>SELECT Loans.Account, dbo_vw_Loans.isactive, dbo_vw_Loans.loanstatus, dbo_vw_EscrowBalanceByLoan.EscrowBalance</t>
  </si>
  <si>
    <t>FROM (Loans INNER JOIN dbo_vw_Loans ON (Loans.Account = dbo_vw_Loans.Account) AND (Loans.Account = dbo_vw_Loans.Account)) LEFT JOIN dbo_vw_EscrowBalanceByLoan ON Loans.Account = dbo_vw_EscrowBalanceByLoan.Account</t>
  </si>
  <si>
    <t>WHERE (((dbo_vw_Loans.isactive)=True));</t>
  </si>
  <si>
    <t>Active</t>
  </si>
  <si>
    <t>Account</t>
  </si>
  <si>
    <t>isactive</t>
  </si>
  <si>
    <t>loanstatus</t>
  </si>
  <si>
    <t>EscrowBalance</t>
  </si>
  <si>
    <t>FC</t>
  </si>
  <si>
    <t>180+</t>
  </si>
  <si>
    <t>FBA</t>
  </si>
  <si>
    <t>BK13</t>
  </si>
  <si>
    <t>30+</t>
  </si>
  <si>
    <t>Current</t>
  </si>
  <si>
    <t>90+</t>
  </si>
  <si>
    <t>Demand Letter</t>
  </si>
  <si>
    <t>120+</t>
  </si>
  <si>
    <t>150+</t>
  </si>
  <si>
    <t>PP</t>
  </si>
  <si>
    <t>60+</t>
  </si>
  <si>
    <t>BK11</t>
  </si>
  <si>
    <t>BK7</t>
  </si>
  <si>
    <t>Trailing Claims</t>
  </si>
  <si>
    <t>DIL</t>
  </si>
  <si>
    <t>Loan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</si>
</sst>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3" borderId="0" xfId="0" applyFill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dd Arola" refreshedDate="44027.606341435188" createdVersion="6" refreshedVersion="6" minRefreshableVersion="3" recordCount="3454" xr:uid="{C23B2BA8-898C-4EF6-B8CC-DFEDE4F486B2}">
  <cacheSource type="worksheet">
    <worksheetSource ref="A1:A3455" sheet="Pivot"/>
  </cacheSource>
  <cacheFields count="1">
    <cacheField name="Loan" numFmtId="0">
      <sharedItems count="2456">
        <s v="320774-513"/>
        <s v="320776-513"/>
        <s v="305644-036"/>
        <s v="320782-513"/>
        <s v="313656-429"/>
        <s v="320358-510"/>
        <s v="320121-509"/>
        <s v="320124-509"/>
        <s v="317063-466"/>
        <s v="310476-362"/>
        <s v="325797-555"/>
        <s v="321124-513"/>
        <s v="318444-493"/>
        <s v="321959-537"/>
        <s v="321960-537"/>
        <s v="320784-513"/>
        <s v="317434-481"/>
        <s v="310988-364"/>
        <s v="304220-033"/>
        <s v="313178-415"/>
        <s v="600179-487"/>
        <s v="315240-437"/>
        <s v="312402-411"/>
        <s v="315248-437"/>
        <s v="315257-437"/>
        <s v="315231-437"/>
        <s v="315215-437"/>
        <s v="315209-437"/>
        <s v="315214-437"/>
        <s v="315232-437"/>
        <s v="B14001"/>
        <s v="RF18021"/>
        <s v="324019-539"/>
        <s v="325319-555"/>
        <s v="307431-045"/>
        <s v="313729-429"/>
        <s v="308284-314"/>
        <s v="308917-331"/>
        <s v="309714-352"/>
        <s v="321842-536"/>
        <s v="312381-410"/>
        <s v="324262-539"/>
        <s v="320887-513"/>
        <s v="312371-410"/>
        <s v="310699-364"/>
        <s v="307814-047"/>
        <s v="RF18020"/>
        <s v="309351-344"/>
        <s v="313744-429"/>
        <s v="320904-513"/>
        <s v="319861-500"/>
        <s v="308559-323"/>
        <s v="312025-394"/>
        <s v="309812-353"/>
        <s v="319864-500"/>
        <s v="320914-513"/>
        <s v="324340-539"/>
        <s v="320860-513"/>
        <s v="324173-539"/>
        <s v="321719-535"/>
        <s v="304081-033"/>
        <s v="310306-358"/>
        <s v="324401-539"/>
        <s v="500101-025"/>
        <s v="312056-394"/>
        <s v="319540-496"/>
        <s v="600205-551"/>
        <s v="316530-461"/>
        <s v="316969-466"/>
        <s v="311155-368"/>
        <s v="305685-036"/>
        <s v="316524-461"/>
        <s v="318097-488"/>
        <s v="315022-434"/>
        <s v="315024-434"/>
        <s v="325188-554"/>
        <s v="700001-504"/>
        <s v="321247-513"/>
        <s v="321493-527"/>
        <s v="321491-527"/>
        <s v="319354-496"/>
        <s v="310532-363"/>
        <s v="324273-539"/>
        <s v="322969-537"/>
        <s v="321632-527"/>
        <s v="321727-535"/>
        <s v="321558-527"/>
        <s v="310477-362"/>
        <s v="316851-466"/>
        <s v="317178-475"/>
        <s v="320993-513"/>
        <s v="319104-494"/>
        <s v="321678-527"/>
        <s v="321372-527"/>
        <s v="321373-527"/>
        <s v="315069-434"/>
        <s v="321249-513"/>
        <s v="B15118"/>
        <s v="319836-500"/>
        <s v="313692-429"/>
        <s v="310686-364"/>
        <s v="311801-389"/>
        <s v="312736-411"/>
        <s v="312732-411"/>
        <s v="309895-356"/>
        <s v="318550-494"/>
        <s v="312338-403"/>
        <s v="303125-029"/>
        <s v="321627-527"/>
        <s v="314666-433"/>
        <s v="319650-498"/>
        <s v="315721-448"/>
        <s v="314668-433"/>
        <s v="320034-500"/>
        <s v="316676-464"/>
        <s v="318997-494"/>
        <s v="500257-511"/>
        <s v="319533-496"/>
        <s v="309737-352"/>
        <s v="320272-509"/>
        <s v="308993-332"/>
        <s v="315539-444"/>
        <s v="320037-500"/>
        <s v="313169-415"/>
        <s v="318156-493"/>
        <s v="317755-481"/>
        <s v="322262-537"/>
        <s v="312018-391"/>
        <s v="306323-041"/>
        <s v="AJ2033"/>
        <s v="316453-461"/>
        <s v="305464-036"/>
        <s v="309738-352"/>
        <s v="320767-513"/>
        <s v="310680-364"/>
        <s v="318553-494"/>
        <s v="309444-346"/>
        <s v="318133-493"/>
        <s v="500242-428"/>
        <s v="321275-527"/>
        <s v="319823-500"/>
        <s v="320123-509"/>
        <s v="321717-535"/>
        <s v="326567-564"/>
        <s v="321499-527"/>
        <s v="318601-494"/>
        <s v="315896-458"/>
        <s v="317303-479"/>
        <s v="308899-330"/>
        <s v="309707-352"/>
        <s v="315076-434"/>
        <s v="321270-527"/>
        <s v="320772-513"/>
        <s v="319826-500"/>
        <s v="311904-393"/>
        <s v="315855-456"/>
        <s v="319010-494"/>
        <s v="316567-461"/>
        <s v="323012-537"/>
        <s v="319011-494"/>
        <s v="324193-539"/>
        <s v="312903-411"/>
        <s v="312330-403"/>
        <s v="319013-494"/>
        <s v="321212-513"/>
        <s v="RB18058"/>
        <s v="321208-513"/>
        <s v="323016-537"/>
        <s v="B15133"/>
        <s v="317076-466"/>
        <s v="323014-537"/>
        <s v="317882-482"/>
        <s v="309184-344"/>
        <s v="324536-549"/>
        <s v="319816-500"/>
        <s v="321278-527"/>
        <s v="318823-494"/>
        <s v="308779-325"/>
        <s v="322256-537"/>
        <s v="RB18051"/>
        <s v="319842-500"/>
        <s v="308848-326"/>
        <s v="320771-513"/>
        <s v="310440-362"/>
        <s v="308844-326"/>
        <s v="312814-411"/>
        <s v="312813-411"/>
        <s v="309727-352"/>
        <s v="307203-045"/>
        <s v="318007-482"/>
        <s v="321894-536"/>
        <s v="325212-555"/>
        <s v="322812-537"/>
        <s v="309151-342"/>
        <s v="324316-539"/>
        <s v="RF18015"/>
        <s v="313148-415"/>
        <s v="322596-537"/>
        <s v="317910-482"/>
        <s v="320382-510"/>
        <s v="317871-482"/>
        <s v="321500-527"/>
        <s v="313617-426"/>
        <s v="318640-494"/>
        <s v="311075-368"/>
        <s v="320775-513"/>
        <s v="315731-455"/>
        <s v="316705-465"/>
        <s v="304245-033"/>
        <s v="307335-045"/>
        <s v="319508-496"/>
        <s v="312405-411"/>
        <s v="315189-436"/>
        <s v="312404-411"/>
        <s v="312403-411"/>
        <s v="320971-513"/>
        <s v="317286-479"/>
        <s v="321661-527"/>
        <s v="320402-510"/>
        <s v="320321-509"/>
        <s v="318503-493"/>
        <s v="316941-466"/>
        <s v="318502-493"/>
        <s v="319567-496"/>
        <s v="321663-527"/>
        <s v="317521-481"/>
        <s v="315228-437"/>
        <s v="317011-466"/>
        <s v="322259-537"/>
        <s v="309735-352"/>
        <s v="311773-387"/>
        <s v="309600-347"/>
        <s v="318199-493"/>
        <s v="310266-358"/>
        <s v="324374-539"/>
        <s v="311891-391"/>
        <s v="308200-310"/>
        <s v="312721-411"/>
        <s v="312723-411"/>
        <s v="303201-030"/>
        <s v="324250-539"/>
        <s v="312744-411"/>
        <s v="321541-527"/>
        <s v="321032-513"/>
        <s v="315251-437"/>
        <s v="315247-437"/>
        <s v="315234-437"/>
        <s v="315208-437"/>
        <s v="320172-509"/>
        <s v="319428-496"/>
        <s v="324451-539"/>
        <s v="318018-482"/>
        <s v="314321-429"/>
        <s v="307339-045"/>
        <s v="325242-555"/>
        <s v="325241-555"/>
        <s v="313459-421"/>
        <s v="312219-399"/>
        <s v="310983-364"/>
        <s v="320979-513"/>
        <s v="319569-496"/>
        <s v="323186-537"/>
        <s v="321940-537"/>
        <s v="321320-527"/>
        <s v="319804-507"/>
        <s v="312167-398"/>
        <s v="A17017"/>
        <s v="321688-527"/>
        <s v="324192-539"/>
        <s v="321758-535"/>
        <s v="307195-045"/>
        <s v="318597-494"/>
        <s v="320992-513"/>
        <s v="324400-539"/>
        <s v="309668-351"/>
        <s v="321580-527"/>
        <s v="304296-033"/>
        <s v="321654-527"/>
        <s v="321925-536"/>
        <s v="315593-444"/>
        <s v="311566-377"/>
        <s v="323154-537"/>
        <s v="320077-500"/>
        <s v="321653-527"/>
        <s v="318256-493"/>
        <s v="311878-391"/>
        <s v="319158-496"/>
        <s v="320143-509"/>
        <s v="312475-411"/>
        <s v="305468-036"/>
        <s v="315366-444"/>
        <s v="311919-393"/>
        <s v="323970-538"/>
        <s v="321930-536"/>
        <s v="316637-461"/>
        <s v="315154-434"/>
        <s v="312166-398"/>
        <s v="320329-509"/>
        <s v="319046-494"/>
        <s v="324215-539"/>
        <s v="309760-353"/>
        <s v="324324-539"/>
        <s v="321650-527"/>
        <s v="317695-481"/>
        <s v="311558-377"/>
        <s v="320072-500"/>
        <s v="323127-537"/>
        <s v="318488-493"/>
        <s v="323097-537"/>
        <s v="311539-377"/>
        <s v="317242-475"/>
        <s v="311984-393"/>
        <s v="316641-461"/>
        <s v="323203-537"/>
        <s v="317263-475"/>
        <s v="314593-432"/>
        <s v="323107-537"/>
        <s v="319041-494"/>
        <s v="321224-513"/>
        <s v="312164-398"/>
        <s v="321647-527"/>
        <s v="311615-376"/>
        <s v="312962-411"/>
        <s v="314473-429"/>
        <s v="319048-494"/>
        <s v="321922-536"/>
        <s v="312963-411"/>
        <s v="309476-346"/>
        <s v="313301-041"/>
        <s v="324421-539"/>
        <s v="326404-555"/>
        <s v="312072-395"/>
        <s v="RB18069"/>
        <s v="313280-036"/>
        <s v="314399-429"/>
        <s v="310877-364"/>
        <s v="314403-429"/>
        <s v="321759-535"/>
        <s v="317016-466"/>
        <s v="316169-460"/>
        <s v="308860-326"/>
        <s v="313548-421"/>
        <s v="318000-482"/>
        <s v="320059-500"/>
        <s v="317958-482"/>
        <s v="326460-555"/>
        <s v="323044-537"/>
        <s v="314604-432"/>
        <s v="313634-426"/>
        <s v="318460-493"/>
        <s v="321637-527"/>
        <s v="320282-509"/>
        <s v="309698-351"/>
        <s v="308934-331"/>
        <s v="314382-429"/>
        <s v="311523-377"/>
        <s v="316894-466"/>
        <s v="323096-537"/>
        <s v="312915-411"/>
        <s v="324783-550"/>
        <s v="321723-535"/>
        <s v="323033-537"/>
        <s v="310467-362"/>
        <s v="326354-555"/>
        <s v="325182-554"/>
        <s v="320393-510"/>
        <s v="317934-482"/>
        <s v="312071-395"/>
        <s v="324199-539"/>
        <s v="317360-481"/>
        <s v="314674-433"/>
        <s v="313377-310"/>
        <s v="310419-361"/>
        <s v="317333-481"/>
        <s v="310503-362"/>
        <s v="312092-396"/>
        <s v="321918-536"/>
        <s v="324242-539"/>
        <s v="313304-041"/>
        <s v="319786-507"/>
        <s v="319785-507"/>
        <s v="312160-398"/>
        <s v="319784-507"/>
        <s v="319550-496"/>
        <s v="313352-045"/>
        <s v="316594-461"/>
        <s v="325186-554"/>
        <s v="318061-483"/>
        <s v="323099-537"/>
        <s v="318474-493"/>
        <s v="314680-433"/>
        <s v="314469-429"/>
        <s v="316943-466"/>
        <s v="319916-500"/>
        <s v="323336-538"/>
        <s v="305463-036"/>
        <s v="320973-513"/>
        <s v="316258-461"/>
        <s v="323245-537"/>
        <s v="RC19003"/>
        <s v="310939-364"/>
        <s v="320338-509"/>
        <s v="316259-461"/>
        <s v="312683-411"/>
        <s v="312684-411"/>
        <s v="306541-041"/>
        <s v="319359-496"/>
        <s v="306469-041"/>
        <s v="312043-394"/>
        <s v="311825-389"/>
        <s v="306522-041"/>
        <s v="326929-571"/>
        <s v="314131-429"/>
        <s v="313763-429"/>
        <s v="309067-336"/>
        <s v="321658-527"/>
        <s v="321670-527"/>
        <s v="310423-361"/>
        <s v="320096-500"/>
        <s v="317662-481"/>
        <s v="319852-500"/>
        <s v="319853-500"/>
        <s v="324188-539"/>
        <s v="316857-466"/>
        <s v="324159-539"/>
        <s v="319854-500"/>
        <s v="307421-045"/>
        <s v="318180-493"/>
        <s v="304000-033"/>
        <s v="313738-429"/>
        <s v="309834-353"/>
        <s v="319857-500"/>
        <s v="306302-041"/>
        <s v="311875-390"/>
        <s v="309664-351"/>
        <s v="324022-539"/>
        <s v="313417-416"/>
        <s v="311303-375"/>
        <s v="321843-536"/>
        <s v="319855-500"/>
        <s v="313736-429"/>
        <s v="306531-041"/>
        <s v="322076-537"/>
        <s v="320890-513"/>
        <s v="308283-314"/>
        <s v="308127-310"/>
        <s v="317014-466"/>
        <s v="318086-488"/>
        <s v="322074-537"/>
        <s v="324109-539"/>
        <s v="320885-513"/>
        <s v="308129-310"/>
        <s v="309553-347"/>
        <s v="307399-045"/>
        <s v="500248-449"/>
        <s v="309203-344"/>
        <s v="304097-033"/>
        <s v="313737-429"/>
        <s v="304012-033"/>
        <s v="313452-418"/>
        <s v="322078-537"/>
        <s v="319596-498"/>
        <s v="319858-500"/>
        <s v="309665-351"/>
        <s v="316888-466"/>
        <s v="320891-513"/>
        <s v="308130-310"/>
        <s v="307263-045"/>
        <s v="324122-539"/>
        <s v="316835-466"/>
        <s v="321311-527"/>
        <s v="320889-513"/>
        <s v="321308-527"/>
        <s v="324307-539"/>
        <s v="313418-416"/>
        <s v="324034-539"/>
        <s v="321845-536"/>
        <s v="324051-539"/>
        <s v="324175-539"/>
        <s v="322081-537"/>
        <s v="320893-513"/>
        <s v="324167-539"/>
        <s v="324481-539"/>
        <s v="308133-310"/>
        <s v="319156-496"/>
        <s v="324490-539"/>
        <s v="316248-461"/>
        <s v="324263-539"/>
        <s v="324018-539"/>
        <s v="320898-513"/>
        <s v="324312-539"/>
        <s v="305533-036"/>
        <s v="316944-466"/>
        <s v="313420-416"/>
        <s v="320897-513"/>
        <s v="324272-539"/>
        <s v="313483-421"/>
        <s v="308560-323"/>
        <s v="324230-539"/>
        <s v="321774-535"/>
        <s v="324311-539"/>
        <s v="308565-323"/>
        <s v="324112-539"/>
        <s v="320863-513"/>
        <s v="RF18045"/>
        <s v="324015-539"/>
        <s v="324077-539"/>
        <s v="320861-513"/>
        <s v="324214-539"/>
        <s v="RB18089"/>
        <s v="324299-539"/>
        <s v="324300-539"/>
        <s v="317001-466"/>
        <s v="317864-482"/>
        <s v="324176-539"/>
        <s v="321309-527"/>
        <s v="324443-539"/>
        <s v="324435-539"/>
        <s v="326867-571"/>
        <s v="318612-494"/>
        <s v="321344-527"/>
        <s v="322174-537"/>
        <s v="321013-513"/>
        <s v="321343-527"/>
        <s v="310555-363"/>
        <s v="324379-539"/>
        <s v="326866-571"/>
        <s v="319876-500"/>
        <s v="321012-513"/>
        <s v="322175-537"/>
        <s v="321011-513"/>
        <s v="311316-375"/>
        <s v="319877-500"/>
        <s v="324377-539"/>
        <s v="318811-494"/>
        <s v="307264-045"/>
        <s v="320977-513"/>
        <s v="323196-537"/>
        <s v="317053-466"/>
        <s v="313015-411"/>
        <s v="318512-493"/>
        <s v="313765-429"/>
        <s v="321514-527"/>
        <s v="322792-537"/>
        <s v="319976-500"/>
        <s v="317925-482"/>
        <s v="309115-342"/>
        <s v="304021-033"/>
        <s v="319372-496"/>
        <s v="311377-375"/>
        <s v="324625-550"/>
        <s v="321564-527"/>
        <s v="322627-537"/>
        <s v="320946-513"/>
        <s v="305481-036"/>
        <s v="308452-319"/>
        <s v="319522-496"/>
        <s v="309066-336"/>
        <s v="316774-465"/>
        <s v="307160-045"/>
        <s v="312019-391"/>
        <s v="312706-411"/>
        <s v="320972-513"/>
        <s v="320871-513"/>
        <s v="314127-429"/>
        <s v="324509-539"/>
        <s v="314126-429"/>
        <s v="312283-403"/>
        <s v="321879-536"/>
        <s v="310628-363"/>
        <s v="312384-410"/>
        <s v="322706-537"/>
        <s v="314209-429"/>
        <s v="305553-036"/>
        <s v="311894-391"/>
        <s v="326969-571"/>
        <s v="322606-537"/>
        <s v="322605-537"/>
        <s v="308571-323"/>
        <s v="309514-347"/>
        <s v="312490-411"/>
        <s v="324283-539"/>
        <s v="314136-429"/>
        <s v="303344-034"/>
        <s v="324488-539"/>
        <s v="311818-389"/>
        <s v="320989-513"/>
        <s v="326953-571"/>
        <s v="326957-571"/>
        <s v="326695-569"/>
        <s v="326963-571"/>
        <s v="326966-571"/>
        <s v="318834-494"/>
        <s v="326964-571"/>
        <s v="326971-571"/>
        <s v="326967-571"/>
        <s v="311138-368"/>
        <s v="318870-494"/>
        <s v="314134-429"/>
        <s v="307387-045"/>
        <s v="311958-393"/>
        <s v="305583-036"/>
        <s v="310288-358"/>
        <s v="322610-537"/>
        <s v="312703-411"/>
        <s v="309020-334"/>
        <s v="309271-344"/>
        <s v="320326-509"/>
        <s v="322955-537"/>
        <s v="324615-550"/>
        <s v="315518-444"/>
        <s v="322956-537"/>
        <s v="309392-344"/>
        <s v="328105-584"/>
        <s v="320985-513"/>
        <s v="304184-033"/>
        <s v="314148-429"/>
        <s v="310551-363"/>
        <s v="320969-513"/>
        <s v="320981-513"/>
        <s v="312027-394"/>
        <s v="327952-584"/>
        <s v="321687-527"/>
        <s v="322840-537"/>
        <s v="311874-389"/>
        <s v="320752-513"/>
        <s v="320353-509"/>
        <s v="319813-507"/>
        <s v="320352-509"/>
        <s v="321684-527"/>
        <s v="318070-483"/>
        <s v="324010-538"/>
        <s v="324295-539"/>
        <s v="328994-584"/>
        <s v="310427-361"/>
        <s v="324406-539"/>
        <s v="326790-571"/>
        <s v="316233-461"/>
        <s v="326800-571"/>
        <s v="327042-571"/>
        <s v="321304-527"/>
        <s v="RB18002"/>
        <s v="315325-444"/>
        <s v="314610-433"/>
        <s v="313694-429"/>
        <s v="309484-347"/>
        <s v="317604-481"/>
        <s v="313461-421"/>
        <s v="313695-429"/>
        <s v="316858-466"/>
        <s v="320826-513"/>
        <s v="312075-395"/>
        <s v="RB18016"/>
        <s v="320840-513"/>
        <s v="307194-045"/>
        <s v="313703-429"/>
        <s v="322011-537"/>
        <s v="326761-571"/>
        <s v="326760-571"/>
        <s v="308300-316"/>
        <s v="327930-584"/>
        <s v="500246-417"/>
        <s v="325286-555"/>
        <s v="320135-509"/>
        <s v="319847-500"/>
        <s v="327922-584"/>
        <s v="327999-584"/>
        <s v="AJ2019"/>
        <s v="321299-527"/>
        <s v="324127-539"/>
        <s v="326755-571"/>
        <s v="326572-564"/>
        <s v="326786-571"/>
        <s v="327945-584"/>
        <s v="327990-584"/>
        <s v="311655-380"/>
        <s v="316227-461"/>
        <s v="325299-555"/>
        <s v="308937-332"/>
        <s v="311629-378"/>
        <s v="309667-351"/>
        <s v="321716-535"/>
        <s v="320936-513"/>
        <s v="320939-513"/>
        <s v="309506-347"/>
        <s v="320935-513"/>
        <s v="320938-513"/>
        <s v="320912-513"/>
        <s v="320809-513"/>
        <s v="309623-347"/>
        <s v="327928-584"/>
        <s v="327940-584"/>
        <s v="325104-553"/>
        <s v="326792-571"/>
        <s v="327056-571"/>
        <s v="309127-342"/>
        <s v="RB18024"/>
        <s v="316222-461"/>
        <s v="319593-498"/>
        <s v="309602-347"/>
        <s v="318195-493"/>
        <s v="322100-537"/>
        <s v="316252-461"/>
        <s v="322018-537"/>
        <s v="326780-571"/>
        <s v="325269-555"/>
        <s v="321768-535"/>
        <s v="324338-539"/>
        <s v="324578-550"/>
        <s v="317536-481"/>
        <s v="325311-555"/>
        <s v="325300-555"/>
        <s v="320845-513"/>
        <s v="324759-550"/>
        <s v="324289-539"/>
        <s v="308118-310"/>
        <s v="326756-571"/>
        <s v="321713-535"/>
        <s v="313713-429"/>
        <s v="326766-571"/>
        <s v="326767-571"/>
        <s v="RF18001"/>
        <s v="313600-426"/>
        <s v="320362-510"/>
        <s v="324540-549"/>
        <s v="308112-310"/>
        <s v="326799-571"/>
        <s v="327958-584"/>
        <s v="RB18066"/>
        <s v="327987-584"/>
        <s v="313716-429"/>
        <s v="328002-584"/>
        <s v="321840-536"/>
        <s v="317400-481"/>
        <s v="319848-500"/>
        <s v="RB18065"/>
        <s v="307380-045"/>
        <s v="319841-500"/>
        <s v="318576-494"/>
        <s v="313725-429"/>
        <s v="328007-584"/>
        <s v="326791-571"/>
        <s v="309446-346"/>
        <s v="318582-494"/>
        <s v="321293-527"/>
        <s v="311913-393"/>
        <s v="320923-513"/>
        <s v="310549-363"/>
        <s v="313753-429"/>
        <s v="309373-344"/>
        <s v="RB18095"/>
        <s v="311693-383"/>
        <s v="315190-436"/>
        <s v="313698-429"/>
        <s v="321973-537"/>
        <s v="327978-584"/>
        <s v="308120-310"/>
        <s v="326558-555"/>
        <s v="309107-340"/>
        <s v="308138-310"/>
        <s v="RB18043"/>
        <s v="308977-332"/>
        <s v="322743-537"/>
        <s v="317851-481"/>
        <s v="316481-461"/>
        <s v="308810-325"/>
        <s v="309040-335"/>
        <s v="319412-496"/>
        <s v="312772-411"/>
        <s v="RF18050"/>
        <s v="311612-376"/>
        <s v="312774-411"/>
        <s v="327038-571"/>
        <s v="317666-481"/>
        <s v="308411-319"/>
        <s v="318145-493"/>
        <s v="325244-555"/>
        <s v="313678-429"/>
        <s v="311905-393"/>
        <s v="321446-527"/>
        <s v="318319-493"/>
        <s v="313677-429"/>
        <s v="309024-335"/>
        <s v="313680-429"/>
        <s v="316706-465"/>
        <s v="313591-417"/>
        <s v="320367-510"/>
        <s v="309660-351"/>
        <s v="311433-377"/>
        <s v="327964-584"/>
        <s v="309288-344"/>
        <s v="RB18093"/>
        <s v="326653-564"/>
        <s v="320788-513"/>
        <s v="315741-455"/>
        <s v="309550-347"/>
        <s v="316025-460"/>
        <s v="327938-584"/>
        <s v="327937-584"/>
        <s v="310259-358"/>
        <s v="327934-584"/>
        <s v="320818-513"/>
        <s v="316860-466"/>
        <s v="324983-550"/>
        <s v="PB0007"/>
        <s v="316218-461"/>
        <s v="324363-539"/>
        <s v="326764-571"/>
        <s v="321294-527"/>
        <s v="320134-509"/>
        <s v="327948-584"/>
        <s v="324068-539"/>
        <s v="320963-513"/>
        <s v="307352-045"/>
        <s v="305638-036"/>
        <s v="325290-555"/>
        <s v="315734-455"/>
        <s v="324543-549"/>
        <s v="326804-571"/>
        <s v="323281-537"/>
        <s v="321683-527"/>
        <s v="326793-571"/>
        <s v="322025-537"/>
        <s v="324744-550"/>
        <s v="RF18053"/>
        <s v="311620-376"/>
        <s v="306477-041"/>
        <s v="326789-571"/>
        <s v="316037-460"/>
        <s v="320849-513"/>
        <s v="321555-527"/>
        <s v="328346-584"/>
        <s v="313130-415"/>
        <s v="RB18099"/>
        <s v="313467-421"/>
        <s v="AJ2024"/>
        <s v="310692-364"/>
        <s v="326776-571"/>
        <s v="AJ0077"/>
        <s v="321837-536"/>
        <s v="328004-584"/>
        <s v="319131-496"/>
        <s v="325004-552"/>
        <s v="308772-325"/>
        <s v="318343-493"/>
        <s v="313717-429"/>
        <s v="325305-555"/>
        <s v="306426-041"/>
        <s v="327985-584"/>
        <s v="309190-344"/>
        <s v="325307-555"/>
        <s v="317636-481"/>
        <s v="321195-513"/>
        <s v="328702-584"/>
        <s v="320948-513"/>
        <s v="RB18037"/>
        <s v="317982-482"/>
        <s v="309388-344"/>
        <s v="320962-513"/>
        <s v="308146-310"/>
        <s v="320951-513"/>
        <s v="309218-344"/>
        <s v="313424-416"/>
        <s v="320960-513"/>
        <s v="324212-539"/>
        <s v="320930-513"/>
        <s v="320922-513"/>
        <s v="328698-584"/>
        <s v="307056-045"/>
        <s v="318668-494"/>
        <s v="328236-584"/>
        <s v="310433-362"/>
        <s v="318821-494"/>
        <s v="328210-584"/>
        <s v="RE19001"/>
        <s v="326548-555"/>
        <s v="325097-552"/>
        <s v="311595-377"/>
        <s v="324880-550"/>
        <s v="323276-537"/>
        <s v="325099-552"/>
        <s v="325098-552"/>
        <s v="304380-033"/>
        <s v="315646-444"/>
        <s v="313641-426"/>
        <s v="315649-444"/>
        <s v="324007-538"/>
        <s v="324996-550"/>
        <s v="324749-550"/>
        <s v="311703-384"/>
        <s v="308164-310"/>
        <s v="RF18032"/>
        <s v="314735-434"/>
        <s v="328198-584"/>
        <s v="315374-444"/>
        <s v="303613-031"/>
        <s v="313868-429"/>
        <s v="322216-537"/>
        <s v="321024-513"/>
        <s v="315774-455"/>
        <s v="328188-584"/>
        <s v="327813-577"/>
        <s v="327009-571"/>
        <s v="320032-500"/>
        <s v="316466-461"/>
        <s v="318252-493"/>
        <s v="324500-539"/>
        <s v="324456-539"/>
        <s v="324069-539"/>
        <s v="327931-584"/>
        <s v="325547-555"/>
        <s v="321387-527"/>
        <s v="308841-326"/>
        <s v="314171-429"/>
        <s v="318659-494"/>
        <s v="328334-584"/>
        <s v="327810-576"/>
        <s v="328350-584"/>
        <s v="324012-538"/>
        <s v="328996-584"/>
        <s v="315895-457"/>
        <s v="319585-496"/>
        <s v="317676-481"/>
        <s v="319233-496"/>
        <s v="315388-444"/>
        <s v="317963-482"/>
        <s v="306352-041"/>
        <s v="326883-571"/>
        <s v="319266-496"/>
        <s v="RB18087"/>
        <s v="319204-496"/>
        <s v="317201-475"/>
        <s v="307231-045"/>
        <s v="318686-494"/>
        <s v="318305-493"/>
        <s v="320196-509"/>
        <s v="324038-539"/>
        <s v="329404-590"/>
        <s v="308467-320"/>
        <s v="316963-466"/>
        <s v="328987-584"/>
        <s v="323280-537"/>
        <s v="327039-571"/>
        <s v="311594-377"/>
        <s v="318318-493"/>
        <s v="320235-509"/>
        <s v="312715-411"/>
        <s v="307389-045"/>
        <s v="315308-442"/>
        <s v="314293-429"/>
        <s v="309233-344"/>
        <s v="328181-584"/>
        <s v="318233-493"/>
        <s v="321360-527"/>
        <s v="316721-465"/>
        <s v="324066-539"/>
        <s v="322217-537"/>
        <s v="328238-584"/>
        <s v="328239-584"/>
        <s v="314783-434"/>
        <s v="326891-571"/>
        <s v="327065-571"/>
        <s v="328234-584"/>
        <s v="319716-507"/>
        <s v="316554-461"/>
        <s v="307232-045"/>
        <s v="322836-537"/>
        <s v="313964-429"/>
        <s v="328323-584"/>
        <s v="328322-584"/>
        <s v="328320-584"/>
        <s v="322226-537"/>
        <s v="315811-455"/>
        <s v="321155-513"/>
        <s v="312578-411"/>
        <s v="321400-527"/>
        <s v="322276-537"/>
        <s v="318320-493"/>
        <s v="322265-537"/>
        <s v="319983-500"/>
        <s v="311490-377"/>
        <s v="325516-555"/>
        <s v="314297-429"/>
        <s v="308212-310"/>
        <s v="328274-584"/>
        <s v="322107-537"/>
        <s v="320966-513"/>
        <s v="317288-479"/>
        <s v="326665-565"/>
        <s v="321880-536"/>
        <s v="316983-466"/>
        <s v="326938-571"/>
        <s v="305584-036"/>
        <s v="314158-429"/>
        <s v="320384-510"/>
        <s v="308734-323"/>
        <s v="320233-509"/>
        <s v="312296-403"/>
        <s v="309745-353"/>
        <s v="326692-569"/>
        <s v="316320-461"/>
        <s v="315301-442"/>
        <s v="325158-554"/>
        <s v="325118-553"/>
        <s v="307411-045"/>
        <s v="310367-361"/>
        <s v="320176-509"/>
        <s v="317117-468"/>
        <s v="316074-460"/>
        <s v="RE19003"/>
        <s v="310368-361"/>
        <s v="314807-434"/>
        <s v="B16016"/>
        <s v="326605-564"/>
        <s v="310439-362"/>
        <s v="324445-539"/>
        <s v="317874-482"/>
        <s v="321853-536"/>
        <s v="A17022"/>
        <s v="330128-597"/>
        <s v="327210-572"/>
        <s v="324463-539"/>
        <s v="321410-527"/>
        <s v="309453-346"/>
        <s v="318246-493"/>
        <s v="322223-537"/>
        <s v="324396-539"/>
        <s v="322727-537"/>
        <s v="321885-536"/>
        <s v="310474-362"/>
        <s v="314829-434"/>
        <s v="321856-536"/>
        <s v="309610-347"/>
        <s v="312717-411"/>
        <s v="324116-539"/>
        <s v="318020-482"/>
        <s v="318769-494"/>
        <s v="310740-364"/>
        <s v="321587-527"/>
        <s v="317791-481"/>
        <s v="308784-325"/>
        <s v="319908-500"/>
        <s v="311827-389"/>
        <s v="328232-584"/>
        <s v="311243-373"/>
        <s v="313963-429"/>
        <s v="307061-045"/>
        <s v="328336-584"/>
        <s v="311821-389"/>
        <s v="304256-033"/>
        <s v="328213-584"/>
        <s v="308909-330"/>
        <s v="324981-550"/>
        <s v="321621-527"/>
        <s v="319771-507"/>
        <s v="308415-319"/>
        <s v="327007-571"/>
        <s v="319149-496"/>
        <s v="317927-482"/>
        <s v="329165-590"/>
        <s v="327099-572"/>
        <s v="324616-550"/>
        <s v="319849-500"/>
        <s v="500170-313"/>
        <s v="319860-500"/>
        <s v="319863-500"/>
        <s v="329141-590"/>
        <s v="PK0128"/>
        <s v="RF18029"/>
        <s v="309195-344"/>
        <s v="316508-461"/>
        <s v="317537-481"/>
        <s v="313848-429"/>
        <s v="322252-537"/>
        <s v="314747-434"/>
        <s v="308115-310"/>
        <s v="309661-351"/>
        <s v="311431-377"/>
        <s v="318324-493"/>
        <s v="313749-429"/>
        <s v="RF18040"/>
        <s v="C18017"/>
        <s v="324493-539"/>
        <s v="328255-584"/>
        <s v="316314-461"/>
        <s v="317914-482"/>
        <s v="311921-393"/>
        <s v="319891-500"/>
        <s v="315892-457"/>
        <s v="318247-493"/>
        <s v="328348-584"/>
        <s v="328349-584"/>
        <s v="315755-455"/>
        <s v="319231-496"/>
        <s v="324597-550"/>
        <s v="330219-597"/>
        <s v="327809-576"/>
        <s v="312080-396"/>
        <s v="309813-353"/>
        <s v="307606-046"/>
        <s v="313748-429"/>
        <s v="320905-513"/>
        <s v="309790-353"/>
        <s v="325491-555"/>
        <s v="324025-539"/>
        <s v="328319-584"/>
        <s v="318310-493"/>
        <s v="311502-377"/>
        <s v="304005-033"/>
        <s v="309197-344"/>
        <s v="310637-363"/>
        <s v="322934-537"/>
        <s v="326218-555"/>
        <s v="309879-355"/>
        <s v="330424-597"/>
        <s v="326228-555"/>
        <s v="328265-584"/>
        <s v="312132-398"/>
        <s v="316309-461"/>
        <s v="317968-482"/>
        <s v="306848-044"/>
        <s v="322243-537"/>
        <s v="328333-584"/>
        <s v="313526-421"/>
        <s v="309095-339"/>
        <s v="321534-527"/>
        <s v="313441-416"/>
        <s v="316347-461"/>
        <s v="RD18002"/>
        <s v="322274-537"/>
        <s v="319235-496"/>
        <s v="315390-444"/>
        <s v="319399-496"/>
        <s v="312298-403"/>
        <s v="318928-494"/>
        <s v="330447-597"/>
        <s v="325326-555"/>
        <s v="314526-431"/>
        <s v="328173-584"/>
        <s v="313109-415"/>
        <s v="308159-310"/>
        <s v="313108-415"/>
        <s v="308774-325"/>
        <s v="312064-395"/>
        <s v="308023-300"/>
        <s v="308013-300"/>
        <s v="318400-493"/>
        <s v="317124-468"/>
        <s v="328744-584"/>
        <s v="322908-537"/>
        <s v="316542-461"/>
        <s v="315918-458"/>
        <s v="318941-494"/>
        <s v="304232-035"/>
        <s v="307188-045"/>
        <s v="319708-507"/>
        <s v="323331-538"/>
        <s v="312440-411"/>
        <s v="321830-536"/>
        <s v="327914-584"/>
        <s v="304404-033"/>
        <s v="322004-537"/>
        <s v="322003-537"/>
        <s v="304186-033"/>
        <s v="320806-513"/>
        <s v="320128-509"/>
        <s v="322002-537"/>
        <s v="314339-429"/>
        <s v="315056-434"/>
        <s v="322948-537"/>
        <s v="RF18026"/>
        <s v="324513-539"/>
        <s v="308869-326"/>
        <s v="314489-429"/>
        <s v="321236-513"/>
        <s v="321237-513"/>
        <s v="318943-494"/>
        <s v="312868-411"/>
        <s v="307012-045"/>
        <s v="320131-509"/>
        <s v="319137-496"/>
        <s v="305645-036"/>
        <s v="329031-590"/>
        <s v="311081-368"/>
        <s v="305457-036"/>
        <s v="321986-537"/>
        <s v="318150-493"/>
        <s v="322918-537"/>
        <s v="321200-513"/>
        <s v="307292-045"/>
        <s v="318952-494"/>
        <s v="308038-301"/>
        <s v="305647-036"/>
        <s v="319492-496"/>
        <s v="311261-373"/>
        <s v="317338-481"/>
        <s v="317318-480"/>
        <s v="307009-045"/>
        <s v="318080-486"/>
        <s v="322232-537"/>
        <s v="316069-460"/>
        <s v="321291-527"/>
        <s v="324081-539"/>
        <s v="305577-036"/>
        <s v="326744-571"/>
        <s v="327904-584"/>
        <s v="313880-429"/>
        <s v="312301-403"/>
        <s v="308504-323"/>
        <s v="321999-537"/>
        <s v="314107-429"/>
        <s v="328014-584"/>
        <s v="C16048"/>
        <s v="314542-431"/>
        <s v="328552-584"/>
        <s v="318948-494"/>
        <s v="328972-584"/>
        <s v="321674-527"/>
        <s v="321233-513"/>
        <s v="318068-483"/>
        <s v="320344-509"/>
        <s v="319098-494"/>
        <s v="321243-513"/>
        <s v="321244-513"/>
        <s v="318525-493"/>
        <s v="321245-513"/>
        <s v="325102-553"/>
        <s v="321990-537"/>
        <s v="312439-411"/>
        <s v="324056-539"/>
        <s v="321531-527"/>
        <s v="325891-555"/>
        <s v="322630-537"/>
        <s v="311824-389"/>
        <s v="322553-537"/>
        <s v="311810-389"/>
        <s v="319693-499"/>
        <s v="306361-041"/>
        <s v="328528-584"/>
        <s v="305477-036"/>
        <s v="316743-465"/>
        <s v="319970-500"/>
        <s v="307032-045"/>
        <s v="317836-481"/>
        <s v="322554-537"/>
        <s v="A16015"/>
        <s v="319344-496"/>
        <s v="314084-429"/>
        <s v="308161-310"/>
        <s v="307412-045"/>
        <s v="328300-584"/>
        <s v="328680-584"/>
        <s v="AV1009"/>
        <s v="327881-584"/>
        <s v="310629-363"/>
        <s v="320343-509"/>
        <s v="RB18104"/>
        <s v="329905-590"/>
        <s v="318104-489"/>
        <s v="324504-539"/>
        <s v="318528-493"/>
        <s v="318250-493"/>
        <s v="321858-536"/>
        <s v="320805-513"/>
        <s v="600204-551"/>
        <s v="326093-555"/>
        <s v="330454-597"/>
        <s v="304018-033"/>
        <s v="311162-368"/>
        <s v="328728-584"/>
        <s v="326098-555"/>
        <s v="307610-046"/>
        <s v="312306-403"/>
        <s v="310634-363"/>
        <s v="325508-555"/>
        <s v="327908-584"/>
        <s v="319097-494"/>
        <s v="RF18054"/>
        <s v="319459-496"/>
        <s v="320870-513"/>
        <s v="315027-434"/>
        <s v="306455-041"/>
        <s v="325154-554"/>
        <s v="322696-537"/>
        <s v="322697-537"/>
        <s v="328605-584"/>
        <s v="326166-555"/>
        <s v="328156-584"/>
        <s v="317152-472"/>
        <s v="314705-434"/>
        <s v="321017-513"/>
        <s v="312130-398"/>
        <s v="318012-482"/>
        <s v="319887-500"/>
        <s v="321347-527"/>
        <s v="313838-429"/>
        <s v="311452-377"/>
        <s v="318614-494"/>
        <s v="325399-555"/>
        <s v="319881-500"/>
        <s v="321019-513"/>
        <s v="319878-500"/>
        <s v="324180-539"/>
        <s v="308158-310"/>
        <s v="317039-466"/>
        <s v="313494-421"/>
        <s v="325400-555"/>
        <s v="324973-550"/>
        <s v="318215-493"/>
        <s v="317640-481"/>
        <s v="312131-398"/>
        <s v="325401-555"/>
        <s v="318216-493"/>
        <s v="316890-466"/>
        <s v="321851-536"/>
        <s v="321020-513"/>
        <s v="324598-550"/>
        <s v="315994-459"/>
        <s v="321811-535"/>
        <s v="319882-500"/>
        <s v="325402-555"/>
        <s v="325403-555"/>
        <s v="324985-550"/>
        <s v="319883-500"/>
        <s v="319884-500"/>
        <s v="319885-500"/>
        <s v="305214-037"/>
        <s v="319886-500"/>
        <s v="323327-538"/>
        <s v="319602-498"/>
        <s v="317395-481"/>
        <s v="325405-555"/>
        <s v="317111-468"/>
        <s v="308075-304"/>
        <s v="325408-555"/>
        <s v="325407-555"/>
        <s v="321021-513"/>
        <s v="325406-555"/>
        <s v="327368-572"/>
        <s v="316762-465"/>
        <s v="302902-026"/>
        <s v="318413-493"/>
        <s v="305448-036"/>
        <s v="316839-466"/>
        <s v="314317-429"/>
        <s v="314748-434"/>
        <s v="321496-527"/>
        <s v="313684-429"/>
        <s v="315323-444"/>
        <s v="316216-461"/>
        <s v="304076-033"/>
        <s v="RB18102"/>
        <s v="328751-584"/>
        <s v="313965-429"/>
        <s v="CRE018"/>
        <s v="312534-411"/>
        <s v="318238-493"/>
        <s v="325176-554"/>
        <s v="312879-411"/>
        <s v="327907-584"/>
        <s v="327905-584"/>
        <s v="321706-535"/>
        <s v="309733-352"/>
        <s v="328603-584"/>
        <s v="RD18001"/>
        <s v="330457-597"/>
        <s v="320267-509"/>
        <s v="314108-429"/>
        <s v="321860-536"/>
        <s v="321442-527"/>
        <s v="322695-537"/>
        <s v="329560-590"/>
        <s v="322249-537"/>
        <s v="RF18043"/>
        <s v="322487-537"/>
        <s v="321104-513"/>
        <s v="309869-355"/>
        <s v="305614-036"/>
        <s v="328443-584"/>
        <s v="329464-590"/>
        <s v="328446-584"/>
        <s v="324576-550"/>
        <s v="321100-513"/>
        <s v="315431-444"/>
        <s v="328440-584"/>
        <s v="326917-571"/>
        <s v="312037-394"/>
        <s v="325124-553"/>
        <s v="328439-584"/>
        <s v="316720-465"/>
        <s v="322179-537"/>
        <s v="311317-375"/>
        <s v="326865-571"/>
        <s v="327403-572"/>
        <s v="324063-539"/>
        <s v="316719-465"/>
        <s v="317186-475"/>
        <s v="319178-496"/>
        <s v="306410-041"/>
        <s v="329245-590"/>
        <s v="315765-455"/>
        <s v="319179-496"/>
        <s v="312351-407"/>
        <s v="329243-590"/>
        <s v="319177-496"/>
        <s v="313835-429"/>
        <s v="322178-537"/>
        <s v="304017-033"/>
        <s v="320129-509"/>
        <s v="321383-527"/>
        <s v="329327-590"/>
        <s v="305551-036"/>
        <s v="320239-509"/>
        <s v="322663-537"/>
        <s v="328586-584"/>
        <s v="325907-555"/>
        <s v="321544-527"/>
        <s v="312195-399"/>
        <s v="313154-415"/>
        <s v="318384-493"/>
        <s v="325339-555"/>
        <s v="330206-597"/>
        <s v="314857-434"/>
        <s v="328292-584"/>
        <s v="318696-494"/>
        <s v="328296-584"/>
        <s v="325159-554"/>
        <s v="328679-584"/>
        <s v="330385-597"/>
        <s v="316490-461"/>
        <s v="325984-555"/>
        <s v="328362-584"/>
        <s v="315414-444"/>
        <s v="322376-537"/>
        <s v="324397-539"/>
        <s v="321452-527"/>
        <s v="316671-464"/>
        <s v="304164-033"/>
        <s v="314268-429"/>
        <s v="316416-461"/>
        <s v="308174-310"/>
        <s v="328370-584"/>
        <s v="312432-411"/>
        <s v="325927-555"/>
        <s v="304305-033"/>
        <s v="315455-444"/>
        <s v="316751-465"/>
        <s v="305708-036"/>
        <s v="320236-509"/>
        <s v="319979-500"/>
        <s v="311883-391"/>
        <s v="329550-590"/>
        <s v="322822-537"/>
        <s v="318872-494"/>
        <s v="319431-496"/>
        <s v="322826-537"/>
        <s v="328482-584"/>
        <s v="328481-584"/>
        <s v="328718-584"/>
        <s v="321484-527"/>
        <s v="322535-537"/>
        <s v="301007-013"/>
        <s v="316817-466"/>
        <s v="328464-584"/>
        <s v="328513-584"/>
        <s v="314046-429"/>
        <s v="324501-539"/>
        <s v="328461-584"/>
        <s v="322513-537"/>
        <s v="324213-539"/>
        <s v="325825-555"/>
        <s v="318660-494"/>
        <s v="318092-488"/>
        <s v="308269-312"/>
        <s v="324084-539"/>
        <s v="303353-034"/>
        <s v="304251-033"/>
        <s v="321076-513"/>
        <s v="328393-584"/>
        <s v="327087-572"/>
        <s v="312396-410"/>
        <s v="326861-571"/>
        <s v="326597-564"/>
        <s v="317487-481"/>
        <s v="312349-407"/>
        <s v="308273-312"/>
        <s v="327384-572"/>
        <s v="322134-537"/>
        <s v="318575-494"/>
        <s v="308424-319"/>
        <s v="324678-550"/>
        <s v="325032-552"/>
        <s v="316647-461"/>
        <s v="329900-590"/>
        <s v="330656-597"/>
        <s v="323257-537"/>
        <s v="330646-597"/>
        <s v="316745-465"/>
        <s v="328540-584"/>
        <s v="317093-466"/>
        <s v="325842-555"/>
        <s v="318327-493"/>
        <s v="314883-434"/>
        <s v="322575-537"/>
        <s v="317023-466"/>
        <s v="325852-555"/>
        <s v="317892-482"/>
        <s v="328709-584"/>
        <s v="324198-539"/>
        <s v="318884-494"/>
        <s v="328714-584"/>
        <s v="318396-493"/>
        <s v="328953-584"/>
        <s v="329812-590"/>
        <s v="328915-584"/>
        <s v="330605-597"/>
        <s v="323972-538"/>
        <s v="329883-590"/>
        <s v="323973-538"/>
        <s v="329885-590"/>
        <s v="312232-400"/>
        <s v="325142-553"/>
        <s v="329902-590"/>
        <s v="328541-584"/>
        <s v="322579-537"/>
        <s v="316920-466"/>
        <s v="328539-584"/>
        <s v="316977-466"/>
        <s v="314090-429"/>
        <s v="314928-434"/>
        <s v="314102-429"/>
        <s v="315015-434"/>
        <s v="321490-527"/>
        <s v="325843-555"/>
        <s v="319356-496"/>
        <s v="316747-465"/>
        <s v="328713-584"/>
        <s v="318397-493"/>
        <s v="328711-584"/>
        <s v="310812-364"/>
        <s v="324770-550"/>
        <s v="328969-584"/>
        <s v="328963-584"/>
        <s v="329865-590"/>
        <s v="322924-537"/>
        <s v="321714-535"/>
        <s v="319351-496"/>
        <s v="322562-537"/>
        <s v="322427-537"/>
        <s v="330277-597"/>
        <s v="328410-584"/>
        <s v="317800-481"/>
        <s v="311843-389"/>
        <s v="328409-584"/>
        <s v="328412-584"/>
        <s v="328411-584"/>
        <s v="308681-323"/>
        <s v="308682-323"/>
        <s v="324560-549"/>
        <s v="308687-323"/>
        <s v="318754-494"/>
        <s v="328432-584"/>
        <s v="310584-363"/>
        <s v="321092-513"/>
        <s v="328407-584"/>
        <s v="321473-527"/>
        <s v="323352-538"/>
        <s v="308686-323"/>
        <s v="316394-461"/>
        <s v="316390-461"/>
        <s v="322462-537"/>
        <s v="317650-481"/>
        <s v="328430-584"/>
        <s v="322418-537"/>
        <s v="302635-022"/>
        <s v="328402-584"/>
        <s v="316381-461"/>
        <s v="322414-537"/>
        <s v="328400-584"/>
        <s v="301435-015"/>
        <s v="310579-363"/>
        <s v="327256-572"/>
        <s v="AJ2037"/>
        <s v="324952-550"/>
        <s v="326364-555"/>
        <s v="326360-555"/>
        <s v="329753-590"/>
        <s v="324696-550"/>
        <s v="315565-444"/>
        <s v="324869-550"/>
        <s v="316599-461"/>
        <s v="313298-038"/>
        <s v="320061-500"/>
        <s v="320058-500"/>
        <s v="327127-572"/>
        <s v="328861-584"/>
        <s v="315567-444"/>
        <s v="324948-550"/>
        <s v="310655-363"/>
        <s v="323504-538"/>
        <s v="329755-590"/>
        <s v="313173-415"/>
        <s v="323506-538"/>
        <s v="327438-572"/>
        <s v="323511-538"/>
        <s v="323510-538"/>
        <s v="323507-538"/>
        <s v="315194-436"/>
        <s v="321798-535"/>
        <s v="323519-538"/>
        <s v="313550-421"/>
        <s v="323071-537"/>
        <s v="323500-538"/>
        <s v="326365-555"/>
        <s v="319034-494"/>
        <s v="318471-493"/>
        <s v="323520-538"/>
        <s v="323526-538"/>
        <s v="327326-572"/>
        <s v="314587-432"/>
        <s v="317611-481"/>
        <s v="309131-342"/>
        <s v="313272-036"/>
        <s v="313265-033"/>
        <s v="323077-537"/>
        <s v="323402-538"/>
        <s v="326328-555"/>
        <s v="323445-538"/>
        <s v="329740-590"/>
        <s v="324718-550"/>
        <s v="330527-597"/>
        <s v="315092-434"/>
        <s v="323449-538"/>
        <s v="330524-597"/>
        <s v="323434-538"/>
        <s v="318462-493"/>
        <s v="323045-537"/>
        <s v="329733-590"/>
        <s v="324715-550"/>
        <s v="308448-319"/>
        <s v="328847-584"/>
        <s v="329729-590"/>
        <s v="324682-550"/>
        <s v="327440-572"/>
        <s v="323385-538"/>
        <s v="324757-550"/>
        <s v="324799-550"/>
        <s v="326322-555"/>
        <s v="311522-377"/>
        <s v="323390-538"/>
        <s v="323381-538"/>
        <s v="317129-468"/>
        <s v="328840-584"/>
        <s v="328845-584"/>
        <s v="330520-597"/>
        <s v="315084-434"/>
        <s v="326325-555"/>
        <s v="323392-538"/>
        <s v="320284-509"/>
        <s v="324644-550"/>
        <s v="328841-584"/>
        <s v="316586-461"/>
        <s v="313359-045"/>
        <s v="312935-411"/>
        <s v="323494-538"/>
        <s v="323037-537"/>
        <s v="327167-572"/>
        <s v="323067-537"/>
        <s v="323488-538"/>
        <s v="318059-483"/>
        <s v="315546-444"/>
        <s v="323405-538"/>
        <s v="318457-493"/>
        <s v="327303-572"/>
        <s v="310500-362"/>
        <s v="323414-538"/>
        <s v="323412-538"/>
        <s v="327391-572"/>
        <s v="312333-403"/>
        <s v="329737-590"/>
        <s v="327179-572"/>
        <s v="324758-550"/>
        <s v="329734-590"/>
        <s v="314388-429"/>
        <s v="323427-538"/>
        <s v="500289-530"/>
        <s v="500290-530"/>
        <s v="323440-538"/>
        <s v="324895-550"/>
        <s v="323441-538"/>
        <s v="317048-466"/>
        <s v="327104-572"/>
        <s v="311529-377"/>
        <s v="324859-550"/>
        <s v="323473-538"/>
        <s v="324729-550"/>
        <s v="324691-550"/>
        <s v="321218-513"/>
        <s v="316896-466"/>
        <s v="313312-041"/>
        <s v="325064-552"/>
        <s v="327015-571"/>
        <s v="324951-550"/>
        <s v="324965-550"/>
        <s v="321916-536"/>
        <s v="327250-572"/>
        <s v="315884-456"/>
        <s v="324849-550"/>
        <s v="323472-538"/>
        <s v="324762-550"/>
        <s v="327185-572"/>
        <s v="323485-538"/>
        <s v="327311-572"/>
        <s v="324571-549"/>
        <s v="500317-560"/>
        <s v="500313-557"/>
        <s v="329747-590"/>
        <s v="324980-550"/>
        <s v="326345-555"/>
        <s v="324740-550"/>
        <s v="500300-546"/>
        <s v="500301-546"/>
        <s v="329748-590"/>
        <s v="328855-584"/>
        <s v="327274-572"/>
        <s v="315097-434"/>
        <s v="500319-561"/>
        <s v="309838-353"/>
        <s v="325069-552"/>
        <s v="323482-538"/>
        <s v="326349-555"/>
        <s v="323451-538"/>
        <s v="324884-550"/>
        <s v="323476-538"/>
        <s v="319029-494"/>
        <s v="324809-550"/>
        <s v="327317-572"/>
        <s v="324840-550"/>
        <s v="330528-597"/>
        <s v="324794-550"/>
        <s v="323454-538"/>
        <s v="324800-550"/>
        <s v="308859-326"/>
        <s v="323056-537"/>
        <s v="323057-537"/>
        <s v="327234-572"/>
        <s v="324865-550"/>
        <s v="323052-537"/>
        <s v="313544-421"/>
        <s v="324570-549"/>
        <s v="323453-538"/>
        <s v="321701-532"/>
        <s v="323567-538"/>
        <s v="324703-550"/>
        <s v="323563-538"/>
        <s v="323560-538"/>
        <s v="324815-550"/>
        <s v="325075-552"/>
        <s v="311040-368"/>
        <s v="328856-584"/>
        <s v="320292-509"/>
        <s v="323552-538"/>
        <s v="315111-434"/>
        <s v="323536-538"/>
        <s v="328864-584"/>
        <s v="328943-584"/>
        <s v="320328-509"/>
        <s v="329860-590"/>
        <s v="327187-572"/>
        <s v="328948-584"/>
        <s v="313334-045"/>
        <s v="323822-538"/>
        <s v="323870-538"/>
        <s v="330623-597"/>
        <s v="318511-493"/>
        <s v="329852-590"/>
        <s v="328939-584"/>
        <s v="323878-538"/>
        <s v="323798-538"/>
        <s v="317268-475"/>
        <s v="324802-550"/>
        <s v="329890-590"/>
        <s v="329844-590"/>
        <s v="323826-538"/>
        <s v="327201-572"/>
        <s v="329843-590"/>
        <s v="323820-538"/>
        <s v="328299-584"/>
        <s v="309454-346"/>
        <s v="323732-538"/>
        <s v="313564-421"/>
        <s v="324645-550"/>
        <s v="323760-538"/>
        <s v="323759-538"/>
        <s v="323755-538"/>
        <s v="328916-584"/>
        <s v="328707-584"/>
        <s v="328705-584"/>
        <s v="328469-584"/>
        <s v="328468-584"/>
        <s v="328471-584"/>
        <s v="322517-537"/>
        <s v="330651-597"/>
        <s v="328964-584"/>
        <s v="329418-590"/>
        <s v="312267-403"/>
        <s v="321085-513"/>
        <s v="RB18091"/>
        <s v="328418-584"/>
        <s v="328419-584"/>
        <s v="317490-481"/>
        <s v="321812-535"/>
        <s v="314961-434"/>
        <s v="309100-339"/>
        <s v="308658-323"/>
        <s v="321087-513"/>
        <s v="319322-496"/>
        <s v="324132-539"/>
        <s v="328428-584"/>
        <s v="309775-353"/>
        <s v="328426-584"/>
        <s v="317344-481"/>
        <s v="323346-538"/>
        <s v="327378-572"/>
        <s v="313136-415"/>
        <s v="308627-323"/>
        <s v="315428-444"/>
        <s v="308797-325"/>
        <s v="324508-539"/>
        <s v="313137-415"/>
        <s v="330275-597"/>
        <s v="312265-403"/>
        <s v="322438-537"/>
        <s v="303232-030"/>
        <s v="324559-549"/>
        <s v="324522-539"/>
        <s v="308634-323"/>
        <s v="306351-041"/>
        <s v="325398-555"/>
        <s v="322176-537"/>
        <s v="315616-444"/>
        <s v="323888-538"/>
        <s v="323889-538"/>
        <s v="326489-555"/>
        <s v="327197-572"/>
        <s v="327239-572"/>
        <s v="329857-590"/>
        <s v="324871-550"/>
        <s v="327267-572"/>
        <s v="309594-347"/>
        <s v="324903-550"/>
        <s v="319079-494"/>
        <s v="327105-572"/>
        <s v="324723-550"/>
        <s v="327151-572"/>
        <s v="324738-550"/>
        <s v="328933-584"/>
        <s v="315153-434"/>
        <s v="321764-535"/>
        <s v="324824-550"/>
        <s v="323845-538"/>
        <s v="323833-538"/>
        <s v="318508-493"/>
        <s v="310501-362"/>
        <s v="324832-550"/>
        <s v="323832-538"/>
        <s v="323872-538"/>
        <s v="323834-538"/>
        <s v="323858-538"/>
        <s v="328510-584"/>
        <s v="321122-513"/>
        <s v="319248-496"/>
        <s v="328357-584"/>
        <s v="321450-527"/>
        <s v="328360-584"/>
        <s v="321762-535"/>
        <s v="329779-590"/>
        <s v="325071-552"/>
        <s v="323549-538"/>
        <s v="327474-572"/>
        <s v="330564-597"/>
        <s v="323646-538"/>
        <s v="325141-553"/>
        <s v="320301-509"/>
        <s v="311557-377"/>
        <s v="330566-597"/>
        <s v="318491-493"/>
        <s v="324839-550"/>
        <s v="323538-538"/>
        <s v="323537-538"/>
        <s v="327145-572"/>
        <s v="325073-552"/>
        <s v="328862-584"/>
        <s v="323572-538"/>
        <s v="324835-550"/>
        <s v="323121-537"/>
        <s v="323636-538"/>
        <s v="324588-550"/>
        <s v="329786-590"/>
        <s v="318490-493"/>
        <s v="328884-584"/>
        <s v="318489-493"/>
        <s v="310437-362"/>
        <s v="314845-434"/>
        <s v="326896-571"/>
        <s v="317040-466"/>
        <s v="328954-584"/>
        <s v="324793-550"/>
        <s v="323848-538"/>
        <s v="329873-590"/>
        <s v="326503-555"/>
        <s v="324699-550"/>
        <s v="320332-509"/>
        <s v="327332-572"/>
        <s v="323956-538"/>
        <s v="324830-550"/>
        <s v="323954-538"/>
        <s v="324669-550"/>
        <s v="323240-537"/>
        <s v="323953-538"/>
        <s v="323955-538"/>
        <s v="313308-041"/>
        <s v="324246-539"/>
        <s v="327186-572"/>
        <s v="313217-031"/>
        <s v="319575-496"/>
        <s v="315159-434"/>
        <s v="313259-033"/>
        <s v="323237-537"/>
        <s v="320331-509"/>
        <s v="308824-325"/>
        <s v="329872-590"/>
        <s v="500238-404"/>
        <s v="329869-590"/>
        <s v="319682-498"/>
        <s v="314468-429"/>
        <s v="326706-569"/>
        <s v="315160-434"/>
        <s v="326501-555"/>
        <s v="329871-590"/>
        <s v="319576-496"/>
        <s v="324676-550"/>
        <s v="324826-550"/>
        <s v="327142-572"/>
        <s v="323238-537"/>
        <s v="329870-590"/>
        <s v="315842-455"/>
        <s v="313322-041"/>
        <s v="313313-041"/>
        <s v="320095-500"/>
        <s v="323959-538"/>
        <s v="311587-377"/>
        <s v="314567-432"/>
        <s v="329874-590"/>
        <s v="308762-324"/>
        <s v="327091-572"/>
        <s v="323964-538"/>
        <s v="323963-538"/>
        <s v="313284-036"/>
        <s v="313339-045"/>
        <s v="323967-538"/>
        <s v="323968-538"/>
        <s v="324653-550"/>
        <s v="323966-538"/>
        <s v="327301-572"/>
        <s v="323961-538"/>
        <s v="326508-555"/>
        <s v="328950-584"/>
        <s v="313029-411"/>
        <s v="323242-537"/>
        <s v="317267-475"/>
        <s v="319683-498"/>
        <s v="313327-041"/>
        <s v="315163-434"/>
        <s v="327399-572"/>
        <s v="321932-536"/>
        <s v="320339-509"/>
        <s v="324814-550"/>
        <s v="323985-538"/>
        <s v="315609-444"/>
        <s v="324921-550"/>
        <s v="327198-572"/>
        <s v="324720-550"/>
        <s v="327190-572"/>
        <s v="319869-500"/>
        <s v="323800-538"/>
        <s v="323799-538"/>
        <s v="330620-597"/>
        <s v="323817-538"/>
        <s v="327292-572"/>
        <s v="324671-550"/>
        <s v="317911-482"/>
        <s v="317899-482"/>
        <s v="323807-538"/>
        <s v="323806-538"/>
        <s v="323198-537"/>
        <s v="323802-538"/>
        <s v="323879-538"/>
        <s v="323796-538"/>
        <s v="323811-538"/>
        <s v="330621-597"/>
        <s v="329850-590"/>
        <s v="323866-538"/>
        <s v="327028-571"/>
        <s v="327146-572"/>
        <s v="323221-537"/>
        <s v="324604-550"/>
        <s v="323899-538"/>
        <s v="324945-550"/>
        <s v="323897-538"/>
        <s v="323896-538"/>
        <s v="325088-552"/>
        <s v="314267-429"/>
        <s v="303203-030"/>
        <s v="306556-041"/>
        <s v="314262-429"/>
        <s v="325981-555"/>
        <s v="317734-481"/>
        <s v="308834-326"/>
        <s v="313942-429"/>
        <s v="329211-590"/>
        <s v="321336-527"/>
        <s v="307004-045"/>
        <s v="329835-590"/>
        <s v="314441-429"/>
        <s v="328919-584"/>
        <s v="323179-537"/>
        <s v="323763-538"/>
        <s v="323764-538"/>
        <s v="328921-584"/>
        <s v="327191-572"/>
        <s v="329833-590"/>
        <s v="313268-033"/>
        <s v="327101-572"/>
        <s v="315603-444"/>
        <s v="330610-597"/>
        <s v="326461-555"/>
        <s v="313252-033"/>
        <s v="323258-537"/>
        <s v="313790-429"/>
        <s v="320997-513"/>
        <s v="319164-496"/>
        <s v="328117-584"/>
        <s v="317727-481"/>
        <s v="326525-555"/>
        <s v="320156-509"/>
        <s v="327220-572"/>
        <s v="329861-590"/>
        <s v="323981-538"/>
        <s v="324730-550"/>
        <s v="329887-590"/>
        <s v="323902-538"/>
        <s v="323903-538"/>
        <s v="326509-555"/>
        <s v="323977-538"/>
        <s v="315118-434"/>
        <s v="314414-429"/>
        <s v="327276-572"/>
        <s v="329770-590"/>
        <s v="327249-572"/>
        <s v="325185-554"/>
        <s v="317246-475"/>
        <s v="327420-572"/>
        <s v="323615-538"/>
        <s v="323604-538"/>
        <s v="326401-555"/>
        <s v="327133-572"/>
        <s v="309802-353"/>
        <s v="324756-550"/>
        <s v="330553-597"/>
        <s v="312951-411"/>
        <s v="323110-537"/>
        <s v="324626-550"/>
        <s v="324805-550"/>
        <s v="323627-538"/>
        <s v="316613-461"/>
        <s v="324705-550"/>
        <s v="323619-538"/>
        <s v="329980-592"/>
        <s v="329767-590"/>
        <s v="329768-590"/>
        <s v="327147-572"/>
        <s v="330551-597"/>
        <s v="332573-610"/>
        <s v="327402-572"/>
        <s v="315195-436"/>
        <s v="324641-550"/>
        <s v="328866-584"/>
        <s v="324907-550"/>
        <s v="327293-572"/>
        <s v="323598-538"/>
        <s v="323596-538"/>
        <s v="327203-572"/>
        <s v="316095-460"/>
        <s v="312361-410"/>
        <s v="322387-537"/>
        <s v="316377-461"/>
        <s v="322392-537"/>
        <s v="309766-353"/>
        <s v="313987-429"/>
        <s v="307300-045"/>
        <s v="313057-412"/>
        <s v="322395-537"/>
        <s v="309751-353"/>
        <s v="316893-466"/>
        <s v="322394-537"/>
        <s v="322393-537"/>
        <s v="316739-465"/>
        <s v="328456-584"/>
        <s v="328457-584"/>
        <s v="316404-461"/>
        <s v="328455-584"/>
        <s v="B15077"/>
        <s v="309163-343"/>
        <s v="324461-539"/>
        <s v="309167-343"/>
        <s v="321113-513"/>
        <s v="308708-323"/>
        <s v="312356-407"/>
        <s v="309059-336"/>
        <s v="324369-539"/>
        <s v="309161-343"/>
        <s v="309170-343"/>
        <s v="307079-045"/>
        <s v="316269-461"/>
        <s v="323766-538"/>
        <s v="324829-550"/>
        <s v="327254-572"/>
        <s v="323767-538"/>
        <s v="309764-353"/>
        <s v="328520-584"/>
        <s v="310286-358"/>
        <s v="314992-434"/>
        <s v="328487-584"/>
        <s v="315436-444"/>
        <s v="325806-555"/>
        <s v="328478-584"/>
        <s v="328485-584"/>
        <s v="328486-584"/>
        <s v="328479-584"/>
        <s v="328608-584"/>
        <s v="320253-509"/>
        <s v="321428-527"/>
        <s v="328116-584"/>
        <s v="311097-368"/>
        <s v="326912-571"/>
        <s v="328389-584"/>
        <s v="328390-584"/>
        <s v="328388-584"/>
        <s v="321457-527"/>
        <s v="321072-513"/>
        <s v="331799-610"/>
        <s v="308609-323"/>
        <s v="328391-584"/>
        <s v="307340-045"/>
        <s v="322531-537"/>
        <s v="328508-584"/>
        <s v="314562-432"/>
        <s v="317866-482"/>
        <s v="328355-584"/>
        <s v="325679-555"/>
        <s v="312032-394"/>
        <s v="311942-393"/>
        <s v="328522-584"/>
        <s v="309637-348"/>
        <s v="RB18038"/>
        <s v="321877-536"/>
        <s v="330644-597"/>
        <s v="330657-597"/>
        <s v="328287-584"/>
        <s v="324046-539"/>
        <s v="305426-036"/>
        <s v="321333-527"/>
        <s v="305428-036"/>
        <s v="322123-537"/>
        <s v="316885-466"/>
        <s v="315283-439"/>
        <s v="318358-493"/>
        <s v="309687-351"/>
        <s v="326947-571"/>
        <s v="305650-036"/>
        <s v="307376-045"/>
        <s v="328466-584"/>
        <s v="314052-429"/>
        <s v="303369-034"/>
        <s v="322518-537"/>
        <s v="313802-429"/>
        <s v="331422-610"/>
        <s v="322700-537"/>
        <s v="329807-590"/>
        <s v="323733-538"/>
        <s v="329806-590"/>
        <s v="329809-590"/>
        <s v="327467-572"/>
        <s v="324791-550"/>
        <s v="324689-550"/>
        <s v="324646-550"/>
        <s v="324896-550"/>
        <s v="324853-550"/>
        <s v="330597-597"/>
        <s v="330595-597"/>
        <s v="320310-509"/>
        <s v="327302-572"/>
        <s v="323734-538"/>
        <s v="324816-550"/>
        <s v="317026-466"/>
        <s v="324737-550"/>
        <s v="313243-033"/>
        <s v="310931-364"/>
        <s v="323522-538"/>
        <s v="324162-539"/>
        <s v="324719-550"/>
        <s v="310673-363"/>
        <s v="327217-572"/>
        <s v="323913-538"/>
        <s v="307022-045"/>
        <s v="321328-527"/>
        <s v="324164-539"/>
        <s v="308421-319"/>
        <s v="328491-584"/>
        <s v="328492-584"/>
        <s v="311181-369"/>
        <s v="330603-597"/>
        <s v="326450-555"/>
        <s v="327246-572"/>
        <s v="327178-572"/>
        <s v="326451-555"/>
        <s v="317956-482"/>
        <s v="313300-040"/>
        <s v="327441-572"/>
        <s v="324495-539"/>
        <s v="327417-572"/>
        <s v="326464-555"/>
        <s v="329830-590"/>
        <s v="326463-555"/>
        <s v="329831-590"/>
        <s v="329828-590"/>
        <s v="314195-429"/>
        <s v="314194-429"/>
        <s v="326946-571"/>
        <s v="322683-537"/>
        <s v="321417-527"/>
        <s v="305637-036"/>
        <s v="321975-537"/>
        <s v="309445-346"/>
        <s v="328911-584"/>
        <s v="313197-013"/>
        <s v="330988-609"/>
        <s v="319694-501"/>
        <s v="328960-584"/>
        <s v="320097-500"/>
        <s v="317271-475"/>
        <s v="327208-572"/>
        <s v="313283-036"/>
        <s v="327157-572"/>
        <s v="330652-597"/>
        <s v="325091-552"/>
        <s v="325092-552"/>
        <s v="327089-572"/>
        <s v="314686-433"/>
        <s v="312652-411"/>
        <s v="318758-494"/>
        <s v="328511-584"/>
        <s v="328517-584"/>
        <s v="323355-538"/>
        <s v="329023-590"/>
        <s v="315695-445"/>
        <s v="305487-036"/>
        <s v="328822-584"/>
        <s v="319542-496"/>
        <s v="319018-494"/>
        <s v="321636-527"/>
        <s v="323023-537"/>
        <s v="324649-550"/>
        <s v="324568-549"/>
        <s v="324265-539"/>
        <s v="319019-494"/>
        <s v="316581-461"/>
        <s v="314548-431"/>
        <s v="328833-584"/>
        <s v="324569-549"/>
        <s v="323022-537"/>
        <s v="323025-537"/>
        <s v="323376-538"/>
        <s v="324776-550"/>
        <s v="328825-584"/>
        <s v="328820-584"/>
        <s v="326314-555"/>
        <s v="315666-445"/>
        <s v="317583-481"/>
        <s v="323021-537"/>
        <s v="326568-564"/>
        <s v="321961-537"/>
        <s v="327863-584"/>
        <s v="315206-437"/>
        <s v="322567-537"/>
        <s v="320763-513"/>
        <s v="RB18083"/>
        <s v="330587-597"/>
        <s v="327333-572"/>
        <s v="324766-550"/>
        <s v="323456-538"/>
        <s v="324782-550"/>
        <s v="326429-555"/>
        <s v="314427-429"/>
        <s v="330584-597"/>
        <s v="323696-538"/>
        <s v="323697-538"/>
        <s v="323675-538"/>
        <s v="323702-538"/>
        <s v="328852-584"/>
        <s v="327357-572"/>
        <s v="320288-509"/>
        <s v="330588-597"/>
        <s v="315940-459"/>
        <s v="323701-538"/>
        <s v="327394-572"/>
        <s v="323724-538"/>
        <s v="323725-538"/>
        <s v="323699-538"/>
        <s v="327470-572"/>
        <s v="327140-572"/>
        <s v="317321-480"/>
        <s v="327229-572"/>
        <s v="327189-572"/>
        <s v="327413-572"/>
        <s v="315592-444"/>
        <s v="329796-590"/>
        <s v="328901-584"/>
        <s v="321923-536"/>
        <s v="323687-538"/>
        <s v="324670-550"/>
        <s v="330581-597"/>
        <s v="313545-421"/>
        <s v="320401-510"/>
        <s v="320998-513"/>
        <s v="313804-429"/>
        <s v="307820-047"/>
        <s v="313816-429"/>
        <s v="330082-597"/>
        <s v="316271-461"/>
        <s v="327285-572"/>
        <s v="329026-590"/>
        <s v="329029-590"/>
        <s v="327866-584"/>
        <s v="325229-555"/>
        <s v="305490-036"/>
        <s v="315318-444"/>
        <s v="316205-461"/>
        <s v="327415-572"/>
        <s v="328814-584"/>
        <s v="317043-466"/>
        <s v="320157-509"/>
        <s v="313809-429"/>
        <s v="322005-537"/>
        <s v="316276-461"/>
        <s v="324423-539"/>
        <s v="324372-539"/>
        <s v="320766-513"/>
        <s v="311652-380"/>
        <s v="329823-590"/>
        <s v="318129-493"/>
        <s v="323304-538"/>
        <s v="329989-597"/>
        <s v="331101-610"/>
        <s v="329016-590"/>
        <s v="326724-571"/>
        <s v="331088-610"/>
        <s v="331089-610"/>
        <s v="327314-572"/>
        <s v="308884-330"/>
        <s v="321279-527"/>
        <s v="329014-590"/>
        <s v="316917-466"/>
        <s v="310328-361"/>
        <s v="321821-536"/>
        <s v="307405-045"/>
        <s v="325002-552"/>
        <s v="308109-310"/>
        <s v="331094-610"/>
        <s v="329015-590"/>
        <s v="317045-466"/>
        <s v="321956-537"/>
        <s v="307272-045"/>
        <s v="321767-535"/>
        <s v="321825-536"/>
        <s v="321119-513"/>
        <s v="328494-584"/>
        <s v="316414-461"/>
        <s v="322529-537"/>
        <s v="321117-513"/>
        <s v="327826-584"/>
        <s v="307228-045"/>
        <s v="331036-609"/>
        <s v="RC19004"/>
        <s v="315778-455"/>
        <s v="AJ2036"/>
        <s v="D17014"/>
        <s v="319723-507"/>
        <s v="316332-461"/>
        <s v="324268-539"/>
        <s v="307357-045"/>
        <s v="321965-537"/>
        <s v="329027-590"/>
        <s v="RB18113"/>
        <s v="331097-610"/>
        <s v="327859-584"/>
        <s v="314202-429"/>
        <s v="318261-493"/>
        <s v="329328-590"/>
        <s v="305447-036"/>
        <s v="318546-494"/>
        <s v="B15119"/>
        <s v="318124-493"/>
        <s v="318126-493"/>
        <s v="329009-590"/>
        <s v="316905-466"/>
        <s v="308883-330"/>
        <s v="331106-610"/>
        <s v="329020-590"/>
        <s v="322656-537"/>
        <s v="500247-431"/>
        <s v="318796-494"/>
        <s v="314852-434"/>
        <s v="322658-537"/>
        <s v="322670-537"/>
        <s v="322671-537"/>
        <s v="309616-347"/>
        <s v="322662-537"/>
        <s v="324532-539"/>
        <s v="319815-500"/>
        <s v="311901-393"/>
        <s v="331083-610"/>
        <s v="A17028"/>
        <s v="315265-437"/>
        <s v="315223-437"/>
        <s v="326654-565"/>
        <s v="324917-550"/>
        <s v="323905-538"/>
        <s v="324924-550"/>
        <s v="323917-538"/>
        <s v="329867-590"/>
        <s v="327238-572"/>
        <s v="323930-538"/>
        <s v="323935-538"/>
        <s v="324773-550"/>
        <s v="323227-537"/>
        <s v="329868-590"/>
        <s v="325090-552"/>
        <s v="323918-538"/>
        <s v="313024-411"/>
        <s v="323907-538"/>
        <s v="327837-584"/>
        <s v="311127-368"/>
        <s v="326853-571"/>
        <s v="326852-57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4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9"/>
  </r>
  <r>
    <x v="9"/>
  </r>
  <r>
    <x v="10"/>
  </r>
  <r>
    <x v="10"/>
  </r>
  <r>
    <x v="11"/>
  </r>
  <r>
    <x v="12"/>
  </r>
  <r>
    <x v="13"/>
  </r>
  <r>
    <x v="14"/>
  </r>
  <r>
    <x v="15"/>
  </r>
  <r>
    <x v="15"/>
  </r>
  <r>
    <x v="16"/>
  </r>
  <r>
    <x v="17"/>
  </r>
  <r>
    <x v="18"/>
  </r>
  <r>
    <x v="19"/>
  </r>
  <r>
    <x v="19"/>
  </r>
  <r>
    <x v="19"/>
  </r>
  <r>
    <x v="20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0"/>
  </r>
  <r>
    <x v="33"/>
  </r>
  <r>
    <x v="31"/>
  </r>
  <r>
    <x v="34"/>
  </r>
  <r>
    <x v="32"/>
  </r>
  <r>
    <x v="35"/>
  </r>
  <r>
    <x v="36"/>
  </r>
  <r>
    <x v="37"/>
  </r>
  <r>
    <x v="36"/>
  </r>
  <r>
    <x v="38"/>
  </r>
  <r>
    <x v="37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47"/>
  </r>
  <r>
    <x v="48"/>
  </r>
  <r>
    <x v="52"/>
  </r>
  <r>
    <x v="49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3"/>
  </r>
  <r>
    <x v="64"/>
  </r>
  <r>
    <x v="65"/>
  </r>
  <r>
    <x v="66"/>
  </r>
  <r>
    <x v="67"/>
  </r>
  <r>
    <x v="67"/>
  </r>
  <r>
    <x v="68"/>
  </r>
  <r>
    <x v="69"/>
  </r>
  <r>
    <x v="70"/>
  </r>
  <r>
    <x v="70"/>
  </r>
  <r>
    <x v="71"/>
  </r>
  <r>
    <x v="72"/>
  </r>
  <r>
    <x v="73"/>
  </r>
  <r>
    <x v="74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1"/>
  </r>
  <r>
    <x v="91"/>
  </r>
  <r>
    <x v="91"/>
  </r>
  <r>
    <x v="92"/>
  </r>
  <r>
    <x v="92"/>
  </r>
  <r>
    <x v="92"/>
  </r>
  <r>
    <x v="93"/>
  </r>
  <r>
    <x v="93"/>
  </r>
  <r>
    <x v="94"/>
  </r>
  <r>
    <x v="95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3"/>
  </r>
  <r>
    <x v="104"/>
  </r>
  <r>
    <x v="105"/>
  </r>
  <r>
    <x v="106"/>
  </r>
  <r>
    <x v="106"/>
  </r>
  <r>
    <x v="106"/>
  </r>
  <r>
    <x v="107"/>
  </r>
  <r>
    <x v="107"/>
  </r>
  <r>
    <x v="108"/>
  </r>
  <r>
    <x v="109"/>
  </r>
  <r>
    <x v="110"/>
  </r>
  <r>
    <x v="111"/>
  </r>
  <r>
    <x v="112"/>
  </r>
  <r>
    <x v="112"/>
  </r>
  <r>
    <x v="113"/>
  </r>
  <r>
    <x v="114"/>
  </r>
  <r>
    <x v="115"/>
  </r>
  <r>
    <x v="116"/>
  </r>
  <r>
    <x v="117"/>
  </r>
  <r>
    <x v="118"/>
  </r>
  <r>
    <x v="118"/>
  </r>
  <r>
    <x v="118"/>
  </r>
  <r>
    <x v="118"/>
  </r>
  <r>
    <x v="118"/>
  </r>
  <r>
    <x v="119"/>
  </r>
  <r>
    <x v="120"/>
  </r>
  <r>
    <x v="121"/>
  </r>
  <r>
    <x v="122"/>
  </r>
  <r>
    <x v="123"/>
  </r>
  <r>
    <x v="123"/>
  </r>
  <r>
    <x v="124"/>
  </r>
  <r>
    <x v="124"/>
  </r>
  <r>
    <x v="125"/>
  </r>
  <r>
    <x v="126"/>
  </r>
  <r>
    <x v="127"/>
  </r>
  <r>
    <x v="127"/>
  </r>
  <r>
    <x v="128"/>
  </r>
  <r>
    <x v="129"/>
  </r>
  <r>
    <x v="130"/>
  </r>
  <r>
    <x v="131"/>
  </r>
  <r>
    <x v="131"/>
  </r>
  <r>
    <x v="132"/>
  </r>
  <r>
    <x v="133"/>
  </r>
  <r>
    <x v="134"/>
  </r>
  <r>
    <x v="135"/>
  </r>
  <r>
    <x v="136"/>
  </r>
  <r>
    <x v="137"/>
  </r>
  <r>
    <x v="138"/>
  </r>
  <r>
    <x v="138"/>
  </r>
  <r>
    <x v="139"/>
  </r>
  <r>
    <x v="139"/>
  </r>
  <r>
    <x v="140"/>
  </r>
  <r>
    <x v="141"/>
  </r>
  <r>
    <x v="141"/>
  </r>
  <r>
    <x v="142"/>
  </r>
  <r>
    <x v="143"/>
  </r>
  <r>
    <x v="144"/>
  </r>
  <r>
    <x v="145"/>
  </r>
  <r>
    <x v="146"/>
  </r>
  <r>
    <x v="147"/>
  </r>
  <r>
    <x v="148"/>
  </r>
  <r>
    <x v="148"/>
  </r>
  <r>
    <x v="149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8"/>
  </r>
  <r>
    <x v="159"/>
  </r>
  <r>
    <x v="159"/>
  </r>
  <r>
    <x v="159"/>
  </r>
  <r>
    <x v="160"/>
  </r>
  <r>
    <x v="161"/>
  </r>
  <r>
    <x v="162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6"/>
  </r>
  <r>
    <x v="177"/>
  </r>
  <r>
    <x v="178"/>
  </r>
  <r>
    <x v="179"/>
  </r>
  <r>
    <x v="180"/>
  </r>
  <r>
    <x v="181"/>
  </r>
  <r>
    <x v="181"/>
  </r>
  <r>
    <x v="181"/>
  </r>
  <r>
    <x v="182"/>
  </r>
  <r>
    <x v="183"/>
  </r>
  <r>
    <x v="184"/>
  </r>
  <r>
    <x v="184"/>
  </r>
  <r>
    <x v="185"/>
  </r>
  <r>
    <x v="186"/>
  </r>
  <r>
    <x v="186"/>
  </r>
  <r>
    <x v="186"/>
  </r>
  <r>
    <x v="187"/>
  </r>
  <r>
    <x v="187"/>
  </r>
  <r>
    <x v="188"/>
  </r>
  <r>
    <x v="189"/>
  </r>
  <r>
    <x v="190"/>
  </r>
  <r>
    <x v="191"/>
  </r>
  <r>
    <x v="191"/>
  </r>
  <r>
    <x v="192"/>
  </r>
  <r>
    <x v="193"/>
  </r>
  <r>
    <x v="193"/>
  </r>
  <r>
    <x v="193"/>
  </r>
  <r>
    <x v="193"/>
  </r>
  <r>
    <x v="193"/>
  </r>
  <r>
    <x v="194"/>
  </r>
  <r>
    <x v="194"/>
  </r>
  <r>
    <x v="194"/>
  </r>
  <r>
    <x v="144"/>
  </r>
  <r>
    <x v="195"/>
  </r>
  <r>
    <x v="195"/>
  </r>
  <r>
    <x v="195"/>
  </r>
  <r>
    <x v="195"/>
  </r>
  <r>
    <x v="195"/>
  </r>
  <r>
    <x v="195"/>
  </r>
  <r>
    <x v="196"/>
  </r>
  <r>
    <x v="197"/>
  </r>
  <r>
    <x v="198"/>
  </r>
  <r>
    <x v="198"/>
  </r>
  <r>
    <x v="198"/>
  </r>
  <r>
    <x v="199"/>
  </r>
  <r>
    <x v="200"/>
  </r>
  <r>
    <x v="201"/>
  </r>
  <r>
    <x v="202"/>
  </r>
  <r>
    <x v="203"/>
  </r>
  <r>
    <x v="203"/>
  </r>
  <r>
    <x v="203"/>
  </r>
  <r>
    <x v="204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19"/>
  </r>
  <r>
    <x v="220"/>
  </r>
  <r>
    <x v="221"/>
  </r>
  <r>
    <x v="222"/>
  </r>
  <r>
    <x v="223"/>
  </r>
  <r>
    <x v="223"/>
  </r>
  <r>
    <x v="224"/>
  </r>
  <r>
    <x v="225"/>
  </r>
  <r>
    <x v="226"/>
  </r>
  <r>
    <x v="227"/>
  </r>
  <r>
    <x v="228"/>
  </r>
  <r>
    <x v="229"/>
  </r>
  <r>
    <x v="230"/>
  </r>
  <r>
    <x v="230"/>
  </r>
  <r>
    <x v="230"/>
  </r>
  <r>
    <x v="231"/>
  </r>
  <r>
    <x v="232"/>
  </r>
  <r>
    <x v="232"/>
  </r>
  <r>
    <x v="232"/>
  </r>
  <r>
    <x v="233"/>
  </r>
  <r>
    <x v="234"/>
  </r>
  <r>
    <x v="235"/>
  </r>
  <r>
    <x v="235"/>
  </r>
  <r>
    <x v="235"/>
  </r>
  <r>
    <x v="235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3"/>
  </r>
  <r>
    <x v="253"/>
  </r>
  <r>
    <x v="254"/>
  </r>
  <r>
    <x v="254"/>
  </r>
  <r>
    <x v="254"/>
  </r>
  <r>
    <x v="255"/>
  </r>
  <r>
    <x v="255"/>
  </r>
  <r>
    <x v="255"/>
  </r>
  <r>
    <x v="256"/>
  </r>
  <r>
    <x v="256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4"/>
  </r>
  <r>
    <x v="264"/>
  </r>
  <r>
    <x v="265"/>
  </r>
  <r>
    <x v="265"/>
  </r>
  <r>
    <x v="266"/>
  </r>
  <r>
    <x v="267"/>
  </r>
  <r>
    <x v="218"/>
  </r>
  <r>
    <x v="219"/>
  </r>
  <r>
    <x v="219"/>
  </r>
  <r>
    <x v="220"/>
  </r>
  <r>
    <x v="221"/>
  </r>
  <r>
    <x v="222"/>
  </r>
  <r>
    <x v="223"/>
  </r>
  <r>
    <x v="223"/>
  </r>
  <r>
    <x v="224"/>
  </r>
  <r>
    <x v="225"/>
  </r>
  <r>
    <x v="268"/>
  </r>
  <r>
    <x v="269"/>
  </r>
  <r>
    <x v="270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8"/>
  </r>
  <r>
    <x v="278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6"/>
  </r>
  <r>
    <x v="287"/>
  </r>
  <r>
    <x v="288"/>
  </r>
  <r>
    <x v="289"/>
  </r>
  <r>
    <x v="290"/>
  </r>
  <r>
    <x v="291"/>
  </r>
  <r>
    <x v="292"/>
  </r>
  <r>
    <x v="293"/>
  </r>
  <r>
    <x v="293"/>
  </r>
  <r>
    <x v="293"/>
  </r>
  <r>
    <x v="293"/>
  </r>
  <r>
    <x v="293"/>
  </r>
  <r>
    <x v="293"/>
  </r>
  <r>
    <x v="293"/>
  </r>
  <r>
    <x v="293"/>
  </r>
  <r>
    <x v="293"/>
  </r>
  <r>
    <x v="293"/>
  </r>
  <r>
    <x v="294"/>
  </r>
  <r>
    <x v="295"/>
  </r>
  <r>
    <x v="295"/>
  </r>
  <r>
    <x v="296"/>
  </r>
  <r>
    <x v="297"/>
  </r>
  <r>
    <x v="298"/>
  </r>
  <r>
    <x v="299"/>
  </r>
  <r>
    <x v="300"/>
  </r>
  <r>
    <x v="301"/>
  </r>
  <r>
    <x v="302"/>
  </r>
  <r>
    <x v="303"/>
  </r>
  <r>
    <x v="304"/>
  </r>
  <r>
    <x v="305"/>
  </r>
  <r>
    <x v="306"/>
  </r>
  <r>
    <x v="307"/>
  </r>
  <r>
    <x v="308"/>
  </r>
  <r>
    <x v="309"/>
  </r>
  <r>
    <x v="309"/>
  </r>
  <r>
    <x v="310"/>
  </r>
  <r>
    <x v="311"/>
  </r>
  <r>
    <x v="312"/>
  </r>
  <r>
    <x v="313"/>
  </r>
  <r>
    <x v="314"/>
  </r>
  <r>
    <x v="315"/>
  </r>
  <r>
    <x v="316"/>
  </r>
  <r>
    <x v="316"/>
  </r>
  <r>
    <x v="317"/>
  </r>
  <r>
    <x v="318"/>
  </r>
  <r>
    <x v="319"/>
  </r>
  <r>
    <x v="320"/>
  </r>
  <r>
    <x v="321"/>
  </r>
  <r>
    <x v="322"/>
  </r>
  <r>
    <x v="323"/>
  </r>
  <r>
    <x v="323"/>
  </r>
  <r>
    <x v="324"/>
  </r>
  <r>
    <x v="324"/>
  </r>
  <r>
    <x v="324"/>
  </r>
  <r>
    <x v="325"/>
  </r>
  <r>
    <x v="326"/>
  </r>
  <r>
    <x v="326"/>
  </r>
  <r>
    <x v="326"/>
  </r>
  <r>
    <x v="327"/>
  </r>
  <r>
    <x v="328"/>
  </r>
  <r>
    <x v="329"/>
  </r>
  <r>
    <x v="330"/>
  </r>
  <r>
    <x v="331"/>
  </r>
  <r>
    <x v="331"/>
  </r>
  <r>
    <x v="331"/>
  </r>
  <r>
    <x v="332"/>
  </r>
  <r>
    <x v="333"/>
  </r>
  <r>
    <x v="334"/>
  </r>
  <r>
    <x v="335"/>
  </r>
  <r>
    <x v="336"/>
  </r>
  <r>
    <x v="337"/>
  </r>
  <r>
    <x v="338"/>
  </r>
  <r>
    <x v="339"/>
  </r>
  <r>
    <x v="340"/>
  </r>
  <r>
    <x v="341"/>
  </r>
  <r>
    <x v="342"/>
  </r>
  <r>
    <x v="343"/>
  </r>
  <r>
    <x v="344"/>
  </r>
  <r>
    <x v="345"/>
  </r>
  <r>
    <x v="345"/>
  </r>
  <r>
    <x v="346"/>
  </r>
  <r>
    <x v="347"/>
  </r>
  <r>
    <x v="348"/>
  </r>
  <r>
    <x v="349"/>
  </r>
  <r>
    <x v="349"/>
  </r>
  <r>
    <x v="350"/>
  </r>
  <r>
    <x v="351"/>
  </r>
  <r>
    <x v="352"/>
  </r>
  <r>
    <x v="353"/>
  </r>
  <r>
    <x v="353"/>
  </r>
  <r>
    <x v="353"/>
  </r>
  <r>
    <x v="353"/>
  </r>
  <r>
    <x v="354"/>
  </r>
  <r>
    <x v="355"/>
  </r>
  <r>
    <x v="355"/>
  </r>
  <r>
    <x v="355"/>
  </r>
  <r>
    <x v="356"/>
  </r>
  <r>
    <x v="357"/>
  </r>
  <r>
    <x v="358"/>
  </r>
  <r>
    <x v="359"/>
  </r>
  <r>
    <x v="360"/>
  </r>
  <r>
    <x v="361"/>
  </r>
  <r>
    <x v="362"/>
  </r>
  <r>
    <x v="362"/>
  </r>
  <r>
    <x v="363"/>
  </r>
  <r>
    <x v="363"/>
  </r>
  <r>
    <x v="364"/>
  </r>
  <r>
    <x v="365"/>
  </r>
  <r>
    <x v="366"/>
  </r>
  <r>
    <x v="367"/>
  </r>
  <r>
    <x v="367"/>
  </r>
  <r>
    <x v="367"/>
  </r>
  <r>
    <x v="367"/>
  </r>
  <r>
    <x v="368"/>
  </r>
  <r>
    <x v="369"/>
  </r>
  <r>
    <x v="369"/>
  </r>
  <r>
    <x v="370"/>
  </r>
  <r>
    <x v="371"/>
  </r>
  <r>
    <x v="372"/>
  </r>
  <r>
    <x v="373"/>
  </r>
  <r>
    <x v="374"/>
  </r>
  <r>
    <x v="375"/>
  </r>
  <r>
    <x v="376"/>
  </r>
  <r>
    <x v="377"/>
  </r>
  <r>
    <x v="378"/>
  </r>
  <r>
    <x v="379"/>
  </r>
  <r>
    <x v="379"/>
  </r>
  <r>
    <x v="380"/>
  </r>
  <r>
    <x v="381"/>
  </r>
  <r>
    <x v="382"/>
  </r>
  <r>
    <x v="382"/>
  </r>
  <r>
    <x v="383"/>
  </r>
  <r>
    <x v="384"/>
  </r>
  <r>
    <x v="384"/>
  </r>
  <r>
    <x v="385"/>
  </r>
  <r>
    <x v="386"/>
  </r>
  <r>
    <x v="386"/>
  </r>
  <r>
    <x v="386"/>
  </r>
  <r>
    <x v="387"/>
  </r>
  <r>
    <x v="388"/>
  </r>
  <r>
    <x v="389"/>
  </r>
  <r>
    <x v="390"/>
  </r>
  <r>
    <x v="390"/>
  </r>
  <r>
    <x v="390"/>
  </r>
  <r>
    <x v="390"/>
  </r>
  <r>
    <x v="391"/>
  </r>
  <r>
    <x v="392"/>
  </r>
  <r>
    <x v="393"/>
  </r>
  <r>
    <x v="393"/>
  </r>
  <r>
    <x v="394"/>
  </r>
  <r>
    <x v="395"/>
  </r>
  <r>
    <x v="396"/>
  </r>
  <r>
    <x v="397"/>
  </r>
  <r>
    <x v="397"/>
  </r>
  <r>
    <x v="398"/>
  </r>
  <r>
    <x v="399"/>
  </r>
  <r>
    <x v="400"/>
  </r>
  <r>
    <x v="401"/>
  </r>
  <r>
    <x v="401"/>
  </r>
  <r>
    <x v="402"/>
  </r>
  <r>
    <x v="402"/>
  </r>
  <r>
    <x v="402"/>
  </r>
  <r>
    <x v="403"/>
  </r>
  <r>
    <x v="403"/>
  </r>
  <r>
    <x v="403"/>
  </r>
  <r>
    <x v="403"/>
  </r>
  <r>
    <x v="403"/>
  </r>
  <r>
    <x v="404"/>
  </r>
  <r>
    <x v="404"/>
  </r>
  <r>
    <x v="404"/>
  </r>
  <r>
    <x v="404"/>
  </r>
  <r>
    <x v="404"/>
  </r>
  <r>
    <x v="405"/>
  </r>
  <r>
    <x v="405"/>
  </r>
  <r>
    <x v="405"/>
  </r>
  <r>
    <x v="405"/>
  </r>
  <r>
    <x v="405"/>
  </r>
  <r>
    <x v="406"/>
  </r>
  <r>
    <x v="406"/>
  </r>
  <r>
    <x v="407"/>
  </r>
  <r>
    <x v="407"/>
  </r>
  <r>
    <x v="407"/>
  </r>
  <r>
    <x v="408"/>
  </r>
  <r>
    <x v="409"/>
  </r>
  <r>
    <x v="410"/>
  </r>
  <r>
    <x v="410"/>
  </r>
  <r>
    <x v="410"/>
  </r>
  <r>
    <x v="410"/>
  </r>
  <r>
    <x v="410"/>
  </r>
  <r>
    <x v="411"/>
  </r>
  <r>
    <x v="412"/>
  </r>
  <r>
    <x v="413"/>
  </r>
  <r>
    <x v="414"/>
  </r>
  <r>
    <x v="415"/>
  </r>
  <r>
    <x v="416"/>
  </r>
  <r>
    <x v="417"/>
  </r>
  <r>
    <x v="418"/>
  </r>
  <r>
    <x v="419"/>
  </r>
  <r>
    <x v="420"/>
  </r>
  <r>
    <x v="421"/>
  </r>
  <r>
    <x v="422"/>
  </r>
  <r>
    <x v="423"/>
  </r>
  <r>
    <x v="424"/>
  </r>
  <r>
    <x v="425"/>
  </r>
  <r>
    <x v="426"/>
  </r>
  <r>
    <x v="427"/>
  </r>
  <r>
    <x v="428"/>
  </r>
  <r>
    <x v="428"/>
  </r>
  <r>
    <x v="428"/>
  </r>
  <r>
    <x v="34"/>
  </r>
  <r>
    <x v="429"/>
  </r>
  <r>
    <x v="430"/>
  </r>
  <r>
    <x v="431"/>
  </r>
  <r>
    <x v="37"/>
  </r>
  <r>
    <x v="37"/>
  </r>
  <r>
    <x v="432"/>
  </r>
  <r>
    <x v="39"/>
  </r>
  <r>
    <x v="433"/>
  </r>
  <r>
    <x v="434"/>
  </r>
  <r>
    <x v="435"/>
  </r>
  <r>
    <x v="436"/>
  </r>
  <r>
    <x v="436"/>
  </r>
  <r>
    <x v="436"/>
  </r>
  <r>
    <x v="437"/>
  </r>
  <r>
    <x v="438"/>
  </r>
  <r>
    <x v="439"/>
  </r>
  <r>
    <x v="40"/>
  </r>
  <r>
    <x v="41"/>
  </r>
  <r>
    <x v="42"/>
  </r>
  <r>
    <x v="440"/>
  </r>
  <r>
    <x v="441"/>
  </r>
  <r>
    <x v="442"/>
  </r>
  <r>
    <x v="443"/>
  </r>
  <r>
    <x v="444"/>
  </r>
  <r>
    <x v="444"/>
  </r>
  <r>
    <x v="445"/>
  </r>
  <r>
    <x v="446"/>
  </r>
  <r>
    <x v="447"/>
  </r>
  <r>
    <x v="448"/>
  </r>
  <r>
    <x v="449"/>
  </r>
  <r>
    <x v="450"/>
  </r>
  <r>
    <x v="451"/>
  </r>
  <r>
    <x v="44"/>
  </r>
  <r>
    <x v="452"/>
  </r>
  <r>
    <x v="453"/>
  </r>
  <r>
    <x v="454"/>
  </r>
  <r>
    <x v="455"/>
  </r>
  <r>
    <x v="456"/>
  </r>
  <r>
    <x v="457"/>
  </r>
  <r>
    <x v="458"/>
  </r>
  <r>
    <x v="459"/>
  </r>
  <r>
    <x v="460"/>
  </r>
  <r>
    <x v="461"/>
  </r>
  <r>
    <x v="462"/>
  </r>
  <r>
    <x v="463"/>
  </r>
  <r>
    <x v="464"/>
  </r>
  <r>
    <x v="465"/>
  </r>
  <r>
    <x v="466"/>
  </r>
  <r>
    <x v="467"/>
  </r>
  <r>
    <x v="468"/>
  </r>
  <r>
    <x v="469"/>
  </r>
  <r>
    <x v="470"/>
  </r>
  <r>
    <x v="471"/>
  </r>
  <r>
    <x v="471"/>
  </r>
  <r>
    <x v="472"/>
  </r>
  <r>
    <x v="473"/>
  </r>
  <r>
    <x v="474"/>
  </r>
  <r>
    <x v="32"/>
  </r>
  <r>
    <x v="475"/>
  </r>
  <r>
    <x v="51"/>
  </r>
  <r>
    <x v="51"/>
  </r>
  <r>
    <x v="476"/>
  </r>
  <r>
    <x v="477"/>
  </r>
  <r>
    <x v="478"/>
  </r>
  <r>
    <x v="479"/>
  </r>
  <r>
    <x v="480"/>
  </r>
  <r>
    <x v="481"/>
  </r>
  <r>
    <x v="482"/>
  </r>
  <r>
    <x v="483"/>
  </r>
  <r>
    <x v="483"/>
  </r>
  <r>
    <x v="483"/>
  </r>
  <r>
    <x v="484"/>
  </r>
  <r>
    <x v="485"/>
  </r>
  <r>
    <x v="486"/>
  </r>
  <r>
    <x v="487"/>
  </r>
  <r>
    <x v="488"/>
  </r>
  <r>
    <x v="489"/>
  </r>
  <r>
    <x v="490"/>
  </r>
  <r>
    <x v="491"/>
  </r>
  <r>
    <x v="491"/>
  </r>
  <r>
    <x v="492"/>
  </r>
  <r>
    <x v="493"/>
  </r>
  <r>
    <x v="494"/>
  </r>
  <r>
    <x v="494"/>
  </r>
  <r>
    <x v="495"/>
  </r>
  <r>
    <x v="496"/>
  </r>
  <r>
    <x v="497"/>
  </r>
  <r>
    <x v="497"/>
  </r>
  <r>
    <x v="498"/>
  </r>
  <r>
    <x v="55"/>
  </r>
  <r>
    <x v="55"/>
  </r>
  <r>
    <x v="499"/>
  </r>
  <r>
    <x v="500"/>
  </r>
  <r>
    <x v="501"/>
  </r>
  <r>
    <x v="501"/>
  </r>
  <r>
    <x v="502"/>
  </r>
  <r>
    <x v="503"/>
  </r>
  <r>
    <x v="56"/>
  </r>
  <r>
    <x v="504"/>
  </r>
  <r>
    <x v="57"/>
  </r>
  <r>
    <x v="58"/>
  </r>
  <r>
    <x v="505"/>
  </r>
  <r>
    <x v="506"/>
  </r>
  <r>
    <x v="507"/>
  </r>
  <r>
    <x v="508"/>
  </r>
  <r>
    <x v="59"/>
  </r>
  <r>
    <x v="59"/>
  </r>
  <r>
    <x v="509"/>
  </r>
  <r>
    <x v="510"/>
  </r>
  <r>
    <x v="511"/>
  </r>
  <r>
    <x v="512"/>
  </r>
  <r>
    <x v="513"/>
  </r>
  <r>
    <x v="513"/>
  </r>
  <r>
    <x v="514"/>
  </r>
  <r>
    <x v="515"/>
  </r>
  <r>
    <x v="516"/>
  </r>
  <r>
    <x v="517"/>
  </r>
  <r>
    <x v="518"/>
  </r>
  <r>
    <x v="519"/>
  </r>
  <r>
    <x v="520"/>
  </r>
  <r>
    <x v="521"/>
  </r>
  <r>
    <x v="522"/>
  </r>
  <r>
    <x v="523"/>
  </r>
  <r>
    <x v="524"/>
  </r>
  <r>
    <x v="525"/>
  </r>
  <r>
    <x v="526"/>
  </r>
  <r>
    <x v="527"/>
  </r>
  <r>
    <x v="527"/>
  </r>
  <r>
    <x v="528"/>
  </r>
  <r>
    <x v="528"/>
  </r>
  <r>
    <x v="529"/>
  </r>
  <r>
    <x v="530"/>
  </r>
  <r>
    <x v="531"/>
  </r>
  <r>
    <x v="532"/>
  </r>
  <r>
    <x v="533"/>
  </r>
  <r>
    <x v="534"/>
  </r>
  <r>
    <x v="534"/>
  </r>
  <r>
    <x v="535"/>
  </r>
  <r>
    <x v="536"/>
  </r>
  <r>
    <x v="536"/>
  </r>
  <r>
    <x v="536"/>
  </r>
  <r>
    <x v="537"/>
  </r>
  <r>
    <x v="538"/>
  </r>
  <r>
    <x v="539"/>
  </r>
  <r>
    <x v="539"/>
  </r>
  <r>
    <x v="539"/>
  </r>
  <r>
    <x v="539"/>
  </r>
  <r>
    <x v="540"/>
  </r>
  <r>
    <x v="541"/>
  </r>
  <r>
    <x v="542"/>
  </r>
  <r>
    <x v="543"/>
  </r>
  <r>
    <x v="544"/>
  </r>
  <r>
    <x v="545"/>
  </r>
  <r>
    <x v="546"/>
  </r>
  <r>
    <x v="547"/>
  </r>
  <r>
    <x v="547"/>
  </r>
  <r>
    <x v="548"/>
  </r>
  <r>
    <x v="549"/>
  </r>
  <r>
    <x v="550"/>
  </r>
  <r>
    <x v="551"/>
  </r>
  <r>
    <x v="552"/>
  </r>
  <r>
    <x v="553"/>
  </r>
  <r>
    <x v="553"/>
  </r>
  <r>
    <x v="554"/>
  </r>
  <r>
    <x v="555"/>
  </r>
  <r>
    <x v="556"/>
  </r>
  <r>
    <x v="557"/>
  </r>
  <r>
    <x v="557"/>
  </r>
  <r>
    <x v="558"/>
  </r>
  <r>
    <x v="559"/>
  </r>
  <r>
    <x v="560"/>
  </r>
  <r>
    <x v="561"/>
  </r>
  <r>
    <x v="561"/>
  </r>
  <r>
    <x v="562"/>
  </r>
  <r>
    <x v="563"/>
  </r>
  <r>
    <x v="564"/>
  </r>
  <r>
    <x v="565"/>
  </r>
  <r>
    <x v="566"/>
  </r>
  <r>
    <x v="567"/>
  </r>
  <r>
    <x v="568"/>
  </r>
  <r>
    <x v="569"/>
  </r>
  <r>
    <x v="569"/>
  </r>
  <r>
    <x v="570"/>
  </r>
  <r>
    <x v="571"/>
  </r>
  <r>
    <x v="572"/>
  </r>
  <r>
    <x v="573"/>
  </r>
  <r>
    <x v="574"/>
  </r>
  <r>
    <x v="575"/>
  </r>
  <r>
    <x v="274"/>
  </r>
  <r>
    <x v="576"/>
  </r>
  <r>
    <x v="577"/>
  </r>
  <r>
    <x v="578"/>
  </r>
  <r>
    <x v="578"/>
  </r>
  <r>
    <x v="579"/>
  </r>
  <r>
    <x v="580"/>
  </r>
  <r>
    <x v="581"/>
  </r>
  <r>
    <x v="582"/>
  </r>
  <r>
    <x v="583"/>
  </r>
  <r>
    <x v="584"/>
  </r>
  <r>
    <x v="585"/>
  </r>
  <r>
    <x v="585"/>
  </r>
  <r>
    <x v="578"/>
  </r>
  <r>
    <x v="578"/>
  </r>
  <r>
    <x v="586"/>
  </r>
  <r>
    <x v="587"/>
  </r>
  <r>
    <x v="588"/>
  </r>
  <r>
    <x v="589"/>
  </r>
  <r>
    <x v="590"/>
  </r>
  <r>
    <x v="591"/>
  </r>
  <r>
    <x v="592"/>
  </r>
  <r>
    <x v="593"/>
  </r>
  <r>
    <x v="594"/>
  </r>
  <r>
    <x v="595"/>
  </r>
  <r>
    <x v="596"/>
  </r>
  <r>
    <x v="596"/>
  </r>
  <r>
    <x v="597"/>
  </r>
  <r>
    <x v="598"/>
  </r>
  <r>
    <x v="599"/>
  </r>
  <r>
    <x v="600"/>
  </r>
  <r>
    <x v="601"/>
  </r>
  <r>
    <x v="602"/>
  </r>
  <r>
    <x v="603"/>
  </r>
  <r>
    <x v="604"/>
  </r>
  <r>
    <x v="605"/>
  </r>
  <r>
    <x v="606"/>
  </r>
  <r>
    <x v="606"/>
  </r>
  <r>
    <x v="607"/>
  </r>
  <r>
    <x v="608"/>
  </r>
  <r>
    <x v="609"/>
  </r>
  <r>
    <x v="609"/>
  </r>
  <r>
    <x v="610"/>
  </r>
  <r>
    <x v="611"/>
  </r>
  <r>
    <x v="578"/>
  </r>
  <r>
    <x v="578"/>
  </r>
  <r>
    <x v="612"/>
  </r>
  <r>
    <x v="612"/>
  </r>
  <r>
    <x v="612"/>
  </r>
  <r>
    <x v="612"/>
  </r>
  <r>
    <x v="579"/>
  </r>
  <r>
    <x v="586"/>
  </r>
  <r>
    <x v="232"/>
  </r>
  <r>
    <x v="613"/>
  </r>
  <r>
    <x v="613"/>
  </r>
  <r>
    <x v="613"/>
  </r>
  <r>
    <x v="614"/>
  </r>
  <r>
    <x v="615"/>
  </r>
  <r>
    <x v="531"/>
  </r>
  <r>
    <x v="533"/>
  </r>
  <r>
    <x v="616"/>
  </r>
  <r>
    <x v="617"/>
  </r>
  <r>
    <x v="618"/>
  </r>
  <r>
    <x v="618"/>
  </r>
  <r>
    <x v="619"/>
  </r>
  <r>
    <x v="620"/>
  </r>
  <r>
    <x v="620"/>
  </r>
  <r>
    <x v="620"/>
  </r>
  <r>
    <x v="621"/>
  </r>
  <r>
    <x v="622"/>
  </r>
  <r>
    <x v="623"/>
  </r>
  <r>
    <x v="624"/>
  </r>
  <r>
    <x v="625"/>
  </r>
  <r>
    <x v="626"/>
  </r>
  <r>
    <x v="627"/>
  </r>
  <r>
    <x v="628"/>
  </r>
  <r>
    <x v="628"/>
  </r>
  <r>
    <x v="629"/>
  </r>
  <r>
    <x v="630"/>
  </r>
  <r>
    <x v="630"/>
  </r>
  <r>
    <x v="631"/>
  </r>
  <r>
    <x v="632"/>
  </r>
  <r>
    <x v="633"/>
  </r>
  <r>
    <x v="634"/>
  </r>
  <r>
    <x v="635"/>
  </r>
  <r>
    <x v="636"/>
  </r>
  <r>
    <x v="637"/>
  </r>
  <r>
    <x v="638"/>
  </r>
  <r>
    <x v="639"/>
  </r>
  <r>
    <x v="640"/>
  </r>
  <r>
    <x v="641"/>
  </r>
  <r>
    <x v="642"/>
  </r>
  <r>
    <x v="643"/>
  </r>
  <r>
    <x v="644"/>
  </r>
  <r>
    <x v="645"/>
  </r>
  <r>
    <x v="646"/>
  </r>
  <r>
    <x v="647"/>
  </r>
  <r>
    <x v="648"/>
  </r>
  <r>
    <x v="649"/>
  </r>
  <r>
    <x v="650"/>
  </r>
  <r>
    <x v="651"/>
  </r>
  <r>
    <x v="652"/>
  </r>
  <r>
    <x v="653"/>
  </r>
  <r>
    <x v="654"/>
  </r>
  <r>
    <x v="655"/>
  </r>
  <r>
    <x v="656"/>
  </r>
  <r>
    <x v="657"/>
  </r>
  <r>
    <x v="658"/>
  </r>
  <r>
    <x v="659"/>
  </r>
  <r>
    <x v="660"/>
  </r>
  <r>
    <x v="661"/>
  </r>
  <r>
    <x v="661"/>
  </r>
  <r>
    <x v="661"/>
  </r>
  <r>
    <x v="661"/>
  </r>
  <r>
    <x v="662"/>
  </r>
  <r>
    <x v="663"/>
  </r>
  <r>
    <x v="664"/>
  </r>
  <r>
    <x v="665"/>
  </r>
  <r>
    <x v="666"/>
  </r>
  <r>
    <x v="667"/>
  </r>
  <r>
    <x v="668"/>
  </r>
  <r>
    <x v="669"/>
  </r>
  <r>
    <x v="670"/>
  </r>
  <r>
    <x v="671"/>
  </r>
  <r>
    <x v="672"/>
  </r>
  <r>
    <x v="673"/>
  </r>
  <r>
    <x v="674"/>
  </r>
  <r>
    <x v="675"/>
  </r>
  <r>
    <x v="676"/>
  </r>
  <r>
    <x v="677"/>
  </r>
  <r>
    <x v="678"/>
  </r>
  <r>
    <x v="679"/>
  </r>
  <r>
    <x v="679"/>
  </r>
  <r>
    <x v="679"/>
  </r>
  <r>
    <x v="679"/>
  </r>
  <r>
    <x v="680"/>
  </r>
  <r>
    <x v="681"/>
  </r>
  <r>
    <x v="682"/>
  </r>
  <r>
    <x v="683"/>
  </r>
  <r>
    <x v="684"/>
  </r>
  <r>
    <x v="684"/>
  </r>
  <r>
    <x v="684"/>
  </r>
  <r>
    <x v="685"/>
  </r>
  <r>
    <x v="686"/>
  </r>
  <r>
    <x v="687"/>
  </r>
  <r>
    <x v="688"/>
  </r>
  <r>
    <x v="689"/>
  </r>
  <r>
    <x v="690"/>
  </r>
  <r>
    <x v="691"/>
  </r>
  <r>
    <x v="692"/>
  </r>
  <r>
    <x v="693"/>
  </r>
  <r>
    <x v="694"/>
  </r>
  <r>
    <x v="695"/>
  </r>
  <r>
    <x v="696"/>
  </r>
  <r>
    <x v="697"/>
  </r>
  <r>
    <x v="698"/>
  </r>
  <r>
    <x v="699"/>
  </r>
  <r>
    <x v="700"/>
  </r>
  <r>
    <x v="700"/>
  </r>
  <r>
    <x v="701"/>
  </r>
  <r>
    <x v="702"/>
  </r>
  <r>
    <x v="703"/>
  </r>
  <r>
    <x v="704"/>
  </r>
  <r>
    <x v="705"/>
  </r>
  <r>
    <x v="706"/>
  </r>
  <r>
    <x v="707"/>
  </r>
  <r>
    <x v="708"/>
  </r>
  <r>
    <x v="709"/>
  </r>
  <r>
    <x v="710"/>
  </r>
  <r>
    <x v="711"/>
  </r>
  <r>
    <x v="712"/>
  </r>
  <r>
    <x v="713"/>
  </r>
  <r>
    <x v="714"/>
  </r>
  <r>
    <x v="715"/>
  </r>
  <r>
    <x v="716"/>
  </r>
  <r>
    <x v="717"/>
  </r>
  <r>
    <x v="718"/>
  </r>
  <r>
    <x v="719"/>
  </r>
  <r>
    <x v="720"/>
  </r>
  <r>
    <x v="721"/>
  </r>
  <r>
    <x v="722"/>
  </r>
  <r>
    <x v="723"/>
  </r>
  <r>
    <x v="724"/>
  </r>
  <r>
    <x v="725"/>
  </r>
  <r>
    <x v="726"/>
  </r>
  <r>
    <x v="727"/>
  </r>
  <r>
    <x v="728"/>
  </r>
  <r>
    <x v="729"/>
  </r>
  <r>
    <x v="729"/>
  </r>
  <r>
    <x v="730"/>
  </r>
  <r>
    <x v="731"/>
  </r>
  <r>
    <x v="732"/>
  </r>
  <r>
    <x v="733"/>
  </r>
  <r>
    <x v="734"/>
  </r>
  <r>
    <x v="735"/>
  </r>
  <r>
    <x v="736"/>
  </r>
  <r>
    <x v="736"/>
  </r>
  <r>
    <x v="737"/>
  </r>
  <r>
    <x v="738"/>
  </r>
  <r>
    <x v="739"/>
  </r>
  <r>
    <x v="740"/>
  </r>
  <r>
    <x v="741"/>
  </r>
  <r>
    <x v="742"/>
  </r>
  <r>
    <x v="743"/>
  </r>
  <r>
    <x v="744"/>
  </r>
  <r>
    <x v="180"/>
  </r>
  <r>
    <x v="745"/>
  </r>
  <r>
    <x v="745"/>
  </r>
  <r>
    <x v="746"/>
  </r>
  <r>
    <x v="747"/>
  </r>
  <r>
    <x v="748"/>
  </r>
  <r>
    <x v="748"/>
  </r>
  <r>
    <x v="748"/>
  </r>
  <r>
    <x v="749"/>
  </r>
  <r>
    <x v="749"/>
  </r>
  <r>
    <x v="749"/>
  </r>
  <r>
    <x v="750"/>
  </r>
  <r>
    <x v="751"/>
  </r>
  <r>
    <x v="752"/>
  </r>
  <r>
    <x v="753"/>
  </r>
  <r>
    <x v="754"/>
  </r>
  <r>
    <x v="755"/>
  </r>
  <r>
    <x v="755"/>
  </r>
  <r>
    <x v="756"/>
  </r>
  <r>
    <x v="757"/>
  </r>
  <r>
    <x v="757"/>
  </r>
  <r>
    <x v="758"/>
  </r>
  <r>
    <x v="758"/>
  </r>
  <r>
    <x v="759"/>
  </r>
  <r>
    <x v="759"/>
  </r>
  <r>
    <x v="759"/>
  </r>
  <r>
    <x v="570"/>
  </r>
  <r>
    <x v="760"/>
  </r>
  <r>
    <x v="761"/>
  </r>
  <r>
    <x v="762"/>
  </r>
  <r>
    <x v="762"/>
  </r>
  <r>
    <x v="762"/>
  </r>
  <r>
    <x v="762"/>
  </r>
  <r>
    <x v="762"/>
  </r>
  <r>
    <x v="763"/>
  </r>
  <r>
    <x v="763"/>
  </r>
  <r>
    <x v="763"/>
  </r>
  <r>
    <x v="764"/>
  </r>
  <r>
    <x v="765"/>
  </r>
  <r>
    <x v="766"/>
  </r>
  <r>
    <x v="767"/>
  </r>
  <r>
    <x v="768"/>
  </r>
  <r>
    <x v="769"/>
  </r>
  <r>
    <x v="770"/>
  </r>
  <r>
    <x v="770"/>
  </r>
  <r>
    <x v="771"/>
  </r>
  <r>
    <x v="772"/>
  </r>
  <r>
    <x v="773"/>
  </r>
  <r>
    <x v="774"/>
  </r>
  <r>
    <x v="775"/>
  </r>
  <r>
    <x v="776"/>
  </r>
  <r>
    <x v="777"/>
  </r>
  <r>
    <x v="778"/>
  </r>
  <r>
    <x v="779"/>
  </r>
  <r>
    <x v="780"/>
  </r>
  <r>
    <x v="781"/>
  </r>
  <r>
    <x v="782"/>
  </r>
  <r>
    <x v="783"/>
  </r>
  <r>
    <x v="784"/>
  </r>
  <r>
    <x v="784"/>
  </r>
  <r>
    <x v="785"/>
  </r>
  <r>
    <x v="786"/>
  </r>
  <r>
    <x v="787"/>
  </r>
  <r>
    <x v="788"/>
  </r>
  <r>
    <x v="789"/>
  </r>
  <r>
    <x v="790"/>
  </r>
  <r>
    <x v="791"/>
  </r>
  <r>
    <x v="792"/>
  </r>
  <r>
    <x v="792"/>
  </r>
  <r>
    <x v="792"/>
  </r>
  <r>
    <x v="793"/>
  </r>
  <r>
    <x v="793"/>
  </r>
  <r>
    <x v="794"/>
  </r>
  <r>
    <x v="180"/>
  </r>
  <r>
    <x v="180"/>
  </r>
  <r>
    <x v="795"/>
  </r>
  <r>
    <x v="796"/>
  </r>
  <r>
    <x v="797"/>
  </r>
  <r>
    <x v="798"/>
  </r>
  <r>
    <x v="799"/>
  </r>
  <r>
    <x v="800"/>
  </r>
  <r>
    <x v="801"/>
  </r>
  <r>
    <x v="802"/>
  </r>
  <r>
    <x v="803"/>
  </r>
  <r>
    <x v="804"/>
  </r>
  <r>
    <x v="805"/>
  </r>
  <r>
    <x v="806"/>
  </r>
  <r>
    <x v="807"/>
  </r>
  <r>
    <x v="808"/>
  </r>
  <r>
    <x v="809"/>
  </r>
  <r>
    <x v="810"/>
  </r>
  <r>
    <x v="811"/>
  </r>
  <r>
    <x v="812"/>
  </r>
  <r>
    <x v="813"/>
  </r>
  <r>
    <x v="813"/>
  </r>
  <r>
    <x v="814"/>
  </r>
  <r>
    <x v="815"/>
  </r>
  <r>
    <x v="816"/>
  </r>
  <r>
    <x v="817"/>
  </r>
  <r>
    <x v="818"/>
  </r>
  <r>
    <x v="819"/>
  </r>
  <r>
    <x v="820"/>
  </r>
  <r>
    <x v="821"/>
  </r>
  <r>
    <x v="822"/>
  </r>
  <r>
    <x v="823"/>
  </r>
  <r>
    <x v="824"/>
  </r>
  <r>
    <x v="824"/>
  </r>
  <r>
    <x v="824"/>
  </r>
  <r>
    <x v="824"/>
  </r>
  <r>
    <x v="825"/>
  </r>
  <r>
    <x v="826"/>
  </r>
  <r>
    <x v="827"/>
  </r>
  <r>
    <x v="828"/>
  </r>
  <r>
    <x v="829"/>
  </r>
  <r>
    <x v="830"/>
  </r>
  <r>
    <x v="831"/>
  </r>
  <r>
    <x v="832"/>
  </r>
  <r>
    <x v="832"/>
  </r>
  <r>
    <x v="833"/>
  </r>
  <r>
    <x v="834"/>
  </r>
  <r>
    <x v="835"/>
  </r>
  <r>
    <x v="836"/>
  </r>
  <r>
    <x v="837"/>
  </r>
  <r>
    <x v="838"/>
  </r>
  <r>
    <x v="839"/>
  </r>
  <r>
    <x v="840"/>
  </r>
  <r>
    <x v="841"/>
  </r>
  <r>
    <x v="842"/>
  </r>
  <r>
    <x v="843"/>
  </r>
  <r>
    <x v="844"/>
  </r>
  <r>
    <x v="845"/>
  </r>
  <r>
    <x v="846"/>
  </r>
  <r>
    <x v="847"/>
  </r>
  <r>
    <x v="848"/>
  </r>
  <r>
    <x v="849"/>
  </r>
  <r>
    <x v="850"/>
  </r>
  <r>
    <x v="851"/>
  </r>
  <r>
    <x v="851"/>
  </r>
  <r>
    <x v="851"/>
  </r>
  <r>
    <x v="852"/>
  </r>
  <r>
    <x v="852"/>
  </r>
  <r>
    <x v="853"/>
  </r>
  <r>
    <x v="854"/>
  </r>
  <r>
    <x v="855"/>
  </r>
  <r>
    <x v="856"/>
  </r>
  <r>
    <x v="857"/>
  </r>
  <r>
    <x v="857"/>
  </r>
  <r>
    <x v="857"/>
  </r>
  <r>
    <x v="857"/>
  </r>
  <r>
    <x v="858"/>
  </r>
  <r>
    <x v="859"/>
  </r>
  <r>
    <x v="859"/>
  </r>
  <r>
    <x v="860"/>
  </r>
  <r>
    <x v="861"/>
  </r>
  <r>
    <x v="862"/>
  </r>
  <r>
    <x v="862"/>
  </r>
  <r>
    <x v="862"/>
  </r>
  <r>
    <x v="863"/>
  </r>
  <r>
    <x v="553"/>
  </r>
  <r>
    <x v="864"/>
  </r>
  <r>
    <x v="865"/>
  </r>
  <r>
    <x v="866"/>
  </r>
  <r>
    <x v="867"/>
  </r>
  <r>
    <x v="867"/>
  </r>
  <r>
    <x v="867"/>
  </r>
  <r>
    <x v="867"/>
  </r>
  <r>
    <x v="867"/>
  </r>
  <r>
    <x v="867"/>
  </r>
  <r>
    <x v="867"/>
  </r>
  <r>
    <x v="867"/>
  </r>
  <r>
    <x v="867"/>
  </r>
  <r>
    <x v="867"/>
  </r>
  <r>
    <x v="868"/>
  </r>
  <r>
    <x v="869"/>
  </r>
  <r>
    <x v="870"/>
  </r>
  <r>
    <x v="871"/>
  </r>
  <r>
    <x v="872"/>
  </r>
  <r>
    <x v="873"/>
  </r>
  <r>
    <x v="874"/>
  </r>
  <r>
    <x v="875"/>
  </r>
  <r>
    <x v="876"/>
  </r>
  <r>
    <x v="877"/>
  </r>
  <r>
    <x v="877"/>
  </r>
  <r>
    <x v="878"/>
  </r>
  <r>
    <x v="879"/>
  </r>
  <r>
    <x v="880"/>
  </r>
  <r>
    <x v="881"/>
  </r>
  <r>
    <x v="882"/>
  </r>
  <r>
    <x v="883"/>
  </r>
  <r>
    <x v="883"/>
  </r>
  <r>
    <x v="883"/>
  </r>
  <r>
    <x v="884"/>
  </r>
  <r>
    <x v="885"/>
  </r>
  <r>
    <x v="886"/>
  </r>
  <r>
    <x v="887"/>
  </r>
  <r>
    <x v="888"/>
  </r>
  <r>
    <x v="889"/>
  </r>
  <r>
    <x v="890"/>
  </r>
  <r>
    <x v="891"/>
  </r>
  <r>
    <x v="891"/>
  </r>
  <r>
    <x v="892"/>
  </r>
  <r>
    <x v="892"/>
  </r>
  <r>
    <x v="892"/>
  </r>
  <r>
    <x v="893"/>
  </r>
  <r>
    <x v="894"/>
  </r>
  <r>
    <x v="895"/>
  </r>
  <r>
    <x v="896"/>
  </r>
  <r>
    <x v="897"/>
  </r>
  <r>
    <x v="898"/>
  </r>
  <r>
    <x v="899"/>
  </r>
  <r>
    <x v="900"/>
  </r>
  <r>
    <x v="901"/>
  </r>
  <r>
    <x v="902"/>
  </r>
  <r>
    <x v="903"/>
  </r>
  <r>
    <x v="904"/>
  </r>
  <r>
    <x v="905"/>
  </r>
  <r>
    <x v="906"/>
  </r>
  <r>
    <x v="907"/>
  </r>
  <r>
    <x v="908"/>
  </r>
  <r>
    <x v="909"/>
  </r>
  <r>
    <x v="910"/>
  </r>
  <r>
    <x v="911"/>
  </r>
  <r>
    <x v="912"/>
  </r>
  <r>
    <x v="913"/>
  </r>
  <r>
    <x v="914"/>
  </r>
  <r>
    <x v="915"/>
  </r>
  <r>
    <x v="916"/>
  </r>
  <r>
    <x v="917"/>
  </r>
  <r>
    <x v="918"/>
  </r>
  <r>
    <x v="919"/>
  </r>
  <r>
    <x v="920"/>
  </r>
  <r>
    <x v="921"/>
  </r>
  <r>
    <x v="922"/>
  </r>
  <r>
    <x v="923"/>
  </r>
  <r>
    <x v="924"/>
  </r>
  <r>
    <x v="925"/>
  </r>
  <r>
    <x v="926"/>
  </r>
  <r>
    <x v="927"/>
  </r>
  <r>
    <x v="928"/>
  </r>
  <r>
    <x v="929"/>
  </r>
  <r>
    <x v="930"/>
  </r>
  <r>
    <x v="931"/>
  </r>
  <r>
    <x v="932"/>
  </r>
  <r>
    <x v="933"/>
  </r>
  <r>
    <x v="934"/>
  </r>
  <r>
    <x v="934"/>
  </r>
  <r>
    <x v="935"/>
  </r>
  <r>
    <x v="936"/>
  </r>
  <r>
    <x v="937"/>
  </r>
  <r>
    <x v="938"/>
  </r>
  <r>
    <x v="938"/>
  </r>
  <r>
    <x v="939"/>
  </r>
  <r>
    <x v="940"/>
  </r>
  <r>
    <x v="941"/>
  </r>
  <r>
    <x v="942"/>
  </r>
  <r>
    <x v="943"/>
  </r>
  <r>
    <x v="944"/>
  </r>
  <r>
    <x v="779"/>
  </r>
  <r>
    <x v="780"/>
  </r>
  <r>
    <x v="945"/>
  </r>
  <r>
    <x v="946"/>
  </r>
  <r>
    <x v="947"/>
  </r>
  <r>
    <x v="948"/>
  </r>
  <r>
    <x v="949"/>
  </r>
  <r>
    <x v="950"/>
  </r>
  <r>
    <x v="951"/>
  </r>
  <r>
    <x v="952"/>
  </r>
  <r>
    <x v="953"/>
  </r>
  <r>
    <x v="954"/>
  </r>
  <r>
    <x v="955"/>
  </r>
  <r>
    <x v="956"/>
  </r>
  <r>
    <x v="957"/>
  </r>
  <r>
    <x v="958"/>
  </r>
  <r>
    <x v="959"/>
  </r>
  <r>
    <x v="960"/>
  </r>
  <r>
    <x v="961"/>
  </r>
  <r>
    <x v="962"/>
  </r>
  <r>
    <x v="962"/>
  </r>
  <r>
    <x v="963"/>
  </r>
  <r>
    <x v="964"/>
  </r>
  <r>
    <x v="965"/>
  </r>
  <r>
    <x v="966"/>
  </r>
  <r>
    <x v="967"/>
  </r>
  <r>
    <x v="967"/>
  </r>
  <r>
    <x v="967"/>
  </r>
  <r>
    <x v="967"/>
  </r>
  <r>
    <x v="967"/>
  </r>
  <r>
    <x v="968"/>
  </r>
  <r>
    <x v="969"/>
  </r>
  <r>
    <x v="970"/>
  </r>
  <r>
    <x v="971"/>
  </r>
  <r>
    <x v="972"/>
  </r>
  <r>
    <x v="973"/>
  </r>
  <r>
    <x v="974"/>
  </r>
  <r>
    <x v="975"/>
  </r>
  <r>
    <x v="975"/>
  </r>
  <r>
    <x v="976"/>
  </r>
  <r>
    <x v="976"/>
  </r>
  <r>
    <x v="977"/>
  </r>
  <r>
    <x v="978"/>
  </r>
  <r>
    <x v="979"/>
  </r>
  <r>
    <x v="979"/>
  </r>
  <r>
    <x v="980"/>
  </r>
  <r>
    <x v="981"/>
  </r>
  <r>
    <x v="966"/>
  </r>
  <r>
    <x v="982"/>
  </r>
  <r>
    <x v="983"/>
  </r>
  <r>
    <x v="984"/>
  </r>
  <r>
    <x v="924"/>
  </r>
  <r>
    <x v="985"/>
  </r>
  <r>
    <x v="986"/>
  </r>
  <r>
    <x v="987"/>
  </r>
  <r>
    <x v="988"/>
  </r>
  <r>
    <x v="989"/>
  </r>
  <r>
    <x v="990"/>
  </r>
  <r>
    <x v="991"/>
  </r>
  <r>
    <x v="992"/>
  </r>
  <r>
    <x v="993"/>
  </r>
  <r>
    <x v="994"/>
  </r>
  <r>
    <x v="994"/>
  </r>
  <r>
    <x v="995"/>
  </r>
  <r>
    <x v="995"/>
  </r>
  <r>
    <x v="996"/>
  </r>
  <r>
    <x v="997"/>
  </r>
  <r>
    <x v="997"/>
  </r>
  <r>
    <x v="998"/>
  </r>
  <r>
    <x v="999"/>
  </r>
  <r>
    <x v="1000"/>
  </r>
  <r>
    <x v="1001"/>
  </r>
  <r>
    <x v="1002"/>
  </r>
  <r>
    <x v="1003"/>
  </r>
  <r>
    <x v="1004"/>
  </r>
  <r>
    <x v="1005"/>
  </r>
  <r>
    <x v="1006"/>
  </r>
  <r>
    <x v="1007"/>
  </r>
  <r>
    <x v="1008"/>
  </r>
  <r>
    <x v="1009"/>
  </r>
  <r>
    <x v="1010"/>
  </r>
  <r>
    <x v="1011"/>
  </r>
  <r>
    <x v="1012"/>
  </r>
  <r>
    <x v="1013"/>
  </r>
  <r>
    <x v="1014"/>
  </r>
  <r>
    <x v="1015"/>
  </r>
  <r>
    <x v="1016"/>
  </r>
  <r>
    <x v="1017"/>
  </r>
  <r>
    <x v="1018"/>
  </r>
  <r>
    <x v="1019"/>
  </r>
  <r>
    <x v="1020"/>
  </r>
  <r>
    <x v="1021"/>
  </r>
  <r>
    <x v="1022"/>
  </r>
  <r>
    <x v="1023"/>
  </r>
  <r>
    <x v="1024"/>
  </r>
  <r>
    <x v="1025"/>
  </r>
  <r>
    <x v="1026"/>
  </r>
  <r>
    <x v="1026"/>
  </r>
  <r>
    <x v="1026"/>
  </r>
  <r>
    <x v="1027"/>
  </r>
  <r>
    <x v="1028"/>
  </r>
  <r>
    <x v="1029"/>
  </r>
  <r>
    <x v="1030"/>
  </r>
  <r>
    <x v="1031"/>
  </r>
  <r>
    <x v="1032"/>
  </r>
  <r>
    <x v="1033"/>
  </r>
  <r>
    <x v="1034"/>
  </r>
  <r>
    <x v="1035"/>
  </r>
  <r>
    <x v="1036"/>
  </r>
  <r>
    <x v="1037"/>
  </r>
  <r>
    <x v="1038"/>
  </r>
  <r>
    <x v="1039"/>
  </r>
  <r>
    <x v="1040"/>
  </r>
  <r>
    <x v="1041"/>
  </r>
  <r>
    <x v="1042"/>
  </r>
  <r>
    <x v="1043"/>
  </r>
  <r>
    <x v="1044"/>
  </r>
  <r>
    <x v="1045"/>
  </r>
  <r>
    <x v="1046"/>
  </r>
  <r>
    <x v="1046"/>
  </r>
  <r>
    <x v="1046"/>
  </r>
  <r>
    <x v="1047"/>
  </r>
  <r>
    <x v="1048"/>
  </r>
  <r>
    <x v="1049"/>
  </r>
  <r>
    <x v="1050"/>
  </r>
  <r>
    <x v="1051"/>
  </r>
  <r>
    <x v="1052"/>
  </r>
  <r>
    <x v="1053"/>
  </r>
  <r>
    <x v="1054"/>
  </r>
  <r>
    <x v="1055"/>
  </r>
  <r>
    <x v="1056"/>
  </r>
  <r>
    <x v="31"/>
  </r>
  <r>
    <x v="33"/>
  </r>
  <r>
    <x v="31"/>
  </r>
  <r>
    <x v="1057"/>
  </r>
  <r>
    <x v="1058"/>
  </r>
  <r>
    <x v="34"/>
  </r>
  <r>
    <x v="32"/>
  </r>
  <r>
    <x v="36"/>
  </r>
  <r>
    <x v="37"/>
  </r>
  <r>
    <x v="433"/>
  </r>
  <r>
    <x v="436"/>
  </r>
  <r>
    <x v="1059"/>
  </r>
  <r>
    <x v="36"/>
  </r>
  <r>
    <x v="37"/>
  </r>
  <r>
    <x v="433"/>
  </r>
  <r>
    <x v="435"/>
  </r>
  <r>
    <x v="436"/>
  </r>
  <r>
    <x v="1060"/>
  </r>
  <r>
    <x v="40"/>
  </r>
  <r>
    <x v="42"/>
  </r>
  <r>
    <x v="444"/>
  </r>
  <r>
    <x v="445"/>
  </r>
  <r>
    <x v="1061"/>
  </r>
  <r>
    <x v="462"/>
  </r>
  <r>
    <x v="1062"/>
  </r>
  <r>
    <x v="1063"/>
  </r>
  <r>
    <x v="47"/>
  </r>
  <r>
    <x v="1063"/>
  </r>
  <r>
    <x v="1064"/>
  </r>
  <r>
    <x v="47"/>
  </r>
  <r>
    <x v="1065"/>
  </r>
  <r>
    <x v="52"/>
  </r>
  <r>
    <x v="53"/>
  </r>
  <r>
    <x v="54"/>
  </r>
  <r>
    <x v="55"/>
  </r>
  <r>
    <x v="1066"/>
  </r>
  <r>
    <x v="56"/>
  </r>
  <r>
    <x v="1067"/>
  </r>
  <r>
    <x v="1068"/>
  </r>
  <r>
    <x v="1069"/>
  </r>
  <r>
    <x v="1070"/>
  </r>
  <r>
    <x v="1071"/>
  </r>
  <r>
    <x v="1072"/>
  </r>
  <r>
    <x v="1073"/>
  </r>
  <r>
    <x v="1074"/>
  </r>
  <r>
    <x v="1075"/>
  </r>
  <r>
    <x v="1076"/>
  </r>
  <r>
    <x v="1077"/>
  </r>
  <r>
    <x v="1078"/>
  </r>
  <r>
    <x v="1079"/>
  </r>
  <r>
    <x v="1080"/>
  </r>
  <r>
    <x v="286"/>
  </r>
  <r>
    <x v="286"/>
  </r>
  <r>
    <x v="1081"/>
  </r>
  <r>
    <x v="1082"/>
  </r>
  <r>
    <x v="1083"/>
  </r>
  <r>
    <x v="1084"/>
  </r>
  <r>
    <x v="1085"/>
  </r>
  <r>
    <x v="1086"/>
  </r>
  <r>
    <x v="1087"/>
  </r>
  <r>
    <x v="1088"/>
  </r>
  <r>
    <x v="1089"/>
  </r>
  <r>
    <x v="1090"/>
  </r>
  <r>
    <x v="1091"/>
  </r>
  <r>
    <x v="1092"/>
  </r>
  <r>
    <x v="1092"/>
  </r>
  <r>
    <x v="1093"/>
  </r>
  <r>
    <x v="1094"/>
  </r>
  <r>
    <x v="1095"/>
  </r>
  <r>
    <x v="1096"/>
  </r>
  <r>
    <x v="1097"/>
  </r>
  <r>
    <x v="1098"/>
  </r>
  <r>
    <x v="1099"/>
  </r>
  <r>
    <x v="1099"/>
  </r>
  <r>
    <x v="1100"/>
  </r>
  <r>
    <x v="1100"/>
  </r>
  <r>
    <x v="1101"/>
  </r>
  <r>
    <x v="1101"/>
  </r>
  <r>
    <x v="1102"/>
  </r>
  <r>
    <x v="831"/>
  </r>
  <r>
    <x v="1103"/>
  </r>
  <r>
    <x v="1104"/>
  </r>
  <r>
    <x v="1105"/>
  </r>
  <r>
    <x v="1106"/>
  </r>
  <r>
    <x v="1107"/>
  </r>
  <r>
    <x v="1108"/>
  </r>
  <r>
    <x v="1109"/>
  </r>
  <r>
    <x v="1109"/>
  </r>
  <r>
    <x v="1110"/>
  </r>
  <r>
    <x v="1110"/>
  </r>
  <r>
    <x v="1111"/>
  </r>
  <r>
    <x v="1112"/>
  </r>
  <r>
    <x v="1113"/>
  </r>
  <r>
    <x v="1114"/>
  </r>
  <r>
    <x v="1115"/>
  </r>
  <r>
    <x v="1116"/>
  </r>
  <r>
    <x v="1117"/>
  </r>
  <r>
    <x v="1118"/>
  </r>
  <r>
    <x v="1119"/>
  </r>
  <r>
    <x v="1120"/>
  </r>
  <r>
    <x v="1120"/>
  </r>
  <r>
    <x v="1121"/>
  </r>
  <r>
    <x v="1121"/>
  </r>
  <r>
    <x v="1122"/>
  </r>
  <r>
    <x v="1122"/>
  </r>
  <r>
    <x v="1123"/>
  </r>
  <r>
    <x v="1124"/>
  </r>
  <r>
    <x v="1125"/>
  </r>
  <r>
    <x v="1126"/>
  </r>
  <r>
    <x v="1127"/>
  </r>
  <r>
    <x v="1128"/>
  </r>
  <r>
    <x v="1128"/>
  </r>
  <r>
    <x v="1129"/>
  </r>
  <r>
    <x v="1130"/>
  </r>
  <r>
    <x v="1131"/>
  </r>
  <r>
    <x v="1132"/>
  </r>
  <r>
    <x v="1133"/>
  </r>
  <r>
    <x v="1133"/>
  </r>
  <r>
    <x v="1133"/>
  </r>
  <r>
    <x v="1133"/>
  </r>
  <r>
    <x v="1134"/>
  </r>
  <r>
    <x v="1134"/>
  </r>
  <r>
    <x v="1134"/>
  </r>
  <r>
    <x v="1134"/>
  </r>
  <r>
    <x v="1134"/>
  </r>
  <r>
    <x v="1134"/>
  </r>
  <r>
    <x v="1134"/>
  </r>
  <r>
    <x v="1134"/>
  </r>
  <r>
    <x v="1134"/>
  </r>
  <r>
    <x v="1134"/>
  </r>
  <r>
    <x v="1134"/>
  </r>
  <r>
    <x v="1032"/>
  </r>
  <r>
    <x v="71"/>
  </r>
  <r>
    <x v="1135"/>
  </r>
  <r>
    <x v="1136"/>
  </r>
  <r>
    <x v="1137"/>
  </r>
  <r>
    <x v="1137"/>
  </r>
  <r>
    <x v="1138"/>
  </r>
  <r>
    <x v="1139"/>
  </r>
  <r>
    <x v="1140"/>
  </r>
  <r>
    <x v="1141"/>
  </r>
  <r>
    <x v="1142"/>
  </r>
  <r>
    <x v="1143"/>
  </r>
  <r>
    <x v="1143"/>
  </r>
  <r>
    <x v="1144"/>
  </r>
  <r>
    <x v="1145"/>
  </r>
  <r>
    <x v="31"/>
  </r>
  <r>
    <x v="33"/>
  </r>
  <r>
    <x v="31"/>
  </r>
  <r>
    <x v="1057"/>
  </r>
  <r>
    <x v="1058"/>
  </r>
  <r>
    <x v="32"/>
  </r>
  <r>
    <x v="36"/>
  </r>
  <r>
    <x v="37"/>
  </r>
  <r>
    <x v="433"/>
  </r>
  <r>
    <x v="436"/>
  </r>
  <r>
    <x v="36"/>
  </r>
  <r>
    <x v="37"/>
  </r>
  <r>
    <x v="433"/>
  </r>
  <r>
    <x v="435"/>
  </r>
  <r>
    <x v="436"/>
  </r>
  <r>
    <x v="1060"/>
  </r>
  <r>
    <x v="40"/>
  </r>
  <r>
    <x v="42"/>
  </r>
  <r>
    <x v="444"/>
  </r>
  <r>
    <x v="445"/>
  </r>
  <r>
    <x v="1061"/>
  </r>
  <r>
    <x v="462"/>
  </r>
  <r>
    <x v="1062"/>
  </r>
  <r>
    <x v="1063"/>
  </r>
  <r>
    <x v="1063"/>
  </r>
  <r>
    <x v="1064"/>
  </r>
  <r>
    <x v="52"/>
  </r>
  <r>
    <x v="54"/>
  </r>
  <r>
    <x v="55"/>
  </r>
  <r>
    <x v="1066"/>
  </r>
  <r>
    <x v="1067"/>
  </r>
  <r>
    <x v="1068"/>
  </r>
  <r>
    <x v="1069"/>
  </r>
  <r>
    <x v="1146"/>
  </r>
  <r>
    <x v="1147"/>
  </r>
  <r>
    <x v="1148"/>
  </r>
  <r>
    <x v="1149"/>
  </r>
  <r>
    <x v="1149"/>
  </r>
  <r>
    <x v="1150"/>
  </r>
  <r>
    <x v="1151"/>
  </r>
  <r>
    <x v="1152"/>
  </r>
  <r>
    <x v="1153"/>
  </r>
  <r>
    <x v="1153"/>
  </r>
  <r>
    <x v="1154"/>
  </r>
  <r>
    <x v="1155"/>
  </r>
  <r>
    <x v="1156"/>
  </r>
  <r>
    <x v="1157"/>
  </r>
  <r>
    <x v="1158"/>
  </r>
  <r>
    <x v="1159"/>
  </r>
  <r>
    <x v="1160"/>
  </r>
  <r>
    <x v="1161"/>
  </r>
  <r>
    <x v="1162"/>
  </r>
  <r>
    <x v="1163"/>
  </r>
  <r>
    <x v="1164"/>
  </r>
  <r>
    <x v="1165"/>
  </r>
  <r>
    <x v="1166"/>
  </r>
  <r>
    <x v="1166"/>
  </r>
  <r>
    <x v="1078"/>
  </r>
  <r>
    <x v="1167"/>
  </r>
  <r>
    <x v="1168"/>
  </r>
  <r>
    <x v="1168"/>
  </r>
  <r>
    <x v="1168"/>
  </r>
  <r>
    <x v="1169"/>
  </r>
  <r>
    <x v="1170"/>
  </r>
  <r>
    <x v="1171"/>
  </r>
  <r>
    <x v="1172"/>
  </r>
  <r>
    <x v="1172"/>
  </r>
  <r>
    <x v="1173"/>
  </r>
  <r>
    <x v="1174"/>
  </r>
  <r>
    <x v="1174"/>
  </r>
  <r>
    <x v="1175"/>
  </r>
  <r>
    <x v="1175"/>
  </r>
  <r>
    <x v="1176"/>
  </r>
  <r>
    <x v="1177"/>
  </r>
  <r>
    <x v="1178"/>
  </r>
  <r>
    <x v="1179"/>
  </r>
  <r>
    <x v="1179"/>
  </r>
  <r>
    <x v="1180"/>
  </r>
  <r>
    <x v="1180"/>
  </r>
  <r>
    <x v="1180"/>
  </r>
  <r>
    <x v="1180"/>
  </r>
  <r>
    <x v="1181"/>
  </r>
  <r>
    <x v="1181"/>
  </r>
  <r>
    <x v="1181"/>
  </r>
  <r>
    <x v="1181"/>
  </r>
  <r>
    <x v="1181"/>
  </r>
  <r>
    <x v="1182"/>
  </r>
  <r>
    <x v="1183"/>
  </r>
  <r>
    <x v="1184"/>
  </r>
  <r>
    <x v="1185"/>
  </r>
  <r>
    <x v="1186"/>
  </r>
  <r>
    <x v="1187"/>
  </r>
  <r>
    <x v="1188"/>
  </r>
  <r>
    <x v="1189"/>
  </r>
  <r>
    <x v="1190"/>
  </r>
  <r>
    <x v="1191"/>
  </r>
  <r>
    <x v="1191"/>
  </r>
  <r>
    <x v="1191"/>
  </r>
  <r>
    <x v="1191"/>
  </r>
  <r>
    <x v="1191"/>
  </r>
  <r>
    <x v="1192"/>
  </r>
  <r>
    <x v="1193"/>
  </r>
  <r>
    <x v="1193"/>
  </r>
  <r>
    <x v="1194"/>
  </r>
  <r>
    <x v="1194"/>
  </r>
  <r>
    <x v="1194"/>
  </r>
  <r>
    <x v="1194"/>
  </r>
  <r>
    <x v="1194"/>
  </r>
  <r>
    <x v="1194"/>
  </r>
  <r>
    <x v="1194"/>
  </r>
  <r>
    <x v="1194"/>
  </r>
  <r>
    <x v="1194"/>
  </r>
  <r>
    <x v="1194"/>
  </r>
  <r>
    <x v="1194"/>
  </r>
  <r>
    <x v="1194"/>
  </r>
  <r>
    <x v="1194"/>
  </r>
  <r>
    <x v="1195"/>
  </r>
  <r>
    <x v="1196"/>
  </r>
  <r>
    <x v="1197"/>
  </r>
  <r>
    <x v="1197"/>
  </r>
  <r>
    <x v="1198"/>
  </r>
  <r>
    <x v="1198"/>
  </r>
  <r>
    <x v="1199"/>
  </r>
  <r>
    <x v="1200"/>
  </r>
  <r>
    <x v="1200"/>
  </r>
  <r>
    <x v="1201"/>
  </r>
  <r>
    <x v="1202"/>
  </r>
  <r>
    <x v="1203"/>
  </r>
  <r>
    <x v="1204"/>
  </r>
  <r>
    <x v="1205"/>
  </r>
  <r>
    <x v="1206"/>
  </r>
  <r>
    <x v="1207"/>
  </r>
  <r>
    <x v="1208"/>
  </r>
  <r>
    <x v="1209"/>
  </r>
  <r>
    <x v="1210"/>
  </r>
  <r>
    <x v="1211"/>
  </r>
  <r>
    <x v="1092"/>
  </r>
  <r>
    <x v="1092"/>
  </r>
  <r>
    <x v="1212"/>
  </r>
  <r>
    <x v="1213"/>
  </r>
  <r>
    <x v="1104"/>
  </r>
  <r>
    <x v="1104"/>
  </r>
  <r>
    <x v="1214"/>
  </r>
  <r>
    <x v="1215"/>
  </r>
  <r>
    <x v="1216"/>
  </r>
  <r>
    <x v="1217"/>
  </r>
  <r>
    <x v="1218"/>
  </r>
  <r>
    <x v="1218"/>
  </r>
  <r>
    <x v="1219"/>
  </r>
  <r>
    <x v="1220"/>
  </r>
  <r>
    <x v="1221"/>
  </r>
  <r>
    <x v="1222"/>
  </r>
  <r>
    <x v="1222"/>
  </r>
  <r>
    <x v="1223"/>
  </r>
  <r>
    <x v="1223"/>
  </r>
  <r>
    <x v="1224"/>
  </r>
  <r>
    <x v="1225"/>
  </r>
  <r>
    <x v="1225"/>
  </r>
  <r>
    <x v="1226"/>
  </r>
  <r>
    <x v="1227"/>
  </r>
  <r>
    <x v="1228"/>
  </r>
  <r>
    <x v="1214"/>
  </r>
  <r>
    <x v="1229"/>
  </r>
  <r>
    <x v="1230"/>
  </r>
  <r>
    <x v="1231"/>
  </r>
  <r>
    <x v="1232"/>
  </r>
  <r>
    <x v="1233"/>
  </r>
  <r>
    <x v="1234"/>
  </r>
  <r>
    <x v="1235"/>
  </r>
  <r>
    <x v="1236"/>
  </r>
  <r>
    <x v="1237"/>
  </r>
  <r>
    <x v="1238"/>
  </r>
  <r>
    <x v="1239"/>
  </r>
  <r>
    <x v="1240"/>
  </r>
  <r>
    <x v="1241"/>
  </r>
  <r>
    <x v="1242"/>
  </r>
  <r>
    <x v="1243"/>
  </r>
  <r>
    <x v="1244"/>
  </r>
  <r>
    <x v="1245"/>
  </r>
  <r>
    <x v="1246"/>
  </r>
  <r>
    <x v="1247"/>
  </r>
  <r>
    <x v="1247"/>
  </r>
  <r>
    <x v="1248"/>
  </r>
  <r>
    <x v="1248"/>
  </r>
  <r>
    <x v="1249"/>
  </r>
  <r>
    <x v="1250"/>
  </r>
  <r>
    <x v="968"/>
  </r>
  <r>
    <x v="1251"/>
  </r>
  <r>
    <x v="1252"/>
  </r>
  <r>
    <x v="1253"/>
  </r>
  <r>
    <x v="1254"/>
  </r>
  <r>
    <x v="1254"/>
  </r>
  <r>
    <x v="74"/>
  </r>
  <r>
    <x v="74"/>
  </r>
  <r>
    <x v="74"/>
  </r>
  <r>
    <x v="1255"/>
  </r>
  <r>
    <x v="1255"/>
  </r>
  <r>
    <x v="1256"/>
  </r>
  <r>
    <x v="1257"/>
  </r>
  <r>
    <x v="1258"/>
  </r>
  <r>
    <x v="1259"/>
  </r>
  <r>
    <x v="1260"/>
  </r>
  <r>
    <x v="1260"/>
  </r>
  <r>
    <x v="1261"/>
  </r>
  <r>
    <x v="1261"/>
  </r>
  <r>
    <x v="1262"/>
  </r>
  <r>
    <x v="1262"/>
  </r>
  <r>
    <x v="1262"/>
  </r>
  <r>
    <x v="1262"/>
  </r>
  <r>
    <x v="1263"/>
  </r>
  <r>
    <x v="1264"/>
  </r>
  <r>
    <x v="1265"/>
  </r>
  <r>
    <x v="252"/>
  </r>
  <r>
    <x v="1266"/>
  </r>
  <r>
    <x v="1124"/>
  </r>
  <r>
    <x v="1267"/>
  </r>
  <r>
    <x v="1212"/>
  </r>
  <r>
    <x v="1212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9"/>
  </r>
  <r>
    <x v="1269"/>
  </r>
  <r>
    <x v="1270"/>
  </r>
  <r>
    <x v="1271"/>
  </r>
  <r>
    <x v="1271"/>
  </r>
  <r>
    <x v="1271"/>
  </r>
  <r>
    <x v="1272"/>
  </r>
  <r>
    <x v="1273"/>
  </r>
  <r>
    <x v="1274"/>
  </r>
  <r>
    <x v="1274"/>
  </r>
  <r>
    <x v="1275"/>
  </r>
  <r>
    <x v="1276"/>
  </r>
  <r>
    <x v="1277"/>
  </r>
  <r>
    <x v="1278"/>
  </r>
  <r>
    <x v="1279"/>
  </r>
  <r>
    <x v="1279"/>
  </r>
  <r>
    <x v="1279"/>
  </r>
  <r>
    <x v="1279"/>
  </r>
  <r>
    <x v="67"/>
  </r>
  <r>
    <x v="1280"/>
  </r>
  <r>
    <x v="69"/>
  </r>
  <r>
    <x v="69"/>
  </r>
  <r>
    <x v="70"/>
  </r>
  <r>
    <x v="70"/>
  </r>
  <r>
    <x v="71"/>
  </r>
  <r>
    <x v="72"/>
  </r>
  <r>
    <x v="74"/>
  </r>
  <r>
    <x v="74"/>
  </r>
  <r>
    <x v="1281"/>
  </r>
  <r>
    <x v="1282"/>
  </r>
  <r>
    <x v="1283"/>
  </r>
  <r>
    <x v="1284"/>
  </r>
  <r>
    <x v="1285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86"/>
  </r>
  <r>
    <x v="1273"/>
  </r>
  <r>
    <x v="1215"/>
  </r>
  <r>
    <x v="1287"/>
  </r>
  <r>
    <x v="1288"/>
  </r>
  <r>
    <x v="1282"/>
  </r>
  <r>
    <x v="1282"/>
  </r>
  <r>
    <x v="1289"/>
  </r>
  <r>
    <x v="1289"/>
  </r>
  <r>
    <x v="1290"/>
  </r>
  <r>
    <x v="1291"/>
  </r>
  <r>
    <x v="1292"/>
  </r>
  <r>
    <x v="1293"/>
  </r>
  <r>
    <x v="1294"/>
  </r>
  <r>
    <x v="1295"/>
  </r>
  <r>
    <x v="1296"/>
  </r>
  <r>
    <x v="1297"/>
  </r>
  <r>
    <x v="1298"/>
  </r>
  <r>
    <x v="1299"/>
  </r>
  <r>
    <x v="1300"/>
  </r>
  <r>
    <x v="1301"/>
  </r>
  <r>
    <x v="1302"/>
  </r>
  <r>
    <x v="1303"/>
  </r>
  <r>
    <x v="1304"/>
  </r>
  <r>
    <x v="1305"/>
  </r>
  <r>
    <x v="1306"/>
  </r>
  <r>
    <x v="1307"/>
  </r>
  <r>
    <x v="1308"/>
  </r>
  <r>
    <x v="1308"/>
  </r>
  <r>
    <x v="1308"/>
  </r>
  <r>
    <x v="1309"/>
  </r>
  <r>
    <x v="1310"/>
  </r>
  <r>
    <x v="1310"/>
  </r>
  <r>
    <x v="1311"/>
  </r>
  <r>
    <x v="1312"/>
  </r>
  <r>
    <x v="1313"/>
  </r>
  <r>
    <x v="1314"/>
  </r>
  <r>
    <x v="1315"/>
  </r>
  <r>
    <x v="1316"/>
  </r>
  <r>
    <x v="1317"/>
  </r>
  <r>
    <x v="1318"/>
  </r>
  <r>
    <x v="1319"/>
  </r>
  <r>
    <x v="1320"/>
  </r>
  <r>
    <x v="1321"/>
  </r>
  <r>
    <x v="1322"/>
  </r>
  <r>
    <x v="1323"/>
  </r>
  <r>
    <x v="1324"/>
  </r>
  <r>
    <x v="1325"/>
  </r>
  <r>
    <x v="1326"/>
  </r>
  <r>
    <x v="1327"/>
  </r>
  <r>
    <x v="1328"/>
  </r>
  <r>
    <x v="1329"/>
  </r>
  <r>
    <x v="1330"/>
  </r>
  <r>
    <x v="1331"/>
  </r>
  <r>
    <x v="1332"/>
  </r>
  <r>
    <x v="1333"/>
  </r>
  <r>
    <x v="1333"/>
  </r>
  <r>
    <x v="1333"/>
  </r>
  <r>
    <x v="1333"/>
  </r>
  <r>
    <x v="1334"/>
  </r>
  <r>
    <x v="1335"/>
  </r>
  <r>
    <x v="1336"/>
  </r>
  <r>
    <x v="1337"/>
  </r>
  <r>
    <x v="1337"/>
  </r>
  <r>
    <x v="1337"/>
  </r>
  <r>
    <x v="1338"/>
  </r>
  <r>
    <x v="1338"/>
  </r>
  <r>
    <x v="1338"/>
  </r>
  <r>
    <x v="1338"/>
  </r>
  <r>
    <x v="1269"/>
  </r>
  <r>
    <x v="1269"/>
  </r>
  <r>
    <x v="1271"/>
  </r>
  <r>
    <x v="1271"/>
  </r>
  <r>
    <x v="1339"/>
  </r>
  <r>
    <x v="1340"/>
  </r>
  <r>
    <x v="1341"/>
  </r>
  <r>
    <x v="1341"/>
  </r>
  <r>
    <x v="1342"/>
  </r>
  <r>
    <x v="1343"/>
  </r>
  <r>
    <x v="1344"/>
  </r>
  <r>
    <x v="1345"/>
  </r>
  <r>
    <x v="1345"/>
  </r>
  <r>
    <x v="1345"/>
  </r>
  <r>
    <x v="1345"/>
  </r>
  <r>
    <x v="1346"/>
  </r>
  <r>
    <x v="1347"/>
  </r>
  <r>
    <x v="1348"/>
  </r>
  <r>
    <x v="1349"/>
  </r>
  <r>
    <x v="1350"/>
  </r>
  <r>
    <x v="1351"/>
  </r>
  <r>
    <x v="1352"/>
  </r>
  <r>
    <x v="1352"/>
  </r>
  <r>
    <x v="1353"/>
  </r>
  <r>
    <x v="1354"/>
  </r>
  <r>
    <x v="1355"/>
  </r>
  <r>
    <x v="1356"/>
  </r>
  <r>
    <x v="1357"/>
  </r>
  <r>
    <x v="1358"/>
  </r>
  <r>
    <x v="1345"/>
  </r>
  <r>
    <x v="1345"/>
  </r>
  <r>
    <x v="1359"/>
  </r>
  <r>
    <x v="1360"/>
  </r>
  <r>
    <x v="1361"/>
  </r>
  <r>
    <x v="209"/>
  </r>
  <r>
    <x v="209"/>
  </r>
  <r>
    <x v="210"/>
  </r>
  <r>
    <x v="210"/>
  </r>
  <r>
    <x v="1362"/>
  </r>
  <r>
    <x v="1363"/>
  </r>
  <r>
    <x v="1364"/>
  </r>
  <r>
    <x v="1365"/>
  </r>
  <r>
    <x v="1366"/>
  </r>
  <r>
    <x v="1367"/>
  </r>
  <r>
    <x v="1368"/>
  </r>
  <r>
    <x v="1369"/>
  </r>
  <r>
    <x v="1369"/>
  </r>
  <r>
    <x v="1370"/>
  </r>
  <r>
    <x v="1371"/>
  </r>
  <r>
    <x v="203"/>
  </r>
  <r>
    <x v="1372"/>
  </r>
  <r>
    <x v="193"/>
  </r>
  <r>
    <x v="193"/>
  </r>
  <r>
    <x v="193"/>
  </r>
  <r>
    <x v="193"/>
  </r>
  <r>
    <x v="193"/>
  </r>
  <r>
    <x v="193"/>
  </r>
  <r>
    <x v="1373"/>
  </r>
  <r>
    <x v="1374"/>
  </r>
  <r>
    <x v="1375"/>
  </r>
  <r>
    <x v="1375"/>
  </r>
  <r>
    <x v="1376"/>
  </r>
  <r>
    <x v="1376"/>
  </r>
  <r>
    <x v="1377"/>
  </r>
  <r>
    <x v="1378"/>
  </r>
  <r>
    <x v="1379"/>
  </r>
  <r>
    <x v="1380"/>
  </r>
  <r>
    <x v="1381"/>
  </r>
  <r>
    <x v="1382"/>
  </r>
  <r>
    <x v="1382"/>
  </r>
  <r>
    <x v="1383"/>
  </r>
  <r>
    <x v="1384"/>
  </r>
  <r>
    <x v="1385"/>
  </r>
  <r>
    <x v="1386"/>
  </r>
  <r>
    <x v="1387"/>
  </r>
  <r>
    <x v="1388"/>
  </r>
  <r>
    <x v="1389"/>
  </r>
  <r>
    <x v="1390"/>
  </r>
  <r>
    <x v="1391"/>
  </r>
  <r>
    <x v="1392"/>
  </r>
  <r>
    <x v="1392"/>
  </r>
  <r>
    <x v="519"/>
  </r>
  <r>
    <x v="1393"/>
  </r>
  <r>
    <x v="1393"/>
  </r>
  <r>
    <x v="1394"/>
  </r>
  <r>
    <x v="1394"/>
  </r>
  <r>
    <x v="1394"/>
  </r>
  <r>
    <x v="1394"/>
  </r>
  <r>
    <x v="1394"/>
  </r>
  <r>
    <x v="1394"/>
  </r>
  <r>
    <x v="520"/>
  </r>
  <r>
    <x v="1395"/>
  </r>
  <r>
    <x v="1395"/>
  </r>
  <r>
    <x v="1395"/>
  </r>
  <r>
    <x v="1395"/>
  </r>
  <r>
    <x v="1395"/>
  </r>
  <r>
    <x v="1396"/>
  </r>
  <r>
    <x v="1397"/>
  </r>
  <r>
    <x v="521"/>
  </r>
  <r>
    <x v="521"/>
  </r>
  <r>
    <x v="1398"/>
  </r>
  <r>
    <x v="1399"/>
  </r>
  <r>
    <x v="523"/>
  </r>
  <r>
    <x v="523"/>
  </r>
  <r>
    <x v="523"/>
  </r>
  <r>
    <x v="523"/>
  </r>
  <r>
    <x v="523"/>
  </r>
  <r>
    <x v="523"/>
  </r>
  <r>
    <x v="523"/>
  </r>
  <r>
    <x v="523"/>
  </r>
  <r>
    <x v="1400"/>
  </r>
  <r>
    <x v="1401"/>
  </r>
  <r>
    <x v="1401"/>
  </r>
  <r>
    <x v="1402"/>
  </r>
  <r>
    <x v="526"/>
  </r>
  <r>
    <x v="526"/>
  </r>
  <r>
    <x v="527"/>
  </r>
  <r>
    <x v="528"/>
  </r>
  <r>
    <x v="528"/>
  </r>
  <r>
    <x v="528"/>
  </r>
  <r>
    <x v="529"/>
  </r>
  <r>
    <x v="1403"/>
  </r>
  <r>
    <x v="1403"/>
  </r>
  <r>
    <x v="1403"/>
  </r>
  <r>
    <x v="1404"/>
  </r>
  <r>
    <x v="1404"/>
  </r>
  <r>
    <x v="1404"/>
  </r>
  <r>
    <x v="1404"/>
  </r>
  <r>
    <x v="1404"/>
  </r>
  <r>
    <x v="1404"/>
  </r>
  <r>
    <x v="1405"/>
  </r>
  <r>
    <x v="1405"/>
  </r>
  <r>
    <x v="1405"/>
  </r>
  <r>
    <x v="1405"/>
  </r>
  <r>
    <x v="1405"/>
  </r>
  <r>
    <x v="1405"/>
  </r>
  <r>
    <x v="1405"/>
  </r>
  <r>
    <x v="530"/>
  </r>
  <r>
    <x v="530"/>
  </r>
  <r>
    <x v="530"/>
  </r>
  <r>
    <x v="530"/>
  </r>
  <r>
    <x v="530"/>
  </r>
  <r>
    <x v="530"/>
  </r>
  <r>
    <x v="530"/>
  </r>
  <r>
    <x v="1406"/>
  </r>
  <r>
    <x v="1406"/>
  </r>
  <r>
    <x v="1407"/>
  </r>
  <r>
    <x v="1407"/>
  </r>
  <r>
    <x v="1407"/>
  </r>
  <r>
    <x v="1408"/>
  </r>
  <r>
    <x v="1409"/>
  </r>
  <r>
    <x v="177"/>
  </r>
  <r>
    <x v="1410"/>
  </r>
  <r>
    <x v="1411"/>
  </r>
  <r>
    <x v="1412"/>
  </r>
  <r>
    <x v="1413"/>
  </r>
  <r>
    <x v="1414"/>
  </r>
  <r>
    <x v="1415"/>
  </r>
  <r>
    <x v="1416"/>
  </r>
  <r>
    <x v="1417"/>
  </r>
  <r>
    <x v="1418"/>
  </r>
  <r>
    <x v="1419"/>
  </r>
  <r>
    <x v="1272"/>
  </r>
  <r>
    <x v="1420"/>
  </r>
  <r>
    <x v="1421"/>
  </r>
  <r>
    <x v="1422"/>
  </r>
  <r>
    <x v="1423"/>
  </r>
  <r>
    <x v="1424"/>
  </r>
  <r>
    <x v="1425"/>
  </r>
  <r>
    <x v="1426"/>
  </r>
  <r>
    <x v="1427"/>
  </r>
  <r>
    <x v="1427"/>
  </r>
  <r>
    <x v="1428"/>
  </r>
  <r>
    <x v="1429"/>
  </r>
  <r>
    <x v="1430"/>
  </r>
  <r>
    <x v="1430"/>
  </r>
  <r>
    <x v="1431"/>
  </r>
  <r>
    <x v="1432"/>
  </r>
  <r>
    <x v="1433"/>
  </r>
  <r>
    <x v="1434"/>
  </r>
  <r>
    <x v="1434"/>
  </r>
  <r>
    <x v="1435"/>
  </r>
  <r>
    <x v="1436"/>
  </r>
  <r>
    <x v="1437"/>
  </r>
  <r>
    <x v="1437"/>
  </r>
  <r>
    <x v="1437"/>
  </r>
  <r>
    <x v="1438"/>
  </r>
  <r>
    <x v="1439"/>
  </r>
  <r>
    <x v="1440"/>
  </r>
  <r>
    <x v="1440"/>
  </r>
  <r>
    <x v="1440"/>
  </r>
  <r>
    <x v="1441"/>
  </r>
  <r>
    <x v="1442"/>
  </r>
  <r>
    <x v="1443"/>
  </r>
  <r>
    <x v="1444"/>
  </r>
  <r>
    <x v="1445"/>
  </r>
  <r>
    <x v="1446"/>
  </r>
  <r>
    <x v="1447"/>
  </r>
  <r>
    <x v="1447"/>
  </r>
  <r>
    <x v="1448"/>
  </r>
  <r>
    <x v="1449"/>
  </r>
  <r>
    <x v="1450"/>
  </r>
  <r>
    <x v="1451"/>
  </r>
  <r>
    <x v="1452"/>
  </r>
  <r>
    <x v="1452"/>
  </r>
  <r>
    <x v="1453"/>
  </r>
  <r>
    <x v="1454"/>
  </r>
  <r>
    <x v="1455"/>
  </r>
  <r>
    <x v="1456"/>
  </r>
  <r>
    <x v="1457"/>
  </r>
  <r>
    <x v="1146"/>
  </r>
  <r>
    <x v="1458"/>
  </r>
  <r>
    <x v="1459"/>
  </r>
  <r>
    <x v="1459"/>
  </r>
  <r>
    <x v="1460"/>
  </r>
  <r>
    <x v="1461"/>
  </r>
  <r>
    <x v="1462"/>
  </r>
  <r>
    <x v="1463"/>
  </r>
  <r>
    <x v="1464"/>
  </r>
  <r>
    <x v="1465"/>
  </r>
  <r>
    <x v="10"/>
  </r>
  <r>
    <x v="1466"/>
  </r>
  <r>
    <x v="1467"/>
  </r>
  <r>
    <x v="1468"/>
  </r>
  <r>
    <x v="1469"/>
  </r>
  <r>
    <x v="1470"/>
  </r>
  <r>
    <x v="1471"/>
  </r>
  <r>
    <x v="235"/>
  </r>
  <r>
    <x v="235"/>
  </r>
  <r>
    <x v="235"/>
  </r>
  <r>
    <x v="235"/>
  </r>
  <r>
    <x v="1472"/>
  </r>
  <r>
    <x v="1472"/>
  </r>
  <r>
    <x v="1473"/>
  </r>
  <r>
    <x v="1473"/>
  </r>
  <r>
    <x v="1473"/>
  </r>
  <r>
    <x v="1474"/>
  </r>
  <r>
    <x v="1475"/>
  </r>
  <r>
    <x v="1476"/>
  </r>
  <r>
    <x v="1476"/>
  </r>
  <r>
    <x v="1477"/>
  </r>
  <r>
    <x v="1477"/>
  </r>
  <r>
    <x v="1478"/>
  </r>
  <r>
    <x v="1108"/>
  </r>
  <r>
    <x v="1109"/>
  </r>
  <r>
    <x v="1479"/>
  </r>
  <r>
    <x v="1480"/>
  </r>
  <r>
    <x v="1481"/>
  </r>
  <r>
    <x v="1482"/>
  </r>
  <r>
    <x v="1483"/>
  </r>
  <r>
    <x v="1484"/>
  </r>
  <r>
    <x v="1485"/>
  </r>
  <r>
    <x v="1485"/>
  </r>
  <r>
    <x v="1485"/>
  </r>
  <r>
    <x v="1485"/>
  </r>
  <r>
    <x v="1485"/>
  </r>
  <r>
    <x v="1486"/>
  </r>
  <r>
    <x v="1487"/>
  </r>
  <r>
    <x v="1488"/>
  </r>
  <r>
    <x v="1488"/>
  </r>
  <r>
    <x v="1489"/>
  </r>
  <r>
    <x v="1490"/>
  </r>
  <r>
    <x v="1491"/>
  </r>
  <r>
    <x v="1492"/>
  </r>
  <r>
    <x v="1493"/>
  </r>
  <r>
    <x v="1494"/>
  </r>
  <r>
    <x v="1495"/>
  </r>
  <r>
    <x v="1496"/>
  </r>
  <r>
    <x v="1497"/>
  </r>
  <r>
    <x v="1498"/>
  </r>
  <r>
    <x v="188"/>
  </r>
  <r>
    <x v="188"/>
  </r>
  <r>
    <x v="1499"/>
  </r>
  <r>
    <x v="1500"/>
  </r>
  <r>
    <x v="1501"/>
  </r>
  <r>
    <x v="1502"/>
  </r>
  <r>
    <x v="1503"/>
  </r>
  <r>
    <x v="1504"/>
  </r>
  <r>
    <x v="1505"/>
  </r>
  <r>
    <x v="1506"/>
  </r>
  <r>
    <x v="1507"/>
  </r>
  <r>
    <x v="1508"/>
  </r>
  <r>
    <x v="1509"/>
  </r>
  <r>
    <x v="1509"/>
  </r>
  <r>
    <x v="1510"/>
  </r>
  <r>
    <x v="1511"/>
  </r>
  <r>
    <x v="1511"/>
  </r>
  <r>
    <x v="1511"/>
  </r>
  <r>
    <x v="1512"/>
  </r>
  <r>
    <x v="1512"/>
  </r>
  <r>
    <x v="1513"/>
  </r>
  <r>
    <x v="399"/>
  </r>
  <r>
    <x v="1514"/>
  </r>
  <r>
    <x v="1515"/>
  </r>
  <r>
    <x v="323"/>
  </r>
  <r>
    <x v="323"/>
  </r>
  <r>
    <x v="323"/>
  </r>
  <r>
    <x v="1516"/>
  </r>
  <r>
    <x v="1517"/>
  </r>
  <r>
    <x v="1518"/>
  </r>
  <r>
    <x v="1519"/>
  </r>
  <r>
    <x v="1520"/>
  </r>
  <r>
    <x v="1521"/>
  </r>
  <r>
    <x v="1522"/>
  </r>
  <r>
    <x v="403"/>
  </r>
  <r>
    <x v="403"/>
  </r>
  <r>
    <x v="403"/>
  </r>
  <r>
    <x v="403"/>
  </r>
  <r>
    <x v="404"/>
  </r>
  <r>
    <x v="404"/>
  </r>
  <r>
    <x v="404"/>
  </r>
  <r>
    <x v="1523"/>
  </r>
  <r>
    <x v="1523"/>
  </r>
  <r>
    <x v="1524"/>
  </r>
  <r>
    <x v="407"/>
  </r>
  <r>
    <x v="1525"/>
  </r>
  <r>
    <x v="410"/>
  </r>
  <r>
    <x v="1526"/>
  </r>
  <r>
    <x v="1527"/>
  </r>
  <r>
    <x v="1528"/>
  </r>
  <r>
    <x v="1529"/>
  </r>
  <r>
    <x v="1530"/>
  </r>
  <r>
    <x v="1531"/>
  </r>
  <r>
    <x v="1532"/>
  </r>
  <r>
    <x v="1533"/>
  </r>
  <r>
    <x v="78"/>
  </r>
  <r>
    <x v="78"/>
  </r>
  <r>
    <x v="1534"/>
  </r>
  <r>
    <x v="1534"/>
  </r>
  <r>
    <x v="1535"/>
  </r>
  <r>
    <x v="1536"/>
  </r>
  <r>
    <x v="1537"/>
  </r>
  <r>
    <x v="1538"/>
  </r>
  <r>
    <x v="1539"/>
  </r>
  <r>
    <x v="1539"/>
  </r>
  <r>
    <x v="1540"/>
  </r>
  <r>
    <x v="1541"/>
  </r>
  <r>
    <x v="1542"/>
  </r>
  <r>
    <x v="1543"/>
  </r>
  <r>
    <x v="1532"/>
  </r>
  <r>
    <x v="1544"/>
  </r>
  <r>
    <x v="1533"/>
  </r>
  <r>
    <x v="1545"/>
  </r>
  <r>
    <x v="1545"/>
  </r>
  <r>
    <x v="1546"/>
  </r>
  <r>
    <x v="1547"/>
  </r>
  <r>
    <x v="1548"/>
  </r>
  <r>
    <x v="1549"/>
  </r>
  <r>
    <x v="1550"/>
  </r>
  <r>
    <x v="1551"/>
  </r>
  <r>
    <x v="1552"/>
  </r>
  <r>
    <x v="1553"/>
  </r>
  <r>
    <x v="1554"/>
  </r>
  <r>
    <x v="1555"/>
  </r>
  <r>
    <x v="1556"/>
  </r>
  <r>
    <x v="1556"/>
  </r>
  <r>
    <x v="1556"/>
  </r>
  <r>
    <x v="1557"/>
  </r>
  <r>
    <x v="1557"/>
  </r>
  <r>
    <x v="1557"/>
  </r>
  <r>
    <x v="1558"/>
  </r>
  <r>
    <x v="1559"/>
  </r>
  <r>
    <x v="1559"/>
  </r>
  <r>
    <x v="1559"/>
  </r>
  <r>
    <x v="1560"/>
  </r>
  <r>
    <x v="1561"/>
  </r>
  <r>
    <x v="1562"/>
  </r>
  <r>
    <x v="1563"/>
  </r>
  <r>
    <x v="1563"/>
  </r>
  <r>
    <x v="1564"/>
  </r>
  <r>
    <x v="1565"/>
  </r>
  <r>
    <x v="1566"/>
  </r>
  <r>
    <x v="1567"/>
  </r>
  <r>
    <x v="1567"/>
  </r>
  <r>
    <x v="1567"/>
  </r>
  <r>
    <x v="1568"/>
  </r>
  <r>
    <x v="1568"/>
  </r>
  <r>
    <x v="1569"/>
  </r>
  <r>
    <x v="1570"/>
  </r>
  <r>
    <x v="1571"/>
  </r>
  <r>
    <x v="1572"/>
  </r>
  <r>
    <x v="1573"/>
  </r>
  <r>
    <x v="1574"/>
  </r>
  <r>
    <x v="1575"/>
  </r>
  <r>
    <x v="1576"/>
  </r>
  <r>
    <x v="1577"/>
  </r>
  <r>
    <x v="1578"/>
  </r>
  <r>
    <x v="1579"/>
  </r>
  <r>
    <x v="1579"/>
  </r>
  <r>
    <x v="1580"/>
  </r>
  <r>
    <x v="1581"/>
  </r>
  <r>
    <x v="334"/>
  </r>
  <r>
    <x v="337"/>
  </r>
  <r>
    <x v="1582"/>
  </r>
  <r>
    <x v="340"/>
  </r>
  <r>
    <x v="342"/>
  </r>
  <r>
    <x v="344"/>
  </r>
  <r>
    <x v="345"/>
  </r>
  <r>
    <x v="345"/>
  </r>
  <r>
    <x v="349"/>
  </r>
  <r>
    <x v="349"/>
  </r>
  <r>
    <x v="351"/>
  </r>
  <r>
    <x v="353"/>
  </r>
  <r>
    <x v="353"/>
  </r>
  <r>
    <x v="353"/>
  </r>
  <r>
    <x v="353"/>
  </r>
  <r>
    <x v="355"/>
  </r>
  <r>
    <x v="355"/>
  </r>
  <r>
    <x v="355"/>
  </r>
  <r>
    <x v="356"/>
  </r>
  <r>
    <x v="358"/>
  </r>
  <r>
    <x v="360"/>
  </r>
  <r>
    <x v="362"/>
  </r>
  <r>
    <x v="362"/>
  </r>
  <r>
    <x v="365"/>
  </r>
  <r>
    <x v="366"/>
  </r>
  <r>
    <x v="367"/>
  </r>
  <r>
    <x v="367"/>
  </r>
  <r>
    <x v="367"/>
  </r>
  <r>
    <x v="367"/>
  </r>
  <r>
    <x v="369"/>
  </r>
  <r>
    <x v="369"/>
  </r>
  <r>
    <x v="371"/>
  </r>
  <r>
    <x v="372"/>
  </r>
  <r>
    <x v="373"/>
  </r>
  <r>
    <x v="384"/>
  </r>
  <r>
    <x v="384"/>
  </r>
  <r>
    <x v="388"/>
  </r>
  <r>
    <x v="390"/>
  </r>
  <r>
    <x v="390"/>
  </r>
  <r>
    <x v="390"/>
  </r>
  <r>
    <x v="390"/>
  </r>
  <r>
    <x v="1583"/>
  </r>
  <r>
    <x v="1581"/>
  </r>
  <r>
    <x v="1584"/>
  </r>
  <r>
    <x v="1585"/>
  </r>
  <r>
    <x v="1586"/>
  </r>
  <r>
    <x v="1587"/>
  </r>
  <r>
    <x v="334"/>
  </r>
  <r>
    <x v="336"/>
  </r>
  <r>
    <x v="1588"/>
  </r>
  <r>
    <x v="1589"/>
  </r>
  <r>
    <x v="1590"/>
  </r>
  <r>
    <x v="1591"/>
  </r>
  <r>
    <x v="1592"/>
  </r>
  <r>
    <x v="337"/>
  </r>
  <r>
    <x v="1593"/>
  </r>
  <r>
    <x v="1594"/>
  </r>
  <r>
    <x v="1595"/>
  </r>
  <r>
    <x v="1596"/>
  </r>
  <r>
    <x v="1597"/>
  </r>
  <r>
    <x v="1598"/>
  </r>
  <r>
    <x v="1599"/>
  </r>
  <r>
    <x v="1600"/>
  </r>
  <r>
    <x v="1601"/>
  </r>
  <r>
    <x v="1602"/>
  </r>
  <r>
    <x v="1582"/>
  </r>
  <r>
    <x v="1603"/>
  </r>
  <r>
    <x v="1604"/>
  </r>
  <r>
    <x v="1605"/>
  </r>
  <r>
    <x v="1606"/>
  </r>
  <r>
    <x v="1607"/>
  </r>
  <r>
    <x v="1608"/>
  </r>
  <r>
    <x v="343"/>
  </r>
  <r>
    <x v="1609"/>
  </r>
  <r>
    <x v="1610"/>
  </r>
  <r>
    <x v="1611"/>
  </r>
  <r>
    <x v="1612"/>
  </r>
  <r>
    <x v="1613"/>
  </r>
  <r>
    <x v="1614"/>
  </r>
  <r>
    <x v="1615"/>
  </r>
  <r>
    <x v="1616"/>
  </r>
  <r>
    <x v="1617"/>
  </r>
  <r>
    <x v="1618"/>
  </r>
  <r>
    <x v="1619"/>
  </r>
  <r>
    <x v="1620"/>
  </r>
  <r>
    <x v="1621"/>
  </r>
  <r>
    <x v="1622"/>
  </r>
  <r>
    <x v="1623"/>
  </r>
  <r>
    <x v="1624"/>
  </r>
  <r>
    <x v="1624"/>
  </r>
  <r>
    <x v="1624"/>
  </r>
  <r>
    <x v="1625"/>
  </r>
  <r>
    <x v="1626"/>
  </r>
  <r>
    <x v="1627"/>
  </r>
  <r>
    <x v="1628"/>
  </r>
  <r>
    <x v="1629"/>
  </r>
  <r>
    <x v="1630"/>
  </r>
  <r>
    <x v="1631"/>
  </r>
  <r>
    <x v="1632"/>
  </r>
  <r>
    <x v="1633"/>
  </r>
  <r>
    <x v="1634"/>
  </r>
  <r>
    <x v="346"/>
  </r>
  <r>
    <x v="347"/>
  </r>
  <r>
    <x v="1635"/>
  </r>
  <r>
    <x v="348"/>
  </r>
  <r>
    <x v="1636"/>
  </r>
  <r>
    <x v="1637"/>
  </r>
  <r>
    <x v="349"/>
  </r>
  <r>
    <x v="1638"/>
  </r>
  <r>
    <x v="1639"/>
  </r>
  <r>
    <x v="1640"/>
  </r>
  <r>
    <x v="1641"/>
  </r>
  <r>
    <x v="1642"/>
  </r>
  <r>
    <x v="351"/>
  </r>
  <r>
    <x v="1643"/>
  </r>
  <r>
    <x v="1644"/>
  </r>
  <r>
    <x v="1645"/>
  </r>
  <r>
    <x v="1646"/>
  </r>
  <r>
    <x v="352"/>
  </r>
  <r>
    <x v="1647"/>
  </r>
  <r>
    <x v="1648"/>
  </r>
  <r>
    <x v="353"/>
  </r>
  <r>
    <x v="1649"/>
  </r>
  <r>
    <x v="1650"/>
  </r>
  <r>
    <x v="1651"/>
  </r>
  <r>
    <x v="1652"/>
  </r>
  <r>
    <x v="1653"/>
  </r>
  <r>
    <x v="1654"/>
  </r>
  <r>
    <x v="1655"/>
  </r>
  <r>
    <x v="1656"/>
  </r>
  <r>
    <x v="354"/>
  </r>
  <r>
    <x v="1657"/>
  </r>
  <r>
    <x v="358"/>
  </r>
  <r>
    <x v="359"/>
  </r>
  <r>
    <x v="1658"/>
  </r>
  <r>
    <x v="360"/>
  </r>
  <r>
    <x v="1659"/>
  </r>
  <r>
    <x v="362"/>
  </r>
  <r>
    <x v="1660"/>
  </r>
  <r>
    <x v="1661"/>
  </r>
  <r>
    <x v="1662"/>
  </r>
  <r>
    <x v="1663"/>
  </r>
  <r>
    <x v="1664"/>
  </r>
  <r>
    <x v="1665"/>
  </r>
  <r>
    <x v="1666"/>
  </r>
  <r>
    <x v="1667"/>
  </r>
  <r>
    <x v="1668"/>
  </r>
  <r>
    <x v="1669"/>
  </r>
  <r>
    <x v="364"/>
  </r>
  <r>
    <x v="1670"/>
  </r>
  <r>
    <x v="1671"/>
  </r>
  <r>
    <x v="1672"/>
  </r>
  <r>
    <x v="1673"/>
  </r>
  <r>
    <x v="1674"/>
  </r>
  <r>
    <x v="1675"/>
  </r>
  <r>
    <x v="365"/>
  </r>
  <r>
    <x v="1676"/>
  </r>
  <r>
    <x v="1677"/>
  </r>
  <r>
    <x v="1678"/>
  </r>
  <r>
    <x v="366"/>
  </r>
  <r>
    <x v="1679"/>
  </r>
  <r>
    <x v="1680"/>
  </r>
  <r>
    <x v="367"/>
  </r>
  <r>
    <x v="368"/>
  </r>
  <r>
    <x v="1681"/>
  </r>
  <r>
    <x v="1682"/>
  </r>
  <r>
    <x v="1683"/>
  </r>
  <r>
    <x v="1684"/>
  </r>
  <r>
    <x v="1685"/>
  </r>
  <r>
    <x v="1686"/>
  </r>
  <r>
    <x v="1687"/>
  </r>
  <r>
    <x v="1688"/>
  </r>
  <r>
    <x v="1689"/>
  </r>
  <r>
    <x v="1690"/>
  </r>
  <r>
    <x v="1691"/>
  </r>
  <r>
    <x v="1692"/>
  </r>
  <r>
    <x v="1693"/>
  </r>
  <r>
    <x v="369"/>
  </r>
  <r>
    <x v="1694"/>
  </r>
  <r>
    <x v="1695"/>
  </r>
  <r>
    <x v="1696"/>
  </r>
  <r>
    <x v="1697"/>
  </r>
  <r>
    <x v="1698"/>
  </r>
  <r>
    <x v="1699"/>
  </r>
  <r>
    <x v="1700"/>
  </r>
  <r>
    <x v="1701"/>
  </r>
  <r>
    <x v="1702"/>
  </r>
  <r>
    <x v="1703"/>
  </r>
  <r>
    <x v="1704"/>
  </r>
  <r>
    <x v="1705"/>
  </r>
  <r>
    <x v="1706"/>
  </r>
  <r>
    <x v="1707"/>
  </r>
  <r>
    <x v="1708"/>
  </r>
  <r>
    <x v="1709"/>
  </r>
  <r>
    <x v="1710"/>
  </r>
  <r>
    <x v="1711"/>
  </r>
  <r>
    <x v="1712"/>
  </r>
  <r>
    <x v="373"/>
  </r>
  <r>
    <x v="1713"/>
  </r>
  <r>
    <x v="1714"/>
  </r>
  <r>
    <x v="1714"/>
  </r>
  <r>
    <x v="1714"/>
  </r>
  <r>
    <x v="1715"/>
  </r>
  <r>
    <x v="1716"/>
  </r>
  <r>
    <x v="1717"/>
  </r>
  <r>
    <x v="1718"/>
  </r>
  <r>
    <x v="1719"/>
  </r>
  <r>
    <x v="1720"/>
  </r>
  <r>
    <x v="1721"/>
  </r>
  <r>
    <x v="1722"/>
  </r>
  <r>
    <x v="1723"/>
  </r>
  <r>
    <x v="1724"/>
  </r>
  <r>
    <x v="1725"/>
  </r>
  <r>
    <x v="1726"/>
  </r>
  <r>
    <x v="1726"/>
  </r>
  <r>
    <x v="1727"/>
  </r>
  <r>
    <x v="1728"/>
  </r>
  <r>
    <x v="1729"/>
  </r>
  <r>
    <x v="1730"/>
  </r>
  <r>
    <x v="1731"/>
  </r>
  <r>
    <x v="1732"/>
  </r>
  <r>
    <x v="1733"/>
  </r>
  <r>
    <x v="1734"/>
  </r>
  <r>
    <x v="1735"/>
  </r>
  <r>
    <x v="1736"/>
  </r>
  <r>
    <x v="1737"/>
  </r>
  <r>
    <x v="1738"/>
  </r>
  <r>
    <x v="1739"/>
  </r>
  <r>
    <x v="1740"/>
  </r>
  <r>
    <x v="1741"/>
  </r>
  <r>
    <x v="1742"/>
  </r>
  <r>
    <x v="1743"/>
  </r>
  <r>
    <x v="1744"/>
  </r>
  <r>
    <x v="383"/>
  </r>
  <r>
    <x v="1745"/>
  </r>
  <r>
    <x v="1746"/>
  </r>
  <r>
    <x v="1747"/>
  </r>
  <r>
    <x v="1748"/>
  </r>
  <r>
    <x v="1749"/>
  </r>
  <r>
    <x v="1750"/>
  </r>
  <r>
    <x v="1751"/>
  </r>
  <r>
    <x v="1752"/>
  </r>
  <r>
    <x v="1753"/>
  </r>
  <r>
    <x v="1754"/>
  </r>
  <r>
    <x v="1755"/>
  </r>
  <r>
    <x v="1756"/>
  </r>
  <r>
    <x v="386"/>
  </r>
  <r>
    <x v="388"/>
  </r>
  <r>
    <x v="1757"/>
  </r>
  <r>
    <x v="1758"/>
  </r>
  <r>
    <x v="1759"/>
  </r>
  <r>
    <x v="1760"/>
  </r>
  <r>
    <x v="1761"/>
  </r>
  <r>
    <x v="1762"/>
  </r>
  <r>
    <x v="1763"/>
  </r>
  <r>
    <x v="1764"/>
  </r>
  <r>
    <x v="390"/>
  </r>
  <r>
    <x v="1765"/>
  </r>
  <r>
    <x v="1766"/>
  </r>
  <r>
    <x v="1767"/>
  </r>
  <r>
    <x v="1768"/>
  </r>
  <r>
    <x v="1765"/>
  </r>
  <r>
    <x v="1769"/>
  </r>
  <r>
    <x v="1770"/>
  </r>
  <r>
    <x v="1771"/>
  </r>
  <r>
    <x v="1772"/>
  </r>
  <r>
    <x v="1773"/>
  </r>
  <r>
    <x v="1774"/>
  </r>
  <r>
    <x v="1775"/>
  </r>
  <r>
    <x v="1776"/>
  </r>
  <r>
    <x v="1777"/>
  </r>
  <r>
    <x v="312"/>
  </r>
  <r>
    <x v="1778"/>
  </r>
  <r>
    <x v="1779"/>
  </r>
  <r>
    <x v="1780"/>
  </r>
  <r>
    <x v="1781"/>
  </r>
  <r>
    <x v="1782"/>
  </r>
  <r>
    <x v="1783"/>
  </r>
  <r>
    <x v="1784"/>
  </r>
  <r>
    <x v="1785"/>
  </r>
  <r>
    <x v="1786"/>
  </r>
  <r>
    <x v="314"/>
  </r>
  <r>
    <x v="314"/>
  </r>
  <r>
    <x v="1787"/>
  </r>
  <r>
    <x v="1788"/>
  </r>
  <r>
    <x v="1789"/>
  </r>
  <r>
    <x v="1790"/>
  </r>
  <r>
    <x v="1791"/>
  </r>
  <r>
    <x v="1792"/>
  </r>
  <r>
    <x v="1793"/>
  </r>
  <r>
    <x v="1794"/>
  </r>
  <r>
    <x v="1795"/>
  </r>
  <r>
    <x v="1796"/>
  </r>
  <r>
    <x v="1797"/>
  </r>
  <r>
    <x v="1798"/>
  </r>
  <r>
    <x v="1799"/>
  </r>
  <r>
    <x v="1800"/>
  </r>
  <r>
    <x v="1801"/>
  </r>
  <r>
    <x v="1802"/>
  </r>
  <r>
    <x v="1803"/>
  </r>
  <r>
    <x v="1804"/>
  </r>
  <r>
    <x v="1805"/>
  </r>
  <r>
    <x v="1806"/>
  </r>
  <r>
    <x v="1807"/>
  </r>
  <r>
    <x v="1808"/>
  </r>
  <r>
    <x v="1809"/>
  </r>
  <r>
    <x v="1810"/>
  </r>
  <r>
    <x v="1811"/>
  </r>
  <r>
    <x v="1812"/>
  </r>
  <r>
    <x v="1813"/>
  </r>
  <r>
    <x v="1814"/>
  </r>
  <r>
    <x v="1815"/>
  </r>
  <r>
    <x v="1815"/>
  </r>
  <r>
    <x v="1816"/>
  </r>
  <r>
    <x v="1817"/>
  </r>
  <r>
    <x v="1818"/>
  </r>
  <r>
    <x v="1819"/>
  </r>
  <r>
    <x v="1819"/>
  </r>
  <r>
    <x v="1819"/>
  </r>
  <r>
    <x v="1820"/>
  </r>
  <r>
    <x v="1821"/>
  </r>
  <r>
    <x v="1821"/>
  </r>
  <r>
    <x v="1822"/>
  </r>
  <r>
    <x v="1823"/>
  </r>
  <r>
    <x v="1824"/>
  </r>
  <r>
    <x v="1825"/>
  </r>
  <r>
    <x v="1825"/>
  </r>
  <r>
    <x v="1825"/>
  </r>
  <r>
    <x v="1826"/>
  </r>
  <r>
    <x v="1827"/>
  </r>
  <r>
    <x v="1827"/>
  </r>
  <r>
    <x v="1828"/>
  </r>
  <r>
    <x v="1829"/>
  </r>
  <r>
    <x v="1829"/>
  </r>
  <r>
    <x v="1830"/>
  </r>
  <r>
    <x v="1830"/>
  </r>
  <r>
    <x v="1831"/>
  </r>
  <r>
    <x v="1832"/>
  </r>
  <r>
    <x v="1833"/>
  </r>
  <r>
    <x v="1834"/>
  </r>
  <r>
    <x v="1835"/>
  </r>
  <r>
    <x v="1836"/>
  </r>
  <r>
    <x v="1837"/>
  </r>
  <r>
    <x v="532"/>
  </r>
  <r>
    <x v="532"/>
  </r>
  <r>
    <x v="532"/>
  </r>
  <r>
    <x v="1838"/>
  </r>
  <r>
    <x v="1839"/>
  </r>
  <r>
    <x v="1839"/>
  </r>
  <r>
    <x v="1839"/>
  </r>
  <r>
    <x v="1839"/>
  </r>
  <r>
    <x v="1839"/>
  </r>
  <r>
    <x v="1839"/>
  </r>
  <r>
    <x v="1839"/>
  </r>
  <r>
    <x v="1840"/>
  </r>
  <r>
    <x v="1841"/>
  </r>
  <r>
    <x v="1842"/>
  </r>
  <r>
    <x v="1843"/>
  </r>
  <r>
    <x v="1844"/>
  </r>
  <r>
    <x v="1845"/>
  </r>
  <r>
    <x v="1846"/>
  </r>
  <r>
    <x v="1847"/>
  </r>
  <r>
    <x v="1848"/>
  </r>
  <r>
    <x v="1849"/>
  </r>
  <r>
    <x v="1850"/>
  </r>
  <r>
    <x v="1851"/>
  </r>
  <r>
    <x v="1852"/>
  </r>
  <r>
    <x v="1853"/>
  </r>
  <r>
    <x v="1854"/>
  </r>
  <r>
    <x v="1855"/>
  </r>
  <r>
    <x v="1856"/>
  </r>
  <r>
    <x v="1857"/>
  </r>
  <r>
    <x v="1858"/>
  </r>
  <r>
    <x v="1859"/>
  </r>
  <r>
    <x v="294"/>
  </r>
  <r>
    <x v="1860"/>
  </r>
  <r>
    <x v="1861"/>
  </r>
  <r>
    <x v="1862"/>
  </r>
  <r>
    <x v="1863"/>
  </r>
  <r>
    <x v="1864"/>
  </r>
  <r>
    <x v="1865"/>
  </r>
  <r>
    <x v="1866"/>
  </r>
  <r>
    <x v="1866"/>
  </r>
  <r>
    <x v="1867"/>
  </r>
  <r>
    <x v="295"/>
  </r>
  <r>
    <x v="1868"/>
  </r>
  <r>
    <x v="293"/>
  </r>
  <r>
    <x v="293"/>
  </r>
  <r>
    <x v="293"/>
  </r>
  <r>
    <x v="293"/>
  </r>
  <r>
    <x v="293"/>
  </r>
  <r>
    <x v="293"/>
  </r>
  <r>
    <x v="293"/>
  </r>
  <r>
    <x v="293"/>
  </r>
  <r>
    <x v="293"/>
  </r>
  <r>
    <x v="293"/>
  </r>
  <r>
    <x v="294"/>
  </r>
  <r>
    <x v="1869"/>
  </r>
  <r>
    <x v="1870"/>
  </r>
  <r>
    <x v="1870"/>
  </r>
  <r>
    <x v="1871"/>
  </r>
  <r>
    <x v="1872"/>
  </r>
  <r>
    <x v="1873"/>
  </r>
  <r>
    <x v="1873"/>
  </r>
  <r>
    <x v="1874"/>
  </r>
  <r>
    <x v="298"/>
  </r>
  <r>
    <x v="1875"/>
  </r>
  <r>
    <x v="1876"/>
  </r>
  <r>
    <x v="1877"/>
  </r>
  <r>
    <x v="1878"/>
  </r>
  <r>
    <x v="1879"/>
  </r>
  <r>
    <x v="1880"/>
  </r>
  <r>
    <x v="1881"/>
  </r>
  <r>
    <x v="1882"/>
  </r>
  <r>
    <x v="300"/>
  </r>
  <r>
    <x v="301"/>
  </r>
  <r>
    <x v="1883"/>
  </r>
  <r>
    <x v="304"/>
  </r>
  <r>
    <x v="1884"/>
  </r>
  <r>
    <x v="1885"/>
  </r>
  <r>
    <x v="305"/>
  </r>
  <r>
    <x v="1886"/>
  </r>
  <r>
    <x v="307"/>
  </r>
  <r>
    <x v="1887"/>
  </r>
  <r>
    <x v="1888"/>
  </r>
  <r>
    <x v="309"/>
  </r>
  <r>
    <x v="1889"/>
  </r>
  <r>
    <x v="1890"/>
  </r>
  <r>
    <x v="1891"/>
  </r>
  <r>
    <x v="1892"/>
  </r>
  <r>
    <x v="1893"/>
  </r>
  <r>
    <x v="1894"/>
  </r>
  <r>
    <x v="1895"/>
  </r>
  <r>
    <x v="1896"/>
  </r>
  <r>
    <x v="1897"/>
  </r>
  <r>
    <x v="1898"/>
  </r>
  <r>
    <x v="1899"/>
  </r>
  <r>
    <x v="1900"/>
  </r>
  <r>
    <x v="1901"/>
  </r>
  <r>
    <x v="1902"/>
  </r>
  <r>
    <x v="299"/>
  </r>
  <r>
    <x v="300"/>
  </r>
  <r>
    <x v="301"/>
  </r>
  <r>
    <x v="304"/>
  </r>
  <r>
    <x v="306"/>
  </r>
  <r>
    <x v="309"/>
  </r>
  <r>
    <x v="309"/>
  </r>
  <r>
    <x v="1903"/>
  </r>
  <r>
    <x v="1904"/>
  </r>
  <r>
    <x v="1904"/>
  </r>
  <r>
    <x v="1905"/>
  </r>
  <r>
    <x v="1906"/>
  </r>
  <r>
    <x v="1906"/>
  </r>
  <r>
    <x v="1906"/>
  </r>
  <r>
    <x v="1906"/>
  </r>
  <r>
    <x v="1906"/>
  </r>
  <r>
    <x v="1906"/>
  </r>
  <r>
    <x v="1906"/>
  </r>
  <r>
    <x v="1906"/>
  </r>
  <r>
    <x v="1906"/>
  </r>
  <r>
    <x v="1906"/>
  </r>
  <r>
    <x v="1906"/>
  </r>
  <r>
    <x v="1906"/>
  </r>
  <r>
    <x v="1906"/>
  </r>
  <r>
    <x v="1907"/>
  </r>
  <r>
    <x v="1908"/>
  </r>
  <r>
    <x v="1909"/>
  </r>
  <r>
    <x v="1910"/>
  </r>
  <r>
    <x v="1911"/>
  </r>
  <r>
    <x v="1912"/>
  </r>
  <r>
    <x v="1913"/>
  </r>
  <r>
    <x v="1914"/>
  </r>
  <r>
    <x v="1915"/>
  </r>
  <r>
    <x v="1916"/>
  </r>
  <r>
    <x v="1917"/>
  </r>
  <r>
    <x v="391"/>
  </r>
  <r>
    <x v="1918"/>
  </r>
  <r>
    <x v="1919"/>
  </r>
  <r>
    <x v="1920"/>
  </r>
  <r>
    <x v="1921"/>
  </r>
  <r>
    <x v="1922"/>
  </r>
  <r>
    <x v="1923"/>
  </r>
  <r>
    <x v="1924"/>
  </r>
  <r>
    <x v="1925"/>
  </r>
  <r>
    <x v="1926"/>
  </r>
  <r>
    <x v="1927"/>
  </r>
  <r>
    <x v="1928"/>
  </r>
  <r>
    <x v="1929"/>
  </r>
  <r>
    <x v="1930"/>
  </r>
  <r>
    <x v="1931"/>
  </r>
  <r>
    <x v="1932"/>
  </r>
  <r>
    <x v="1933"/>
  </r>
  <r>
    <x v="1934"/>
  </r>
  <r>
    <x v="1935"/>
  </r>
  <r>
    <x v="1936"/>
  </r>
  <r>
    <x v="392"/>
  </r>
  <r>
    <x v="1937"/>
  </r>
  <r>
    <x v="1938"/>
  </r>
  <r>
    <x v="1939"/>
  </r>
  <r>
    <x v="1940"/>
  </r>
  <r>
    <x v="1941"/>
  </r>
  <r>
    <x v="1942"/>
  </r>
  <r>
    <x v="1943"/>
  </r>
  <r>
    <x v="1944"/>
  </r>
  <r>
    <x v="1945"/>
  </r>
  <r>
    <x v="1946"/>
  </r>
  <r>
    <x v="1947"/>
  </r>
  <r>
    <x v="1948"/>
  </r>
  <r>
    <x v="1949"/>
  </r>
  <r>
    <x v="1950"/>
  </r>
  <r>
    <x v="1951"/>
  </r>
  <r>
    <x v="1952"/>
  </r>
  <r>
    <x v="1953"/>
  </r>
  <r>
    <x v="1954"/>
  </r>
  <r>
    <x v="1955"/>
  </r>
  <r>
    <x v="1956"/>
  </r>
  <r>
    <x v="1957"/>
  </r>
  <r>
    <x v="1958"/>
  </r>
  <r>
    <x v="1959"/>
  </r>
  <r>
    <x v="1960"/>
  </r>
  <r>
    <x v="1961"/>
  </r>
  <r>
    <x v="1962"/>
  </r>
  <r>
    <x v="1963"/>
  </r>
  <r>
    <x v="1964"/>
  </r>
  <r>
    <x v="1965"/>
  </r>
  <r>
    <x v="1966"/>
  </r>
  <r>
    <x v="1967"/>
  </r>
  <r>
    <x v="1968"/>
  </r>
  <r>
    <x v="1969"/>
  </r>
  <r>
    <x v="1970"/>
  </r>
  <r>
    <x v="1971"/>
  </r>
  <r>
    <x v="1972"/>
  </r>
  <r>
    <x v="1973"/>
  </r>
  <r>
    <x v="1974"/>
  </r>
  <r>
    <x v="1975"/>
  </r>
  <r>
    <x v="401"/>
  </r>
  <r>
    <x v="1976"/>
  </r>
  <r>
    <x v="401"/>
  </r>
  <r>
    <x v="401"/>
  </r>
  <r>
    <x v="1977"/>
  </r>
  <r>
    <x v="1978"/>
  </r>
  <r>
    <x v="1979"/>
  </r>
  <r>
    <x v="1980"/>
  </r>
  <r>
    <x v="1981"/>
  </r>
  <r>
    <x v="1982"/>
  </r>
  <r>
    <x v="1983"/>
  </r>
  <r>
    <x v="1984"/>
  </r>
  <r>
    <x v="1984"/>
  </r>
  <r>
    <x v="539"/>
  </r>
  <r>
    <x v="539"/>
  </r>
  <r>
    <x v="539"/>
  </r>
  <r>
    <x v="539"/>
  </r>
  <r>
    <x v="540"/>
  </r>
  <r>
    <x v="1985"/>
  </r>
  <r>
    <x v="1986"/>
  </r>
  <r>
    <x v="1987"/>
  </r>
  <r>
    <x v="538"/>
  </r>
  <r>
    <x v="1988"/>
  </r>
  <r>
    <x v="1989"/>
  </r>
  <r>
    <x v="1990"/>
  </r>
  <r>
    <x v="1991"/>
  </r>
  <r>
    <x v="1992"/>
  </r>
  <r>
    <x v="1993"/>
  </r>
  <r>
    <x v="1994"/>
  </r>
  <r>
    <x v="1995"/>
  </r>
  <r>
    <x v="1996"/>
  </r>
  <r>
    <x v="1997"/>
  </r>
  <r>
    <x v="1998"/>
  </r>
  <r>
    <x v="1999"/>
  </r>
  <r>
    <x v="2000"/>
  </r>
  <r>
    <x v="2001"/>
  </r>
  <r>
    <x v="2002"/>
  </r>
  <r>
    <x v="2003"/>
  </r>
  <r>
    <x v="2004"/>
  </r>
  <r>
    <x v="2005"/>
  </r>
  <r>
    <x v="2006"/>
  </r>
  <r>
    <x v="539"/>
  </r>
  <r>
    <x v="2007"/>
  </r>
  <r>
    <x v="2008"/>
  </r>
  <r>
    <x v="2009"/>
  </r>
  <r>
    <x v="2010"/>
  </r>
  <r>
    <x v="2011"/>
  </r>
  <r>
    <x v="540"/>
  </r>
  <r>
    <x v="2012"/>
  </r>
  <r>
    <x v="2012"/>
  </r>
  <r>
    <x v="2012"/>
  </r>
  <r>
    <x v="2013"/>
  </r>
  <r>
    <x v="2013"/>
  </r>
  <r>
    <x v="2014"/>
  </r>
  <r>
    <x v="2014"/>
  </r>
  <r>
    <x v="2015"/>
  </r>
  <r>
    <x v="2015"/>
  </r>
  <r>
    <x v="2016"/>
  </r>
  <r>
    <x v="2017"/>
  </r>
  <r>
    <x v="2018"/>
  </r>
  <r>
    <x v="2019"/>
  </r>
  <r>
    <x v="2020"/>
  </r>
  <r>
    <x v="2020"/>
  </r>
  <r>
    <x v="2021"/>
  </r>
  <r>
    <x v="2021"/>
  </r>
  <r>
    <x v="2021"/>
  </r>
  <r>
    <x v="2022"/>
  </r>
  <r>
    <x v="219"/>
  </r>
  <r>
    <x v="219"/>
  </r>
  <r>
    <x v="220"/>
  </r>
  <r>
    <x v="222"/>
  </r>
  <r>
    <x v="223"/>
  </r>
  <r>
    <x v="223"/>
  </r>
  <r>
    <x v="2023"/>
  </r>
  <r>
    <x v="2024"/>
  </r>
  <r>
    <x v="2025"/>
  </r>
  <r>
    <x v="219"/>
  </r>
  <r>
    <x v="2026"/>
  </r>
  <r>
    <x v="2027"/>
  </r>
  <r>
    <x v="2028"/>
  </r>
  <r>
    <x v="220"/>
  </r>
  <r>
    <x v="2029"/>
  </r>
  <r>
    <x v="2030"/>
  </r>
  <r>
    <x v="221"/>
  </r>
  <r>
    <x v="2031"/>
  </r>
  <r>
    <x v="222"/>
  </r>
  <r>
    <x v="2032"/>
  </r>
  <r>
    <x v="2033"/>
  </r>
  <r>
    <x v="2034"/>
  </r>
  <r>
    <x v="2035"/>
  </r>
  <r>
    <x v="2036"/>
  </r>
  <r>
    <x v="2037"/>
  </r>
  <r>
    <x v="2038"/>
  </r>
  <r>
    <x v="2039"/>
  </r>
  <r>
    <x v="2040"/>
  </r>
  <r>
    <x v="2040"/>
  </r>
  <r>
    <x v="2041"/>
  </r>
  <r>
    <x v="2041"/>
  </r>
  <r>
    <x v="2042"/>
  </r>
  <r>
    <x v="2043"/>
  </r>
  <r>
    <x v="2044"/>
  </r>
  <r>
    <x v="2045"/>
  </r>
  <r>
    <x v="2045"/>
  </r>
  <r>
    <x v="2046"/>
  </r>
  <r>
    <x v="2047"/>
  </r>
  <r>
    <x v="2048"/>
  </r>
  <r>
    <x v="2049"/>
  </r>
  <r>
    <x v="2050"/>
  </r>
  <r>
    <x v="2051"/>
  </r>
  <r>
    <x v="2052"/>
  </r>
  <r>
    <x v="2053"/>
  </r>
  <r>
    <x v="2054"/>
  </r>
  <r>
    <x v="2055"/>
  </r>
  <r>
    <x v="316"/>
  </r>
  <r>
    <x v="2056"/>
  </r>
  <r>
    <x v="2057"/>
  </r>
  <r>
    <x v="2058"/>
  </r>
  <r>
    <x v="2059"/>
  </r>
  <r>
    <x v="2060"/>
  </r>
  <r>
    <x v="2061"/>
  </r>
  <r>
    <x v="2062"/>
  </r>
  <r>
    <x v="2063"/>
  </r>
  <r>
    <x v="2064"/>
  </r>
  <r>
    <x v="2065"/>
  </r>
  <r>
    <x v="2066"/>
  </r>
  <r>
    <x v="317"/>
  </r>
  <r>
    <x v="2067"/>
  </r>
  <r>
    <x v="2068"/>
  </r>
  <r>
    <x v="2069"/>
  </r>
  <r>
    <x v="2070"/>
  </r>
  <r>
    <x v="2071"/>
  </r>
  <r>
    <x v="2072"/>
  </r>
  <r>
    <x v="320"/>
  </r>
  <r>
    <x v="2073"/>
  </r>
  <r>
    <x v="2074"/>
  </r>
  <r>
    <x v="2075"/>
  </r>
  <r>
    <x v="2076"/>
  </r>
  <r>
    <x v="2077"/>
  </r>
  <r>
    <x v="2078"/>
  </r>
  <r>
    <x v="2079"/>
  </r>
  <r>
    <x v="2080"/>
  </r>
  <r>
    <x v="2081"/>
  </r>
  <r>
    <x v="2082"/>
  </r>
  <r>
    <x v="2083"/>
  </r>
  <r>
    <x v="2084"/>
  </r>
  <r>
    <x v="2085"/>
  </r>
  <r>
    <x v="2086"/>
  </r>
  <r>
    <x v="2087"/>
  </r>
  <r>
    <x v="2088"/>
  </r>
  <r>
    <x v="2089"/>
  </r>
  <r>
    <x v="2090"/>
  </r>
  <r>
    <x v="2091"/>
  </r>
  <r>
    <x v="322"/>
  </r>
  <r>
    <x v="2092"/>
  </r>
  <r>
    <x v="2093"/>
  </r>
  <r>
    <x v="2094"/>
  </r>
  <r>
    <x v="2095"/>
  </r>
  <r>
    <x v="2096"/>
  </r>
  <r>
    <x v="2097"/>
  </r>
  <r>
    <x v="2098"/>
  </r>
  <r>
    <x v="2098"/>
  </r>
  <r>
    <x v="2099"/>
  </r>
  <r>
    <x v="2100"/>
  </r>
  <r>
    <x v="2101"/>
  </r>
  <r>
    <x v="2102"/>
  </r>
  <r>
    <x v="2103"/>
  </r>
  <r>
    <x v="2104"/>
  </r>
  <r>
    <x v="2105"/>
  </r>
  <r>
    <x v="2106"/>
  </r>
  <r>
    <x v="2107"/>
  </r>
  <r>
    <x v="2107"/>
  </r>
  <r>
    <x v="2108"/>
  </r>
  <r>
    <x v="2109"/>
  </r>
  <r>
    <x v="2110"/>
  </r>
  <r>
    <x v="2110"/>
  </r>
  <r>
    <x v="2110"/>
  </r>
  <r>
    <x v="2111"/>
  </r>
  <r>
    <x v="2112"/>
  </r>
  <r>
    <x v="2113"/>
  </r>
  <r>
    <x v="2113"/>
  </r>
  <r>
    <x v="2114"/>
  </r>
  <r>
    <x v="2115"/>
  </r>
  <r>
    <x v="2115"/>
  </r>
  <r>
    <x v="2116"/>
  </r>
  <r>
    <x v="2116"/>
  </r>
  <r>
    <x v="2117"/>
  </r>
  <r>
    <x v="2117"/>
  </r>
  <r>
    <x v="2117"/>
  </r>
  <r>
    <x v="2118"/>
  </r>
  <r>
    <x v="2119"/>
  </r>
  <r>
    <x v="2119"/>
  </r>
  <r>
    <x v="2120"/>
  </r>
  <r>
    <x v="2121"/>
  </r>
  <r>
    <x v="2122"/>
  </r>
  <r>
    <x v="2123"/>
  </r>
  <r>
    <x v="2124"/>
  </r>
  <r>
    <x v="2125"/>
  </r>
  <r>
    <x v="2126"/>
  </r>
  <r>
    <x v="2127"/>
  </r>
  <r>
    <x v="2128"/>
  </r>
  <r>
    <x v="2129"/>
  </r>
  <r>
    <x v="2129"/>
  </r>
  <r>
    <x v="2130"/>
  </r>
  <r>
    <x v="2131"/>
  </r>
  <r>
    <x v="2132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68"/>
  </r>
  <r>
    <x v="1271"/>
  </r>
  <r>
    <x v="2133"/>
  </r>
  <r>
    <x v="2134"/>
  </r>
  <r>
    <x v="2134"/>
  </r>
  <r>
    <x v="2135"/>
  </r>
  <r>
    <x v="2136"/>
  </r>
  <r>
    <x v="2137"/>
  </r>
  <r>
    <x v="2138"/>
  </r>
  <r>
    <x v="2139"/>
  </r>
  <r>
    <x v="2140"/>
  </r>
  <r>
    <x v="2141"/>
  </r>
  <r>
    <x v="2142"/>
  </r>
  <r>
    <x v="2143"/>
  </r>
  <r>
    <x v="2144"/>
  </r>
  <r>
    <x v="270"/>
  </r>
  <r>
    <x v="270"/>
  </r>
  <r>
    <x v="2145"/>
  </r>
  <r>
    <x v="2146"/>
  </r>
  <r>
    <x v="2147"/>
  </r>
  <r>
    <x v="2148"/>
  </r>
  <r>
    <x v="2149"/>
  </r>
  <r>
    <x v="2150"/>
  </r>
  <r>
    <x v="2151"/>
  </r>
  <r>
    <x v="2152"/>
  </r>
  <r>
    <x v="2153"/>
  </r>
  <r>
    <x v="2154"/>
  </r>
  <r>
    <x v="2154"/>
  </r>
  <r>
    <x v="2155"/>
  </r>
  <r>
    <x v="2156"/>
  </r>
  <r>
    <x v="2157"/>
  </r>
  <r>
    <x v="2158"/>
  </r>
  <r>
    <x v="2159"/>
  </r>
  <r>
    <x v="2160"/>
  </r>
  <r>
    <x v="2161"/>
  </r>
  <r>
    <x v="2162"/>
  </r>
  <r>
    <x v="2163"/>
  </r>
  <r>
    <x v="2164"/>
  </r>
  <r>
    <x v="2164"/>
  </r>
  <r>
    <x v="2165"/>
  </r>
  <r>
    <x v="2166"/>
  </r>
  <r>
    <x v="2167"/>
  </r>
  <r>
    <x v="2168"/>
  </r>
  <r>
    <x v="2169"/>
  </r>
  <r>
    <x v="2170"/>
  </r>
  <r>
    <x v="2171"/>
  </r>
  <r>
    <x v="2172"/>
  </r>
  <r>
    <x v="2173"/>
  </r>
  <r>
    <x v="2174"/>
  </r>
  <r>
    <x v="2175"/>
  </r>
  <r>
    <x v="2176"/>
  </r>
  <r>
    <x v="2177"/>
  </r>
  <r>
    <x v="2178"/>
  </r>
  <r>
    <x v="2179"/>
  </r>
  <r>
    <x v="2180"/>
  </r>
  <r>
    <x v="2181"/>
  </r>
  <r>
    <x v="2182"/>
  </r>
  <r>
    <x v="2183"/>
  </r>
  <r>
    <x v="2184"/>
  </r>
  <r>
    <x v="2184"/>
  </r>
  <r>
    <x v="2185"/>
  </r>
  <r>
    <x v="2185"/>
  </r>
  <r>
    <x v="2185"/>
  </r>
  <r>
    <x v="2185"/>
  </r>
  <r>
    <x v="2185"/>
  </r>
  <r>
    <x v="2185"/>
  </r>
  <r>
    <x v="2185"/>
  </r>
  <r>
    <x v="2185"/>
  </r>
  <r>
    <x v="2185"/>
  </r>
  <r>
    <x v="2185"/>
  </r>
  <r>
    <x v="2186"/>
  </r>
  <r>
    <x v="2187"/>
  </r>
  <r>
    <x v="2188"/>
  </r>
  <r>
    <x v="2189"/>
  </r>
  <r>
    <x v="2190"/>
  </r>
  <r>
    <x v="2191"/>
  </r>
  <r>
    <x v="2192"/>
  </r>
  <r>
    <x v="2193"/>
  </r>
  <r>
    <x v="2194"/>
  </r>
  <r>
    <x v="2195"/>
  </r>
  <r>
    <x v="2196"/>
  </r>
  <r>
    <x v="2197"/>
  </r>
  <r>
    <x v="2198"/>
  </r>
  <r>
    <x v="2199"/>
  </r>
  <r>
    <x v="2200"/>
  </r>
  <r>
    <x v="268"/>
  </r>
  <r>
    <x v="2201"/>
  </r>
  <r>
    <x v="2202"/>
  </r>
  <r>
    <x v="2203"/>
  </r>
  <r>
    <x v="2204"/>
  </r>
  <r>
    <x v="2205"/>
  </r>
  <r>
    <x v="2206"/>
  </r>
  <r>
    <x v="2207"/>
  </r>
  <r>
    <x v="2208"/>
  </r>
  <r>
    <x v="2209"/>
  </r>
  <r>
    <x v="269"/>
  </r>
  <r>
    <x v="2210"/>
  </r>
  <r>
    <x v="264"/>
  </r>
  <r>
    <x v="264"/>
  </r>
  <r>
    <x v="264"/>
  </r>
  <r>
    <x v="265"/>
  </r>
  <r>
    <x v="265"/>
  </r>
  <r>
    <x v="2211"/>
  </r>
  <r>
    <x v="2212"/>
  </r>
  <r>
    <x v="2213"/>
  </r>
  <r>
    <x v="2214"/>
  </r>
  <r>
    <x v="2215"/>
  </r>
  <r>
    <x v="2216"/>
  </r>
  <r>
    <x v="2217"/>
  </r>
  <r>
    <x v="2218"/>
  </r>
  <r>
    <x v="2218"/>
  </r>
  <r>
    <x v="2219"/>
  </r>
  <r>
    <x v="2220"/>
  </r>
  <r>
    <x v="2221"/>
  </r>
  <r>
    <x v="2222"/>
  </r>
  <r>
    <x v="2223"/>
  </r>
  <r>
    <x v="2224"/>
  </r>
  <r>
    <x v="2225"/>
  </r>
  <r>
    <x v="2226"/>
  </r>
  <r>
    <x v="2227"/>
  </r>
  <r>
    <x v="2228"/>
  </r>
  <r>
    <x v="2229"/>
  </r>
  <r>
    <x v="2230"/>
  </r>
  <r>
    <x v="2231"/>
  </r>
  <r>
    <x v="2232"/>
  </r>
  <r>
    <x v="2233"/>
  </r>
  <r>
    <x v="2234"/>
  </r>
  <r>
    <x v="2235"/>
  </r>
  <r>
    <x v="2236"/>
  </r>
  <r>
    <x v="2237"/>
  </r>
  <r>
    <x v="2237"/>
  </r>
  <r>
    <x v="2238"/>
  </r>
  <r>
    <x v="2238"/>
  </r>
  <r>
    <x v="2239"/>
  </r>
  <r>
    <x v="2240"/>
  </r>
  <r>
    <x v="2241"/>
  </r>
  <r>
    <x v="2242"/>
  </r>
  <r>
    <x v="2243"/>
  </r>
  <r>
    <x v="2244"/>
  </r>
  <r>
    <x v="2244"/>
  </r>
  <r>
    <x v="414"/>
  </r>
  <r>
    <x v="415"/>
  </r>
  <r>
    <x v="2245"/>
  </r>
  <r>
    <x v="414"/>
  </r>
  <r>
    <x v="415"/>
  </r>
  <r>
    <x v="2246"/>
  </r>
  <r>
    <x v="2247"/>
  </r>
  <r>
    <x v="419"/>
  </r>
  <r>
    <x v="2248"/>
  </r>
  <r>
    <x v="2249"/>
  </r>
  <r>
    <x v="2250"/>
  </r>
  <r>
    <x v="2251"/>
  </r>
  <r>
    <x v="2252"/>
  </r>
  <r>
    <x v="2253"/>
  </r>
  <r>
    <x v="2254"/>
  </r>
  <r>
    <x v="2255"/>
  </r>
  <r>
    <x v="2256"/>
  </r>
  <r>
    <x v="2257"/>
  </r>
  <r>
    <x v="2258"/>
  </r>
  <r>
    <x v="2259"/>
  </r>
  <r>
    <x v="2259"/>
  </r>
  <r>
    <x v="2259"/>
  </r>
  <r>
    <x v="419"/>
  </r>
  <r>
    <x v="2260"/>
  </r>
  <r>
    <x v="2261"/>
  </r>
  <r>
    <x v="2262"/>
  </r>
  <r>
    <x v="2263"/>
  </r>
  <r>
    <x v="2264"/>
  </r>
  <r>
    <x v="2264"/>
  </r>
  <r>
    <x v="2264"/>
  </r>
  <r>
    <x v="268"/>
  </r>
  <r>
    <x v="269"/>
  </r>
  <r>
    <x v="2265"/>
  </r>
  <r>
    <x v="277"/>
  </r>
  <r>
    <x v="278"/>
  </r>
  <r>
    <x v="278"/>
  </r>
  <r>
    <x v="278"/>
  </r>
  <r>
    <x v="278"/>
  </r>
  <r>
    <x v="283"/>
  </r>
  <r>
    <x v="2266"/>
  </r>
  <r>
    <x v="2266"/>
  </r>
  <r>
    <x v="2267"/>
  </r>
  <r>
    <x v="2267"/>
  </r>
  <r>
    <x v="2268"/>
  </r>
  <r>
    <x v="2269"/>
  </r>
  <r>
    <x v="2270"/>
  </r>
  <r>
    <x v="2271"/>
  </r>
  <r>
    <x v="2272"/>
  </r>
  <r>
    <x v="2273"/>
  </r>
  <r>
    <x v="2274"/>
  </r>
  <r>
    <x v="2275"/>
  </r>
  <r>
    <x v="2276"/>
  </r>
  <r>
    <x v="2276"/>
  </r>
  <r>
    <x v="2277"/>
  </r>
  <r>
    <x v="2278"/>
  </r>
  <r>
    <x v="2279"/>
  </r>
  <r>
    <x v="2280"/>
  </r>
  <r>
    <x v="2281"/>
  </r>
  <r>
    <x v="2282"/>
  </r>
  <r>
    <x v="2283"/>
  </r>
  <r>
    <x v="2284"/>
  </r>
  <r>
    <x v="2285"/>
  </r>
  <r>
    <x v="2286"/>
  </r>
  <r>
    <x v="2287"/>
  </r>
  <r>
    <x v="2288"/>
  </r>
  <r>
    <x v="2289"/>
  </r>
  <r>
    <x v="2290"/>
  </r>
  <r>
    <x v="2291"/>
  </r>
  <r>
    <x v="2292"/>
  </r>
  <r>
    <x v="2293"/>
  </r>
  <r>
    <x v="2294"/>
  </r>
  <r>
    <x v="2295"/>
  </r>
  <r>
    <x v="2296"/>
  </r>
  <r>
    <x v="2297"/>
  </r>
  <r>
    <x v="2298"/>
  </r>
  <r>
    <x v="2299"/>
  </r>
  <r>
    <x v="2300"/>
  </r>
  <r>
    <x v="2301"/>
  </r>
  <r>
    <x v="2302"/>
  </r>
  <r>
    <x v="2303"/>
  </r>
  <r>
    <x v="2304"/>
  </r>
  <r>
    <x v="2305"/>
  </r>
  <r>
    <x v="277"/>
  </r>
  <r>
    <x v="278"/>
  </r>
  <r>
    <x v="2306"/>
  </r>
  <r>
    <x v="2307"/>
  </r>
  <r>
    <x v="2308"/>
  </r>
  <r>
    <x v="2309"/>
  </r>
  <r>
    <x v="2310"/>
  </r>
  <r>
    <x v="2311"/>
  </r>
  <r>
    <x v="2312"/>
  </r>
  <r>
    <x v="2313"/>
  </r>
  <r>
    <x v="2314"/>
  </r>
  <r>
    <x v="2315"/>
  </r>
  <r>
    <x v="2316"/>
  </r>
  <r>
    <x v="2317"/>
  </r>
  <r>
    <x v="2318"/>
  </r>
  <r>
    <x v="2319"/>
  </r>
  <r>
    <x v="2320"/>
  </r>
  <r>
    <x v="2321"/>
  </r>
  <r>
    <x v="282"/>
  </r>
  <r>
    <x v="2322"/>
  </r>
  <r>
    <x v="2323"/>
  </r>
  <r>
    <x v="2324"/>
  </r>
  <r>
    <x v="2325"/>
  </r>
  <r>
    <x v="2326"/>
  </r>
  <r>
    <x v="2327"/>
  </r>
  <r>
    <x v="2328"/>
  </r>
  <r>
    <x v="2329"/>
  </r>
  <r>
    <x v="2330"/>
  </r>
  <r>
    <x v="2331"/>
  </r>
  <r>
    <x v="283"/>
  </r>
  <r>
    <x v="2332"/>
  </r>
  <r>
    <x v="2333"/>
  </r>
  <r>
    <x v="2334"/>
  </r>
  <r>
    <x v="316"/>
  </r>
  <r>
    <x v="316"/>
  </r>
  <r>
    <x v="317"/>
  </r>
  <r>
    <x v="2335"/>
  </r>
  <r>
    <x v="2335"/>
  </r>
  <r>
    <x v="2336"/>
  </r>
  <r>
    <x v="2337"/>
  </r>
  <r>
    <x v="2337"/>
  </r>
  <r>
    <x v="2338"/>
  </r>
  <r>
    <x v="2339"/>
  </r>
  <r>
    <x v="2340"/>
  </r>
  <r>
    <x v="2341"/>
  </r>
  <r>
    <x v="15"/>
  </r>
  <r>
    <x v="15"/>
  </r>
  <r>
    <x v="15"/>
  </r>
  <r>
    <x v="2342"/>
  </r>
  <r>
    <x v="2343"/>
  </r>
  <r>
    <x v="2344"/>
  </r>
  <r>
    <x v="2345"/>
  </r>
  <r>
    <x v="2346"/>
  </r>
  <r>
    <x v="2347"/>
  </r>
  <r>
    <x v="2348"/>
  </r>
  <r>
    <x v="2349"/>
  </r>
  <r>
    <x v="65"/>
  </r>
  <r>
    <x v="2350"/>
  </r>
  <r>
    <x v="2351"/>
  </r>
  <r>
    <x v="2352"/>
  </r>
  <r>
    <x v="2353"/>
  </r>
  <r>
    <x v="2354"/>
  </r>
  <r>
    <x v="2355"/>
  </r>
  <r>
    <x v="2356"/>
  </r>
  <r>
    <x v="2357"/>
  </r>
  <r>
    <x v="2358"/>
  </r>
  <r>
    <x v="2359"/>
  </r>
  <r>
    <x v="2360"/>
  </r>
  <r>
    <x v="2361"/>
  </r>
  <r>
    <x v="2362"/>
  </r>
  <r>
    <x v="2363"/>
  </r>
  <r>
    <x v="2364"/>
  </r>
  <r>
    <x v="208"/>
  </r>
  <r>
    <x v="208"/>
  </r>
  <r>
    <x v="2365"/>
  </r>
  <r>
    <x v="2365"/>
  </r>
  <r>
    <x v="2366"/>
  </r>
  <r>
    <x v="2367"/>
  </r>
  <r>
    <x v="2368"/>
  </r>
  <r>
    <x v="2369"/>
  </r>
  <r>
    <x v="2370"/>
  </r>
  <r>
    <x v="2371"/>
  </r>
  <r>
    <x v="2372"/>
  </r>
  <r>
    <x v="2373"/>
  </r>
  <r>
    <x v="2374"/>
  </r>
  <r>
    <x v="2375"/>
  </r>
  <r>
    <x v="2376"/>
  </r>
  <r>
    <x v="2377"/>
  </r>
  <r>
    <x v="2378"/>
  </r>
  <r>
    <x v="2379"/>
  </r>
  <r>
    <x v="2380"/>
  </r>
  <r>
    <x v="2381"/>
  </r>
  <r>
    <x v="2382"/>
  </r>
  <r>
    <x v="2383"/>
  </r>
  <r>
    <x v="2383"/>
  </r>
  <r>
    <x v="2384"/>
  </r>
  <r>
    <x v="2357"/>
  </r>
  <r>
    <x v="2385"/>
  </r>
  <r>
    <x v="2386"/>
  </r>
  <r>
    <x v="2386"/>
  </r>
  <r>
    <x v="2387"/>
  </r>
  <r>
    <x v="2388"/>
  </r>
  <r>
    <x v="2389"/>
  </r>
  <r>
    <x v="2390"/>
  </r>
  <r>
    <x v="2390"/>
  </r>
  <r>
    <x v="2391"/>
  </r>
  <r>
    <x v="2392"/>
  </r>
  <r>
    <x v="2393"/>
  </r>
  <r>
    <x v="2394"/>
  </r>
  <r>
    <x v="2395"/>
  </r>
  <r>
    <x v="2396"/>
  </r>
  <r>
    <x v="2397"/>
  </r>
  <r>
    <x v="2398"/>
  </r>
  <r>
    <x v="2398"/>
  </r>
  <r>
    <x v="2398"/>
  </r>
  <r>
    <x v="2399"/>
  </r>
  <r>
    <x v="2400"/>
  </r>
  <r>
    <x v="2401"/>
  </r>
  <r>
    <x v="2402"/>
  </r>
  <r>
    <x v="2403"/>
  </r>
  <r>
    <x v="2404"/>
  </r>
  <r>
    <x v="2404"/>
  </r>
  <r>
    <x v="149"/>
  </r>
  <r>
    <x v="149"/>
  </r>
  <r>
    <x v="149"/>
  </r>
  <r>
    <x v="2405"/>
  </r>
  <r>
    <x v="2406"/>
  </r>
  <r>
    <x v="262"/>
  </r>
  <r>
    <x v="262"/>
  </r>
  <r>
    <x v="206"/>
  </r>
  <r>
    <x v="206"/>
  </r>
  <r>
    <x v="207"/>
  </r>
  <r>
    <x v="2407"/>
  </r>
  <r>
    <x v="2408"/>
  </r>
  <r>
    <x v="2409"/>
  </r>
  <r>
    <x v="2410"/>
  </r>
  <r>
    <x v="2411"/>
  </r>
  <r>
    <x v="2411"/>
  </r>
  <r>
    <x v="2412"/>
  </r>
  <r>
    <x v="2413"/>
  </r>
  <r>
    <x v="2413"/>
  </r>
  <r>
    <x v="2413"/>
  </r>
  <r>
    <x v="2414"/>
  </r>
  <r>
    <x v="2415"/>
  </r>
  <r>
    <x v="2416"/>
  </r>
  <r>
    <x v="2417"/>
  </r>
  <r>
    <x v="2417"/>
  </r>
  <r>
    <x v="2417"/>
  </r>
  <r>
    <x v="2418"/>
  </r>
  <r>
    <x v="2419"/>
  </r>
  <r>
    <x v="2420"/>
  </r>
  <r>
    <x v="238"/>
  </r>
  <r>
    <x v="238"/>
  </r>
  <r>
    <x v="2421"/>
  </r>
  <r>
    <x v="2422"/>
  </r>
  <r>
    <x v="2423"/>
  </r>
  <r>
    <x v="103"/>
  </r>
  <r>
    <x v="103"/>
  </r>
  <r>
    <x v="103"/>
  </r>
  <r>
    <x v="2424"/>
  </r>
  <r>
    <x v="2425"/>
  </r>
  <r>
    <x v="2426"/>
  </r>
  <r>
    <x v="2427"/>
  </r>
  <r>
    <x v="104"/>
  </r>
  <r>
    <x v="2428"/>
  </r>
  <r>
    <x v="2429"/>
  </r>
  <r>
    <x v="2429"/>
  </r>
  <r>
    <x v="131"/>
  </r>
  <r>
    <x v="131"/>
  </r>
  <r>
    <x v="131"/>
  </r>
  <r>
    <x v="131"/>
  </r>
  <r>
    <x v="131"/>
  </r>
  <r>
    <x v="2430"/>
  </r>
  <r>
    <x v="2431"/>
  </r>
  <r>
    <x v="2432"/>
  </r>
  <r>
    <x v="21"/>
  </r>
  <r>
    <x v="21"/>
  </r>
  <r>
    <x v="2433"/>
  </r>
  <r>
    <x v="24"/>
  </r>
  <r>
    <x v="25"/>
  </r>
  <r>
    <x v="26"/>
  </r>
  <r>
    <x v="2434"/>
  </r>
  <r>
    <x v="2435"/>
  </r>
  <r>
    <x v="2436"/>
  </r>
  <r>
    <x v="2436"/>
  </r>
  <r>
    <x v="2436"/>
  </r>
  <r>
    <x v="2436"/>
  </r>
  <r>
    <x v="2436"/>
  </r>
  <r>
    <x v="2436"/>
  </r>
  <r>
    <x v="2436"/>
  </r>
  <r>
    <x v="27"/>
  </r>
  <r>
    <x v="27"/>
  </r>
  <r>
    <x v="29"/>
  </r>
  <r>
    <x v="417"/>
  </r>
  <r>
    <x v="2437"/>
  </r>
  <r>
    <x v="2438"/>
  </r>
  <r>
    <x v="2439"/>
  </r>
  <r>
    <x v="2440"/>
  </r>
  <r>
    <x v="2441"/>
  </r>
  <r>
    <x v="2442"/>
  </r>
  <r>
    <x v="2443"/>
  </r>
  <r>
    <x v="2444"/>
  </r>
  <r>
    <x v="2445"/>
  </r>
  <r>
    <x v="2446"/>
  </r>
  <r>
    <x v="2447"/>
  </r>
  <r>
    <x v="2448"/>
  </r>
  <r>
    <x v="2449"/>
  </r>
  <r>
    <x v="2450"/>
  </r>
  <r>
    <x v="2451"/>
  </r>
  <r>
    <x v="2452"/>
  </r>
  <r>
    <x v="2453"/>
  </r>
  <r>
    <x v="2454"/>
  </r>
  <r>
    <x v="145"/>
  </r>
  <r>
    <x v="145"/>
  </r>
  <r>
    <x v="24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308D0-F72E-4836-896A-4A9CCB5C2F0C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1:D2458" firstHeaderRow="1" firstDataRow="1" firstDataCol="1"/>
  <pivotFields count="1">
    <pivotField axis="axisRow" showAll="0">
      <items count="2457">
        <item x="1461"/>
        <item x="1579"/>
        <item x="1574"/>
        <item x="1340"/>
        <item x="107"/>
        <item x="239"/>
        <item x="2013"/>
        <item x="1833"/>
        <item x="583"/>
        <item x="1475"/>
        <item x="2184"/>
        <item x="895"/>
        <item x="428"/>
        <item x="1108"/>
        <item x="458"/>
        <item x="1407"/>
        <item x="1267"/>
        <item x="547"/>
        <item x="1350"/>
        <item x="60"/>
        <item x="456"/>
        <item x="1437"/>
        <item x="615"/>
        <item x="1163"/>
        <item x="18"/>
        <item x="1153"/>
        <item x="208"/>
        <item x="1476"/>
        <item x="1049"/>
        <item x="276"/>
        <item x="1444"/>
        <item x="882"/>
        <item x="1160"/>
        <item x="1326"/>
        <item x="2171"/>
        <item x="2173"/>
        <item x="2410"/>
        <item x="1342"/>
        <item x="1184"/>
        <item x="395"/>
        <item x="131"/>
        <item x="289"/>
        <item x="1239"/>
        <item x="554"/>
        <item x="2267"/>
        <item x="2346"/>
        <item x="491"/>
        <item x="1411"/>
        <item x="573"/>
        <item x="1203"/>
        <item x="601"/>
        <item x="992"/>
        <item x="1377"/>
        <item x="2242"/>
        <item x="814"/>
        <item x="2"/>
        <item x="1181"/>
        <item x="1192"/>
        <item x="2180"/>
        <item x="70"/>
        <item x="1447"/>
        <item x="432"/>
        <item x="128"/>
        <item x="1837"/>
        <item x="926"/>
        <item x="1237"/>
        <item x="1398"/>
        <item x="847"/>
        <item x="1281"/>
        <item x="407"/>
        <item x="826"/>
        <item x="410"/>
        <item x="441"/>
        <item x="405"/>
        <item x="2014"/>
        <item x="1120"/>
        <item x="2022"/>
        <item x="1197"/>
        <item x="1178"/>
        <item x="2215"/>
        <item x="1242"/>
        <item x="868"/>
        <item x="1046"/>
        <item x="2123"/>
        <item x="559"/>
        <item x="1154"/>
        <item x="654"/>
        <item x="270"/>
        <item x="188"/>
        <item x="2392"/>
        <item x="932"/>
        <item x="965"/>
        <item x="467"/>
        <item x="535"/>
        <item x="2383"/>
        <item x="1189"/>
        <item x="2100"/>
        <item x="209"/>
        <item x="253"/>
        <item x="2154"/>
        <item x="813"/>
        <item x="2401"/>
        <item x="2181"/>
        <item x="736"/>
        <item x="599"/>
        <item x="947"/>
        <item x="453"/>
        <item x="2376"/>
        <item x="1004"/>
        <item x="1249"/>
        <item x="426"/>
        <item x="34"/>
        <item x="1099"/>
        <item x="1271"/>
        <item x="45"/>
        <item x="2337"/>
        <item x="1145"/>
        <item x="1144"/>
        <item x="1191"/>
        <item x="1333"/>
        <item x="2378"/>
        <item x="725"/>
        <item x="1075"/>
        <item x="715"/>
        <item x="756"/>
        <item x="445"/>
        <item x="451"/>
        <item x="466"/>
        <item x="483"/>
        <item x="759"/>
        <item x="859"/>
        <item x="1303"/>
        <item x="1140"/>
        <item x="1248"/>
        <item x="890"/>
        <item x="1440"/>
        <item x="236"/>
        <item x="983"/>
        <item x="1473"/>
        <item x="1485"/>
        <item x="444"/>
        <item x="36"/>
        <item x="659"/>
        <item x="774"/>
        <item x="1055"/>
        <item x="2218"/>
        <item x="1489"/>
        <item x="1639"/>
        <item x="555"/>
        <item x="938"/>
        <item x="1208"/>
        <item x="51"/>
        <item x="497"/>
        <item x="501"/>
        <item x="578"/>
        <item x="2152"/>
        <item x="1825"/>
        <item x="1836"/>
        <item x="1814"/>
        <item x="1556"/>
        <item x="1557"/>
        <item x="1567"/>
        <item x="1559"/>
        <item x="2117"/>
        <item x="995"/>
        <item x="1954"/>
        <item x="843"/>
        <item x="1142"/>
        <item x="177"/>
        <item x="1040"/>
        <item x="1827"/>
        <item x="765"/>
        <item x="1930"/>
        <item x="2018"/>
        <item x="912"/>
        <item x="184"/>
        <item x="181"/>
        <item x="1742"/>
        <item x="340"/>
        <item x="1172"/>
        <item x="2417"/>
        <item x="2370"/>
        <item x="148"/>
        <item x="1051"/>
        <item x="37"/>
        <item x="353"/>
        <item x="678"/>
        <item x="761"/>
        <item x="120"/>
        <item x="605"/>
        <item x="782"/>
        <item x="766"/>
        <item x="2119"/>
        <item x="557"/>
        <item x="414"/>
        <item x="1124"/>
        <item x="1813"/>
        <item x="758"/>
        <item x="546"/>
        <item x="695"/>
        <item x="1621"/>
        <item x="193"/>
        <item x="2121"/>
        <item x="2113"/>
        <item x="2115"/>
        <item x="2122"/>
        <item x="172"/>
        <item x="849"/>
        <item x="1069"/>
        <item x="1109"/>
        <item x="455"/>
        <item x="861"/>
        <item x="950"/>
        <item x="606"/>
        <item x="790"/>
        <item x="47"/>
        <item x="749"/>
        <item x="857"/>
        <item x="612"/>
        <item x="136"/>
        <item x="2244"/>
        <item x="742"/>
        <item x="1023"/>
        <item x="1788"/>
        <item x="327"/>
        <item x="645"/>
        <item x="684"/>
        <item x="579"/>
        <item x="795"/>
        <item x="452"/>
        <item x="1849"/>
        <item x="231"/>
        <item x="699"/>
        <item x="1032"/>
        <item x="2427"/>
        <item x="689"/>
        <item x="2164"/>
        <item x="787"/>
        <item x="1076"/>
        <item x="434"/>
        <item x="463"/>
        <item x="680"/>
        <item x="274"/>
        <item x="2178"/>
        <item x="352"/>
        <item x="149"/>
        <item x="38"/>
        <item x="187"/>
        <item x="1362"/>
        <item x="229"/>
        <item x="118"/>
        <item x="132"/>
        <item x="998"/>
        <item x="2103"/>
        <item x="300"/>
        <item x="2129"/>
        <item x="2098"/>
        <item x="1819"/>
        <item x="1102"/>
        <item x="2067"/>
        <item x="53"/>
        <item x="1098"/>
        <item x="430"/>
        <item x="1727"/>
        <item x="1376"/>
        <item x="1113"/>
        <item x="104"/>
        <item x="799"/>
        <item x="233"/>
        <item x="2131"/>
        <item x="602"/>
        <item x="61"/>
        <item x="2374"/>
        <item x="1005"/>
        <item x="1010"/>
        <item x="372"/>
        <item x="417"/>
        <item x="634"/>
        <item x="871"/>
        <item x="1902"/>
        <item x="1014"/>
        <item x="183"/>
        <item x="362"/>
        <item x="1029"/>
        <item x="9"/>
        <item x="87"/>
        <item x="1674"/>
        <item x="1863"/>
        <item x="374"/>
        <item x="81"/>
        <item x="747"/>
        <item x="617"/>
        <item x="524"/>
        <item x="1580"/>
        <item x="1562"/>
        <item x="569"/>
        <item x="1254"/>
        <item x="1273"/>
        <item x="1110"/>
        <item x="1598"/>
        <item x="2212"/>
        <item x="134"/>
        <item x="100"/>
        <item x="836"/>
        <item x="44"/>
        <item x="1037"/>
        <item x="1539"/>
        <item x="335"/>
        <item x="2208"/>
        <item x="400"/>
        <item x="258"/>
        <item x="17"/>
        <item x="1758"/>
        <item x="204"/>
        <item x="1183"/>
        <item x="2144"/>
        <item x="2453"/>
        <item x="596"/>
        <item x="69"/>
        <item x="1268"/>
        <item x="2221"/>
        <item x="1044"/>
        <item x="1194"/>
        <item x="437"/>
        <item x="531"/>
        <item x="1391"/>
        <item x="549"/>
        <item x="1077"/>
        <item x="788"/>
        <item x="1296"/>
        <item x="980"/>
        <item x="1107"/>
        <item x="1648"/>
        <item x="355"/>
        <item x="1692"/>
        <item x="309"/>
        <item x="1884"/>
        <item x="304"/>
        <item x="280"/>
        <item x="1951"/>
        <item x="943"/>
        <item x="877"/>
        <item x="770"/>
        <item x="321"/>
        <item x="825"/>
        <item x="679"/>
        <item x="2359"/>
        <item x="675"/>
        <item x="751"/>
        <item x="889"/>
        <item x="230"/>
        <item x="101"/>
        <item x="1235"/>
        <item x="585"/>
        <item x="1048"/>
        <item x="1233"/>
        <item x="409"/>
        <item x="1042"/>
        <item x="1552"/>
        <item x="624"/>
        <item x="433"/>
        <item x="285"/>
        <item x="1450"/>
        <item x="235"/>
        <item x="574"/>
        <item x="2431"/>
        <item x="154"/>
        <item x="778"/>
        <item x="745"/>
        <item x="291"/>
        <item x="1086"/>
        <item x="2162"/>
        <item x="600"/>
        <item x="311"/>
        <item x="127"/>
        <item x="560"/>
        <item x="52"/>
        <item x="620"/>
        <item x="2161"/>
        <item x="1386"/>
        <item x="408"/>
        <item x="64"/>
        <item x="1143"/>
        <item x="367"/>
        <item x="331"/>
        <item x="651"/>
        <item x="1097"/>
        <item x="375"/>
        <item x="1291"/>
        <item x="1310"/>
        <item x="1117"/>
        <item x="381"/>
        <item x="319"/>
        <item x="296"/>
        <item x="265"/>
        <item x="1417"/>
        <item x="257"/>
        <item x="1520"/>
        <item x="1831"/>
        <item x="1805"/>
        <item x="567"/>
        <item x="997"/>
        <item x="1133"/>
        <item x="1207"/>
        <item x="1272"/>
        <item x="162"/>
        <item x="1678"/>
        <item x="106"/>
        <item x="1484"/>
        <item x="1402"/>
        <item x="2118"/>
        <item x="2094"/>
        <item x="43"/>
        <item x="40"/>
        <item x="570"/>
        <item x="1480"/>
        <item x="22"/>
        <item x="214"/>
        <item x="213"/>
        <item x="211"/>
        <item x="1442"/>
        <item x="1228"/>
        <item x="1157"/>
        <item x="288"/>
        <item x="580"/>
        <item x="1355"/>
        <item x="974"/>
        <item x="2260"/>
        <item x="403"/>
        <item x="404"/>
        <item x="604"/>
        <item x="561"/>
        <item x="946"/>
        <item x="1033"/>
        <item x="237"/>
        <item x="238"/>
        <item x="103"/>
        <item x="102"/>
        <item x="241"/>
        <item x="768"/>
        <item x="771"/>
        <item x="186"/>
        <item x="185"/>
        <item x="1177"/>
        <item x="1358"/>
        <item x="161"/>
        <item x="358"/>
        <item x="1663"/>
        <item x="2070"/>
        <item x="322"/>
        <item x="326"/>
        <item x="539"/>
        <item x="2450"/>
        <item x="1968"/>
        <item x="2101"/>
        <item x="1141"/>
        <item x="1139"/>
        <item x="832"/>
        <item x="1824"/>
        <item x="1829"/>
        <item x="196"/>
        <item x="1418"/>
        <item x="123"/>
        <item x="1601"/>
        <item x="19"/>
        <item x="2246"/>
        <item x="1924"/>
        <item x="2207"/>
        <item x="2037"/>
        <item x="1927"/>
        <item x="1623"/>
        <item x="2032"/>
        <item x="1622"/>
        <item x="333"/>
        <item x="2253"/>
        <item x="1958"/>
        <item x="1591"/>
        <item x="2228"/>
        <item x="328"/>
        <item x="378"/>
        <item x="1921"/>
        <item x="1699"/>
        <item x="1948"/>
        <item x="1947"/>
        <item x="1972"/>
        <item x="1770"/>
        <item x="1959"/>
        <item x="384"/>
        <item x="1662"/>
        <item x="371"/>
        <item x="436"/>
        <item x="474"/>
        <item x="493"/>
        <item x="862"/>
        <item x="1126"/>
        <item x="459"/>
        <item x="256"/>
        <item x="647"/>
        <item x="834"/>
        <item x="496"/>
        <item x="1305"/>
        <item x="1123"/>
        <item x="1748"/>
        <item x="2333"/>
        <item x="341"/>
        <item x="1610"/>
        <item x="1790"/>
        <item x="785"/>
        <item x="722"/>
        <item x="202"/>
        <item x="348"/>
        <item x="884"/>
        <item x="4"/>
        <item x="781"/>
        <item x="777"/>
        <item x="783"/>
        <item x="1347"/>
        <item x="99"/>
        <item x="644"/>
        <item x="648"/>
        <item x="753"/>
        <item x="655"/>
        <item x="718"/>
        <item x="730"/>
        <item x="845"/>
        <item x="739"/>
        <item x="35"/>
        <item x="440"/>
        <item x="457"/>
        <item x="429"/>
        <item x="48"/>
        <item x="1100"/>
        <item x="1079"/>
        <item x="748"/>
        <item x="413"/>
        <item x="541"/>
        <item x="2039"/>
        <item x="2186"/>
        <item x="2336"/>
        <item x="2353"/>
        <item x="2338"/>
        <item x="1405"/>
        <item x="1295"/>
        <item x="1072"/>
        <item x="896"/>
        <item x="1206"/>
        <item x="2019"/>
        <item x="1045"/>
        <item x="967"/>
        <item x="1353"/>
        <item x="2099"/>
        <item x="1465"/>
        <item x="2183"/>
        <item x="1247"/>
        <item x="1528"/>
        <item x="1530"/>
        <item x="1210"/>
        <item x="1367"/>
        <item x="566"/>
        <item x="564"/>
        <item x="412"/>
        <item x="598"/>
        <item x="582"/>
        <item x="616"/>
        <item x="993"/>
        <item x="913"/>
        <item x="2238"/>
        <item x="2237"/>
        <item x="2407"/>
        <item x="572"/>
        <item x="2015"/>
        <item x="2012"/>
        <item x="1438"/>
        <item x="949"/>
        <item x="982"/>
        <item x="1344"/>
        <item x="252"/>
        <item x="1167"/>
        <item x="354"/>
        <item x="1683"/>
        <item x="334"/>
        <item x="336"/>
        <item x="2056"/>
        <item x="2304"/>
        <item x="2024"/>
        <item x="1935"/>
        <item x="391"/>
        <item x="323"/>
        <item x="1173"/>
        <item x="1137"/>
        <item x="1213"/>
        <item x="2278"/>
        <item x="2157"/>
        <item x="1952"/>
        <item x="1619"/>
        <item x="315"/>
        <item x="347"/>
        <item x="643"/>
        <item x="109"/>
        <item x="112"/>
        <item x="370"/>
        <item x="390"/>
        <item x="2259"/>
        <item x="1289"/>
        <item x="892"/>
        <item x="1074"/>
        <item x="1345"/>
        <item x="959"/>
        <item x="1011"/>
        <item x="1030"/>
        <item x="1903"/>
        <item x="2423"/>
        <item x="1422"/>
        <item x="1502"/>
        <item x="1529"/>
        <item x="1812"/>
        <item x="2132"/>
        <item x="1531"/>
        <item x="73"/>
        <item x="74"/>
        <item x="1280"/>
        <item x="1168"/>
        <item x="95"/>
        <item x="150"/>
        <item x="1655"/>
        <item x="1631"/>
        <item x="1725"/>
        <item x="1762"/>
        <item x="2055"/>
        <item x="1857"/>
        <item x="295"/>
        <item x="1926"/>
        <item x="1937"/>
        <item x="1973"/>
        <item x="212"/>
        <item x="752"/>
        <item x="1607"/>
        <item x="2085"/>
        <item x="2294"/>
        <item x="247"/>
        <item x="27"/>
        <item x="28"/>
        <item x="26"/>
        <item x="2435"/>
        <item x="226"/>
        <item x="25"/>
        <item x="29"/>
        <item x="246"/>
        <item x="21"/>
        <item x="245"/>
        <item x="23"/>
        <item x="244"/>
        <item x="24"/>
        <item x="2434"/>
        <item x="2176"/>
        <item x="1001"/>
        <item x="948"/>
        <item x="2347"/>
        <item x="1348"/>
        <item x="642"/>
        <item x="290"/>
        <item x="894"/>
        <item x="924"/>
        <item x="1131"/>
        <item x="1432"/>
        <item x="1826"/>
        <item x="1383"/>
        <item x="2134"/>
        <item x="1445"/>
        <item x="610"/>
        <item x="121"/>
        <item x="1670"/>
        <item x="1588"/>
        <item x="1596"/>
        <item x="2326"/>
        <item x="279"/>
        <item x="2034"/>
        <item x="1979"/>
        <item x="1840"/>
        <item x="883"/>
        <item x="885"/>
        <item x="2288"/>
        <item x="2266"/>
        <item x="111"/>
        <item x="206"/>
        <item x="816"/>
        <item x="794"/>
        <item x="1092"/>
        <item x="1400"/>
        <item x="899"/>
        <item x="2395"/>
        <item x="972"/>
        <item x="1946"/>
        <item x="155"/>
        <item x="1706"/>
        <item x="1088"/>
        <item x="920"/>
        <item x="146"/>
        <item x="1151"/>
        <item x="2314"/>
        <item x="1317"/>
        <item x="796"/>
        <item x="828"/>
        <item x="1200"/>
        <item x="1008"/>
        <item x="2093"/>
        <item x="339"/>
        <item x="2348"/>
        <item x="1349"/>
        <item x="805"/>
        <item x="697"/>
        <item x="676"/>
        <item x="637"/>
        <item x="486"/>
        <item x="702"/>
        <item x="397"/>
        <item x="402"/>
        <item x="2124"/>
        <item x="2340"/>
        <item x="2355"/>
        <item x="1118"/>
        <item x="1084"/>
        <item x="1000"/>
        <item x="2399"/>
        <item x="1127"/>
        <item x="2096"/>
        <item x="1576"/>
        <item x="1569"/>
        <item x="1568"/>
        <item x="2110"/>
        <item x="2388"/>
        <item x="1439"/>
        <item x="130"/>
        <item x="904"/>
        <item x="764"/>
        <item x="1429"/>
        <item x="1070"/>
        <item x="71"/>
        <item x="67"/>
        <item x="1150"/>
        <item x="964"/>
        <item x="157"/>
        <item x="2277"/>
        <item x="1661"/>
        <item x="385"/>
        <item x="1590"/>
        <item x="2075"/>
        <item x="294"/>
        <item x="312"/>
        <item x="1492"/>
        <item x="1436"/>
        <item x="114"/>
        <item x="207"/>
        <item x="784"/>
        <item x="1395"/>
        <item x="1389"/>
        <item x="954"/>
        <item x="2107"/>
        <item x="1240"/>
        <item x="1497"/>
        <item x="1535"/>
        <item x="1446"/>
        <item x="1339"/>
        <item x="558"/>
        <item x="1462"/>
        <item x="469"/>
        <item x="1343"/>
        <item x="88"/>
        <item x="423"/>
        <item x="649"/>
        <item x="802"/>
        <item x="2175"/>
        <item x="464"/>
        <item x="1313"/>
        <item x="2104"/>
        <item x="356"/>
        <item x="1698"/>
        <item x="2416"/>
        <item x="2373"/>
        <item x="1525"/>
        <item x="221"/>
        <item x="392"/>
        <item x="492"/>
        <item x="939"/>
        <item x="68"/>
        <item x="1527"/>
        <item x="990"/>
        <item x="512"/>
        <item x="227"/>
        <item x="446"/>
        <item x="338"/>
        <item x="1504"/>
        <item x="2205"/>
        <item x="1304"/>
        <item x="1905"/>
        <item x="2351"/>
        <item x="2381"/>
        <item x="1690"/>
        <item x="538"/>
        <item x="8"/>
        <item x="169"/>
        <item x="1499"/>
        <item x="1332"/>
        <item x="1007"/>
        <item x="1147"/>
        <item x="1651"/>
        <item x="1288"/>
        <item x="89"/>
        <item x="1396"/>
        <item x="931"/>
        <item x="310"/>
        <item x="2061"/>
        <item x="314"/>
        <item x="1970"/>
        <item x="1779"/>
        <item x="2251"/>
        <item x="216"/>
        <item x="987"/>
        <item x="147"/>
        <item x="1196"/>
        <item x="2322"/>
        <item x="373"/>
        <item x="1195"/>
        <item x="1821"/>
        <item x="369"/>
        <item x="1330"/>
        <item x="733"/>
        <item x="16"/>
        <item x="1483"/>
        <item x="1810"/>
        <item x="225"/>
        <item x="709"/>
        <item x="1071"/>
        <item x="2289"/>
        <item x="646"/>
        <item x="1620"/>
        <item x="851"/>
        <item x="1309"/>
        <item x="1571"/>
        <item x="419"/>
        <item x="773"/>
        <item x="922"/>
        <item x="303"/>
        <item x="2043"/>
        <item x="2017"/>
        <item x="125"/>
        <item x="1039"/>
        <item x="1551"/>
        <item x="1243"/>
        <item x="763"/>
        <item x="513"/>
        <item x="2158"/>
        <item x="200"/>
        <item x="1016"/>
        <item x="171"/>
        <item x="1506"/>
        <item x="1992"/>
        <item x="198"/>
        <item x="1991"/>
        <item x="1085"/>
        <item x="545"/>
        <item x="1058"/>
        <item x="366"/>
        <item x="2227"/>
        <item x="344"/>
        <item x="925"/>
        <item x="1119"/>
        <item x="856"/>
        <item x="342"/>
        <item x="189"/>
        <item x="1292"/>
        <item x="251"/>
        <item x="1035"/>
        <item x="1669"/>
        <item x="387"/>
        <item x="1219"/>
        <item x="630"/>
        <item x="1198"/>
        <item x="447"/>
        <item x="1472"/>
        <item x="72"/>
        <item x="1258"/>
        <item x="2413"/>
        <item x="2414"/>
        <item x="2361"/>
        <item x="137"/>
        <item x="775"/>
        <item x="1186"/>
        <item x="124"/>
        <item x="427"/>
        <item x="700"/>
        <item x="232"/>
        <item x="1308"/>
        <item x="1312"/>
        <item x="952"/>
        <item x="1356"/>
        <item x="1024"/>
        <item x="1089"/>
        <item x="1261"/>
        <item x="905"/>
        <item x="284"/>
        <item x="2408"/>
        <item x="934"/>
        <item x="1106"/>
        <item x="944"/>
        <item x="780"/>
        <item x="977"/>
        <item x="1078"/>
        <item x="1501"/>
        <item x="844"/>
        <item x="2177"/>
        <item x="1419"/>
        <item x="1511"/>
        <item x="1537"/>
        <item x="1146"/>
        <item x="1341"/>
        <item x="12"/>
        <item x="1672"/>
        <item x="349"/>
        <item x="1635"/>
        <item x="1615"/>
        <item x="389"/>
        <item x="307"/>
        <item x="1901"/>
        <item x="1899"/>
        <item x="1886"/>
        <item x="222"/>
        <item x="220"/>
        <item x="1862"/>
        <item x="1774"/>
        <item x="540"/>
        <item x="1224"/>
        <item x="1260"/>
        <item x="2411"/>
        <item x="105"/>
        <item x="135"/>
        <item x="1488"/>
        <item x="738"/>
        <item x="743"/>
        <item x="271"/>
        <item x="145"/>
        <item x="519"/>
        <item x="1297"/>
        <item x="203"/>
        <item x="914"/>
        <item x="1471"/>
        <item x="869"/>
        <item x="933"/>
        <item x="1424"/>
        <item x="1560"/>
        <item x="2261"/>
        <item x="1036"/>
        <item x="2422"/>
        <item x="534"/>
        <item x="872"/>
        <item x="176"/>
        <item x="592"/>
        <item x="597"/>
        <item x="1453"/>
        <item x="1509"/>
        <item x="1134"/>
        <item x="1152"/>
        <item x="1176"/>
        <item x="1215"/>
        <item x="1190"/>
        <item x="115"/>
        <item x="156"/>
        <item x="159"/>
        <item x="163"/>
        <item x="2270"/>
        <item x="2276"/>
        <item x="1734"/>
        <item x="1614"/>
        <item x="317"/>
        <item x="298"/>
        <item x="324"/>
        <item x="1851"/>
        <item x="1276"/>
        <item x="1221"/>
        <item x="91"/>
        <item x="841"/>
        <item x="1180"/>
        <item x="1057"/>
        <item x="484"/>
        <item x="286"/>
        <item x="2041"/>
        <item x="1404"/>
        <item x="1397"/>
        <item x="1401"/>
        <item x="930"/>
        <item x="1093"/>
        <item x="923"/>
        <item x="1130"/>
        <item x="1871"/>
        <item x="928"/>
        <item x="1816"/>
        <item x="1246"/>
        <item x="1546"/>
        <item x="80"/>
        <item x="1534"/>
        <item x="406"/>
        <item x="548"/>
        <item x="1132"/>
        <item x="767"/>
        <item x="249"/>
        <item x="1454"/>
        <item x="1278"/>
        <item x="1193"/>
        <item x="210"/>
        <item x="556"/>
        <item x="117"/>
        <item x="65"/>
        <item x="2269"/>
        <item x="383"/>
        <item x="223"/>
        <item x="260"/>
        <item x="1925"/>
        <item x="1940"/>
        <item x="921"/>
        <item x="698"/>
        <item x="461"/>
        <item x="1329"/>
        <item x="110"/>
        <item x="1934"/>
        <item x="1971"/>
        <item x="1236"/>
        <item x="2248"/>
        <item x="1155"/>
        <item x="963"/>
        <item x="2398"/>
        <item x="1054"/>
        <item x="382"/>
        <item x="380"/>
        <item x="379"/>
        <item x="264"/>
        <item x="627"/>
        <item x="2430"/>
        <item x="174"/>
        <item x="140"/>
        <item x="153"/>
        <item x="98"/>
        <item x="737"/>
        <item x="180"/>
        <item x="664"/>
        <item x="734"/>
        <item x="1062"/>
        <item x="420"/>
        <item x="421"/>
        <item x="425"/>
        <item x="439"/>
        <item x="431"/>
        <item x="462"/>
        <item x="1064"/>
        <item x="50"/>
        <item x="1065"/>
        <item x="54"/>
        <item x="1984"/>
        <item x="527"/>
        <item x="532"/>
        <item x="1301"/>
        <item x="1299"/>
        <item x="1319"/>
        <item x="1323"/>
        <item x="1324"/>
        <item x="1325"/>
        <item x="1327"/>
        <item x="1293"/>
        <item x="1087"/>
        <item x="1041"/>
        <item x="393"/>
        <item x="1241"/>
        <item x="544"/>
        <item x="1449"/>
        <item x="979"/>
        <item x="903"/>
        <item x="113"/>
        <item x="122"/>
        <item x="1593"/>
        <item x="343"/>
        <item x="1592"/>
        <item x="305"/>
        <item x="282"/>
        <item x="1949"/>
        <item x="418"/>
        <item x="2250"/>
        <item x="6"/>
        <item x="141"/>
        <item x="7"/>
        <item x="1165"/>
        <item x="1408"/>
        <item x="1179"/>
        <item x="809"/>
        <item x="663"/>
        <item x="287"/>
        <item x="2045"/>
        <item x="2352"/>
        <item x="248"/>
        <item x="1006"/>
        <item x="935"/>
        <item x="996"/>
        <item x="945"/>
        <item x="1448"/>
        <item x="1412"/>
        <item x="2141"/>
        <item x="1366"/>
        <item x="119"/>
        <item x="351"/>
        <item x="1658"/>
        <item x="2312"/>
        <item x="1760"/>
        <item x="1883"/>
        <item x="2201"/>
        <item x="219"/>
        <item x="607"/>
        <item x="1766"/>
        <item x="297"/>
        <item x="1929"/>
        <item x="1912"/>
        <item x="401"/>
        <item x="1976"/>
        <item x="1255"/>
        <item x="1220"/>
        <item x="628"/>
        <item x="626"/>
        <item x="5"/>
        <item x="723"/>
        <item x="786"/>
        <item x="199"/>
        <item x="994"/>
        <item x="365"/>
        <item x="2334"/>
        <item x="218"/>
        <item x="625"/>
        <item x="2296"/>
        <item x="2358"/>
        <item x="133"/>
        <item x="182"/>
        <item x="152"/>
        <item x="0"/>
        <item x="205"/>
        <item x="1"/>
        <item x="3"/>
        <item x="15"/>
        <item x="793"/>
        <item x="1263"/>
        <item x="1164"/>
        <item x="688"/>
        <item x="801"/>
        <item x="650"/>
        <item x="653"/>
        <item x="712"/>
        <item x="829"/>
        <item x="57"/>
        <item x="507"/>
        <item x="503"/>
        <item x="1279"/>
        <item x="563"/>
        <item x="450"/>
        <item x="42"/>
        <item x="471"/>
        <item x="443"/>
        <item x="465"/>
        <item x="480"/>
        <item x="494"/>
        <item x="489"/>
        <item x="49"/>
        <item x="1101"/>
        <item x="687"/>
        <item x="55"/>
        <item x="866"/>
        <item x="746"/>
        <item x="865"/>
        <item x="685"/>
        <item x="682"/>
        <item x="686"/>
        <item x="683"/>
        <item x="553"/>
        <item x="854"/>
        <item x="860"/>
        <item x="863"/>
        <item x="858"/>
        <item x="812"/>
        <item x="986"/>
        <item x="618"/>
        <item x="215"/>
        <item x="562"/>
        <item x="396"/>
        <item x="536"/>
        <item x="259"/>
        <item x="619"/>
        <item x="614"/>
        <item x="586"/>
        <item x="272"/>
        <item x="90"/>
        <item x="2040"/>
        <item x="2335"/>
        <item x="530"/>
        <item x="528"/>
        <item x="522"/>
        <item x="1290"/>
        <item x="1300"/>
        <item x="1315"/>
        <item x="1336"/>
        <item x="898"/>
        <item x="243"/>
        <item x="2150"/>
        <item x="1477"/>
        <item x="1806"/>
        <item x="1815"/>
        <item x="1563"/>
        <item x="1382"/>
        <item x="1375"/>
        <item x="2116"/>
        <item x="2390"/>
        <item x="2386"/>
        <item x="1870"/>
        <item x="11"/>
        <item x="973"/>
        <item x="852"/>
        <item x="1188"/>
        <item x="166"/>
        <item x="164"/>
        <item x="1697"/>
        <item x="318"/>
        <item x="1218"/>
        <item x="1174"/>
        <item x="1175"/>
        <item x="1222"/>
        <item x="1223"/>
        <item x="1225"/>
        <item x="77"/>
        <item x="96"/>
        <item x="151"/>
        <item x="139"/>
        <item x="175"/>
        <item x="2371"/>
        <item x="1201"/>
        <item x="744"/>
        <item x="808"/>
        <item x="668"/>
        <item x="640"/>
        <item x="472"/>
        <item x="515"/>
        <item x="470"/>
        <item x="263"/>
        <item x="2216"/>
        <item x="2172"/>
        <item x="2021"/>
        <item x="523"/>
        <item x="520"/>
        <item x="1294"/>
        <item x="953"/>
        <item x="93"/>
        <item x="94"/>
        <item x="1409"/>
        <item x="911"/>
        <item x="975"/>
        <item x="1022"/>
        <item x="2241"/>
        <item x="2142"/>
        <item x="1369"/>
        <item x="779"/>
        <item x="1873"/>
        <item x="1435"/>
        <item x="2149"/>
        <item x="1565"/>
        <item x="1459"/>
        <item x="1532"/>
        <item x="79"/>
        <item x="78"/>
        <item x="1346"/>
        <item x="144"/>
        <item x="201"/>
        <item x="542"/>
        <item x="1230"/>
        <item x="1125"/>
        <item x="242"/>
        <item x="1416"/>
        <item x="830"/>
        <item x="86"/>
        <item x="551"/>
        <item x="275"/>
        <item x="1038"/>
        <item x="1053"/>
        <item x="108"/>
        <item x="84"/>
        <item x="2271"/>
        <item x="350"/>
        <item x="320"/>
        <item x="302"/>
        <item x="283"/>
        <item x="277"/>
        <item x="415"/>
        <item x="217"/>
        <item x="224"/>
        <item x="416"/>
        <item x="1217"/>
        <item x="92"/>
        <item x="820"/>
        <item x="629"/>
        <item x="622"/>
        <item x="267"/>
        <item x="1751"/>
        <item x="1361"/>
        <item x="717"/>
        <item x="1545"/>
        <item x="681"/>
        <item x="142"/>
        <item x="59"/>
        <item x="360"/>
        <item x="85"/>
        <item x="269"/>
        <item x="337"/>
        <item x="1875"/>
        <item x="1858"/>
        <item x="2384"/>
        <item x="706"/>
        <item x="499"/>
        <item x="1608"/>
        <item x="1318"/>
        <item x="1811"/>
        <item x="2375"/>
        <item x="2385"/>
        <item x="1158"/>
        <item x="839"/>
        <item x="732"/>
        <item x="39"/>
        <item x="438"/>
        <item x="476"/>
        <item x="1314"/>
        <item x="1017"/>
        <item x="1031"/>
        <item x="1262"/>
        <item x="1368"/>
        <item x="2166"/>
        <item x="568"/>
        <item x="989"/>
        <item x="1028"/>
        <item x="190"/>
        <item x="1704"/>
        <item x="376"/>
        <item x="325"/>
        <item x="2329"/>
        <item x="278"/>
        <item x="293"/>
        <item x="1975"/>
        <item x="262"/>
        <item x="2382"/>
        <item x="13"/>
        <item x="14"/>
        <item x="2292"/>
        <item x="2402"/>
        <item x="754"/>
        <item x="2243"/>
        <item x="1185"/>
        <item x="1227"/>
        <item x="1209"/>
        <item x="1166"/>
        <item x="1162"/>
        <item x="1161"/>
        <item x="2354"/>
        <item x="656"/>
        <item x="703"/>
        <item x="822"/>
        <item x="448"/>
        <item x="442"/>
        <item x="460"/>
        <item x="479"/>
        <item x="701"/>
        <item x="985"/>
        <item x="2174"/>
        <item x="1487"/>
        <item x="521"/>
        <item x="529"/>
        <item x="1839"/>
        <item x="1406"/>
        <item x="1390"/>
        <item x="897"/>
        <item x="956"/>
        <item x="1025"/>
        <item x="971"/>
        <item x="1199"/>
        <item x="1121"/>
        <item x="1372"/>
        <item x="1073"/>
        <item x="178"/>
        <item x="228"/>
        <item x="126"/>
        <item x="978"/>
        <item x="1129"/>
        <item x="976"/>
        <item x="1433"/>
        <item x="2095"/>
        <item x="2097"/>
        <item x="2106"/>
        <item x="2105"/>
        <item x="2102"/>
        <item x="1577"/>
        <item x="1573"/>
        <item x="1548"/>
        <item x="1832"/>
        <item x="1570"/>
        <item x="1374"/>
        <item x="1468"/>
        <item x="1801"/>
        <item x="2185"/>
        <item x="2389"/>
        <item x="2155"/>
        <item x="1460"/>
        <item x="1234"/>
        <item x="1244"/>
        <item x="1547"/>
        <item x="2295"/>
        <item x="1503"/>
        <item x="1524"/>
        <item x="197"/>
        <item x="577"/>
        <item x="576"/>
        <item x="603"/>
        <item x="552"/>
        <item x="1232"/>
        <item x="2420"/>
        <item x="2424"/>
        <item x="2428"/>
        <item x="1413"/>
        <item x="2425"/>
        <item x="2426"/>
        <item x="2240"/>
        <item x="1370"/>
        <item x="1283"/>
        <item x="1284"/>
        <item x="2188"/>
        <item x="571"/>
        <item x="1027"/>
        <item x="762"/>
        <item x="543"/>
        <item x="192"/>
        <item x="1452"/>
        <item x="1455"/>
        <item x="966"/>
        <item x="623"/>
        <item x="1149"/>
        <item x="1187"/>
        <item x="1544"/>
        <item x="1111"/>
        <item x="1169"/>
        <item x="608"/>
        <item x="611"/>
        <item x="83"/>
        <item x="158"/>
        <item x="170"/>
        <item x="167"/>
        <item x="2290"/>
        <item x="2281"/>
        <item x="2272"/>
        <item x="2282"/>
        <item x="361"/>
        <item x="1665"/>
        <item x="346"/>
        <item x="1636"/>
        <item x="1747"/>
        <item x="1743"/>
        <item x="1744"/>
        <item x="1667"/>
        <item x="1611"/>
        <item x="1624"/>
        <item x="357"/>
        <item x="308"/>
        <item x="388"/>
        <item x="316"/>
        <item x="2071"/>
        <item x="1895"/>
        <item x="306"/>
        <item x="281"/>
        <item x="2026"/>
        <item x="261"/>
        <item x="537"/>
        <item x="1995"/>
        <item x="313"/>
        <item x="2005"/>
        <item x="2446"/>
        <item x="1928"/>
        <item x="1944"/>
        <item x="1918"/>
        <item x="1969"/>
        <item x="398"/>
        <item x="1495"/>
        <item x="2038"/>
        <item x="879"/>
        <item x="941"/>
        <item x="819"/>
        <item x="2362"/>
        <item x="1328"/>
        <item x="1156"/>
        <item x="394"/>
        <item x="1822"/>
        <item x="1566"/>
        <item x="2264"/>
        <item x="2283"/>
        <item x="1650"/>
        <item x="1644"/>
        <item x="1649"/>
        <item x="1657"/>
        <item x="1625"/>
        <item x="1671"/>
        <item x="1676"/>
        <item x="1675"/>
        <item x="1684"/>
        <item x="1634"/>
        <item x="1687"/>
        <item x="1689"/>
        <item x="1627"/>
        <item x="1632"/>
        <item x="1731"/>
        <item x="1750"/>
        <item x="1740"/>
        <item x="2301"/>
        <item x="1708"/>
        <item x="1694"/>
        <item x="1733"/>
        <item x="1729"/>
        <item x="1711"/>
        <item x="1668"/>
        <item x="1664"/>
        <item x="1612"/>
        <item x="1599"/>
        <item x="1602"/>
        <item x="1606"/>
        <item x="1605"/>
        <item x="1604"/>
        <item x="1609"/>
        <item x="1616"/>
        <item x="2209"/>
        <item x="1617"/>
        <item x="1763"/>
        <item x="1889"/>
        <item x="1888"/>
        <item x="1878"/>
        <item x="1761"/>
        <item x="1755"/>
        <item x="1754"/>
        <item x="1752"/>
        <item x="1893"/>
        <item x="2091"/>
        <item x="2090"/>
        <item x="2064"/>
        <item x="2063"/>
        <item x="2077"/>
        <item x="2074"/>
        <item x="1896"/>
        <item x="1881"/>
        <item x="2308"/>
        <item x="2330"/>
        <item x="2306"/>
        <item x="2307"/>
        <item x="2319"/>
        <item x="2315"/>
        <item x="2309"/>
        <item x="2317"/>
        <item x="2318"/>
        <item x="1789"/>
        <item x="2190"/>
        <item x="2203"/>
        <item x="1794"/>
        <item x="1793"/>
        <item x="1792"/>
        <item x="2027"/>
        <item x="2028"/>
        <item x="2125"/>
        <item x="2128"/>
        <item x="1998"/>
        <item x="1778"/>
        <item x="1986"/>
        <item x="1985"/>
        <item x="1996"/>
        <item x="1994"/>
        <item x="1993"/>
        <item x="1999"/>
        <item x="1988"/>
        <item x="1786"/>
        <item x="1771"/>
        <item x="1783"/>
        <item x="1865"/>
        <item x="1861"/>
        <item x="1867"/>
        <item x="1860"/>
        <item x="1908"/>
        <item x="1868"/>
        <item x="2002"/>
        <item x="1772"/>
        <item x="1866"/>
        <item x="1777"/>
        <item x="1997"/>
        <item x="1841"/>
        <item x="1842"/>
        <item x="2010"/>
        <item x="2009"/>
        <item x="2007"/>
        <item x="2051"/>
        <item x="2052"/>
        <item x="2438"/>
        <item x="2451"/>
        <item x="2214"/>
        <item x="2440"/>
        <item x="2449"/>
        <item x="2443"/>
        <item x="2444"/>
        <item x="1919"/>
        <item x="1916"/>
        <item x="1920"/>
        <item x="1914"/>
        <item x="1950"/>
        <item x="1965"/>
        <item x="1957"/>
        <item x="1956"/>
        <item x="1963"/>
        <item x="1960"/>
        <item x="1961"/>
        <item x="292"/>
        <item x="1516"/>
        <item x="1518"/>
        <item x="2054"/>
        <item x="2048"/>
        <item x="1978"/>
        <item x="886"/>
        <item x="631"/>
        <item x="918"/>
        <item x="505"/>
        <item x="488"/>
        <item x="32"/>
        <item x="435"/>
        <item x="1104"/>
        <item x="475"/>
        <item x="936"/>
        <item x="2170"/>
        <item x="477"/>
        <item x="1229"/>
        <item x="1394"/>
        <item x="955"/>
        <item x="811"/>
        <item x="908"/>
        <item x="506"/>
        <item x="1202"/>
        <item x="1474"/>
        <item x="449"/>
        <item x="502"/>
        <item x="1034"/>
        <item x="468"/>
        <item x="669"/>
        <item x="1817"/>
        <item x="424"/>
        <item x="2210"/>
        <item x="2217"/>
        <item x="481"/>
        <item x="58"/>
        <item x="478"/>
        <item x="514"/>
        <item x="1302"/>
        <item x="422"/>
        <item x="268"/>
        <item x="160"/>
        <item x="1508"/>
        <item x="368"/>
        <item x="864"/>
        <item x="1469"/>
        <item x="508"/>
        <item x="299"/>
        <item x="498"/>
        <item x="377"/>
        <item x="1922"/>
        <item x="240"/>
        <item x="41"/>
        <item x="487"/>
        <item x="2275"/>
        <item x="2400"/>
        <item x="495"/>
        <item x="82"/>
        <item x="581"/>
        <item x="714"/>
        <item x="632"/>
        <item x="510"/>
        <item x="511"/>
        <item x="473"/>
        <item x="500"/>
        <item x="490"/>
        <item x="194"/>
        <item x="301"/>
        <item x="707"/>
        <item x="56"/>
        <item x="806"/>
        <item x="2120"/>
        <item x="2357"/>
        <item x="234"/>
        <item x="533"/>
        <item x="525"/>
        <item x="1026"/>
        <item x="1434"/>
        <item x="273"/>
        <item x="62"/>
        <item x="635"/>
        <item x="329"/>
        <item x="2356"/>
        <item x="517"/>
        <item x="516"/>
        <item x="1015"/>
        <item x="250"/>
        <item x="907"/>
        <item x="2114"/>
        <item x="1021"/>
        <item x="482"/>
        <item x="584"/>
        <item x="485"/>
        <item x="1082"/>
        <item x="2230"/>
        <item x="906"/>
        <item x="1466"/>
        <item x="1259"/>
        <item x="1828"/>
        <item x="565"/>
        <item x="1171"/>
        <item x="1835"/>
        <item x="2429"/>
        <item x="173"/>
        <item x="724"/>
        <item x="817"/>
        <item x="1834"/>
        <item x="1558"/>
        <item x="2274"/>
        <item x="2280"/>
        <item x="1749"/>
        <item x="1713"/>
        <item x="1381"/>
        <item x="708"/>
        <item x="1897"/>
        <item x="1094"/>
        <item x="1316"/>
        <item x="2006"/>
        <item x="609"/>
        <item x="1061"/>
        <item x="550"/>
        <item x="2072"/>
        <item x="2086"/>
        <item x="1659"/>
        <item x="1791"/>
        <item x="2196"/>
        <item x="2273"/>
        <item x="1962"/>
        <item x="1917"/>
        <item x="2331"/>
        <item x="1990"/>
        <item x="1941"/>
        <item x="1490"/>
        <item x="1642"/>
        <item x="2195"/>
        <item x="1696"/>
        <item x="1587"/>
        <item x="1911"/>
        <item x="1753"/>
        <item x="2076"/>
        <item x="1638"/>
        <item x="1629"/>
        <item x="2211"/>
        <item x="1982"/>
        <item x="1853"/>
        <item x="1695"/>
        <item x="2049"/>
        <item x="2206"/>
        <item x="1855"/>
        <item x="1719"/>
        <item x="823"/>
        <item x="888"/>
        <item x="2068"/>
        <item x="1645"/>
        <item x="1681"/>
        <item x="713"/>
        <item x="1709"/>
        <item x="2300"/>
        <item x="1540"/>
        <item x="2445"/>
        <item x="2284"/>
        <item x="2302"/>
        <item x="359"/>
        <item x="2194"/>
        <item x="1907"/>
        <item x="1739"/>
        <item x="1646"/>
        <item x="1741"/>
        <item x="1780"/>
        <item x="2073"/>
        <item x="1735"/>
        <item x="1977"/>
        <item x="1756"/>
        <item x="2204"/>
        <item x="1859"/>
        <item x="1942"/>
        <item x="2126"/>
        <item x="1915"/>
        <item x="1864"/>
        <item x="1894"/>
        <item x="1887"/>
        <item x="1737"/>
        <item x="1707"/>
        <item x="2198"/>
        <item x="1693"/>
        <item x="1746"/>
        <item x="1589"/>
        <item x="1847"/>
        <item x="878"/>
        <item x="1732"/>
        <item x="1688"/>
        <item x="2197"/>
        <item x="1850"/>
        <item x="2088"/>
        <item x="2437"/>
        <item x="1980"/>
        <item x="2439"/>
        <item x="2008"/>
        <item x="1597"/>
        <item x="1702"/>
        <item x="1583"/>
        <item x="1703"/>
        <item x="1307"/>
        <item x="1717"/>
        <item x="1052"/>
        <item x="803"/>
        <item x="1322"/>
        <item x="887"/>
        <item x="2377"/>
        <item x="842"/>
        <item x="1491"/>
        <item x="1700"/>
        <item x="1728"/>
        <item x="1877"/>
        <item x="1891"/>
        <item x="1757"/>
        <item x="2011"/>
        <item x="2448"/>
        <item x="2256"/>
        <item x="2257"/>
        <item x="876"/>
        <item x="881"/>
        <item x="880"/>
        <item x="1226"/>
        <item x="692"/>
        <item x="1003"/>
        <item x="1387"/>
        <item x="1882"/>
        <item x="1521"/>
        <item x="1282"/>
        <item x="1002"/>
        <item x="1426"/>
        <item x="1357"/>
        <item x="364"/>
        <item x="2060"/>
        <item x="386"/>
        <item x="75"/>
        <item x="191"/>
        <item x="2345"/>
        <item x="255"/>
        <item x="254"/>
        <item x="776"/>
        <item x="705"/>
        <item x="662"/>
        <item x="815"/>
        <item x="677"/>
        <item x="711"/>
        <item x="846"/>
        <item x="850"/>
        <item x="710"/>
        <item x="33"/>
        <item x="1136"/>
        <item x="1420"/>
        <item x="1838"/>
        <item x="1298"/>
        <item x="1306"/>
        <item x="1311"/>
        <item x="1320"/>
        <item x="1321"/>
        <item x="1331"/>
        <item x="1337"/>
        <item x="1335"/>
        <item x="1334"/>
        <item x="1103"/>
        <item x="1274"/>
        <item x="981"/>
        <item x="910"/>
        <item x="2160"/>
        <item x="10"/>
        <item x="2135"/>
        <item x="1470"/>
        <item x="1500"/>
        <item x="1533"/>
        <item x="1505"/>
        <item x="1231"/>
        <item x="1415"/>
        <item x="1443"/>
        <item x="2016"/>
        <item x="1430"/>
        <item x="1265"/>
        <item x="1270"/>
        <item x="1286"/>
        <item x="1112"/>
        <item x="1115"/>
        <item x="2287"/>
        <item x="1647"/>
        <item x="1656"/>
        <item x="1626"/>
        <item x="1718"/>
        <item x="1730"/>
        <item x="363"/>
        <item x="1585"/>
        <item x="1584"/>
        <item x="1613"/>
        <item x="2065"/>
        <item x="330"/>
        <item x="2303"/>
        <item x="2223"/>
        <item x="2226"/>
        <item x="345"/>
        <item x="2036"/>
        <item x="2234"/>
        <item x="2232"/>
        <item x="1843"/>
        <item x="1938"/>
        <item x="1910"/>
        <item x="1966"/>
        <item x="2053"/>
        <item x="2044"/>
        <item x="875"/>
        <item x="757"/>
        <item x="143"/>
        <item x="2291"/>
        <item x="671"/>
        <item x="1482"/>
        <item x="1013"/>
        <item x="792"/>
        <item x="2436"/>
        <item x="988"/>
        <item x="999"/>
        <item x="589"/>
        <item x="1936"/>
        <item x="2366"/>
        <item x="1204"/>
        <item x="670"/>
        <item x="716"/>
        <item x="658"/>
        <item x="657"/>
        <item x="807"/>
        <item x="719"/>
        <item x="720"/>
        <item x="837"/>
        <item x="704"/>
        <item x="672"/>
        <item x="827"/>
        <item x="636"/>
        <item x="741"/>
        <item x="693"/>
        <item x="821"/>
        <item x="726"/>
        <item x="638"/>
        <item x="818"/>
        <item x="2455"/>
        <item x="2454"/>
        <item x="1481"/>
        <item x="1392"/>
        <item x="526"/>
        <item x="518"/>
        <item x="927"/>
        <item x="960"/>
        <item x="1904"/>
        <item x="2145"/>
        <item x="1385"/>
        <item x="411"/>
        <item x="991"/>
        <item x="2239"/>
        <item x="2179"/>
        <item x="587"/>
        <item x="588"/>
        <item x="590"/>
        <item x="593"/>
        <item x="591"/>
        <item x="595"/>
        <item x="575"/>
        <item x="594"/>
        <item x="1056"/>
        <item x="902"/>
        <item x="1701"/>
        <item x="2003"/>
        <item x="772"/>
        <item x="942"/>
        <item x="639"/>
        <item x="694"/>
        <item x="961"/>
        <item x="1479"/>
        <item x="2258"/>
        <item x="1955"/>
        <item x="1060"/>
        <item x="2033"/>
        <item x="1691"/>
        <item x="1852"/>
        <item x="1594"/>
        <item x="2066"/>
        <item x="2321"/>
        <item x="1943"/>
        <item x="1890"/>
        <item x="2004"/>
        <item x="2081"/>
        <item x="1854"/>
        <item x="2254"/>
        <item x="1666"/>
        <item x="2225"/>
        <item x="1680"/>
        <item x="1710"/>
        <item x="1923"/>
        <item x="1768"/>
        <item x="2324"/>
        <item x="1983"/>
        <item x="2030"/>
        <item x="1844"/>
        <item x="1981"/>
        <item x="1784"/>
        <item x="2092"/>
        <item x="2252"/>
        <item x="1020"/>
        <item x="2213"/>
        <item x="2046"/>
        <item x="2323"/>
        <item x="1745"/>
        <item x="2442"/>
        <item x="1845"/>
        <item x="2224"/>
        <item x="2059"/>
        <item x="1705"/>
        <item x="2127"/>
        <item x="1581"/>
        <item x="1848"/>
        <item x="1724"/>
        <item x="2057"/>
        <item x="2341"/>
        <item x="1989"/>
        <item x="2089"/>
        <item x="1964"/>
        <item x="2202"/>
        <item x="1673"/>
        <item x="1712"/>
        <item x="2369"/>
        <item x="1736"/>
        <item x="1618"/>
        <item x="1913"/>
        <item x="2299"/>
        <item x="2311"/>
        <item x="1338"/>
        <item x="1823"/>
        <item x="1486"/>
        <item x="1677"/>
        <item x="2316"/>
        <item x="1974"/>
        <item x="2084"/>
        <item x="1393"/>
        <item x="2325"/>
        <item x="2349"/>
        <item x="2231"/>
        <item x="2062"/>
        <item x="1603"/>
        <item x="1643"/>
        <item x="2229"/>
        <item x="2193"/>
        <item x="2320"/>
        <item x="1879"/>
        <item x="1096"/>
        <item x="916"/>
        <item x="901"/>
        <item x="2391"/>
        <item x="2452"/>
        <item x="2406"/>
        <item x="2293"/>
        <item x="2344"/>
        <item x="1253"/>
        <item x="1205"/>
        <item x="1360"/>
        <item x="1359"/>
        <item x="1275"/>
        <item x="1159"/>
        <item x="665"/>
        <item x="690"/>
        <item x="660"/>
        <item x="909"/>
        <item x="800"/>
        <item x="798"/>
        <item x="797"/>
        <item x="691"/>
        <item x="673"/>
        <item x="810"/>
        <item x="621"/>
        <item x="727"/>
        <item x="789"/>
        <item x="755"/>
        <item x="848"/>
        <item x="729"/>
        <item x="674"/>
        <item x="666"/>
        <item x="731"/>
        <item x="840"/>
        <item x="740"/>
        <item x="1211"/>
        <item x="613"/>
        <item x="2143"/>
        <item x="2042"/>
        <item x="1287"/>
        <item x="1138"/>
        <item x="951"/>
        <item x="900"/>
        <item x="893"/>
        <item x="873"/>
        <item x="1050"/>
        <item x="1043"/>
        <item x="962"/>
        <item x="870"/>
        <item x="957"/>
        <item x="958"/>
        <item x="1083"/>
        <item x="1116"/>
        <item x="984"/>
        <item x="2169"/>
        <item x="1423"/>
        <item x="1425"/>
        <item x="1787"/>
        <item x="1250"/>
        <item x="1105"/>
        <item x="970"/>
        <item x="969"/>
        <item x="968"/>
        <item x="1122"/>
        <item x="915"/>
        <item x="1047"/>
        <item x="831"/>
        <item x="1090"/>
        <item x="1091"/>
        <item x="917"/>
        <item x="2159"/>
        <item x="1872"/>
        <item x="1874"/>
        <item x="1431"/>
        <item x="1441"/>
        <item x="2148"/>
        <item x="2146"/>
        <item x="2147"/>
        <item x="2153"/>
        <item x="1478"/>
        <item x="1578"/>
        <item x="1575"/>
        <item x="1564"/>
        <item x="1553"/>
        <item x="1550"/>
        <item x="1555"/>
        <item x="1554"/>
        <item x="1808"/>
        <item x="1809"/>
        <item x="1820"/>
        <item x="1818"/>
        <item x="1572"/>
        <item x="1561"/>
        <item x="1388"/>
        <item x="1384"/>
        <item x="1378"/>
        <item x="1380"/>
        <item x="2111"/>
        <item x="2108"/>
        <item x="2109"/>
        <item x="1467"/>
        <item x="1463"/>
        <item x="2182"/>
        <item x="1799"/>
        <item x="1798"/>
        <item x="1800"/>
        <item x="2136"/>
        <item x="2139"/>
        <item x="1457"/>
        <item x="1456"/>
        <item x="2137"/>
        <item x="2138"/>
        <item x="2133"/>
        <item x="2219"/>
        <item x="2220"/>
        <item x="2387"/>
        <item x="2156"/>
        <item x="1869"/>
        <item x="2262"/>
        <item x="1464"/>
        <item x="2263"/>
        <item x="2130"/>
        <item x="2163"/>
        <item x="1238"/>
        <item x="1526"/>
        <item x="1498"/>
        <item x="1523"/>
        <item x="1214"/>
        <item x="1414"/>
        <item x="1363"/>
        <item x="1285"/>
        <item x="2140"/>
        <item x="1427"/>
        <item x="1251"/>
        <item x="867"/>
        <item x="853"/>
        <item x="1797"/>
        <item x="1796"/>
        <item x="1507"/>
        <item x="1538"/>
        <item x="1536"/>
        <item x="1510"/>
        <item x="1458"/>
        <item x="1269"/>
        <item x="1148"/>
        <item x="1352"/>
        <item x="2350"/>
        <item x="2286"/>
        <item x="2268"/>
        <item x="2285"/>
        <item x="2279"/>
        <item x="1652"/>
        <item x="1660"/>
        <item x="1653"/>
        <item x="1640"/>
        <item x="2310"/>
        <item x="1723"/>
        <item x="1759"/>
        <item x="1595"/>
        <item x="1892"/>
        <item x="1764"/>
        <item x="2087"/>
        <item x="1900"/>
        <item x="2328"/>
        <item x="2245"/>
        <item x="1514"/>
        <item x="1795"/>
        <item x="2025"/>
        <item x="2029"/>
        <item x="1856"/>
        <item x="1776"/>
        <item x="1765"/>
        <item x="1769"/>
        <item x="1967"/>
        <item x="1512"/>
        <item x="1906"/>
        <item x="2249"/>
        <item x="1542"/>
        <item x="1803"/>
        <item x="1541"/>
        <item x="1216"/>
        <item x="940"/>
        <item x="633"/>
        <item x="919"/>
        <item x="2415"/>
        <item x="2372"/>
        <item x="2380"/>
        <item x="2365"/>
        <item x="2419"/>
        <item x="2265"/>
        <item x="2342"/>
        <item x="2403"/>
        <item x="2343"/>
        <item x="1182"/>
        <item x="1066"/>
        <item x="1059"/>
        <item x="2020"/>
        <item x="1403"/>
        <item x="1399"/>
        <item x="1410"/>
        <item x="2409"/>
        <item x="937"/>
        <item x="1804"/>
        <item x="1379"/>
        <item x="1451"/>
        <item x="1371"/>
        <item x="1641"/>
        <item x="1637"/>
        <item x="1682"/>
        <item x="1679"/>
        <item x="1628"/>
        <item x="1716"/>
        <item x="1722"/>
        <item x="1586"/>
        <item x="1600"/>
        <item x="2079"/>
        <item x="2080"/>
        <item x="2058"/>
        <item x="1876"/>
        <item x="1898"/>
        <item x="2327"/>
        <item x="2191"/>
        <item x="2189"/>
        <item x="2192"/>
        <item x="1513"/>
        <item x="2360"/>
        <item x="2236"/>
        <item x="2233"/>
        <item x="2235"/>
        <item x="2031"/>
        <item x="2023"/>
        <item x="1785"/>
        <item x="1782"/>
        <item x="2001"/>
        <item x="1775"/>
        <item x="1846"/>
        <item x="1767"/>
        <item x="2047"/>
        <item x="1543"/>
        <item x="2441"/>
        <item x="2447"/>
        <item x="1933"/>
        <item x="1945"/>
        <item x="1939"/>
        <item x="1931"/>
        <item x="1909"/>
        <item x="1953"/>
        <item x="1517"/>
        <item x="1519"/>
        <item x="2050"/>
        <item x="1781"/>
        <item x="1493"/>
        <item x="1522"/>
        <item x="1257"/>
        <item x="2078"/>
        <item x="2363"/>
        <item x="2339"/>
        <item x="1019"/>
        <item x="1421"/>
        <item x="1095"/>
        <item x="1830"/>
        <item x="1549"/>
        <item x="1428"/>
        <item x="1114"/>
        <item x="1135"/>
        <item x="1266"/>
        <item x="1365"/>
        <item x="1654"/>
        <item x="1633"/>
        <item x="1630"/>
        <item x="1738"/>
        <item x="2082"/>
        <item x="2069"/>
        <item x="1880"/>
        <item x="1885"/>
        <item x="2332"/>
        <item x="2305"/>
        <item x="2298"/>
        <item x="2313"/>
        <item x="2200"/>
        <item x="2199"/>
        <item x="2222"/>
        <item x="1515"/>
        <item x="2035"/>
        <item x="1987"/>
        <item x="2000"/>
        <item x="1773"/>
        <item x="2167"/>
        <item x="1496"/>
        <item x="1802"/>
        <item x="2255"/>
        <item x="1494"/>
        <item x="2168"/>
        <item x="2247"/>
        <item x="2393"/>
        <item x="2432"/>
        <item x="2367"/>
        <item x="2368"/>
        <item x="2379"/>
        <item x="2405"/>
        <item x="2364"/>
        <item x="2418"/>
        <item x="2187"/>
        <item x="2151"/>
        <item x="2083"/>
        <item x="63"/>
        <item x="1063"/>
        <item x="1932"/>
        <item x="138"/>
        <item x="661"/>
        <item x="2421"/>
        <item x="454"/>
        <item x="116"/>
        <item x="1685"/>
        <item x="1686"/>
        <item x="1720"/>
        <item x="1721"/>
        <item x="1715"/>
        <item x="1714"/>
        <item x="1726"/>
        <item x="20"/>
        <item x="1264"/>
        <item x="66"/>
        <item x="76"/>
        <item x="1245"/>
        <item x="266"/>
        <item x="1018"/>
        <item x="2433"/>
        <item x="838"/>
        <item x="667"/>
        <item x="835"/>
        <item x="129"/>
        <item x="2396"/>
        <item x="1582"/>
        <item x="1252"/>
        <item x="30"/>
        <item x="2112"/>
        <item x="97"/>
        <item x="2412"/>
        <item x="168"/>
        <item x="1012"/>
        <item x="1212"/>
        <item x="1081"/>
        <item x="1354"/>
        <item x="2397"/>
        <item x="804"/>
        <item x="1067"/>
        <item x="641"/>
        <item x="652"/>
        <item x="696"/>
        <item x="855"/>
        <item x="2165"/>
        <item x="760"/>
        <item x="179"/>
        <item x="165"/>
        <item x="735"/>
        <item x="728"/>
        <item x="332"/>
        <item x="2297"/>
        <item x="929"/>
        <item x="509"/>
        <item x="1807"/>
        <item x="791"/>
        <item x="750"/>
        <item x="833"/>
        <item x="1351"/>
        <item x="1256"/>
        <item x="2404"/>
        <item x="399"/>
        <item x="2394"/>
        <item x="1364"/>
        <item x="1128"/>
        <item x="874"/>
        <item x="1009"/>
        <item x="721"/>
        <item x="195"/>
        <item x="46"/>
        <item x="31"/>
        <item x="1170"/>
        <item x="1068"/>
        <item x="891"/>
        <item x="1080"/>
        <item x="1373"/>
        <item x="504"/>
        <item x="769"/>
        <item x="824"/>
        <item x="1277"/>
        <item t="default"/>
      </items>
    </pivotField>
  </pivotFields>
  <rowFields count="1">
    <field x="0"/>
  </rowFields>
  <rowItems count="245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 t="grand"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3455"/>
  <sheetViews>
    <sheetView tabSelected="1" topLeftCell="F1" workbookViewId="0">
      <selection activeCell="J2" sqref="J2"/>
    </sheetView>
  </sheetViews>
  <sheetFormatPr defaultRowHeight="15" x14ac:dyDescent="0.25"/>
  <cols>
    <col min="1" max="1" width="42.85546875" bestFit="1" customWidth="1"/>
    <col min="2" max="2" width="13.85546875" bestFit="1" customWidth="1"/>
    <col min="3" max="3" width="34.140625" bestFit="1" customWidth="1"/>
    <col min="4" max="4" width="11.42578125" bestFit="1" customWidth="1"/>
    <col min="5" max="5" width="18.5703125" bestFit="1" customWidth="1"/>
    <col min="6" max="6" width="19.28515625" bestFit="1" customWidth="1"/>
    <col min="7" max="8" width="18.85546875" bestFit="1" customWidth="1"/>
    <col min="9" max="9" width="11.28515625" bestFit="1" customWidth="1"/>
    <col min="10" max="10" width="50.140625" bestFit="1" customWidth="1"/>
    <col min="11" max="14" width="9.140625" style="3"/>
    <col min="15" max="15" width="14.28515625" style="3" bestFit="1" customWidth="1"/>
  </cols>
  <sheetData>
    <row r="1" spans="1:15" x14ac:dyDescent="0.25">
      <c r="A1" t="s">
        <v>10307</v>
      </c>
      <c r="B1" t="s">
        <v>10308</v>
      </c>
      <c r="C1" t="s">
        <v>10309</v>
      </c>
      <c r="D1" t="s">
        <v>10310</v>
      </c>
      <c r="E1" t="s">
        <v>10311</v>
      </c>
      <c r="F1" t="s">
        <v>10312</v>
      </c>
      <c r="G1" t="s">
        <v>10313</v>
      </c>
      <c r="H1" t="s">
        <v>10314</v>
      </c>
      <c r="I1" t="s">
        <v>10315</v>
      </c>
      <c r="J1" t="s">
        <v>10316</v>
      </c>
      <c r="K1" s="3" t="s">
        <v>10321</v>
      </c>
      <c r="L1" s="3" t="s">
        <v>10323</v>
      </c>
      <c r="M1" s="3" t="s">
        <v>10328</v>
      </c>
      <c r="N1" s="3" t="s">
        <v>10324</v>
      </c>
      <c r="O1" s="3" t="s">
        <v>10349</v>
      </c>
    </row>
    <row r="2" spans="1:15" x14ac:dyDescent="0.25">
      <c r="A2" t="s">
        <v>10264</v>
      </c>
      <c r="B2" t="s">
        <v>10265</v>
      </c>
      <c r="C2" t="s">
        <v>10266</v>
      </c>
      <c r="D2" t="s">
        <v>10267</v>
      </c>
      <c r="E2" t="s">
        <v>10268</v>
      </c>
      <c r="F2" t="s">
        <v>5</v>
      </c>
      <c r="G2" t="s">
        <v>5</v>
      </c>
      <c r="H2" t="s">
        <v>5</v>
      </c>
      <c r="I2" t="s">
        <v>10269</v>
      </c>
      <c r="J2" t="s">
        <v>7</v>
      </c>
      <c r="K2" s="3">
        <f>IF(ISERROR(FIND("LIEN",A2,1)),0,1)</f>
        <v>0</v>
      </c>
      <c r="L2" s="3">
        <f>IF(ISERROR(VLOOKUP(J2,Lookups!$A$2:$A$16,1,FALSE)),1,0)</f>
        <v>1</v>
      </c>
      <c r="M2" s="3">
        <f>IF(ISERROR(VLOOKUP(D2,Data!$A$2:$D$223100,2,FALSE)),0,1)</f>
        <v>1</v>
      </c>
      <c r="N2" s="3">
        <f>IF(M2=0,0,IF(SUM(K2:L2)&gt;0,1,0))</f>
        <v>1</v>
      </c>
      <c r="O2" s="3" t="str">
        <f>IF(ISERROR(VLOOKUP(D2,Data!$A$2:$C$223100,3,FALSE)),"INACTIVE",VLOOKUP(D2,Data!$A$2:$C$223100,3,FALSE))</f>
        <v>FC</v>
      </c>
    </row>
    <row r="3" spans="1:15" x14ac:dyDescent="0.25">
      <c r="A3" t="s">
        <v>10281</v>
      </c>
      <c r="B3" t="s">
        <v>10282</v>
      </c>
      <c r="C3" t="s">
        <v>10283</v>
      </c>
      <c r="D3" t="s">
        <v>10284</v>
      </c>
      <c r="E3" t="s">
        <v>10285</v>
      </c>
      <c r="F3" t="s">
        <v>5</v>
      </c>
      <c r="G3" t="s">
        <v>5</v>
      </c>
      <c r="H3" t="s">
        <v>5</v>
      </c>
      <c r="I3" t="s">
        <v>10269</v>
      </c>
      <c r="J3" t="s">
        <v>7</v>
      </c>
      <c r="K3" s="3">
        <f t="shared" ref="K3:K66" si="0">IF(ISERROR(FIND("LIEN",A3,1)),0,1)</f>
        <v>0</v>
      </c>
      <c r="L3" s="3">
        <f>IF(ISERROR(VLOOKUP(J3,Lookups!$A$2:$A$16,1,FALSE)),1,0)</f>
        <v>1</v>
      </c>
      <c r="M3" s="3">
        <f>IF(ISERROR(VLOOKUP(D3,Data!$A$2:$D$223100,2,FALSE)),0,1)</f>
        <v>1</v>
      </c>
      <c r="N3" s="3">
        <f t="shared" ref="N3:N66" si="1">IF(M3=0,0,IF(SUM(K3:L3)&gt;0,1,0))</f>
        <v>1</v>
      </c>
      <c r="O3" s="3" t="str">
        <f>IF(ISERROR(VLOOKUP(D3,Data!$A$2:$C$223100,3,FALSE)),"INACTIVE",VLOOKUP(D3,Data!$A$2:$C$223100,3,FALSE))</f>
        <v>FBA</v>
      </c>
    </row>
    <row r="4" spans="1:15" x14ac:dyDescent="0.25">
      <c r="A4" t="s">
        <v>10286</v>
      </c>
      <c r="B4" t="s">
        <v>10287</v>
      </c>
      <c r="C4" t="s">
        <v>10288</v>
      </c>
      <c r="D4" t="s">
        <v>10289</v>
      </c>
      <c r="E4" t="s">
        <v>10290</v>
      </c>
      <c r="F4" t="s">
        <v>5</v>
      </c>
      <c r="G4" t="s">
        <v>5</v>
      </c>
      <c r="H4" t="s">
        <v>5</v>
      </c>
      <c r="I4" t="s">
        <v>10269</v>
      </c>
      <c r="J4" t="s">
        <v>7</v>
      </c>
      <c r="K4" s="3">
        <f t="shared" si="0"/>
        <v>0</v>
      </c>
      <c r="L4" s="3">
        <f>IF(ISERROR(VLOOKUP(J4,Lookups!$A$2:$A$16,1,FALSE)),1,0)</f>
        <v>1</v>
      </c>
      <c r="M4" s="3">
        <f>IF(ISERROR(VLOOKUP(D4,Data!$A$2:$D$223100,2,FALSE)),0,1)</f>
        <v>0</v>
      </c>
      <c r="N4" s="3">
        <f t="shared" si="1"/>
        <v>0</v>
      </c>
      <c r="O4" s="3" t="str">
        <f>IF(ISERROR(VLOOKUP(D4,Data!$A$2:$C$223100,3,FALSE)),"INACTIVE",VLOOKUP(D4,Data!$A$2:$C$223100,3,FALSE))</f>
        <v>INACTIVE</v>
      </c>
    </row>
    <row r="5" spans="1:15" x14ac:dyDescent="0.25">
      <c r="A5" t="s">
        <v>534</v>
      </c>
      <c r="B5" t="s">
        <v>535</v>
      </c>
      <c r="C5" t="s">
        <v>536</v>
      </c>
      <c r="D5" t="s">
        <v>10297</v>
      </c>
      <c r="E5" t="s">
        <v>5</v>
      </c>
      <c r="F5" t="s">
        <v>10298</v>
      </c>
      <c r="G5" t="s">
        <v>10299</v>
      </c>
      <c r="H5" t="s">
        <v>10299</v>
      </c>
      <c r="I5" t="s">
        <v>10269</v>
      </c>
      <c r="J5" t="s">
        <v>7</v>
      </c>
      <c r="K5" s="3">
        <f t="shared" si="0"/>
        <v>0</v>
      </c>
      <c r="L5" s="3">
        <f>IF(ISERROR(VLOOKUP(J5,Lookups!$A$2:$A$16,1,FALSE)),1,0)</f>
        <v>1</v>
      </c>
      <c r="M5" s="3">
        <f>IF(ISERROR(VLOOKUP(D5,Data!$A$2:$D$223100,2,FALSE)),0,1)</f>
        <v>0</v>
      </c>
      <c r="N5" s="3">
        <f t="shared" si="1"/>
        <v>0</v>
      </c>
      <c r="O5" s="3" t="str">
        <f>IF(ISERROR(VLOOKUP(D5,Data!$A$2:$C$223100,3,FALSE)),"INACTIVE",VLOOKUP(D5,Data!$A$2:$C$223100,3,FALSE))</f>
        <v>INACTIVE</v>
      </c>
    </row>
    <row r="6" spans="1:15" x14ac:dyDescent="0.25">
      <c r="A6" t="s">
        <v>10270</v>
      </c>
      <c r="B6" t="s">
        <v>10271</v>
      </c>
      <c r="C6" t="s">
        <v>10272</v>
      </c>
      <c r="D6" t="s">
        <v>10273</v>
      </c>
      <c r="E6" t="s">
        <v>10274</v>
      </c>
      <c r="F6" t="s">
        <v>5</v>
      </c>
      <c r="G6" t="s">
        <v>5</v>
      </c>
      <c r="H6" t="s">
        <v>5</v>
      </c>
      <c r="I6" t="s">
        <v>10275</v>
      </c>
      <c r="J6" t="s">
        <v>7</v>
      </c>
      <c r="K6" s="3">
        <f t="shared" si="0"/>
        <v>0</v>
      </c>
      <c r="L6" s="3">
        <f>IF(ISERROR(VLOOKUP(J6,Lookups!$A$2:$A$16,1,FALSE)),1,0)</f>
        <v>1</v>
      </c>
      <c r="M6" s="3">
        <f>IF(ISERROR(VLOOKUP(D6,Data!$A$2:$D$223100,2,FALSE)),0,1)</f>
        <v>1</v>
      </c>
      <c r="N6" s="3">
        <f t="shared" si="1"/>
        <v>1</v>
      </c>
      <c r="O6" s="3" t="str">
        <f>IF(ISERROR(VLOOKUP(D6,Data!$A$2:$C$223100,3,FALSE)),"INACTIVE",VLOOKUP(D6,Data!$A$2:$C$223100,3,FALSE))</f>
        <v>FBA</v>
      </c>
    </row>
    <row r="7" spans="1:15" x14ac:dyDescent="0.25">
      <c r="A7" t="s">
        <v>10276</v>
      </c>
      <c r="B7" t="s">
        <v>10277</v>
      </c>
      <c r="C7" t="s">
        <v>10278</v>
      </c>
      <c r="D7" t="s">
        <v>10279</v>
      </c>
      <c r="E7" t="s">
        <v>10280</v>
      </c>
      <c r="F7" t="s">
        <v>5</v>
      </c>
      <c r="G7" t="s">
        <v>5</v>
      </c>
      <c r="H7" t="s">
        <v>5</v>
      </c>
      <c r="I7" t="s">
        <v>10275</v>
      </c>
      <c r="J7" t="s">
        <v>7</v>
      </c>
      <c r="K7" s="3">
        <f t="shared" si="0"/>
        <v>0</v>
      </c>
      <c r="L7" s="3">
        <f>IF(ISERROR(VLOOKUP(J7,Lookups!$A$2:$A$16,1,FALSE)),1,0)</f>
        <v>1</v>
      </c>
      <c r="M7" s="3">
        <f>IF(ISERROR(VLOOKUP(D7,Data!$A$2:$D$223100,2,FALSE)),0,1)</f>
        <v>1</v>
      </c>
      <c r="N7" s="3">
        <f t="shared" si="1"/>
        <v>1</v>
      </c>
      <c r="O7" s="3" t="str">
        <f>IF(ISERROR(VLOOKUP(D7,Data!$A$2:$C$223100,3,FALSE)),"INACTIVE",VLOOKUP(D7,Data!$A$2:$C$223100,3,FALSE))</f>
        <v>FBA</v>
      </c>
    </row>
    <row r="8" spans="1:15" x14ac:dyDescent="0.25">
      <c r="A8" t="s">
        <v>10291</v>
      </c>
      <c r="B8" t="s">
        <v>10292</v>
      </c>
      <c r="C8" t="s">
        <v>10293</v>
      </c>
      <c r="D8" t="s">
        <v>10294</v>
      </c>
      <c r="E8" t="s">
        <v>10295</v>
      </c>
      <c r="F8" t="s">
        <v>5</v>
      </c>
      <c r="G8" t="s">
        <v>5</v>
      </c>
      <c r="H8" t="s">
        <v>5</v>
      </c>
      <c r="I8" t="s">
        <v>10296</v>
      </c>
      <c r="J8" t="s">
        <v>7</v>
      </c>
      <c r="K8" s="3">
        <f t="shared" si="0"/>
        <v>0</v>
      </c>
      <c r="L8" s="3">
        <f>IF(ISERROR(VLOOKUP(J8,Lookups!$A$2:$A$16,1,FALSE)),1,0)</f>
        <v>1</v>
      </c>
      <c r="M8" s="3">
        <f>IF(ISERROR(VLOOKUP(D8,Data!$A$2:$D$223100,2,FALSE)),0,1)</f>
        <v>1</v>
      </c>
      <c r="N8" s="3">
        <f t="shared" si="1"/>
        <v>1</v>
      </c>
      <c r="O8" s="3" t="str">
        <f>IF(ISERROR(VLOOKUP(D8,Data!$A$2:$C$223100,3,FALSE)),"INACTIVE",VLOOKUP(D8,Data!$A$2:$C$223100,3,FALSE))</f>
        <v>Current</v>
      </c>
    </row>
    <row r="9" spans="1:15" x14ac:dyDescent="0.25">
      <c r="A9" t="s">
        <v>10253</v>
      </c>
      <c r="B9" t="s">
        <v>10254</v>
      </c>
      <c r="C9" t="s">
        <v>10255</v>
      </c>
      <c r="D9" t="s">
        <v>10256</v>
      </c>
      <c r="E9" t="s">
        <v>10257</v>
      </c>
      <c r="F9" t="s">
        <v>5</v>
      </c>
      <c r="G9" t="s">
        <v>5</v>
      </c>
      <c r="H9" t="s">
        <v>5</v>
      </c>
      <c r="I9" t="s">
        <v>10258</v>
      </c>
      <c r="J9" t="s">
        <v>90</v>
      </c>
      <c r="K9" s="3">
        <f t="shared" si="0"/>
        <v>0</v>
      </c>
      <c r="L9" s="3">
        <f>IF(ISERROR(VLOOKUP(J9,Lookups!$A$2:$A$16,1,FALSE)),1,0)</f>
        <v>0</v>
      </c>
      <c r="M9" s="3">
        <f>IF(ISERROR(VLOOKUP(D9,Data!$A$2:$D$223100,2,FALSE)),0,1)</f>
        <v>0</v>
      </c>
      <c r="N9" s="3">
        <f t="shared" si="1"/>
        <v>0</v>
      </c>
      <c r="O9" s="3" t="str">
        <f>IF(ISERROR(VLOOKUP(D9,Data!$A$2:$C$223100,3,FALSE)),"INACTIVE",VLOOKUP(D9,Data!$A$2:$C$223100,3,FALSE))</f>
        <v>INACTIVE</v>
      </c>
    </row>
    <row r="10" spans="1:15" x14ac:dyDescent="0.25">
      <c r="A10" t="s">
        <v>4303</v>
      </c>
      <c r="B10" t="s">
        <v>4304</v>
      </c>
      <c r="C10" t="s">
        <v>10205</v>
      </c>
      <c r="D10" t="s">
        <v>10206</v>
      </c>
      <c r="E10" t="s">
        <v>10207</v>
      </c>
      <c r="F10" t="s">
        <v>5</v>
      </c>
      <c r="G10" t="s">
        <v>5</v>
      </c>
      <c r="H10" t="s">
        <v>5</v>
      </c>
      <c r="I10" t="s">
        <v>10208</v>
      </c>
      <c r="J10" t="s">
        <v>7</v>
      </c>
      <c r="K10" s="3">
        <f t="shared" si="0"/>
        <v>0</v>
      </c>
      <c r="L10" s="3">
        <f>IF(ISERROR(VLOOKUP(J10,Lookups!$A$2:$A$16,1,FALSE)),1,0)</f>
        <v>1</v>
      </c>
      <c r="M10" s="3">
        <f>IF(ISERROR(VLOOKUP(D10,Data!$A$2:$D$223100,2,FALSE)),0,1)</f>
        <v>1</v>
      </c>
      <c r="N10" s="3">
        <f t="shared" si="1"/>
        <v>1</v>
      </c>
      <c r="O10" s="3" t="str">
        <f>IF(ISERROR(VLOOKUP(D10,Data!$A$2:$C$223100,3,FALSE)),"INACTIVE",VLOOKUP(D10,Data!$A$2:$C$223100,3,FALSE))</f>
        <v>Current</v>
      </c>
    </row>
    <row r="11" spans="1:15" x14ac:dyDescent="0.25">
      <c r="A11" t="s">
        <v>4303</v>
      </c>
      <c r="B11" t="s">
        <v>4304</v>
      </c>
      <c r="C11" t="s">
        <v>10209</v>
      </c>
      <c r="D11" t="s">
        <v>10210</v>
      </c>
      <c r="E11" t="s">
        <v>10211</v>
      </c>
      <c r="F11" t="s">
        <v>5</v>
      </c>
      <c r="G11" t="s">
        <v>5</v>
      </c>
      <c r="H11" t="s">
        <v>5</v>
      </c>
      <c r="I11" t="s">
        <v>10208</v>
      </c>
      <c r="J11" t="s">
        <v>96</v>
      </c>
      <c r="K11" s="3">
        <f t="shared" si="0"/>
        <v>0</v>
      </c>
      <c r="L11" s="3">
        <f>IF(ISERROR(VLOOKUP(J11,Lookups!$A$2:$A$16,1,FALSE)),1,0)</f>
        <v>0</v>
      </c>
      <c r="M11" s="3">
        <f>IF(ISERROR(VLOOKUP(D11,Data!$A$2:$D$223100,2,FALSE)),0,1)</f>
        <v>0</v>
      </c>
      <c r="N11" s="3">
        <f t="shared" si="1"/>
        <v>0</v>
      </c>
      <c r="O11" s="3" t="str">
        <f>IF(ISERROR(VLOOKUP(D11,Data!$A$2:$C$223100,3,FALSE)),"INACTIVE",VLOOKUP(D11,Data!$A$2:$C$223100,3,FALSE))</f>
        <v>INACTIVE</v>
      </c>
    </row>
    <row r="12" spans="1:15" x14ac:dyDescent="0.25">
      <c r="A12" t="s">
        <v>4303</v>
      </c>
      <c r="B12" t="s">
        <v>4304</v>
      </c>
      <c r="C12" t="s">
        <v>10209</v>
      </c>
      <c r="D12" t="s">
        <v>10210</v>
      </c>
      <c r="E12" t="s">
        <v>10212</v>
      </c>
      <c r="F12" t="s">
        <v>5</v>
      </c>
      <c r="G12" t="s">
        <v>5</v>
      </c>
      <c r="H12" t="s">
        <v>5</v>
      </c>
      <c r="I12" t="s">
        <v>10208</v>
      </c>
      <c r="J12" t="s">
        <v>96</v>
      </c>
      <c r="K12" s="3">
        <f t="shared" si="0"/>
        <v>0</v>
      </c>
      <c r="L12" s="3">
        <f>IF(ISERROR(VLOOKUP(J12,Lookups!$A$2:$A$16,1,FALSE)),1,0)</f>
        <v>0</v>
      </c>
      <c r="M12" s="3">
        <f>IF(ISERROR(VLOOKUP(D12,Data!$A$2:$D$223100,2,FALSE)),0,1)</f>
        <v>0</v>
      </c>
      <c r="N12" s="3">
        <f t="shared" si="1"/>
        <v>0</v>
      </c>
      <c r="O12" s="3" t="str">
        <f>IF(ISERROR(VLOOKUP(D12,Data!$A$2:$C$223100,3,FALSE)),"INACTIVE",VLOOKUP(D12,Data!$A$2:$C$223100,3,FALSE))</f>
        <v>INACTIVE</v>
      </c>
    </row>
    <row r="13" spans="1:15" x14ac:dyDescent="0.25">
      <c r="A13" t="s">
        <v>4303</v>
      </c>
      <c r="B13" t="s">
        <v>4304</v>
      </c>
      <c r="C13" t="s">
        <v>10209</v>
      </c>
      <c r="D13" t="s">
        <v>10210</v>
      </c>
      <c r="E13" t="s">
        <v>10213</v>
      </c>
      <c r="F13" t="s">
        <v>5</v>
      </c>
      <c r="G13" t="s">
        <v>5</v>
      </c>
      <c r="H13" t="s">
        <v>5</v>
      </c>
      <c r="I13" t="s">
        <v>10208</v>
      </c>
      <c r="J13" t="s">
        <v>96</v>
      </c>
      <c r="K13" s="3">
        <f t="shared" si="0"/>
        <v>0</v>
      </c>
      <c r="L13" s="3">
        <f>IF(ISERROR(VLOOKUP(J13,Lookups!$A$2:$A$16,1,FALSE)),1,0)</f>
        <v>0</v>
      </c>
      <c r="M13" s="3">
        <f>IF(ISERROR(VLOOKUP(D13,Data!$A$2:$D$223100,2,FALSE)),0,1)</f>
        <v>0</v>
      </c>
      <c r="N13" s="3">
        <f t="shared" si="1"/>
        <v>0</v>
      </c>
      <c r="O13" s="3" t="str">
        <f>IF(ISERROR(VLOOKUP(D13,Data!$A$2:$C$223100,3,FALSE)),"INACTIVE",VLOOKUP(D13,Data!$A$2:$C$223100,3,FALSE))</f>
        <v>INACTIVE</v>
      </c>
    </row>
    <row r="14" spans="1:15" x14ac:dyDescent="0.25">
      <c r="A14" t="s">
        <v>4303</v>
      </c>
      <c r="B14" t="s">
        <v>4304</v>
      </c>
      <c r="C14" t="s">
        <v>4314</v>
      </c>
      <c r="D14" t="s">
        <v>4315</v>
      </c>
      <c r="E14" t="s">
        <v>10214</v>
      </c>
      <c r="F14" t="s">
        <v>5</v>
      </c>
      <c r="G14" t="s">
        <v>5</v>
      </c>
      <c r="H14" t="s">
        <v>5</v>
      </c>
      <c r="I14" t="s">
        <v>10208</v>
      </c>
      <c r="J14" t="s">
        <v>90</v>
      </c>
      <c r="K14" s="3">
        <f t="shared" si="0"/>
        <v>0</v>
      </c>
      <c r="L14" s="3">
        <f>IF(ISERROR(VLOOKUP(J14,Lookups!$A$2:$A$16,1,FALSE)),1,0)</f>
        <v>0</v>
      </c>
      <c r="M14" s="3">
        <f>IF(ISERROR(VLOOKUP(D14,Data!$A$2:$D$223100,2,FALSE)),0,1)</f>
        <v>1</v>
      </c>
      <c r="N14" s="3">
        <f t="shared" si="1"/>
        <v>0</v>
      </c>
      <c r="O14" s="3" t="str">
        <f>IF(ISERROR(VLOOKUP(D14,Data!$A$2:$C$223100,3,FALSE)),"INACTIVE",VLOOKUP(D14,Data!$A$2:$C$223100,3,FALSE))</f>
        <v>150+</v>
      </c>
    </row>
    <row r="15" spans="1:15" x14ac:dyDescent="0.25">
      <c r="A15" t="s">
        <v>4303</v>
      </c>
      <c r="B15" t="s">
        <v>4304</v>
      </c>
      <c r="C15" t="s">
        <v>4314</v>
      </c>
      <c r="D15" t="s">
        <v>4315</v>
      </c>
      <c r="E15" t="s">
        <v>10215</v>
      </c>
      <c r="F15" t="s">
        <v>5</v>
      </c>
      <c r="G15" t="s">
        <v>5</v>
      </c>
      <c r="H15" t="s">
        <v>5</v>
      </c>
      <c r="I15" t="s">
        <v>10208</v>
      </c>
      <c r="J15" t="s">
        <v>90</v>
      </c>
      <c r="K15" s="3">
        <f t="shared" si="0"/>
        <v>0</v>
      </c>
      <c r="L15" s="3">
        <f>IF(ISERROR(VLOOKUP(J15,Lookups!$A$2:$A$16,1,FALSE)),1,0)</f>
        <v>0</v>
      </c>
      <c r="M15" s="3">
        <f>IF(ISERROR(VLOOKUP(D15,Data!$A$2:$D$223100,2,FALSE)),0,1)</f>
        <v>1</v>
      </c>
      <c r="N15" s="3">
        <f t="shared" si="1"/>
        <v>0</v>
      </c>
      <c r="O15" s="3" t="str">
        <f>IF(ISERROR(VLOOKUP(D15,Data!$A$2:$C$223100,3,FALSE)),"INACTIVE",VLOOKUP(D15,Data!$A$2:$C$223100,3,FALSE))</f>
        <v>150+</v>
      </c>
    </row>
    <row r="16" spans="1:15" x14ac:dyDescent="0.25">
      <c r="A16" t="s">
        <v>4303</v>
      </c>
      <c r="B16" t="s">
        <v>4304</v>
      </c>
      <c r="C16" t="s">
        <v>10216</v>
      </c>
      <c r="D16" t="s">
        <v>10217</v>
      </c>
      <c r="E16" t="s">
        <v>10218</v>
      </c>
      <c r="F16" t="s">
        <v>5</v>
      </c>
      <c r="G16" t="s">
        <v>5</v>
      </c>
      <c r="H16" t="s">
        <v>5</v>
      </c>
      <c r="I16" t="s">
        <v>10208</v>
      </c>
      <c r="J16" t="s">
        <v>7</v>
      </c>
      <c r="K16" s="3">
        <f t="shared" si="0"/>
        <v>0</v>
      </c>
      <c r="L16" s="3">
        <f>IF(ISERROR(VLOOKUP(J16,Lookups!$A$2:$A$16,1,FALSE)),1,0)</f>
        <v>1</v>
      </c>
      <c r="M16" s="3">
        <f>IF(ISERROR(VLOOKUP(D16,Data!$A$2:$D$223100,2,FALSE)),0,1)</f>
        <v>1</v>
      </c>
      <c r="N16" s="3">
        <f t="shared" si="1"/>
        <v>1</v>
      </c>
      <c r="O16" s="3" t="str">
        <f>IF(ISERROR(VLOOKUP(D16,Data!$A$2:$C$223100,3,FALSE)),"INACTIVE",VLOOKUP(D16,Data!$A$2:$C$223100,3,FALSE))</f>
        <v>30+</v>
      </c>
    </row>
    <row r="17" spans="1:15" x14ac:dyDescent="0.25">
      <c r="A17" t="s">
        <v>10301</v>
      </c>
      <c r="B17" t="s">
        <v>10302</v>
      </c>
      <c r="C17" t="s">
        <v>10303</v>
      </c>
      <c r="D17" t="s">
        <v>10304</v>
      </c>
      <c r="E17" t="s">
        <v>10305</v>
      </c>
      <c r="F17" t="s">
        <v>5</v>
      </c>
      <c r="G17" t="s">
        <v>5</v>
      </c>
      <c r="H17" t="s">
        <v>5</v>
      </c>
      <c r="I17" t="s">
        <v>10306</v>
      </c>
      <c r="J17" t="s">
        <v>14</v>
      </c>
      <c r="K17" s="3">
        <f t="shared" si="0"/>
        <v>0</v>
      </c>
      <c r="L17" s="3">
        <f>IF(ISERROR(VLOOKUP(J17,Lookups!$A$2:$A$16,1,FALSE)),1,0)</f>
        <v>1</v>
      </c>
      <c r="M17" s="3">
        <f>IF(ISERROR(VLOOKUP(D17,Data!$A$2:$D$223100,2,FALSE)),0,1)</f>
        <v>1</v>
      </c>
      <c r="N17" s="3">
        <f t="shared" si="1"/>
        <v>1</v>
      </c>
      <c r="O17" s="3" t="str">
        <f>IF(ISERROR(VLOOKUP(D17,Data!$A$2:$C$223100,3,FALSE)),"INACTIVE",VLOOKUP(D17,Data!$A$2:$C$223100,3,FALSE))</f>
        <v>Current</v>
      </c>
    </row>
    <row r="18" spans="1:15" x14ac:dyDescent="0.25">
      <c r="A18" t="s">
        <v>1014</v>
      </c>
      <c r="B18" t="s">
        <v>1015</v>
      </c>
      <c r="C18" t="s">
        <v>10112</v>
      </c>
      <c r="D18" t="s">
        <v>10113</v>
      </c>
      <c r="E18" t="s">
        <v>10114</v>
      </c>
      <c r="F18" t="s">
        <v>5</v>
      </c>
      <c r="G18" t="s">
        <v>5</v>
      </c>
      <c r="H18" t="s">
        <v>5</v>
      </c>
      <c r="I18" t="s">
        <v>10115</v>
      </c>
      <c r="J18" t="s">
        <v>7</v>
      </c>
      <c r="K18" s="3">
        <f t="shared" si="0"/>
        <v>0</v>
      </c>
      <c r="L18" s="3">
        <f>IF(ISERROR(VLOOKUP(J18,Lookups!$A$2:$A$16,1,FALSE)),1,0)</f>
        <v>1</v>
      </c>
      <c r="M18" s="3">
        <f>IF(ISERROR(VLOOKUP(D18,Data!$A$2:$D$223100,2,FALSE)),0,1)</f>
        <v>1</v>
      </c>
      <c r="N18" s="3">
        <f t="shared" si="1"/>
        <v>1</v>
      </c>
      <c r="O18" s="3" t="str">
        <f>IF(ISERROR(VLOOKUP(D18,Data!$A$2:$C$223100,3,FALSE)),"INACTIVE",VLOOKUP(D18,Data!$A$2:$C$223100,3,FALSE))</f>
        <v>FBA</v>
      </c>
    </row>
    <row r="19" spans="1:15" x14ac:dyDescent="0.25">
      <c r="A19" t="s">
        <v>1014</v>
      </c>
      <c r="B19" t="s">
        <v>1015</v>
      </c>
      <c r="C19" t="s">
        <v>10116</v>
      </c>
      <c r="D19" t="s">
        <v>10117</v>
      </c>
      <c r="E19" t="s">
        <v>10118</v>
      </c>
      <c r="F19" t="s">
        <v>5</v>
      </c>
      <c r="G19" t="s">
        <v>5</v>
      </c>
      <c r="H19" t="s">
        <v>5</v>
      </c>
      <c r="I19" t="s">
        <v>10115</v>
      </c>
      <c r="J19" t="s">
        <v>7</v>
      </c>
      <c r="K19" s="3">
        <f t="shared" si="0"/>
        <v>0</v>
      </c>
      <c r="L19" s="3">
        <f>IF(ISERROR(VLOOKUP(J19,Lookups!$A$2:$A$16,1,FALSE)),1,0)</f>
        <v>1</v>
      </c>
      <c r="M19" s="3">
        <f>IF(ISERROR(VLOOKUP(D19,Data!$A$2:$D$223100,2,FALSE)),0,1)</f>
        <v>1</v>
      </c>
      <c r="N19" s="3">
        <f t="shared" si="1"/>
        <v>1</v>
      </c>
      <c r="O19" s="3" t="str">
        <f>IF(ISERROR(VLOOKUP(D19,Data!$A$2:$C$223100,3,FALSE)),"INACTIVE",VLOOKUP(D19,Data!$A$2:$C$223100,3,FALSE))</f>
        <v>BK13</v>
      </c>
    </row>
    <row r="20" spans="1:15" x14ac:dyDescent="0.25">
      <c r="A20" t="s">
        <v>1014</v>
      </c>
      <c r="B20" t="s">
        <v>1015</v>
      </c>
      <c r="C20" t="s">
        <v>1019</v>
      </c>
      <c r="D20" t="s">
        <v>1020</v>
      </c>
      <c r="E20" t="s">
        <v>10119</v>
      </c>
      <c r="F20" t="s">
        <v>5</v>
      </c>
      <c r="G20" t="s">
        <v>5</v>
      </c>
      <c r="H20" t="s">
        <v>5</v>
      </c>
      <c r="I20" t="s">
        <v>10115</v>
      </c>
      <c r="J20" t="s">
        <v>96</v>
      </c>
      <c r="K20" s="3">
        <f t="shared" si="0"/>
        <v>0</v>
      </c>
      <c r="L20" s="3">
        <f>IF(ISERROR(VLOOKUP(J20,Lookups!$A$2:$A$16,1,FALSE)),1,0)</f>
        <v>0</v>
      </c>
      <c r="M20" s="3">
        <f>IF(ISERROR(VLOOKUP(D20,Data!$A$2:$D$223100,2,FALSE)),0,1)</f>
        <v>1</v>
      </c>
      <c r="N20" s="3">
        <f t="shared" si="1"/>
        <v>0</v>
      </c>
      <c r="O20" s="3" t="str">
        <f>IF(ISERROR(VLOOKUP(D20,Data!$A$2:$C$223100,3,FALSE)),"INACTIVE",VLOOKUP(D20,Data!$A$2:$C$223100,3,FALSE))</f>
        <v>FC</v>
      </c>
    </row>
    <row r="21" spans="1:15" x14ac:dyDescent="0.25">
      <c r="A21" t="s">
        <v>1014</v>
      </c>
      <c r="B21" t="s">
        <v>1015</v>
      </c>
      <c r="C21" t="s">
        <v>1019</v>
      </c>
      <c r="D21" t="s">
        <v>1020</v>
      </c>
      <c r="E21" t="s">
        <v>10120</v>
      </c>
      <c r="F21" t="s">
        <v>5</v>
      </c>
      <c r="G21" t="s">
        <v>5</v>
      </c>
      <c r="H21" t="s">
        <v>5</v>
      </c>
      <c r="I21" t="s">
        <v>10115</v>
      </c>
      <c r="J21" t="s">
        <v>96</v>
      </c>
      <c r="K21" s="3">
        <f t="shared" si="0"/>
        <v>0</v>
      </c>
      <c r="L21" s="3">
        <f>IF(ISERROR(VLOOKUP(J21,Lookups!$A$2:$A$16,1,FALSE)),1,0)</f>
        <v>0</v>
      </c>
      <c r="M21" s="3">
        <f>IF(ISERROR(VLOOKUP(D21,Data!$A$2:$D$223100,2,FALSE)),0,1)</f>
        <v>1</v>
      </c>
      <c r="N21" s="3">
        <f t="shared" si="1"/>
        <v>0</v>
      </c>
      <c r="O21" s="3" t="str">
        <f>IF(ISERROR(VLOOKUP(D21,Data!$A$2:$C$223100,3,FALSE)),"INACTIVE",VLOOKUP(D21,Data!$A$2:$C$223100,3,FALSE))</f>
        <v>FC</v>
      </c>
    </row>
    <row r="22" spans="1:15" x14ac:dyDescent="0.25">
      <c r="A22" t="s">
        <v>1014</v>
      </c>
      <c r="B22" t="s">
        <v>1015</v>
      </c>
      <c r="C22" t="s">
        <v>10121</v>
      </c>
      <c r="D22" t="s">
        <v>10122</v>
      </c>
      <c r="E22" t="s">
        <v>10123</v>
      </c>
      <c r="F22" t="s">
        <v>5</v>
      </c>
      <c r="G22" t="s">
        <v>5</v>
      </c>
      <c r="H22" t="s">
        <v>5</v>
      </c>
      <c r="I22" t="s">
        <v>10115</v>
      </c>
      <c r="J22" t="s">
        <v>7</v>
      </c>
      <c r="K22" s="3">
        <f t="shared" si="0"/>
        <v>0</v>
      </c>
      <c r="L22" s="3">
        <f>IF(ISERROR(VLOOKUP(J22,Lookups!$A$2:$A$16,1,FALSE)),1,0)</f>
        <v>1</v>
      </c>
      <c r="M22" s="3">
        <f>IF(ISERROR(VLOOKUP(D22,Data!$A$2:$D$223100,2,FALSE)),0,1)</f>
        <v>1</v>
      </c>
      <c r="N22" s="3">
        <f t="shared" si="1"/>
        <v>1</v>
      </c>
      <c r="O22" s="3" t="str">
        <f>IF(ISERROR(VLOOKUP(D22,Data!$A$2:$C$223100,3,FALSE)),"INACTIVE",VLOOKUP(D22,Data!$A$2:$C$223100,3,FALSE))</f>
        <v>Current</v>
      </c>
    </row>
    <row r="23" spans="1:15" x14ac:dyDescent="0.25">
      <c r="A23" t="s">
        <v>1149</v>
      </c>
      <c r="B23" t="s">
        <v>10067</v>
      </c>
      <c r="C23" t="s">
        <v>10068</v>
      </c>
      <c r="D23" t="s">
        <v>10069</v>
      </c>
      <c r="E23" t="s">
        <v>10070</v>
      </c>
      <c r="F23" t="s">
        <v>5</v>
      </c>
      <c r="G23" t="s">
        <v>5</v>
      </c>
      <c r="H23" t="s">
        <v>5</v>
      </c>
      <c r="I23" t="s">
        <v>10071</v>
      </c>
      <c r="J23" t="s">
        <v>14</v>
      </c>
      <c r="K23" s="3">
        <f t="shared" si="0"/>
        <v>0</v>
      </c>
      <c r="L23" s="3">
        <f>IF(ISERROR(VLOOKUP(J23,Lookups!$A$2:$A$16,1,FALSE)),1,0)</f>
        <v>1</v>
      </c>
      <c r="M23" s="3">
        <f>IF(ISERROR(VLOOKUP(D23,Data!$A$2:$D$223100,2,FALSE)),0,1)</f>
        <v>1</v>
      </c>
      <c r="N23" s="3">
        <f t="shared" si="1"/>
        <v>1</v>
      </c>
      <c r="O23" s="3" t="str">
        <f>IF(ISERROR(VLOOKUP(D23,Data!$A$2:$C$223100,3,FALSE)),"INACTIVE",VLOOKUP(D23,Data!$A$2:$C$223100,3,FALSE))</f>
        <v>Current</v>
      </c>
    </row>
    <row r="24" spans="1:15" x14ac:dyDescent="0.25">
      <c r="A24" t="s">
        <v>1149</v>
      </c>
      <c r="B24" t="s">
        <v>10067</v>
      </c>
      <c r="C24" t="s">
        <v>10072</v>
      </c>
      <c r="D24" t="s">
        <v>10073</v>
      </c>
      <c r="E24" t="s">
        <v>10074</v>
      </c>
      <c r="F24" t="s">
        <v>5</v>
      </c>
      <c r="G24" t="s">
        <v>5</v>
      </c>
      <c r="H24" t="s">
        <v>5</v>
      </c>
      <c r="I24" t="s">
        <v>10071</v>
      </c>
      <c r="J24" t="s">
        <v>14</v>
      </c>
      <c r="K24" s="3">
        <f t="shared" si="0"/>
        <v>0</v>
      </c>
      <c r="L24" s="3">
        <f>IF(ISERROR(VLOOKUP(J24,Lookups!$A$2:$A$16,1,FALSE)),1,0)</f>
        <v>1</v>
      </c>
      <c r="M24" s="3">
        <f>IF(ISERROR(VLOOKUP(D24,Data!$A$2:$D$223100,2,FALSE)),0,1)</f>
        <v>0</v>
      </c>
      <c r="N24" s="3">
        <f t="shared" si="1"/>
        <v>0</v>
      </c>
      <c r="O24" s="3" t="str">
        <f>IF(ISERROR(VLOOKUP(D24,Data!$A$2:$C$223100,3,FALSE)),"INACTIVE",VLOOKUP(D24,Data!$A$2:$C$223100,3,FALSE))</f>
        <v>INACTIVE</v>
      </c>
    </row>
    <row r="25" spans="1:15" x14ac:dyDescent="0.25">
      <c r="A25" t="s">
        <v>1149</v>
      </c>
      <c r="B25" t="s">
        <v>10067</v>
      </c>
      <c r="C25" t="s">
        <v>10075</v>
      </c>
      <c r="D25" t="s">
        <v>10076</v>
      </c>
      <c r="E25" t="s">
        <v>10077</v>
      </c>
      <c r="F25" t="s">
        <v>5</v>
      </c>
      <c r="G25" t="s">
        <v>5</v>
      </c>
      <c r="H25" t="s">
        <v>5</v>
      </c>
      <c r="I25" t="s">
        <v>10071</v>
      </c>
      <c r="J25" t="s">
        <v>96</v>
      </c>
      <c r="K25" s="3">
        <f t="shared" si="0"/>
        <v>0</v>
      </c>
      <c r="L25" s="3">
        <f>IF(ISERROR(VLOOKUP(J25,Lookups!$A$2:$A$16,1,FALSE)),1,0)</f>
        <v>0</v>
      </c>
      <c r="M25" s="3">
        <f>IF(ISERROR(VLOOKUP(D25,Data!$A$2:$D$223100,2,FALSE)),0,1)</f>
        <v>1</v>
      </c>
      <c r="N25" s="3">
        <f t="shared" si="1"/>
        <v>0</v>
      </c>
      <c r="O25" s="3" t="str">
        <f>IF(ISERROR(VLOOKUP(D25,Data!$A$2:$C$223100,3,FALSE)),"INACTIVE",VLOOKUP(D25,Data!$A$2:$C$223100,3,FALSE))</f>
        <v>Current</v>
      </c>
    </row>
    <row r="26" spans="1:15" x14ac:dyDescent="0.25">
      <c r="A26" t="s">
        <v>1149</v>
      </c>
      <c r="B26" t="s">
        <v>10067</v>
      </c>
      <c r="C26" t="s">
        <v>10075</v>
      </c>
      <c r="D26" t="s">
        <v>10076</v>
      </c>
      <c r="E26" t="s">
        <v>10078</v>
      </c>
      <c r="F26" t="s">
        <v>5</v>
      </c>
      <c r="G26" t="s">
        <v>5</v>
      </c>
      <c r="H26" t="s">
        <v>5</v>
      </c>
      <c r="I26" t="s">
        <v>10071</v>
      </c>
      <c r="J26" t="s">
        <v>96</v>
      </c>
      <c r="K26" s="3">
        <f t="shared" si="0"/>
        <v>0</v>
      </c>
      <c r="L26" s="3">
        <f>IF(ISERROR(VLOOKUP(J26,Lookups!$A$2:$A$16,1,FALSE)),1,0)</f>
        <v>0</v>
      </c>
      <c r="M26" s="3">
        <f>IF(ISERROR(VLOOKUP(D26,Data!$A$2:$D$223100,2,FALSE)),0,1)</f>
        <v>1</v>
      </c>
      <c r="N26" s="3">
        <f t="shared" si="1"/>
        <v>0</v>
      </c>
      <c r="O26" s="3" t="str">
        <f>IF(ISERROR(VLOOKUP(D26,Data!$A$2:$C$223100,3,FALSE)),"INACTIVE",VLOOKUP(D26,Data!$A$2:$C$223100,3,FALSE))</f>
        <v>Current</v>
      </c>
    </row>
    <row r="27" spans="1:15" x14ac:dyDescent="0.25">
      <c r="A27" t="s">
        <v>1149</v>
      </c>
      <c r="B27" t="s">
        <v>10067</v>
      </c>
      <c r="C27" t="s">
        <v>10075</v>
      </c>
      <c r="D27" t="s">
        <v>10076</v>
      </c>
      <c r="E27" t="s">
        <v>10079</v>
      </c>
      <c r="F27" t="s">
        <v>5</v>
      </c>
      <c r="G27" t="s">
        <v>5</v>
      </c>
      <c r="H27" t="s">
        <v>5</v>
      </c>
      <c r="I27" t="s">
        <v>10071</v>
      </c>
      <c r="J27" t="s">
        <v>96</v>
      </c>
      <c r="K27" s="3">
        <f t="shared" si="0"/>
        <v>0</v>
      </c>
      <c r="L27" s="3">
        <f>IF(ISERROR(VLOOKUP(J27,Lookups!$A$2:$A$16,1,FALSE)),1,0)</f>
        <v>0</v>
      </c>
      <c r="M27" s="3">
        <f>IF(ISERROR(VLOOKUP(D27,Data!$A$2:$D$223100,2,FALSE)),0,1)</f>
        <v>1</v>
      </c>
      <c r="N27" s="3">
        <f t="shared" si="1"/>
        <v>0</v>
      </c>
      <c r="O27" s="3" t="str">
        <f>IF(ISERROR(VLOOKUP(D27,Data!$A$2:$C$223100,3,FALSE)),"INACTIVE",VLOOKUP(D27,Data!$A$2:$C$223100,3,FALSE))</f>
        <v>Current</v>
      </c>
    </row>
    <row r="28" spans="1:15" x14ac:dyDescent="0.25">
      <c r="A28" t="s">
        <v>10168</v>
      </c>
      <c r="B28" t="s">
        <v>10169</v>
      </c>
      <c r="C28" t="s">
        <v>10170</v>
      </c>
      <c r="D28" t="s">
        <v>10171</v>
      </c>
      <c r="E28" t="s">
        <v>10172</v>
      </c>
      <c r="F28" t="s">
        <v>5</v>
      </c>
      <c r="G28" t="s">
        <v>5</v>
      </c>
      <c r="H28" t="s">
        <v>5</v>
      </c>
      <c r="I28" t="s">
        <v>10071</v>
      </c>
      <c r="J28" t="s">
        <v>7</v>
      </c>
      <c r="K28" s="3">
        <f t="shared" si="0"/>
        <v>0</v>
      </c>
      <c r="L28" s="3">
        <f>IF(ISERROR(VLOOKUP(J28,Lookups!$A$2:$A$16,1,FALSE)),1,0)</f>
        <v>1</v>
      </c>
      <c r="M28" s="3">
        <f>IF(ISERROR(VLOOKUP(D28,Data!$A$2:$D$223100,2,FALSE)),0,1)</f>
        <v>1</v>
      </c>
      <c r="N28" s="3">
        <f t="shared" si="1"/>
        <v>1</v>
      </c>
      <c r="O28" s="3" t="str">
        <f>IF(ISERROR(VLOOKUP(D28,Data!$A$2:$C$223100,3,FALSE)),"INACTIVE",VLOOKUP(D28,Data!$A$2:$C$223100,3,FALSE))</f>
        <v>Demand Letter</v>
      </c>
    </row>
    <row r="29" spans="1:15" x14ac:dyDescent="0.25">
      <c r="A29" t="s">
        <v>10168</v>
      </c>
      <c r="B29" t="s">
        <v>10169</v>
      </c>
      <c r="C29" t="s">
        <v>10170</v>
      </c>
      <c r="D29" t="s">
        <v>10171</v>
      </c>
      <c r="E29" t="s">
        <v>10173</v>
      </c>
      <c r="F29" t="s">
        <v>5</v>
      </c>
      <c r="G29" t="s">
        <v>5</v>
      </c>
      <c r="H29" t="s">
        <v>5</v>
      </c>
      <c r="I29" t="s">
        <v>10071</v>
      </c>
      <c r="J29" t="s">
        <v>7</v>
      </c>
      <c r="K29" s="3">
        <f t="shared" si="0"/>
        <v>0</v>
      </c>
      <c r="L29" s="3">
        <f>IF(ISERROR(VLOOKUP(J29,Lookups!$A$2:$A$16,1,FALSE)),1,0)</f>
        <v>1</v>
      </c>
      <c r="M29" s="3">
        <f>IF(ISERROR(VLOOKUP(D29,Data!$A$2:$D$223100,2,FALSE)),0,1)</f>
        <v>1</v>
      </c>
      <c r="N29" s="3">
        <f t="shared" si="1"/>
        <v>1</v>
      </c>
      <c r="O29" s="3" t="str">
        <f>IF(ISERROR(VLOOKUP(D29,Data!$A$2:$C$223100,3,FALSE)),"INACTIVE",VLOOKUP(D29,Data!$A$2:$C$223100,3,FALSE))</f>
        <v>Demand Letter</v>
      </c>
    </row>
    <row r="30" spans="1:15" x14ac:dyDescent="0.25">
      <c r="A30" t="s">
        <v>218</v>
      </c>
      <c r="B30" t="s">
        <v>219</v>
      </c>
      <c r="C30" t="s">
        <v>220</v>
      </c>
      <c r="D30" t="s">
        <v>221</v>
      </c>
      <c r="E30" t="s">
        <v>222</v>
      </c>
      <c r="F30" t="s">
        <v>5</v>
      </c>
      <c r="G30" t="s">
        <v>5</v>
      </c>
      <c r="H30" t="s">
        <v>5</v>
      </c>
      <c r="I30" t="s">
        <v>10133</v>
      </c>
      <c r="J30" t="s">
        <v>7</v>
      </c>
      <c r="K30" s="3">
        <f t="shared" si="0"/>
        <v>0</v>
      </c>
      <c r="L30" s="3">
        <f>IF(ISERROR(VLOOKUP(J30,Lookups!$A$2:$A$16,1,FALSE)),1,0)</f>
        <v>1</v>
      </c>
      <c r="M30" s="3">
        <f>IF(ISERROR(VLOOKUP(D30,Data!$A$2:$D$223100,2,FALSE)),0,1)</f>
        <v>1</v>
      </c>
      <c r="N30" s="3">
        <f t="shared" si="1"/>
        <v>1</v>
      </c>
      <c r="O30" s="3" t="str">
        <f>IF(ISERROR(VLOOKUP(D30,Data!$A$2:$C$223100,3,FALSE)),"INACTIVE",VLOOKUP(D30,Data!$A$2:$C$223100,3,FALSE))</f>
        <v>FBA</v>
      </c>
    </row>
    <row r="31" spans="1:15" x14ac:dyDescent="0.25">
      <c r="A31" t="s">
        <v>218</v>
      </c>
      <c r="B31" t="s">
        <v>219</v>
      </c>
      <c r="C31" t="s">
        <v>10134</v>
      </c>
      <c r="D31" t="s">
        <v>10135</v>
      </c>
      <c r="E31" t="s">
        <v>10136</v>
      </c>
      <c r="F31" t="s">
        <v>5</v>
      </c>
      <c r="G31" t="s">
        <v>5</v>
      </c>
      <c r="H31" t="s">
        <v>5</v>
      </c>
      <c r="I31" t="s">
        <v>10133</v>
      </c>
      <c r="J31" t="s">
        <v>7</v>
      </c>
      <c r="K31" s="3">
        <f t="shared" si="0"/>
        <v>0</v>
      </c>
      <c r="L31" s="3">
        <f>IF(ISERROR(VLOOKUP(J31,Lookups!$A$2:$A$16,1,FALSE)),1,0)</f>
        <v>1</v>
      </c>
      <c r="M31" s="3">
        <f>IF(ISERROR(VLOOKUP(D31,Data!$A$2:$D$223100,2,FALSE)),0,1)</f>
        <v>1</v>
      </c>
      <c r="N31" s="3">
        <f t="shared" si="1"/>
        <v>1</v>
      </c>
      <c r="O31" s="3" t="str">
        <f>IF(ISERROR(VLOOKUP(D31,Data!$A$2:$C$223100,3,FALSE)),"INACTIVE",VLOOKUP(D31,Data!$A$2:$C$223100,3,FALSE))</f>
        <v>Current</v>
      </c>
    </row>
    <row r="32" spans="1:15" x14ac:dyDescent="0.25">
      <c r="A32" t="s">
        <v>218</v>
      </c>
      <c r="B32" t="s">
        <v>219</v>
      </c>
      <c r="C32" t="s">
        <v>224</v>
      </c>
      <c r="D32" t="s">
        <v>10137</v>
      </c>
      <c r="E32" t="s">
        <v>10138</v>
      </c>
      <c r="F32" t="s">
        <v>5</v>
      </c>
      <c r="G32" t="s">
        <v>5</v>
      </c>
      <c r="H32" t="s">
        <v>5</v>
      </c>
      <c r="I32" t="s">
        <v>10133</v>
      </c>
      <c r="J32" t="s">
        <v>7</v>
      </c>
      <c r="K32" s="3">
        <f t="shared" si="0"/>
        <v>0</v>
      </c>
      <c r="L32" s="3">
        <f>IF(ISERROR(VLOOKUP(J32,Lookups!$A$2:$A$16,1,FALSE)),1,0)</f>
        <v>1</v>
      </c>
      <c r="M32" s="3">
        <f>IF(ISERROR(VLOOKUP(D32,Data!$A$2:$D$223100,2,FALSE)),0,1)</f>
        <v>0</v>
      </c>
      <c r="N32" s="3">
        <f t="shared" si="1"/>
        <v>0</v>
      </c>
      <c r="O32" s="3" t="str">
        <f>IF(ISERROR(VLOOKUP(D32,Data!$A$2:$C$223100,3,FALSE)),"INACTIVE",VLOOKUP(D32,Data!$A$2:$C$223100,3,FALSE))</f>
        <v>INACTIVE</v>
      </c>
    </row>
    <row r="33" spans="1:15" x14ac:dyDescent="0.25">
      <c r="A33" t="s">
        <v>218</v>
      </c>
      <c r="B33" t="s">
        <v>219</v>
      </c>
      <c r="C33" t="s">
        <v>227</v>
      </c>
      <c r="D33" t="s">
        <v>228</v>
      </c>
      <c r="E33" t="s">
        <v>10139</v>
      </c>
      <c r="F33" t="s">
        <v>5</v>
      </c>
      <c r="G33" t="s">
        <v>5</v>
      </c>
      <c r="H33" t="s">
        <v>5</v>
      </c>
      <c r="I33" t="s">
        <v>10133</v>
      </c>
      <c r="J33" t="s">
        <v>7</v>
      </c>
      <c r="K33" s="3">
        <f t="shared" si="0"/>
        <v>0</v>
      </c>
      <c r="L33" s="3">
        <f>IF(ISERROR(VLOOKUP(J33,Lookups!$A$2:$A$16,1,FALSE)),1,0)</f>
        <v>1</v>
      </c>
      <c r="M33" s="3">
        <f>IF(ISERROR(VLOOKUP(D33,Data!$A$2:$D$223100,2,FALSE)),0,1)</f>
        <v>1</v>
      </c>
      <c r="N33" s="3">
        <f t="shared" si="1"/>
        <v>1</v>
      </c>
      <c r="O33" s="3" t="str">
        <f>IF(ISERROR(VLOOKUP(D33,Data!$A$2:$C$223100,3,FALSE)),"INACTIVE",VLOOKUP(D33,Data!$A$2:$C$223100,3,FALSE))</f>
        <v>Demand Letter</v>
      </c>
    </row>
    <row r="34" spans="1:15" x14ac:dyDescent="0.25">
      <c r="A34" t="s">
        <v>218</v>
      </c>
      <c r="B34" t="s">
        <v>219</v>
      </c>
      <c r="C34" t="s">
        <v>230</v>
      </c>
      <c r="D34" t="s">
        <v>231</v>
      </c>
      <c r="E34" t="s">
        <v>10140</v>
      </c>
      <c r="F34" t="s">
        <v>5</v>
      </c>
      <c r="G34" t="s">
        <v>5</v>
      </c>
      <c r="H34" t="s">
        <v>5</v>
      </c>
      <c r="I34" t="s">
        <v>10133</v>
      </c>
      <c r="J34" t="s">
        <v>7</v>
      </c>
      <c r="K34" s="3">
        <f t="shared" si="0"/>
        <v>0</v>
      </c>
      <c r="L34" s="3">
        <f>IF(ISERROR(VLOOKUP(J34,Lookups!$A$2:$A$16,1,FALSE)),1,0)</f>
        <v>1</v>
      </c>
      <c r="M34" s="3">
        <f>IF(ISERROR(VLOOKUP(D34,Data!$A$2:$D$223100,2,FALSE)),0,1)</f>
        <v>1</v>
      </c>
      <c r="N34" s="3">
        <f t="shared" si="1"/>
        <v>1</v>
      </c>
      <c r="O34" s="3" t="str">
        <f>IF(ISERROR(VLOOKUP(D34,Data!$A$2:$C$223100,3,FALSE)),"INACTIVE",VLOOKUP(D34,Data!$A$2:$C$223100,3,FALSE))</f>
        <v>Demand Letter</v>
      </c>
    </row>
    <row r="35" spans="1:15" x14ac:dyDescent="0.25">
      <c r="A35" t="s">
        <v>218</v>
      </c>
      <c r="B35" t="s">
        <v>219</v>
      </c>
      <c r="C35" t="s">
        <v>233</v>
      </c>
      <c r="D35" t="s">
        <v>234</v>
      </c>
      <c r="E35" t="s">
        <v>235</v>
      </c>
      <c r="F35" t="s">
        <v>5</v>
      </c>
      <c r="G35" t="s">
        <v>5</v>
      </c>
      <c r="H35" t="s">
        <v>5</v>
      </c>
      <c r="I35" t="s">
        <v>10133</v>
      </c>
      <c r="J35" t="s">
        <v>7</v>
      </c>
      <c r="K35" s="3">
        <f t="shared" si="0"/>
        <v>0</v>
      </c>
      <c r="L35" s="3">
        <f>IF(ISERROR(VLOOKUP(J35,Lookups!$A$2:$A$16,1,FALSE)),1,0)</f>
        <v>1</v>
      </c>
      <c r="M35" s="3">
        <f>IF(ISERROR(VLOOKUP(D35,Data!$A$2:$D$223100,2,FALSE)),0,1)</f>
        <v>1</v>
      </c>
      <c r="N35" s="3">
        <f t="shared" si="1"/>
        <v>1</v>
      </c>
      <c r="O35" s="3" t="str">
        <f>IF(ISERROR(VLOOKUP(D35,Data!$A$2:$C$223100,3,FALSE)),"INACTIVE",VLOOKUP(D35,Data!$A$2:$C$223100,3,FALSE))</f>
        <v>FBA</v>
      </c>
    </row>
    <row r="36" spans="1:15" x14ac:dyDescent="0.25">
      <c r="A36" t="s">
        <v>218</v>
      </c>
      <c r="B36" t="s">
        <v>219</v>
      </c>
      <c r="C36" t="s">
        <v>251</v>
      </c>
      <c r="D36" t="s">
        <v>252</v>
      </c>
      <c r="E36" t="s">
        <v>253</v>
      </c>
      <c r="F36" t="s">
        <v>5</v>
      </c>
      <c r="G36" t="s">
        <v>5</v>
      </c>
      <c r="H36" t="s">
        <v>5</v>
      </c>
      <c r="I36" t="s">
        <v>10133</v>
      </c>
      <c r="J36" t="s">
        <v>7</v>
      </c>
      <c r="K36" s="3">
        <f t="shared" si="0"/>
        <v>0</v>
      </c>
      <c r="L36" s="3">
        <f>IF(ISERROR(VLOOKUP(J36,Lookups!$A$2:$A$16,1,FALSE)),1,0)</f>
        <v>1</v>
      </c>
      <c r="M36" s="3">
        <f>IF(ISERROR(VLOOKUP(D36,Data!$A$2:$D$223100,2,FALSE)),0,1)</f>
        <v>1</v>
      </c>
      <c r="N36" s="3">
        <f t="shared" si="1"/>
        <v>1</v>
      </c>
      <c r="O36" s="3" t="str">
        <f>IF(ISERROR(VLOOKUP(D36,Data!$A$2:$C$223100,3,FALSE)),"INACTIVE",VLOOKUP(D36,Data!$A$2:$C$223100,3,FALSE))</f>
        <v>FC</v>
      </c>
    </row>
    <row r="37" spans="1:15" x14ac:dyDescent="0.25">
      <c r="A37" t="s">
        <v>218</v>
      </c>
      <c r="B37" t="s">
        <v>219</v>
      </c>
      <c r="C37" t="s">
        <v>10141</v>
      </c>
      <c r="D37" t="s">
        <v>10142</v>
      </c>
      <c r="E37" t="s">
        <v>10143</v>
      </c>
      <c r="F37" t="s">
        <v>5</v>
      </c>
      <c r="G37" t="s">
        <v>5</v>
      </c>
      <c r="H37" t="s">
        <v>5</v>
      </c>
      <c r="I37" t="s">
        <v>10133</v>
      </c>
      <c r="J37" t="s">
        <v>7</v>
      </c>
      <c r="K37" s="3">
        <f t="shared" si="0"/>
        <v>0</v>
      </c>
      <c r="L37" s="3">
        <f>IF(ISERROR(VLOOKUP(J37,Lookups!$A$2:$A$16,1,FALSE)),1,0)</f>
        <v>1</v>
      </c>
      <c r="M37" s="3">
        <f>IF(ISERROR(VLOOKUP(D37,Data!$A$2:$D$223100,2,FALSE)),0,1)</f>
        <v>1</v>
      </c>
      <c r="N37" s="3">
        <f t="shared" si="1"/>
        <v>1</v>
      </c>
      <c r="O37" s="3" t="str">
        <f>IF(ISERROR(VLOOKUP(D37,Data!$A$2:$C$223100,3,FALSE)),"INACTIVE",VLOOKUP(D37,Data!$A$2:$C$223100,3,FALSE))</f>
        <v>Demand Letter</v>
      </c>
    </row>
    <row r="38" spans="1:15" x14ac:dyDescent="0.25">
      <c r="A38" t="s">
        <v>218</v>
      </c>
      <c r="B38" t="s">
        <v>219</v>
      </c>
      <c r="C38" t="s">
        <v>255</v>
      </c>
      <c r="D38" t="s">
        <v>256</v>
      </c>
      <c r="E38" t="s">
        <v>10144</v>
      </c>
      <c r="F38" t="s">
        <v>5</v>
      </c>
      <c r="G38" t="s">
        <v>5</v>
      </c>
      <c r="H38" t="s">
        <v>5</v>
      </c>
      <c r="I38" t="s">
        <v>10133</v>
      </c>
      <c r="J38" t="s">
        <v>7</v>
      </c>
      <c r="K38" s="3">
        <f t="shared" si="0"/>
        <v>0</v>
      </c>
      <c r="L38" s="3">
        <f>IF(ISERROR(VLOOKUP(J38,Lookups!$A$2:$A$16,1,FALSE)),1,0)</f>
        <v>1</v>
      </c>
      <c r="M38" s="3">
        <f>IF(ISERROR(VLOOKUP(D38,Data!$A$2:$D$223100,2,FALSE)),0,1)</f>
        <v>1</v>
      </c>
      <c r="N38" s="3">
        <f t="shared" si="1"/>
        <v>1</v>
      </c>
      <c r="O38" s="3" t="str">
        <f>IF(ISERROR(VLOOKUP(D38,Data!$A$2:$C$223100,3,FALSE)),"INACTIVE",VLOOKUP(D38,Data!$A$2:$C$223100,3,FALSE))</f>
        <v>BK13</v>
      </c>
    </row>
    <row r="39" spans="1:15" x14ac:dyDescent="0.25">
      <c r="A39" t="s">
        <v>10178</v>
      </c>
      <c r="B39" t="s">
        <v>6271</v>
      </c>
      <c r="C39" t="s">
        <v>10179</v>
      </c>
      <c r="D39" t="s">
        <v>10180</v>
      </c>
      <c r="E39" t="s">
        <v>5</v>
      </c>
      <c r="F39" t="s">
        <v>5</v>
      </c>
      <c r="G39" t="s">
        <v>5</v>
      </c>
      <c r="H39" t="s">
        <v>5</v>
      </c>
      <c r="I39" t="s">
        <v>10133</v>
      </c>
      <c r="J39" t="s">
        <v>96</v>
      </c>
      <c r="K39" s="3">
        <f t="shared" si="0"/>
        <v>1</v>
      </c>
      <c r="L39" s="3">
        <f>IF(ISERROR(VLOOKUP(J39,Lookups!$A$2:$A$16,1,FALSE)),1,0)</f>
        <v>0</v>
      </c>
      <c r="M39" s="3">
        <f>IF(ISERROR(VLOOKUP(D39,Data!$A$2:$D$223100,2,FALSE)),0,1)</f>
        <v>0</v>
      </c>
      <c r="N39" s="3">
        <f t="shared" si="1"/>
        <v>0</v>
      </c>
      <c r="O39" s="3" t="str">
        <f>IF(ISERROR(VLOOKUP(D39,Data!$A$2:$C$223100,3,FALSE)),"INACTIVE",VLOOKUP(D39,Data!$A$2:$C$223100,3,FALSE))</f>
        <v>INACTIVE</v>
      </c>
    </row>
    <row r="40" spans="1:15" x14ac:dyDescent="0.25">
      <c r="A40" t="s">
        <v>10178</v>
      </c>
      <c r="B40" t="s">
        <v>6271</v>
      </c>
      <c r="C40" t="s">
        <v>5736</v>
      </c>
      <c r="D40" t="s">
        <v>5737</v>
      </c>
      <c r="E40" t="s">
        <v>5</v>
      </c>
      <c r="F40" t="s">
        <v>5</v>
      </c>
      <c r="G40" t="s">
        <v>5</v>
      </c>
      <c r="H40" t="s">
        <v>5</v>
      </c>
      <c r="I40" t="s">
        <v>10133</v>
      </c>
      <c r="J40" t="s">
        <v>96</v>
      </c>
      <c r="K40" s="3">
        <f t="shared" si="0"/>
        <v>1</v>
      </c>
      <c r="L40" s="3">
        <f>IF(ISERROR(VLOOKUP(J40,Lookups!$A$2:$A$16,1,FALSE)),1,0)</f>
        <v>0</v>
      </c>
      <c r="M40" s="3">
        <f>IF(ISERROR(VLOOKUP(D40,Data!$A$2:$D$223100,2,FALSE)),0,1)</f>
        <v>0</v>
      </c>
      <c r="N40" s="3">
        <f t="shared" si="1"/>
        <v>0</v>
      </c>
      <c r="O40" s="3" t="str">
        <f>IF(ISERROR(VLOOKUP(D40,Data!$A$2:$C$223100,3,FALSE)),"INACTIVE",VLOOKUP(D40,Data!$A$2:$C$223100,3,FALSE))</f>
        <v>INACTIVE</v>
      </c>
    </row>
    <row r="41" spans="1:15" x14ac:dyDescent="0.25">
      <c r="A41" t="s">
        <v>10178</v>
      </c>
      <c r="B41" t="s">
        <v>6271</v>
      </c>
      <c r="C41" t="s">
        <v>5746</v>
      </c>
      <c r="D41" t="s">
        <v>5747</v>
      </c>
      <c r="E41" t="s">
        <v>5</v>
      </c>
      <c r="F41" t="s">
        <v>5</v>
      </c>
      <c r="G41" t="s">
        <v>5</v>
      </c>
      <c r="H41" t="s">
        <v>5</v>
      </c>
      <c r="I41" t="s">
        <v>10133</v>
      </c>
      <c r="J41" t="s">
        <v>96</v>
      </c>
      <c r="K41" s="3">
        <f t="shared" si="0"/>
        <v>1</v>
      </c>
      <c r="L41" s="3">
        <f>IF(ISERROR(VLOOKUP(J41,Lookups!$A$2:$A$16,1,FALSE)),1,0)</f>
        <v>0</v>
      </c>
      <c r="M41" s="3">
        <f>IF(ISERROR(VLOOKUP(D41,Data!$A$2:$D$223100,2,FALSE)),0,1)</f>
        <v>1</v>
      </c>
      <c r="N41" s="3">
        <f t="shared" si="1"/>
        <v>1</v>
      </c>
      <c r="O41" s="3" t="str">
        <f>IF(ISERROR(VLOOKUP(D41,Data!$A$2:$C$223100,3,FALSE)),"INACTIVE",VLOOKUP(D41,Data!$A$2:$C$223100,3,FALSE))</f>
        <v>FC</v>
      </c>
    </row>
    <row r="42" spans="1:15" x14ac:dyDescent="0.25">
      <c r="A42" t="s">
        <v>10181</v>
      </c>
      <c r="B42" t="s">
        <v>6273</v>
      </c>
      <c r="C42" t="s">
        <v>10179</v>
      </c>
      <c r="D42" t="s">
        <v>10180</v>
      </c>
      <c r="E42" t="s">
        <v>5</v>
      </c>
      <c r="F42" t="s">
        <v>5</v>
      </c>
      <c r="G42" t="s">
        <v>5</v>
      </c>
      <c r="H42" t="s">
        <v>5</v>
      </c>
      <c r="I42" t="s">
        <v>10133</v>
      </c>
      <c r="J42" t="s">
        <v>96</v>
      </c>
      <c r="K42" s="3">
        <f t="shared" si="0"/>
        <v>1</v>
      </c>
      <c r="L42" s="3">
        <f>IF(ISERROR(VLOOKUP(J42,Lookups!$A$2:$A$16,1,FALSE)),1,0)</f>
        <v>0</v>
      </c>
      <c r="M42" s="3">
        <f>IF(ISERROR(VLOOKUP(D42,Data!$A$2:$D$223100,2,FALSE)),0,1)</f>
        <v>0</v>
      </c>
      <c r="N42" s="3">
        <f t="shared" si="1"/>
        <v>0</v>
      </c>
      <c r="O42" s="3" t="str">
        <f>IF(ISERROR(VLOOKUP(D42,Data!$A$2:$C$223100,3,FALSE)),"INACTIVE",VLOOKUP(D42,Data!$A$2:$C$223100,3,FALSE))</f>
        <v>INACTIVE</v>
      </c>
    </row>
    <row r="43" spans="1:15" x14ac:dyDescent="0.25">
      <c r="A43" t="s">
        <v>10181</v>
      </c>
      <c r="B43" t="s">
        <v>6273</v>
      </c>
      <c r="C43" t="s">
        <v>5740</v>
      </c>
      <c r="D43" t="s">
        <v>5741</v>
      </c>
      <c r="E43" t="s">
        <v>5</v>
      </c>
      <c r="F43" t="s">
        <v>5</v>
      </c>
      <c r="G43" t="s">
        <v>5</v>
      </c>
      <c r="H43" t="s">
        <v>5</v>
      </c>
      <c r="I43" t="s">
        <v>10133</v>
      </c>
      <c r="J43" t="s">
        <v>96</v>
      </c>
      <c r="K43" s="3">
        <f t="shared" si="0"/>
        <v>1</v>
      </c>
      <c r="L43" s="3">
        <f>IF(ISERROR(VLOOKUP(J43,Lookups!$A$2:$A$16,1,FALSE)),1,0)</f>
        <v>0</v>
      </c>
      <c r="M43" s="3">
        <f>IF(ISERROR(VLOOKUP(D43,Data!$A$2:$D$223100,2,FALSE)),0,1)</f>
        <v>1</v>
      </c>
      <c r="N43" s="3">
        <f t="shared" si="1"/>
        <v>1</v>
      </c>
      <c r="O43" s="3" t="str">
        <f>IF(ISERROR(VLOOKUP(D43,Data!$A$2:$C$223100,3,FALSE)),"INACTIVE",VLOOKUP(D43,Data!$A$2:$C$223100,3,FALSE))</f>
        <v>Current</v>
      </c>
    </row>
    <row r="44" spans="1:15" x14ac:dyDescent="0.25">
      <c r="A44" t="s">
        <v>10181</v>
      </c>
      <c r="B44" t="s">
        <v>6273</v>
      </c>
      <c r="C44" t="s">
        <v>5736</v>
      </c>
      <c r="D44" t="s">
        <v>5737</v>
      </c>
      <c r="E44" t="s">
        <v>5</v>
      </c>
      <c r="F44" t="s">
        <v>5</v>
      </c>
      <c r="G44" t="s">
        <v>5</v>
      </c>
      <c r="H44" t="s">
        <v>5</v>
      </c>
      <c r="I44" t="s">
        <v>10133</v>
      </c>
      <c r="J44" t="s">
        <v>96</v>
      </c>
      <c r="K44" s="3">
        <f t="shared" si="0"/>
        <v>1</v>
      </c>
      <c r="L44" s="3">
        <f>IF(ISERROR(VLOOKUP(J44,Lookups!$A$2:$A$16,1,FALSE)),1,0)</f>
        <v>0</v>
      </c>
      <c r="M44" s="3">
        <f>IF(ISERROR(VLOOKUP(D44,Data!$A$2:$D$223100,2,FALSE)),0,1)</f>
        <v>0</v>
      </c>
      <c r="N44" s="3">
        <f t="shared" si="1"/>
        <v>0</v>
      </c>
      <c r="O44" s="3" t="str">
        <f>IF(ISERROR(VLOOKUP(D44,Data!$A$2:$C$223100,3,FALSE)),"INACTIVE",VLOOKUP(D44,Data!$A$2:$C$223100,3,FALSE))</f>
        <v>INACTIVE</v>
      </c>
    </row>
    <row r="45" spans="1:15" x14ac:dyDescent="0.25">
      <c r="A45" t="s">
        <v>10181</v>
      </c>
      <c r="B45" t="s">
        <v>6273</v>
      </c>
      <c r="C45" t="s">
        <v>6274</v>
      </c>
      <c r="D45" t="s">
        <v>6275</v>
      </c>
      <c r="E45" t="s">
        <v>5</v>
      </c>
      <c r="F45" t="s">
        <v>5</v>
      </c>
      <c r="G45" t="s">
        <v>5</v>
      </c>
      <c r="H45" t="s">
        <v>5</v>
      </c>
      <c r="I45" t="s">
        <v>10133</v>
      </c>
      <c r="J45" t="s">
        <v>96</v>
      </c>
      <c r="K45" s="3">
        <f t="shared" si="0"/>
        <v>1</v>
      </c>
      <c r="L45" s="3">
        <f>IF(ISERROR(VLOOKUP(J45,Lookups!$A$2:$A$16,1,FALSE)),1,0)</f>
        <v>0</v>
      </c>
      <c r="M45" s="3">
        <f>IF(ISERROR(VLOOKUP(D45,Data!$A$2:$D$223100,2,FALSE)),0,1)</f>
        <v>0</v>
      </c>
      <c r="N45" s="3">
        <f t="shared" si="1"/>
        <v>0</v>
      </c>
      <c r="O45" s="3" t="str">
        <f>IF(ISERROR(VLOOKUP(D45,Data!$A$2:$C$223100,3,FALSE)),"INACTIVE",VLOOKUP(D45,Data!$A$2:$C$223100,3,FALSE))</f>
        <v>INACTIVE</v>
      </c>
    </row>
    <row r="46" spans="1:15" x14ac:dyDescent="0.25">
      <c r="A46" t="s">
        <v>10181</v>
      </c>
      <c r="B46" t="s">
        <v>6273</v>
      </c>
      <c r="C46" t="s">
        <v>5746</v>
      </c>
      <c r="D46" t="s">
        <v>5747</v>
      </c>
      <c r="E46" t="s">
        <v>5</v>
      </c>
      <c r="F46" t="s">
        <v>5</v>
      </c>
      <c r="G46" t="s">
        <v>5</v>
      </c>
      <c r="H46" t="s">
        <v>5</v>
      </c>
      <c r="I46" t="s">
        <v>10133</v>
      </c>
      <c r="J46" t="s">
        <v>96</v>
      </c>
      <c r="K46" s="3">
        <f t="shared" si="0"/>
        <v>1</v>
      </c>
      <c r="L46" s="3">
        <f>IF(ISERROR(VLOOKUP(J46,Lookups!$A$2:$A$16,1,FALSE)),1,0)</f>
        <v>0</v>
      </c>
      <c r="M46" s="3">
        <f>IF(ISERROR(VLOOKUP(D46,Data!$A$2:$D$223100,2,FALSE)),0,1)</f>
        <v>1</v>
      </c>
      <c r="N46" s="3">
        <f t="shared" si="1"/>
        <v>1</v>
      </c>
      <c r="O46" s="3" t="str">
        <f>IF(ISERROR(VLOOKUP(D46,Data!$A$2:$C$223100,3,FALSE)),"INACTIVE",VLOOKUP(D46,Data!$A$2:$C$223100,3,FALSE))</f>
        <v>FC</v>
      </c>
    </row>
    <row r="47" spans="1:15" x14ac:dyDescent="0.25">
      <c r="A47" t="s">
        <v>10181</v>
      </c>
      <c r="B47" t="s">
        <v>6273</v>
      </c>
      <c r="C47" t="s">
        <v>10182</v>
      </c>
      <c r="D47" t="s">
        <v>10183</v>
      </c>
      <c r="E47" t="s">
        <v>10317</v>
      </c>
      <c r="F47" t="s">
        <v>5</v>
      </c>
      <c r="G47" t="s">
        <v>5</v>
      </c>
      <c r="H47" t="s">
        <v>5</v>
      </c>
      <c r="I47" t="s">
        <v>10133</v>
      </c>
      <c r="J47" t="s">
        <v>96</v>
      </c>
      <c r="K47" s="3">
        <f t="shared" si="0"/>
        <v>1</v>
      </c>
      <c r="L47" s="3">
        <f>IF(ISERROR(VLOOKUP(J47,Lookups!$A$2:$A$16,1,FALSE)),1,0)</f>
        <v>0</v>
      </c>
      <c r="M47" s="3">
        <f>IF(ISERROR(VLOOKUP(D47,Data!$A$2:$D$223100,2,FALSE)),0,1)</f>
        <v>1</v>
      </c>
      <c r="N47" s="3">
        <f t="shared" si="1"/>
        <v>1</v>
      </c>
      <c r="O47" s="3" t="str">
        <f>IF(ISERROR(VLOOKUP(D47,Data!$A$2:$C$223100,3,FALSE)),"INACTIVE",VLOOKUP(D47,Data!$A$2:$C$223100,3,FALSE))</f>
        <v>FBA</v>
      </c>
    </row>
    <row r="48" spans="1:15" x14ac:dyDescent="0.25">
      <c r="A48" t="s">
        <v>10184</v>
      </c>
      <c r="B48" t="s">
        <v>6277</v>
      </c>
      <c r="C48" t="s">
        <v>5750</v>
      </c>
      <c r="D48" t="s">
        <v>5751</v>
      </c>
      <c r="E48" t="s">
        <v>5</v>
      </c>
      <c r="F48" t="s">
        <v>5</v>
      </c>
      <c r="G48" t="s">
        <v>5</v>
      </c>
      <c r="H48" t="s">
        <v>5</v>
      </c>
      <c r="I48" t="s">
        <v>10133</v>
      </c>
      <c r="J48" t="s">
        <v>96</v>
      </c>
      <c r="K48" s="3">
        <f t="shared" si="0"/>
        <v>1</v>
      </c>
      <c r="L48" s="3">
        <f>IF(ISERROR(VLOOKUP(J48,Lookups!$A$2:$A$16,1,FALSE)),1,0)</f>
        <v>0</v>
      </c>
      <c r="M48" s="3">
        <f>IF(ISERROR(VLOOKUP(D48,Data!$A$2:$D$223100,2,FALSE)),0,1)</f>
        <v>1</v>
      </c>
      <c r="N48" s="3">
        <f t="shared" si="1"/>
        <v>1</v>
      </c>
      <c r="O48" s="3" t="str">
        <f>IF(ISERROR(VLOOKUP(D48,Data!$A$2:$C$223100,3,FALSE)),"INACTIVE",VLOOKUP(D48,Data!$A$2:$C$223100,3,FALSE))</f>
        <v>FC</v>
      </c>
    </row>
    <row r="49" spans="1:15" x14ac:dyDescent="0.25">
      <c r="A49" t="s">
        <v>10184</v>
      </c>
      <c r="B49" t="s">
        <v>6277</v>
      </c>
      <c r="C49" t="s">
        <v>5752</v>
      </c>
      <c r="D49" t="s">
        <v>5753</v>
      </c>
      <c r="E49" t="s">
        <v>5</v>
      </c>
      <c r="F49" t="s">
        <v>5</v>
      </c>
      <c r="G49" t="s">
        <v>5</v>
      </c>
      <c r="H49" t="s">
        <v>5</v>
      </c>
      <c r="I49" t="s">
        <v>10133</v>
      </c>
      <c r="J49" t="s">
        <v>96</v>
      </c>
      <c r="K49" s="3">
        <f t="shared" si="0"/>
        <v>1</v>
      </c>
      <c r="L49" s="3">
        <f>IF(ISERROR(VLOOKUP(J49,Lookups!$A$2:$A$16,1,FALSE)),1,0)</f>
        <v>0</v>
      </c>
      <c r="M49" s="3">
        <f>IF(ISERROR(VLOOKUP(D49,Data!$A$2:$D$223100,2,FALSE)),0,1)</f>
        <v>1</v>
      </c>
      <c r="N49" s="3">
        <f t="shared" si="1"/>
        <v>1</v>
      </c>
      <c r="O49" s="3" t="str">
        <f>IF(ISERROR(VLOOKUP(D49,Data!$A$2:$C$223100,3,FALSE)),"INACTIVE",VLOOKUP(D49,Data!$A$2:$C$223100,3,FALSE))</f>
        <v>FC</v>
      </c>
    </row>
    <row r="50" spans="1:15" x14ac:dyDescent="0.25">
      <c r="A50" t="s">
        <v>10185</v>
      </c>
      <c r="B50" t="s">
        <v>6279</v>
      </c>
      <c r="C50" t="s">
        <v>5750</v>
      </c>
      <c r="D50" t="s">
        <v>5751</v>
      </c>
      <c r="E50" t="s">
        <v>5</v>
      </c>
      <c r="F50" t="s">
        <v>5</v>
      </c>
      <c r="G50" t="s">
        <v>5</v>
      </c>
      <c r="H50" t="s">
        <v>5</v>
      </c>
      <c r="I50" t="s">
        <v>10133</v>
      </c>
      <c r="J50" t="s">
        <v>96</v>
      </c>
      <c r="K50" s="3">
        <f t="shared" si="0"/>
        <v>1</v>
      </c>
      <c r="L50" s="3">
        <f>IF(ISERROR(VLOOKUP(J50,Lookups!$A$2:$A$16,1,FALSE)),1,0)</f>
        <v>0</v>
      </c>
      <c r="M50" s="3">
        <f>IF(ISERROR(VLOOKUP(D50,Data!$A$2:$D$223100,2,FALSE)),0,1)</f>
        <v>1</v>
      </c>
      <c r="N50" s="3">
        <f t="shared" si="1"/>
        <v>1</v>
      </c>
      <c r="O50" s="3" t="str">
        <f>IF(ISERROR(VLOOKUP(D50,Data!$A$2:$C$223100,3,FALSE)),"INACTIVE",VLOOKUP(D50,Data!$A$2:$C$223100,3,FALSE))</f>
        <v>FC</v>
      </c>
    </row>
    <row r="51" spans="1:15" x14ac:dyDescent="0.25">
      <c r="A51" t="s">
        <v>10185</v>
      </c>
      <c r="B51" t="s">
        <v>6279</v>
      </c>
      <c r="C51" t="s">
        <v>10186</v>
      </c>
      <c r="D51" t="s">
        <v>10187</v>
      </c>
      <c r="E51" t="s">
        <v>5</v>
      </c>
      <c r="F51" t="s">
        <v>5</v>
      </c>
      <c r="G51" t="s">
        <v>5</v>
      </c>
      <c r="H51" t="s">
        <v>5</v>
      </c>
      <c r="I51" t="s">
        <v>10133</v>
      </c>
      <c r="J51" t="s">
        <v>96</v>
      </c>
      <c r="K51" s="3">
        <f t="shared" si="0"/>
        <v>1</v>
      </c>
      <c r="L51" s="3">
        <f>IF(ISERROR(VLOOKUP(J51,Lookups!$A$2:$A$16,1,FALSE)),1,0)</f>
        <v>0</v>
      </c>
      <c r="M51" s="3">
        <f>IF(ISERROR(VLOOKUP(D51,Data!$A$2:$D$223100,2,FALSE)),0,1)</f>
        <v>1</v>
      </c>
      <c r="N51" s="3">
        <f t="shared" si="1"/>
        <v>1</v>
      </c>
      <c r="O51" s="3" t="str">
        <f>IF(ISERROR(VLOOKUP(D51,Data!$A$2:$C$223100,3,FALSE)),"INACTIVE",VLOOKUP(D51,Data!$A$2:$C$223100,3,FALSE))</f>
        <v>60+</v>
      </c>
    </row>
    <row r="52" spans="1:15" x14ac:dyDescent="0.25">
      <c r="A52" t="s">
        <v>10185</v>
      </c>
      <c r="B52" t="s">
        <v>6279</v>
      </c>
      <c r="C52" t="s">
        <v>5752</v>
      </c>
      <c r="D52" t="s">
        <v>5753</v>
      </c>
      <c r="E52" t="s">
        <v>5</v>
      </c>
      <c r="F52" t="s">
        <v>5</v>
      </c>
      <c r="G52" t="s">
        <v>5</v>
      </c>
      <c r="H52" t="s">
        <v>5</v>
      </c>
      <c r="I52" t="s">
        <v>10133</v>
      </c>
      <c r="J52" t="s">
        <v>96</v>
      </c>
      <c r="K52" s="3">
        <f t="shared" si="0"/>
        <v>1</v>
      </c>
      <c r="L52" s="3">
        <f>IF(ISERROR(VLOOKUP(J52,Lookups!$A$2:$A$16,1,FALSE)),1,0)</f>
        <v>0</v>
      </c>
      <c r="M52" s="3">
        <f>IF(ISERROR(VLOOKUP(D52,Data!$A$2:$D$223100,2,FALSE)),0,1)</f>
        <v>1</v>
      </c>
      <c r="N52" s="3">
        <f t="shared" si="1"/>
        <v>1</v>
      </c>
      <c r="O52" s="3" t="str">
        <f>IF(ISERROR(VLOOKUP(D52,Data!$A$2:$C$223100,3,FALSE)),"INACTIVE",VLOOKUP(D52,Data!$A$2:$C$223100,3,FALSE))</f>
        <v>FC</v>
      </c>
    </row>
    <row r="53" spans="1:15" x14ac:dyDescent="0.25">
      <c r="A53" t="s">
        <v>10185</v>
      </c>
      <c r="B53" t="s">
        <v>6279</v>
      </c>
      <c r="C53" t="s">
        <v>8495</v>
      </c>
      <c r="D53" t="s">
        <v>8496</v>
      </c>
      <c r="E53" t="s">
        <v>5</v>
      </c>
      <c r="F53" t="s">
        <v>5</v>
      </c>
      <c r="G53" t="s">
        <v>5</v>
      </c>
      <c r="H53" t="s">
        <v>5</v>
      </c>
      <c r="I53" t="s">
        <v>10133</v>
      </c>
      <c r="J53" t="s">
        <v>96</v>
      </c>
      <c r="K53" s="3">
        <f t="shared" si="0"/>
        <v>1</v>
      </c>
      <c r="L53" s="3">
        <f>IF(ISERROR(VLOOKUP(J53,Lookups!$A$2:$A$16,1,FALSE)),1,0)</f>
        <v>0</v>
      </c>
      <c r="M53" s="3">
        <f>IF(ISERROR(VLOOKUP(D53,Data!$A$2:$D$223100,2,FALSE)),0,1)</f>
        <v>1</v>
      </c>
      <c r="N53" s="3">
        <f t="shared" si="1"/>
        <v>1</v>
      </c>
      <c r="O53" s="3" t="str">
        <f>IF(ISERROR(VLOOKUP(D53,Data!$A$2:$C$223100,3,FALSE)),"INACTIVE",VLOOKUP(D53,Data!$A$2:$C$223100,3,FALSE))</f>
        <v>150+</v>
      </c>
    </row>
    <row r="54" spans="1:15" x14ac:dyDescent="0.25">
      <c r="A54" t="s">
        <v>10185</v>
      </c>
      <c r="B54" t="s">
        <v>6279</v>
      </c>
      <c r="C54" t="s">
        <v>5764</v>
      </c>
      <c r="D54" t="s">
        <v>5765</v>
      </c>
      <c r="E54" t="s">
        <v>5</v>
      </c>
      <c r="F54" t="s">
        <v>5</v>
      </c>
      <c r="G54" t="s">
        <v>5</v>
      </c>
      <c r="H54" t="s">
        <v>5</v>
      </c>
      <c r="I54" t="s">
        <v>10133</v>
      </c>
      <c r="J54" t="s">
        <v>96</v>
      </c>
      <c r="K54" s="3">
        <f t="shared" si="0"/>
        <v>1</v>
      </c>
      <c r="L54" s="3">
        <f>IF(ISERROR(VLOOKUP(J54,Lookups!$A$2:$A$16,1,FALSE)),1,0)</f>
        <v>0</v>
      </c>
      <c r="M54" s="3">
        <f>IF(ISERROR(VLOOKUP(D54,Data!$A$2:$D$223100,2,FALSE)),0,1)</f>
        <v>1</v>
      </c>
      <c r="N54" s="3">
        <f t="shared" si="1"/>
        <v>1</v>
      </c>
      <c r="O54" s="3" t="str">
        <f>IF(ISERROR(VLOOKUP(D54,Data!$A$2:$C$223100,3,FALSE)),"INACTIVE",VLOOKUP(D54,Data!$A$2:$C$223100,3,FALSE))</f>
        <v>Current</v>
      </c>
    </row>
    <row r="55" spans="1:15" x14ac:dyDescent="0.25">
      <c r="A55" t="s">
        <v>10185</v>
      </c>
      <c r="B55" t="s">
        <v>6279</v>
      </c>
      <c r="C55" t="s">
        <v>8528</v>
      </c>
      <c r="D55" t="s">
        <v>8529</v>
      </c>
      <c r="E55" t="s">
        <v>5</v>
      </c>
      <c r="F55" t="s">
        <v>5</v>
      </c>
      <c r="G55" t="s">
        <v>5</v>
      </c>
      <c r="H55" t="s">
        <v>5</v>
      </c>
      <c r="I55" t="s">
        <v>10133</v>
      </c>
      <c r="J55" t="s">
        <v>96</v>
      </c>
      <c r="K55" s="3">
        <f t="shared" si="0"/>
        <v>1</v>
      </c>
      <c r="L55" s="3">
        <f>IF(ISERROR(VLOOKUP(J55,Lookups!$A$2:$A$16,1,FALSE)),1,0)</f>
        <v>0</v>
      </c>
      <c r="M55" s="3">
        <f>IF(ISERROR(VLOOKUP(D55,Data!$A$2:$D$223100,2,FALSE)),0,1)</f>
        <v>1</v>
      </c>
      <c r="N55" s="3">
        <f t="shared" si="1"/>
        <v>1</v>
      </c>
      <c r="O55" s="3" t="str">
        <f>IF(ISERROR(VLOOKUP(D55,Data!$A$2:$C$223100,3,FALSE)),"INACTIVE",VLOOKUP(D55,Data!$A$2:$C$223100,3,FALSE))</f>
        <v>Demand Letter</v>
      </c>
    </row>
    <row r="56" spans="1:15" x14ac:dyDescent="0.25">
      <c r="A56" t="s">
        <v>10185</v>
      </c>
      <c r="B56" t="s">
        <v>6279</v>
      </c>
      <c r="C56" t="s">
        <v>5766</v>
      </c>
      <c r="D56" t="s">
        <v>5767</v>
      </c>
      <c r="E56" t="s">
        <v>5</v>
      </c>
      <c r="F56" t="s">
        <v>5</v>
      </c>
      <c r="G56" t="s">
        <v>5</v>
      </c>
      <c r="H56" t="s">
        <v>5</v>
      </c>
      <c r="I56" t="s">
        <v>10133</v>
      </c>
      <c r="J56" t="s">
        <v>96</v>
      </c>
      <c r="K56" s="3">
        <f t="shared" si="0"/>
        <v>1</v>
      </c>
      <c r="L56" s="3">
        <f>IF(ISERROR(VLOOKUP(J56,Lookups!$A$2:$A$16,1,FALSE)),1,0)</f>
        <v>0</v>
      </c>
      <c r="M56" s="3">
        <f>IF(ISERROR(VLOOKUP(D56,Data!$A$2:$D$223100,2,FALSE)),0,1)</f>
        <v>1</v>
      </c>
      <c r="N56" s="3">
        <f t="shared" si="1"/>
        <v>1</v>
      </c>
      <c r="O56" s="3" t="str">
        <f>IF(ISERROR(VLOOKUP(D56,Data!$A$2:$C$223100,3,FALSE)),"INACTIVE",VLOOKUP(D56,Data!$A$2:$C$223100,3,FALSE))</f>
        <v>FC</v>
      </c>
    </row>
    <row r="57" spans="1:15" x14ac:dyDescent="0.25">
      <c r="A57" t="s">
        <v>10185</v>
      </c>
      <c r="B57" t="s">
        <v>6279</v>
      </c>
      <c r="C57" t="s">
        <v>10188</v>
      </c>
      <c r="D57" t="s">
        <v>10189</v>
      </c>
      <c r="E57" t="s">
        <v>5</v>
      </c>
      <c r="F57" t="s">
        <v>5</v>
      </c>
      <c r="G57" t="s">
        <v>5</v>
      </c>
      <c r="H57" t="s">
        <v>5</v>
      </c>
      <c r="I57" t="s">
        <v>10133</v>
      </c>
      <c r="J57" t="s">
        <v>96</v>
      </c>
      <c r="K57" s="3">
        <f t="shared" si="0"/>
        <v>1</v>
      </c>
      <c r="L57" s="3">
        <f>IF(ISERROR(VLOOKUP(J57,Lookups!$A$2:$A$16,1,FALSE)),1,0)</f>
        <v>0</v>
      </c>
      <c r="M57" s="3">
        <f>IF(ISERROR(VLOOKUP(D57,Data!$A$2:$D$223100,2,FALSE)),0,1)</f>
        <v>1</v>
      </c>
      <c r="N57" s="3">
        <f t="shared" si="1"/>
        <v>1</v>
      </c>
      <c r="O57" s="3" t="str">
        <f>IF(ISERROR(VLOOKUP(D57,Data!$A$2:$C$223100,3,FALSE)),"INACTIVE",VLOOKUP(D57,Data!$A$2:$C$223100,3,FALSE))</f>
        <v>FC</v>
      </c>
    </row>
    <row r="58" spans="1:15" x14ac:dyDescent="0.25">
      <c r="A58" t="s">
        <v>10185</v>
      </c>
      <c r="B58" t="s">
        <v>6279</v>
      </c>
      <c r="C58" t="s">
        <v>8575</v>
      </c>
      <c r="D58" t="s">
        <v>8576</v>
      </c>
      <c r="E58" t="s">
        <v>5</v>
      </c>
      <c r="F58" t="s">
        <v>5</v>
      </c>
      <c r="G58" t="s">
        <v>5</v>
      </c>
      <c r="H58" t="s">
        <v>5</v>
      </c>
      <c r="I58" t="s">
        <v>10133</v>
      </c>
      <c r="J58" t="s">
        <v>96</v>
      </c>
      <c r="K58" s="3">
        <f t="shared" si="0"/>
        <v>1</v>
      </c>
      <c r="L58" s="3">
        <f>IF(ISERROR(VLOOKUP(J58,Lookups!$A$2:$A$16,1,FALSE)),1,0)</f>
        <v>0</v>
      </c>
      <c r="M58" s="3">
        <f>IF(ISERROR(VLOOKUP(D58,Data!$A$2:$D$223100,2,FALSE)),0,1)</f>
        <v>1</v>
      </c>
      <c r="N58" s="3">
        <f t="shared" si="1"/>
        <v>1</v>
      </c>
      <c r="O58" s="3" t="str">
        <f>IF(ISERROR(VLOOKUP(D58,Data!$A$2:$C$223100,3,FALSE)),"INACTIVE",VLOOKUP(D58,Data!$A$2:$C$223100,3,FALSE))</f>
        <v>FC</v>
      </c>
    </row>
    <row r="59" spans="1:15" x14ac:dyDescent="0.25">
      <c r="A59" t="s">
        <v>10185</v>
      </c>
      <c r="B59" t="s">
        <v>6279</v>
      </c>
      <c r="C59" t="s">
        <v>10190</v>
      </c>
      <c r="D59" t="s">
        <v>10191</v>
      </c>
      <c r="E59" t="s">
        <v>5</v>
      </c>
      <c r="F59" t="s">
        <v>5</v>
      </c>
      <c r="G59" t="s">
        <v>5</v>
      </c>
      <c r="H59" t="s">
        <v>5</v>
      </c>
      <c r="I59" t="s">
        <v>10133</v>
      </c>
      <c r="J59" t="s">
        <v>96</v>
      </c>
      <c r="K59" s="3">
        <f t="shared" si="0"/>
        <v>1</v>
      </c>
      <c r="L59" s="3">
        <f>IF(ISERROR(VLOOKUP(J59,Lookups!$A$2:$A$16,1,FALSE)),1,0)</f>
        <v>0</v>
      </c>
      <c r="M59" s="3">
        <f>IF(ISERROR(VLOOKUP(D59,Data!$A$2:$D$223100,2,FALSE)),0,1)</f>
        <v>1</v>
      </c>
      <c r="N59" s="3">
        <f t="shared" si="1"/>
        <v>1</v>
      </c>
      <c r="O59" s="3" t="str">
        <f>IF(ISERROR(VLOOKUP(D59,Data!$A$2:$C$223100,3,FALSE)),"INACTIVE",VLOOKUP(D59,Data!$A$2:$C$223100,3,FALSE))</f>
        <v>150+</v>
      </c>
    </row>
    <row r="60" spans="1:15" x14ac:dyDescent="0.25">
      <c r="A60" t="s">
        <v>10185</v>
      </c>
      <c r="B60" t="s">
        <v>6279</v>
      </c>
      <c r="C60" t="s">
        <v>10192</v>
      </c>
      <c r="D60" t="s">
        <v>10193</v>
      </c>
      <c r="E60" t="s">
        <v>5</v>
      </c>
      <c r="F60" t="s">
        <v>5</v>
      </c>
      <c r="G60" t="s">
        <v>5</v>
      </c>
      <c r="H60" t="s">
        <v>5</v>
      </c>
      <c r="I60" t="s">
        <v>10133</v>
      </c>
      <c r="J60" t="s">
        <v>96</v>
      </c>
      <c r="K60" s="3">
        <f t="shared" si="0"/>
        <v>1</v>
      </c>
      <c r="L60" s="3">
        <f>IF(ISERROR(VLOOKUP(J60,Lookups!$A$2:$A$16,1,FALSE)),1,0)</f>
        <v>0</v>
      </c>
      <c r="M60" s="3">
        <f>IF(ISERROR(VLOOKUP(D60,Data!$A$2:$D$223100,2,FALSE)),0,1)</f>
        <v>0</v>
      </c>
      <c r="N60" s="3">
        <f t="shared" si="1"/>
        <v>0</v>
      </c>
      <c r="O60" s="3" t="str">
        <f>IF(ISERROR(VLOOKUP(D60,Data!$A$2:$C$223100,3,FALSE)),"INACTIVE",VLOOKUP(D60,Data!$A$2:$C$223100,3,FALSE))</f>
        <v>INACTIVE</v>
      </c>
    </row>
    <row r="61" spans="1:15" x14ac:dyDescent="0.25">
      <c r="A61" t="s">
        <v>10194</v>
      </c>
      <c r="B61" t="s">
        <v>6285</v>
      </c>
      <c r="C61" t="s">
        <v>6286</v>
      </c>
      <c r="D61" t="s">
        <v>6287</v>
      </c>
      <c r="E61" t="s">
        <v>5</v>
      </c>
      <c r="F61" t="s">
        <v>5</v>
      </c>
      <c r="G61" t="s">
        <v>5</v>
      </c>
      <c r="H61" t="s">
        <v>5</v>
      </c>
      <c r="I61" t="s">
        <v>10133</v>
      </c>
      <c r="J61" t="s">
        <v>96</v>
      </c>
      <c r="K61" s="3">
        <f t="shared" si="0"/>
        <v>1</v>
      </c>
      <c r="L61" s="3">
        <f>IF(ISERROR(VLOOKUP(J61,Lookups!$A$2:$A$16,1,FALSE)),1,0)</f>
        <v>0</v>
      </c>
      <c r="M61" s="3">
        <f>IF(ISERROR(VLOOKUP(D61,Data!$A$2:$D$223100,2,FALSE)),0,1)</f>
        <v>1</v>
      </c>
      <c r="N61" s="3">
        <f t="shared" si="1"/>
        <v>1</v>
      </c>
      <c r="O61" s="3" t="str">
        <f>IF(ISERROR(VLOOKUP(D61,Data!$A$2:$C$223100,3,FALSE)),"INACTIVE",VLOOKUP(D61,Data!$A$2:$C$223100,3,FALSE))</f>
        <v>FC</v>
      </c>
    </row>
    <row r="62" spans="1:15" x14ac:dyDescent="0.25">
      <c r="A62" t="s">
        <v>10194</v>
      </c>
      <c r="B62" t="s">
        <v>6285</v>
      </c>
      <c r="C62" t="s">
        <v>10195</v>
      </c>
      <c r="D62" t="s">
        <v>10196</v>
      </c>
      <c r="E62" t="s">
        <v>5</v>
      </c>
      <c r="F62" t="s">
        <v>5</v>
      </c>
      <c r="G62" t="s">
        <v>5</v>
      </c>
      <c r="H62" t="s">
        <v>5</v>
      </c>
      <c r="I62" t="s">
        <v>10133</v>
      </c>
      <c r="J62" t="s">
        <v>96</v>
      </c>
      <c r="K62" s="3">
        <f t="shared" si="0"/>
        <v>1</v>
      </c>
      <c r="L62" s="3">
        <f>IF(ISERROR(VLOOKUP(J62,Lookups!$A$2:$A$16,1,FALSE)),1,0)</f>
        <v>0</v>
      </c>
      <c r="M62" s="3">
        <f>IF(ISERROR(VLOOKUP(D62,Data!$A$2:$D$223100,2,FALSE)),0,1)</f>
        <v>0</v>
      </c>
      <c r="N62" s="3">
        <f t="shared" si="1"/>
        <v>0</v>
      </c>
      <c r="O62" s="3" t="str">
        <f>IF(ISERROR(VLOOKUP(D62,Data!$A$2:$C$223100,3,FALSE)),"INACTIVE",VLOOKUP(D62,Data!$A$2:$C$223100,3,FALSE))</f>
        <v>INACTIVE</v>
      </c>
    </row>
    <row r="63" spans="1:15" x14ac:dyDescent="0.25">
      <c r="A63" t="s">
        <v>10194</v>
      </c>
      <c r="B63" t="s">
        <v>6285</v>
      </c>
      <c r="C63" t="s">
        <v>10197</v>
      </c>
      <c r="D63" t="s">
        <v>10198</v>
      </c>
      <c r="E63" t="s">
        <v>5</v>
      </c>
      <c r="F63" t="s">
        <v>5</v>
      </c>
      <c r="G63" t="s">
        <v>5</v>
      </c>
      <c r="H63" t="s">
        <v>5</v>
      </c>
      <c r="I63" t="s">
        <v>10133</v>
      </c>
      <c r="J63" t="s">
        <v>96</v>
      </c>
      <c r="K63" s="3">
        <f t="shared" si="0"/>
        <v>1</v>
      </c>
      <c r="L63" s="3">
        <f>IF(ISERROR(VLOOKUP(J63,Lookups!$A$2:$A$16,1,FALSE)),1,0)</f>
        <v>0</v>
      </c>
      <c r="M63" s="3">
        <f>IF(ISERROR(VLOOKUP(D63,Data!$A$2:$D$223100,2,FALSE)),0,1)</f>
        <v>1</v>
      </c>
      <c r="N63" s="3">
        <f t="shared" si="1"/>
        <v>1</v>
      </c>
      <c r="O63" s="3" t="str">
        <f>IF(ISERROR(VLOOKUP(D63,Data!$A$2:$C$223100,3,FALSE)),"INACTIVE",VLOOKUP(D63,Data!$A$2:$C$223100,3,FALSE))</f>
        <v>FC</v>
      </c>
    </row>
    <row r="64" spans="1:15" x14ac:dyDescent="0.25">
      <c r="A64" t="s">
        <v>10199</v>
      </c>
      <c r="B64" t="s">
        <v>6289</v>
      </c>
      <c r="C64" t="s">
        <v>10200</v>
      </c>
      <c r="D64" t="s">
        <v>10201</v>
      </c>
      <c r="E64" t="s">
        <v>5</v>
      </c>
      <c r="F64" t="s">
        <v>5</v>
      </c>
      <c r="G64" t="s">
        <v>5</v>
      </c>
      <c r="H64" t="s">
        <v>5</v>
      </c>
      <c r="I64" t="s">
        <v>10133</v>
      </c>
      <c r="J64" t="s">
        <v>96</v>
      </c>
      <c r="K64" s="3">
        <f t="shared" si="0"/>
        <v>1</v>
      </c>
      <c r="L64" s="3">
        <f>IF(ISERROR(VLOOKUP(J64,Lookups!$A$2:$A$16,1,FALSE)),1,0)</f>
        <v>0</v>
      </c>
      <c r="M64" s="3">
        <f>IF(ISERROR(VLOOKUP(D64,Data!$A$2:$D$223100,2,FALSE)),0,1)</f>
        <v>1</v>
      </c>
      <c r="N64" s="3">
        <f t="shared" si="1"/>
        <v>1</v>
      </c>
      <c r="O64" s="3" t="str">
        <f>IF(ISERROR(VLOOKUP(D64,Data!$A$2:$C$223100,3,FALSE)),"INACTIVE",VLOOKUP(D64,Data!$A$2:$C$223100,3,FALSE))</f>
        <v>120+</v>
      </c>
    </row>
    <row r="65" spans="1:15" x14ac:dyDescent="0.25">
      <c r="A65" t="s">
        <v>10199</v>
      </c>
      <c r="B65" t="s">
        <v>6289</v>
      </c>
      <c r="C65" t="s">
        <v>8673</v>
      </c>
      <c r="D65" t="s">
        <v>8674</v>
      </c>
      <c r="E65" t="s">
        <v>5</v>
      </c>
      <c r="F65" t="s">
        <v>5</v>
      </c>
      <c r="G65" t="s">
        <v>5</v>
      </c>
      <c r="H65" t="s">
        <v>5</v>
      </c>
      <c r="I65" t="s">
        <v>10133</v>
      </c>
      <c r="J65" t="s">
        <v>96</v>
      </c>
      <c r="K65" s="3">
        <f t="shared" si="0"/>
        <v>1</v>
      </c>
      <c r="L65" s="3">
        <f>IF(ISERROR(VLOOKUP(J65,Lookups!$A$2:$A$16,1,FALSE)),1,0)</f>
        <v>0</v>
      </c>
      <c r="M65" s="3">
        <f>IF(ISERROR(VLOOKUP(D65,Data!$A$2:$D$223100,2,FALSE)),0,1)</f>
        <v>0</v>
      </c>
      <c r="N65" s="3">
        <f t="shared" si="1"/>
        <v>0</v>
      </c>
      <c r="O65" s="3" t="str">
        <f>IF(ISERROR(VLOOKUP(D65,Data!$A$2:$C$223100,3,FALSE)),"INACTIVE",VLOOKUP(D65,Data!$A$2:$C$223100,3,FALSE))</f>
        <v>INACTIVE</v>
      </c>
    </row>
    <row r="66" spans="1:15" x14ac:dyDescent="0.25">
      <c r="A66" t="s">
        <v>10199</v>
      </c>
      <c r="B66" t="s">
        <v>6289</v>
      </c>
      <c r="C66" t="s">
        <v>6286</v>
      </c>
      <c r="D66" t="s">
        <v>6287</v>
      </c>
      <c r="E66" t="s">
        <v>5</v>
      </c>
      <c r="F66" t="s">
        <v>5</v>
      </c>
      <c r="G66" t="s">
        <v>5</v>
      </c>
      <c r="H66" t="s">
        <v>5</v>
      </c>
      <c r="I66" t="s">
        <v>10133</v>
      </c>
      <c r="J66" t="s">
        <v>96</v>
      </c>
      <c r="K66" s="3">
        <f t="shared" si="0"/>
        <v>1</v>
      </c>
      <c r="L66" s="3">
        <f>IF(ISERROR(VLOOKUP(J66,Lookups!$A$2:$A$16,1,FALSE)),1,0)</f>
        <v>0</v>
      </c>
      <c r="M66" s="3">
        <f>IF(ISERROR(VLOOKUP(D66,Data!$A$2:$D$223100,2,FALSE)),0,1)</f>
        <v>1</v>
      </c>
      <c r="N66" s="3">
        <f t="shared" si="1"/>
        <v>1</v>
      </c>
      <c r="O66" s="3" t="str">
        <f>IF(ISERROR(VLOOKUP(D66,Data!$A$2:$C$223100,3,FALSE)),"INACTIVE",VLOOKUP(D66,Data!$A$2:$C$223100,3,FALSE))</f>
        <v>FC</v>
      </c>
    </row>
    <row r="67" spans="1:15" x14ac:dyDescent="0.25">
      <c r="A67" t="s">
        <v>10199</v>
      </c>
      <c r="B67" t="s">
        <v>6289</v>
      </c>
      <c r="C67" t="s">
        <v>10195</v>
      </c>
      <c r="D67" t="s">
        <v>10196</v>
      </c>
      <c r="E67" t="s">
        <v>5</v>
      </c>
      <c r="F67" t="s">
        <v>5</v>
      </c>
      <c r="G67" t="s">
        <v>5</v>
      </c>
      <c r="H67" t="s">
        <v>5</v>
      </c>
      <c r="I67" t="s">
        <v>10133</v>
      </c>
      <c r="J67" t="s">
        <v>96</v>
      </c>
      <c r="K67" s="3">
        <f t="shared" ref="K67:K130" si="2">IF(ISERROR(FIND("LIEN",A67,1)),0,1)</f>
        <v>1</v>
      </c>
      <c r="L67" s="3">
        <f>IF(ISERROR(VLOOKUP(J67,Lookups!$A$2:$A$16,1,FALSE)),1,0)</f>
        <v>0</v>
      </c>
      <c r="M67" s="3">
        <f>IF(ISERROR(VLOOKUP(D67,Data!$A$2:$D$223100,2,FALSE)),0,1)</f>
        <v>0</v>
      </c>
      <c r="N67" s="3">
        <f t="shared" ref="N67:N130" si="3">IF(M67=0,0,IF(SUM(K67:L67)&gt;0,1,0))</f>
        <v>0</v>
      </c>
      <c r="O67" s="3" t="str">
        <f>IF(ISERROR(VLOOKUP(D67,Data!$A$2:$C$223100,3,FALSE)),"INACTIVE",VLOOKUP(D67,Data!$A$2:$C$223100,3,FALSE))</f>
        <v>INACTIVE</v>
      </c>
    </row>
    <row r="68" spans="1:15" x14ac:dyDescent="0.25">
      <c r="A68" t="s">
        <v>10199</v>
      </c>
      <c r="B68" t="s">
        <v>6289</v>
      </c>
      <c r="C68" t="s">
        <v>5788</v>
      </c>
      <c r="D68" t="s">
        <v>5789</v>
      </c>
      <c r="E68" t="s">
        <v>5</v>
      </c>
      <c r="F68" t="s">
        <v>5</v>
      </c>
      <c r="G68" t="s">
        <v>5</v>
      </c>
      <c r="H68" t="s">
        <v>5</v>
      </c>
      <c r="I68" t="s">
        <v>10133</v>
      </c>
      <c r="J68" t="s">
        <v>96</v>
      </c>
      <c r="K68" s="3">
        <f t="shared" si="2"/>
        <v>1</v>
      </c>
      <c r="L68" s="3">
        <f>IF(ISERROR(VLOOKUP(J68,Lookups!$A$2:$A$16,1,FALSE)),1,0)</f>
        <v>0</v>
      </c>
      <c r="M68" s="3">
        <f>IF(ISERROR(VLOOKUP(D68,Data!$A$2:$D$223100,2,FALSE)),0,1)</f>
        <v>1</v>
      </c>
      <c r="N68" s="3">
        <f t="shared" si="3"/>
        <v>1</v>
      </c>
      <c r="O68" s="3" t="str">
        <f>IF(ISERROR(VLOOKUP(D68,Data!$A$2:$C$223100,3,FALSE)),"INACTIVE",VLOOKUP(D68,Data!$A$2:$C$223100,3,FALSE))</f>
        <v>Demand Letter</v>
      </c>
    </row>
    <row r="69" spans="1:15" x14ac:dyDescent="0.25">
      <c r="A69" t="s">
        <v>10199</v>
      </c>
      <c r="B69" t="s">
        <v>6289</v>
      </c>
      <c r="C69" t="s">
        <v>10197</v>
      </c>
      <c r="D69" t="s">
        <v>10198</v>
      </c>
      <c r="E69" t="s">
        <v>5</v>
      </c>
      <c r="F69" t="s">
        <v>5</v>
      </c>
      <c r="G69" t="s">
        <v>5</v>
      </c>
      <c r="H69" t="s">
        <v>5</v>
      </c>
      <c r="I69" t="s">
        <v>10133</v>
      </c>
      <c r="J69" t="s">
        <v>96</v>
      </c>
      <c r="K69" s="3">
        <f t="shared" si="2"/>
        <v>1</v>
      </c>
      <c r="L69" s="3">
        <f>IF(ISERROR(VLOOKUP(J69,Lookups!$A$2:$A$16,1,FALSE)),1,0)</f>
        <v>0</v>
      </c>
      <c r="M69" s="3">
        <f>IF(ISERROR(VLOOKUP(D69,Data!$A$2:$D$223100,2,FALSE)),0,1)</f>
        <v>1</v>
      </c>
      <c r="N69" s="3">
        <f t="shared" si="3"/>
        <v>1</v>
      </c>
      <c r="O69" s="3" t="str">
        <f>IF(ISERROR(VLOOKUP(D69,Data!$A$2:$C$223100,3,FALSE)),"INACTIVE",VLOOKUP(D69,Data!$A$2:$C$223100,3,FALSE))</f>
        <v>FC</v>
      </c>
    </row>
    <row r="70" spans="1:15" x14ac:dyDescent="0.25">
      <c r="A70" t="s">
        <v>10199</v>
      </c>
      <c r="B70" t="s">
        <v>6289</v>
      </c>
      <c r="C70" t="s">
        <v>6292</v>
      </c>
      <c r="D70" t="s">
        <v>6293</v>
      </c>
      <c r="E70" t="s">
        <v>5</v>
      </c>
      <c r="F70" t="s">
        <v>5</v>
      </c>
      <c r="G70" t="s">
        <v>5</v>
      </c>
      <c r="H70" t="s">
        <v>5</v>
      </c>
      <c r="I70" t="s">
        <v>10133</v>
      </c>
      <c r="J70" t="s">
        <v>96</v>
      </c>
      <c r="K70" s="3">
        <f t="shared" si="2"/>
        <v>1</v>
      </c>
      <c r="L70" s="3">
        <f>IF(ISERROR(VLOOKUP(J70,Lookups!$A$2:$A$16,1,FALSE)),1,0)</f>
        <v>0</v>
      </c>
      <c r="M70" s="3">
        <f>IF(ISERROR(VLOOKUP(D70,Data!$A$2:$D$223100,2,FALSE)),0,1)</f>
        <v>1</v>
      </c>
      <c r="N70" s="3">
        <f t="shared" si="3"/>
        <v>1</v>
      </c>
      <c r="O70" s="3" t="str">
        <f>IF(ISERROR(VLOOKUP(D70,Data!$A$2:$C$223100,3,FALSE)),"INACTIVE",VLOOKUP(D70,Data!$A$2:$C$223100,3,FALSE))</f>
        <v>150+</v>
      </c>
    </row>
    <row r="71" spans="1:15" x14ac:dyDescent="0.25">
      <c r="A71" t="s">
        <v>10199</v>
      </c>
      <c r="B71" t="s">
        <v>6289</v>
      </c>
      <c r="C71" t="s">
        <v>5790</v>
      </c>
      <c r="D71" t="s">
        <v>5791</v>
      </c>
      <c r="E71" t="s">
        <v>5</v>
      </c>
      <c r="F71" t="s">
        <v>5</v>
      </c>
      <c r="G71" t="s">
        <v>5</v>
      </c>
      <c r="H71" t="s">
        <v>5</v>
      </c>
      <c r="I71" t="s">
        <v>10133</v>
      </c>
      <c r="J71" t="s">
        <v>96</v>
      </c>
      <c r="K71" s="3">
        <f t="shared" si="2"/>
        <v>1</v>
      </c>
      <c r="L71" s="3">
        <f>IF(ISERROR(VLOOKUP(J71,Lookups!$A$2:$A$16,1,FALSE)),1,0)</f>
        <v>0</v>
      </c>
      <c r="M71" s="3">
        <f>IF(ISERROR(VLOOKUP(D71,Data!$A$2:$D$223100,2,FALSE)),0,1)</f>
        <v>1</v>
      </c>
      <c r="N71" s="3">
        <f t="shared" si="3"/>
        <v>1</v>
      </c>
      <c r="O71" s="3" t="str">
        <f>IF(ISERROR(VLOOKUP(D71,Data!$A$2:$C$223100,3,FALSE)),"INACTIVE",VLOOKUP(D71,Data!$A$2:$C$223100,3,FALSE))</f>
        <v>Current</v>
      </c>
    </row>
    <row r="72" spans="1:15" x14ac:dyDescent="0.25">
      <c r="A72" t="s">
        <v>10199</v>
      </c>
      <c r="B72" t="s">
        <v>6289</v>
      </c>
      <c r="C72" t="s">
        <v>5792</v>
      </c>
      <c r="D72" t="s">
        <v>5793</v>
      </c>
      <c r="E72" t="s">
        <v>5</v>
      </c>
      <c r="F72" t="s">
        <v>5</v>
      </c>
      <c r="G72" t="s">
        <v>5</v>
      </c>
      <c r="H72" t="s">
        <v>5</v>
      </c>
      <c r="I72" t="s">
        <v>10133</v>
      </c>
      <c r="J72" t="s">
        <v>96</v>
      </c>
      <c r="K72" s="3">
        <f t="shared" si="2"/>
        <v>1</v>
      </c>
      <c r="L72" s="3">
        <f>IF(ISERROR(VLOOKUP(J72,Lookups!$A$2:$A$16,1,FALSE)),1,0)</f>
        <v>0</v>
      </c>
      <c r="M72" s="3">
        <f>IF(ISERROR(VLOOKUP(D72,Data!$A$2:$D$223100,2,FALSE)),0,1)</f>
        <v>1</v>
      </c>
      <c r="N72" s="3">
        <f t="shared" si="3"/>
        <v>1</v>
      </c>
      <c r="O72" s="3" t="str">
        <f>IF(ISERROR(VLOOKUP(D72,Data!$A$2:$C$223100,3,FALSE)),"INACTIVE",VLOOKUP(D72,Data!$A$2:$C$223100,3,FALSE))</f>
        <v>FC</v>
      </c>
    </row>
    <row r="73" spans="1:15" x14ac:dyDescent="0.25">
      <c r="A73" t="s">
        <v>10202</v>
      </c>
      <c r="B73" t="s">
        <v>6295</v>
      </c>
      <c r="C73" t="s">
        <v>6296</v>
      </c>
      <c r="D73" t="s">
        <v>6297</v>
      </c>
      <c r="E73" t="s">
        <v>5</v>
      </c>
      <c r="F73" t="s">
        <v>5</v>
      </c>
      <c r="G73" t="s">
        <v>5</v>
      </c>
      <c r="H73" t="s">
        <v>5</v>
      </c>
      <c r="I73" t="s">
        <v>10133</v>
      </c>
      <c r="J73" t="s">
        <v>96</v>
      </c>
      <c r="K73" s="3">
        <f t="shared" si="2"/>
        <v>1</v>
      </c>
      <c r="L73" s="3">
        <f>IF(ISERROR(VLOOKUP(J73,Lookups!$A$2:$A$16,1,FALSE)),1,0)</f>
        <v>0</v>
      </c>
      <c r="M73" s="3">
        <f>IF(ISERROR(VLOOKUP(D73,Data!$A$2:$D$223100,2,FALSE)),0,1)</f>
        <v>1</v>
      </c>
      <c r="N73" s="3">
        <f t="shared" si="3"/>
        <v>1</v>
      </c>
      <c r="O73" s="3" t="str">
        <f>IF(ISERROR(VLOOKUP(D73,Data!$A$2:$C$223100,3,FALSE)),"INACTIVE",VLOOKUP(D73,Data!$A$2:$C$223100,3,FALSE))</f>
        <v>FC</v>
      </c>
    </row>
    <row r="74" spans="1:15" x14ac:dyDescent="0.25">
      <c r="A74" t="s">
        <v>10202</v>
      </c>
      <c r="B74" t="s">
        <v>6295</v>
      </c>
      <c r="C74" t="s">
        <v>8807</v>
      </c>
      <c r="D74" t="s">
        <v>8808</v>
      </c>
      <c r="E74" t="s">
        <v>5</v>
      </c>
      <c r="F74" t="s">
        <v>5</v>
      </c>
      <c r="G74" t="s">
        <v>5</v>
      </c>
      <c r="H74" t="s">
        <v>5</v>
      </c>
      <c r="I74" t="s">
        <v>10133</v>
      </c>
      <c r="J74" t="s">
        <v>96</v>
      </c>
      <c r="K74" s="3">
        <f t="shared" si="2"/>
        <v>1</v>
      </c>
      <c r="L74" s="3">
        <f>IF(ISERROR(VLOOKUP(J74,Lookups!$A$2:$A$16,1,FALSE)),1,0)</f>
        <v>0</v>
      </c>
      <c r="M74" s="3">
        <f>IF(ISERROR(VLOOKUP(D74,Data!$A$2:$D$223100,2,FALSE)),0,1)</f>
        <v>0</v>
      </c>
      <c r="N74" s="3">
        <f t="shared" si="3"/>
        <v>0</v>
      </c>
      <c r="O74" s="3" t="str">
        <f>IF(ISERROR(VLOOKUP(D74,Data!$A$2:$C$223100,3,FALSE)),"INACTIVE",VLOOKUP(D74,Data!$A$2:$C$223100,3,FALSE))</f>
        <v>INACTIVE</v>
      </c>
    </row>
    <row r="75" spans="1:15" x14ac:dyDescent="0.25">
      <c r="A75" t="s">
        <v>10202</v>
      </c>
      <c r="B75" t="s">
        <v>6295</v>
      </c>
      <c r="C75" t="s">
        <v>8812</v>
      </c>
      <c r="D75" t="s">
        <v>8813</v>
      </c>
      <c r="E75" t="s">
        <v>5</v>
      </c>
      <c r="F75" t="s">
        <v>5</v>
      </c>
      <c r="G75" t="s">
        <v>5</v>
      </c>
      <c r="H75" t="s">
        <v>5</v>
      </c>
      <c r="I75" t="s">
        <v>10133</v>
      </c>
      <c r="J75" t="s">
        <v>96</v>
      </c>
      <c r="K75" s="3">
        <f t="shared" si="2"/>
        <v>1</v>
      </c>
      <c r="L75" s="3">
        <f>IF(ISERROR(VLOOKUP(J75,Lookups!$A$2:$A$16,1,FALSE)),1,0)</f>
        <v>0</v>
      </c>
      <c r="M75" s="3">
        <f>IF(ISERROR(VLOOKUP(D75,Data!$A$2:$D$223100,2,FALSE)),0,1)</f>
        <v>1</v>
      </c>
      <c r="N75" s="3">
        <f t="shared" si="3"/>
        <v>1</v>
      </c>
      <c r="O75" s="3" t="str">
        <f>IF(ISERROR(VLOOKUP(D75,Data!$A$2:$C$223100,3,FALSE)),"INACTIVE",VLOOKUP(D75,Data!$A$2:$C$223100,3,FALSE))</f>
        <v>FC</v>
      </c>
    </row>
    <row r="76" spans="1:15" x14ac:dyDescent="0.25">
      <c r="A76" t="s">
        <v>10202</v>
      </c>
      <c r="B76" t="s">
        <v>6295</v>
      </c>
      <c r="C76" t="s">
        <v>8829</v>
      </c>
      <c r="D76" t="s">
        <v>8830</v>
      </c>
      <c r="E76" t="s">
        <v>5</v>
      </c>
      <c r="F76" t="s">
        <v>5</v>
      </c>
      <c r="G76" t="s">
        <v>5</v>
      </c>
      <c r="H76" t="s">
        <v>5</v>
      </c>
      <c r="I76" t="s">
        <v>10133</v>
      </c>
      <c r="J76" t="s">
        <v>96</v>
      </c>
      <c r="K76" s="3">
        <f t="shared" si="2"/>
        <v>1</v>
      </c>
      <c r="L76" s="3">
        <f>IF(ISERROR(VLOOKUP(J76,Lookups!$A$2:$A$16,1,FALSE)),1,0)</f>
        <v>0</v>
      </c>
      <c r="M76" s="3">
        <f>IF(ISERROR(VLOOKUP(D76,Data!$A$2:$D$223100,2,FALSE)),0,1)</f>
        <v>1</v>
      </c>
      <c r="N76" s="3">
        <f t="shared" si="3"/>
        <v>1</v>
      </c>
      <c r="O76" s="3" t="str">
        <f>IF(ISERROR(VLOOKUP(D76,Data!$A$2:$C$223100,3,FALSE)),"INACTIVE",VLOOKUP(D76,Data!$A$2:$C$223100,3,FALSE))</f>
        <v>150+</v>
      </c>
    </row>
    <row r="77" spans="1:15" x14ac:dyDescent="0.25">
      <c r="A77" t="s">
        <v>10202</v>
      </c>
      <c r="B77" t="s">
        <v>6295</v>
      </c>
      <c r="C77" t="s">
        <v>10203</v>
      </c>
      <c r="D77" t="s">
        <v>10204</v>
      </c>
      <c r="E77" t="s">
        <v>5</v>
      </c>
      <c r="F77" t="s">
        <v>5</v>
      </c>
      <c r="G77" t="s">
        <v>5</v>
      </c>
      <c r="H77" t="s">
        <v>5</v>
      </c>
      <c r="I77" t="s">
        <v>10133</v>
      </c>
      <c r="J77" t="s">
        <v>96</v>
      </c>
      <c r="K77" s="3">
        <f t="shared" si="2"/>
        <v>1</v>
      </c>
      <c r="L77" s="3">
        <f>IF(ISERROR(VLOOKUP(J77,Lookups!$A$2:$A$16,1,FALSE)),1,0)</f>
        <v>0</v>
      </c>
      <c r="M77" s="3">
        <f>IF(ISERROR(VLOOKUP(D77,Data!$A$2:$D$223100,2,FALSE)),0,1)</f>
        <v>1</v>
      </c>
      <c r="N77" s="3">
        <f t="shared" si="3"/>
        <v>1</v>
      </c>
      <c r="O77" s="3" t="str">
        <f>IF(ISERROR(VLOOKUP(D77,Data!$A$2:$C$223100,3,FALSE)),"INACTIVE",VLOOKUP(D77,Data!$A$2:$C$223100,3,FALSE))</f>
        <v>90+</v>
      </c>
    </row>
    <row r="78" spans="1:15" x14ac:dyDescent="0.25">
      <c r="A78" t="s">
        <v>10102</v>
      </c>
      <c r="B78" t="s">
        <v>10103</v>
      </c>
      <c r="C78" t="s">
        <v>10104</v>
      </c>
      <c r="D78" t="s">
        <v>10105</v>
      </c>
      <c r="E78" t="s">
        <v>10106</v>
      </c>
      <c r="F78" t="s">
        <v>10106</v>
      </c>
      <c r="G78" t="s">
        <v>5</v>
      </c>
      <c r="H78" t="s">
        <v>5</v>
      </c>
      <c r="I78" t="s">
        <v>10107</v>
      </c>
      <c r="J78" t="s">
        <v>14</v>
      </c>
      <c r="K78" s="3">
        <f t="shared" si="2"/>
        <v>0</v>
      </c>
      <c r="L78" s="3">
        <f>IF(ISERROR(VLOOKUP(J78,Lookups!$A$2:$A$16,1,FALSE)),1,0)</f>
        <v>1</v>
      </c>
      <c r="M78" s="3">
        <f>IF(ISERROR(VLOOKUP(D78,Data!$A$2:$D$223100,2,FALSE)),0,1)</f>
        <v>1</v>
      </c>
      <c r="N78" s="3">
        <f t="shared" si="3"/>
        <v>1</v>
      </c>
      <c r="O78" s="3" t="str">
        <f>IF(ISERROR(VLOOKUP(D78,Data!$A$2:$C$223100,3,FALSE)),"INACTIVE",VLOOKUP(D78,Data!$A$2:$C$223100,3,FALSE))</f>
        <v>FC</v>
      </c>
    </row>
    <row r="79" spans="1:15" x14ac:dyDescent="0.25">
      <c r="A79" t="s">
        <v>10124</v>
      </c>
      <c r="B79" t="s">
        <v>10125</v>
      </c>
      <c r="C79" t="s">
        <v>10126</v>
      </c>
      <c r="D79" t="s">
        <v>10127</v>
      </c>
      <c r="E79" t="s">
        <v>10128</v>
      </c>
      <c r="F79" t="s">
        <v>5</v>
      </c>
      <c r="G79" t="s">
        <v>5</v>
      </c>
      <c r="H79" t="s">
        <v>5</v>
      </c>
      <c r="I79" t="s">
        <v>10107</v>
      </c>
      <c r="J79" t="s">
        <v>7</v>
      </c>
      <c r="K79" s="3">
        <f t="shared" si="2"/>
        <v>0</v>
      </c>
      <c r="L79" s="3">
        <f>IF(ISERROR(VLOOKUP(J79,Lookups!$A$2:$A$16,1,FALSE)),1,0)</f>
        <v>1</v>
      </c>
      <c r="M79" s="3">
        <f>IF(ISERROR(VLOOKUP(D79,Data!$A$2:$D$223100,2,FALSE)),0,1)</f>
        <v>1</v>
      </c>
      <c r="N79" s="3">
        <f t="shared" si="3"/>
        <v>1</v>
      </c>
      <c r="O79" s="3" t="str">
        <f>IF(ISERROR(VLOOKUP(D79,Data!$A$2:$C$223100,3,FALSE)),"INACTIVE",VLOOKUP(D79,Data!$A$2:$C$223100,3,FALSE))</f>
        <v>BK13</v>
      </c>
    </row>
    <row r="80" spans="1:15" x14ac:dyDescent="0.25">
      <c r="A80" t="s">
        <v>10124</v>
      </c>
      <c r="B80" t="s">
        <v>10125</v>
      </c>
      <c r="C80" t="s">
        <v>10129</v>
      </c>
      <c r="D80" t="s">
        <v>10130</v>
      </c>
      <c r="E80" t="s">
        <v>10131</v>
      </c>
      <c r="F80" t="s">
        <v>5</v>
      </c>
      <c r="G80" t="s">
        <v>5</v>
      </c>
      <c r="H80" t="s">
        <v>5</v>
      </c>
      <c r="I80" t="s">
        <v>10107</v>
      </c>
      <c r="J80" t="s">
        <v>90</v>
      </c>
      <c r="K80" s="3">
        <f t="shared" si="2"/>
        <v>0</v>
      </c>
      <c r="L80" s="3">
        <f>IF(ISERROR(VLOOKUP(J80,Lookups!$A$2:$A$16,1,FALSE)),1,0)</f>
        <v>0</v>
      </c>
      <c r="M80" s="3">
        <f>IF(ISERROR(VLOOKUP(D80,Data!$A$2:$D$223100,2,FALSE)),0,1)</f>
        <v>0</v>
      </c>
      <c r="N80" s="3">
        <f t="shared" si="3"/>
        <v>0</v>
      </c>
      <c r="O80" s="3" t="str">
        <f>IF(ISERROR(VLOOKUP(D80,Data!$A$2:$C$223100,3,FALSE)),"INACTIVE",VLOOKUP(D80,Data!$A$2:$C$223100,3,FALSE))</f>
        <v>INACTIVE</v>
      </c>
    </row>
    <row r="81" spans="1:15" x14ac:dyDescent="0.25">
      <c r="A81" t="s">
        <v>10124</v>
      </c>
      <c r="B81" t="s">
        <v>10125</v>
      </c>
      <c r="C81" t="s">
        <v>10129</v>
      </c>
      <c r="D81" t="s">
        <v>10130</v>
      </c>
      <c r="E81" t="s">
        <v>10132</v>
      </c>
      <c r="F81" t="s">
        <v>5</v>
      </c>
      <c r="G81" t="s">
        <v>5</v>
      </c>
      <c r="H81" t="s">
        <v>5</v>
      </c>
      <c r="I81" t="s">
        <v>10107</v>
      </c>
      <c r="J81" t="s">
        <v>90</v>
      </c>
      <c r="K81" s="3">
        <f t="shared" si="2"/>
        <v>0</v>
      </c>
      <c r="L81" s="3">
        <f>IF(ISERROR(VLOOKUP(J81,Lookups!$A$2:$A$16,1,FALSE)),1,0)</f>
        <v>0</v>
      </c>
      <c r="M81" s="3">
        <f>IF(ISERROR(VLOOKUP(D81,Data!$A$2:$D$223100,2,FALSE)),0,1)</f>
        <v>0</v>
      </c>
      <c r="N81" s="3">
        <f t="shared" si="3"/>
        <v>0</v>
      </c>
      <c r="O81" s="3" t="str">
        <f>IF(ISERROR(VLOOKUP(D81,Data!$A$2:$C$223100,3,FALSE)),"INACTIVE",VLOOKUP(D81,Data!$A$2:$C$223100,3,FALSE))</f>
        <v>INACTIVE</v>
      </c>
    </row>
    <row r="82" spans="1:15" x14ac:dyDescent="0.25">
      <c r="A82" t="s">
        <v>4117</v>
      </c>
      <c r="B82" t="s">
        <v>10174</v>
      </c>
      <c r="C82" t="s">
        <v>10175</v>
      </c>
      <c r="D82" t="s">
        <v>10176</v>
      </c>
      <c r="E82" t="s">
        <v>10177</v>
      </c>
      <c r="F82" t="s">
        <v>5</v>
      </c>
      <c r="G82" t="s">
        <v>5</v>
      </c>
      <c r="H82" t="s">
        <v>5</v>
      </c>
      <c r="I82" t="s">
        <v>10107</v>
      </c>
      <c r="J82" t="s">
        <v>14</v>
      </c>
      <c r="K82" s="3">
        <f t="shared" si="2"/>
        <v>0</v>
      </c>
      <c r="L82" s="3">
        <f>IF(ISERROR(VLOOKUP(J82,Lookups!$A$2:$A$16,1,FALSE)),1,0)</f>
        <v>1</v>
      </c>
      <c r="M82" s="3">
        <f>IF(ISERROR(VLOOKUP(D82,Data!$A$2:$D$223100,2,FALSE)),0,1)</f>
        <v>0</v>
      </c>
      <c r="N82" s="3">
        <f t="shared" si="3"/>
        <v>0</v>
      </c>
      <c r="O82" s="3" t="str">
        <f>IF(ISERROR(VLOOKUP(D82,Data!$A$2:$C$223100,3,FALSE)),"INACTIVE",VLOOKUP(D82,Data!$A$2:$C$223100,3,FALSE))</f>
        <v>INACTIVE</v>
      </c>
    </row>
    <row r="83" spans="1:15" x14ac:dyDescent="0.25">
      <c r="A83" t="s">
        <v>15</v>
      </c>
      <c r="B83" t="s">
        <v>16</v>
      </c>
      <c r="C83" t="s">
        <v>21</v>
      </c>
      <c r="D83" t="s">
        <v>22</v>
      </c>
      <c r="E83" t="s">
        <v>10300</v>
      </c>
      <c r="F83" t="s">
        <v>5</v>
      </c>
      <c r="G83" t="s">
        <v>5</v>
      </c>
      <c r="H83" t="s">
        <v>5</v>
      </c>
      <c r="I83" t="s">
        <v>10107</v>
      </c>
      <c r="J83" t="s">
        <v>14</v>
      </c>
      <c r="K83" s="3">
        <f t="shared" si="2"/>
        <v>0</v>
      </c>
      <c r="L83" s="3">
        <f>IF(ISERROR(VLOOKUP(J83,Lookups!$A$2:$A$16,1,FALSE)),1,0)</f>
        <v>1</v>
      </c>
      <c r="M83" s="3">
        <f>IF(ISERROR(VLOOKUP(D83,Data!$A$2:$D$223100,2,FALSE)),0,1)</f>
        <v>1</v>
      </c>
      <c r="N83" s="3">
        <f t="shared" si="3"/>
        <v>1</v>
      </c>
      <c r="O83" s="3" t="str">
        <f>IF(ISERROR(VLOOKUP(D83,Data!$A$2:$C$223100,3,FALSE)),"INACTIVE",VLOOKUP(D83,Data!$A$2:$C$223100,3,FALSE))</f>
        <v>30+</v>
      </c>
    </row>
    <row r="84" spans="1:15" x14ac:dyDescent="0.25">
      <c r="A84" t="s">
        <v>5200</v>
      </c>
      <c r="B84" t="s">
        <v>5201</v>
      </c>
      <c r="C84" t="s">
        <v>10080</v>
      </c>
      <c r="D84" t="s">
        <v>10081</v>
      </c>
      <c r="E84" t="s">
        <v>7120</v>
      </c>
      <c r="F84" t="s">
        <v>5</v>
      </c>
      <c r="G84" t="s">
        <v>5</v>
      </c>
      <c r="H84" t="s">
        <v>5</v>
      </c>
      <c r="I84" t="s">
        <v>10082</v>
      </c>
      <c r="J84" t="s">
        <v>7</v>
      </c>
      <c r="K84" s="3">
        <f t="shared" si="2"/>
        <v>0</v>
      </c>
      <c r="L84" s="3">
        <f>IF(ISERROR(VLOOKUP(J84,Lookups!$A$2:$A$16,1,FALSE)),1,0)</f>
        <v>1</v>
      </c>
      <c r="M84" s="3">
        <f>IF(ISERROR(VLOOKUP(D84,Data!$A$2:$D$223100,2,FALSE)),0,1)</f>
        <v>1</v>
      </c>
      <c r="N84" s="3">
        <f t="shared" si="3"/>
        <v>1</v>
      </c>
      <c r="O84" s="3" t="str">
        <f>IF(ISERROR(VLOOKUP(D84,Data!$A$2:$C$223100,3,FALSE)),"INACTIVE",VLOOKUP(D84,Data!$A$2:$C$223100,3,FALSE))</f>
        <v>30+</v>
      </c>
    </row>
    <row r="85" spans="1:15" x14ac:dyDescent="0.25">
      <c r="A85" t="s">
        <v>5200</v>
      </c>
      <c r="B85" t="s">
        <v>5201</v>
      </c>
      <c r="C85" t="s">
        <v>5202</v>
      </c>
      <c r="D85" t="s">
        <v>5203</v>
      </c>
      <c r="E85" t="s">
        <v>10083</v>
      </c>
      <c r="F85" t="s">
        <v>5</v>
      </c>
      <c r="G85" t="s">
        <v>5</v>
      </c>
      <c r="H85" t="s">
        <v>5</v>
      </c>
      <c r="I85" t="s">
        <v>10082</v>
      </c>
      <c r="J85" t="s">
        <v>90</v>
      </c>
      <c r="K85" s="3">
        <f t="shared" si="2"/>
        <v>0</v>
      </c>
      <c r="L85" s="3">
        <f>IF(ISERROR(VLOOKUP(J85,Lookups!$A$2:$A$16,1,FALSE)),1,0)</f>
        <v>0</v>
      </c>
      <c r="M85" s="3">
        <f>IF(ISERROR(VLOOKUP(D85,Data!$A$2:$D$223100,2,FALSE)),0,1)</f>
        <v>1</v>
      </c>
      <c r="N85" s="3">
        <f t="shared" si="3"/>
        <v>0</v>
      </c>
      <c r="O85" s="3" t="str">
        <f>IF(ISERROR(VLOOKUP(D85,Data!$A$2:$C$223100,3,FALSE)),"INACTIVE",VLOOKUP(D85,Data!$A$2:$C$223100,3,FALSE))</f>
        <v>60+</v>
      </c>
    </row>
    <row r="86" spans="1:15" x14ac:dyDescent="0.25">
      <c r="A86" t="s">
        <v>5200</v>
      </c>
      <c r="B86" t="s">
        <v>5201</v>
      </c>
      <c r="C86" t="s">
        <v>5202</v>
      </c>
      <c r="D86" t="s">
        <v>5203</v>
      </c>
      <c r="E86" t="s">
        <v>10084</v>
      </c>
      <c r="F86" t="s">
        <v>5</v>
      </c>
      <c r="G86" t="s">
        <v>5</v>
      </c>
      <c r="H86" t="s">
        <v>5</v>
      </c>
      <c r="I86" t="s">
        <v>10082</v>
      </c>
      <c r="J86" t="s">
        <v>90</v>
      </c>
      <c r="K86" s="3">
        <f t="shared" si="2"/>
        <v>0</v>
      </c>
      <c r="L86" s="3">
        <f>IF(ISERROR(VLOOKUP(J86,Lookups!$A$2:$A$16,1,FALSE)),1,0)</f>
        <v>0</v>
      </c>
      <c r="M86" s="3">
        <f>IF(ISERROR(VLOOKUP(D86,Data!$A$2:$D$223100,2,FALSE)),0,1)</f>
        <v>1</v>
      </c>
      <c r="N86" s="3">
        <f t="shared" si="3"/>
        <v>0</v>
      </c>
      <c r="O86" s="3" t="str">
        <f>IF(ISERROR(VLOOKUP(D86,Data!$A$2:$C$223100,3,FALSE)),"INACTIVE",VLOOKUP(D86,Data!$A$2:$C$223100,3,FALSE))</f>
        <v>60+</v>
      </c>
    </row>
    <row r="87" spans="1:15" x14ac:dyDescent="0.25">
      <c r="A87" t="s">
        <v>5200</v>
      </c>
      <c r="B87" t="s">
        <v>5201</v>
      </c>
      <c r="C87" t="s">
        <v>10085</v>
      </c>
      <c r="D87" t="s">
        <v>10086</v>
      </c>
      <c r="E87" t="s">
        <v>10087</v>
      </c>
      <c r="F87" t="s">
        <v>5</v>
      </c>
      <c r="G87" t="s">
        <v>5</v>
      </c>
      <c r="H87" t="s">
        <v>5</v>
      </c>
      <c r="I87" t="s">
        <v>10082</v>
      </c>
      <c r="J87" t="s">
        <v>7</v>
      </c>
      <c r="K87" s="3">
        <f t="shared" si="2"/>
        <v>0</v>
      </c>
      <c r="L87" s="3">
        <f>IF(ISERROR(VLOOKUP(J87,Lookups!$A$2:$A$16,1,FALSE)),1,0)</f>
        <v>1</v>
      </c>
      <c r="M87" s="3">
        <f>IF(ISERROR(VLOOKUP(D87,Data!$A$2:$D$223100,2,FALSE)),0,1)</f>
        <v>1</v>
      </c>
      <c r="N87" s="3">
        <f t="shared" si="3"/>
        <v>1</v>
      </c>
      <c r="O87" s="3" t="str">
        <f>IF(ISERROR(VLOOKUP(D87,Data!$A$2:$C$223100,3,FALSE)),"INACTIVE",VLOOKUP(D87,Data!$A$2:$C$223100,3,FALSE))</f>
        <v>Current</v>
      </c>
    </row>
    <row r="88" spans="1:15" x14ac:dyDescent="0.25">
      <c r="A88" t="s">
        <v>5200</v>
      </c>
      <c r="B88" t="s">
        <v>5201</v>
      </c>
      <c r="C88" t="s">
        <v>5208</v>
      </c>
      <c r="D88" t="s">
        <v>5209</v>
      </c>
      <c r="E88" t="s">
        <v>5210</v>
      </c>
      <c r="F88" t="s">
        <v>5</v>
      </c>
      <c r="G88" t="s">
        <v>5</v>
      </c>
      <c r="H88" t="s">
        <v>5</v>
      </c>
      <c r="I88" t="s">
        <v>10082</v>
      </c>
      <c r="J88" t="s">
        <v>7</v>
      </c>
      <c r="K88" s="3">
        <f t="shared" si="2"/>
        <v>0</v>
      </c>
      <c r="L88" s="3">
        <f>IF(ISERROR(VLOOKUP(J88,Lookups!$A$2:$A$16,1,FALSE)),1,0)</f>
        <v>1</v>
      </c>
      <c r="M88" s="3">
        <f>IF(ISERROR(VLOOKUP(D88,Data!$A$2:$D$223100,2,FALSE)),0,1)</f>
        <v>1</v>
      </c>
      <c r="N88" s="3">
        <f t="shared" si="3"/>
        <v>1</v>
      </c>
      <c r="O88" s="3" t="str">
        <f>IF(ISERROR(VLOOKUP(D88,Data!$A$2:$C$223100,3,FALSE)),"INACTIVE",VLOOKUP(D88,Data!$A$2:$C$223100,3,FALSE))</f>
        <v>BK13</v>
      </c>
    </row>
    <row r="89" spans="1:15" x14ac:dyDescent="0.25">
      <c r="A89" t="s">
        <v>5200</v>
      </c>
      <c r="B89" t="s">
        <v>5201</v>
      </c>
      <c r="C89" t="s">
        <v>5212</v>
      </c>
      <c r="D89" t="s">
        <v>5213</v>
      </c>
      <c r="E89" t="s">
        <v>10088</v>
      </c>
      <c r="F89" t="s">
        <v>5</v>
      </c>
      <c r="G89" t="s">
        <v>5</v>
      </c>
      <c r="H89" t="s">
        <v>5</v>
      </c>
      <c r="I89" t="s">
        <v>10082</v>
      </c>
      <c r="J89" t="s">
        <v>96</v>
      </c>
      <c r="K89" s="3">
        <f t="shared" si="2"/>
        <v>0</v>
      </c>
      <c r="L89" s="3">
        <f>IF(ISERROR(VLOOKUP(J89,Lookups!$A$2:$A$16,1,FALSE)),1,0)</f>
        <v>0</v>
      </c>
      <c r="M89" s="3">
        <f>IF(ISERROR(VLOOKUP(D89,Data!$A$2:$D$223100,2,FALSE)),0,1)</f>
        <v>1</v>
      </c>
      <c r="N89" s="3">
        <f t="shared" si="3"/>
        <v>0</v>
      </c>
      <c r="O89" s="3" t="str">
        <f>IF(ISERROR(VLOOKUP(D89,Data!$A$2:$C$223100,3,FALSE)),"INACTIVE",VLOOKUP(D89,Data!$A$2:$C$223100,3,FALSE))</f>
        <v>BK13</v>
      </c>
    </row>
    <row r="90" spans="1:15" x14ac:dyDescent="0.25">
      <c r="A90" t="s">
        <v>5200</v>
      </c>
      <c r="B90" t="s">
        <v>5201</v>
      </c>
      <c r="C90" t="s">
        <v>5212</v>
      </c>
      <c r="D90" t="s">
        <v>5213</v>
      </c>
      <c r="E90" t="s">
        <v>10089</v>
      </c>
      <c r="F90" t="s">
        <v>5</v>
      </c>
      <c r="G90" t="s">
        <v>5</v>
      </c>
      <c r="H90" t="s">
        <v>5</v>
      </c>
      <c r="I90" t="s">
        <v>10082</v>
      </c>
      <c r="J90" t="s">
        <v>96</v>
      </c>
      <c r="K90" s="3">
        <f t="shared" si="2"/>
        <v>0</v>
      </c>
      <c r="L90" s="3">
        <f>IF(ISERROR(VLOOKUP(J90,Lookups!$A$2:$A$16,1,FALSE)),1,0)</f>
        <v>0</v>
      </c>
      <c r="M90" s="3">
        <f>IF(ISERROR(VLOOKUP(D90,Data!$A$2:$D$223100,2,FALSE)),0,1)</f>
        <v>1</v>
      </c>
      <c r="N90" s="3">
        <f t="shared" si="3"/>
        <v>0</v>
      </c>
      <c r="O90" s="3" t="str">
        <f>IF(ISERROR(VLOOKUP(D90,Data!$A$2:$C$223100,3,FALSE)),"INACTIVE",VLOOKUP(D90,Data!$A$2:$C$223100,3,FALSE))</f>
        <v>BK13</v>
      </c>
    </row>
    <row r="91" spans="1:15" x14ac:dyDescent="0.25">
      <c r="A91" t="s">
        <v>5200</v>
      </c>
      <c r="B91" t="s">
        <v>5201</v>
      </c>
      <c r="C91" t="s">
        <v>5216</v>
      </c>
      <c r="D91" t="s">
        <v>5217</v>
      </c>
      <c r="E91" t="s">
        <v>10090</v>
      </c>
      <c r="F91" t="s">
        <v>5</v>
      </c>
      <c r="G91" t="s">
        <v>5</v>
      </c>
      <c r="H91" t="s">
        <v>5</v>
      </c>
      <c r="I91" t="s">
        <v>10082</v>
      </c>
      <c r="J91" t="s">
        <v>7</v>
      </c>
      <c r="K91" s="3">
        <f t="shared" si="2"/>
        <v>0</v>
      </c>
      <c r="L91" s="3">
        <f>IF(ISERROR(VLOOKUP(J91,Lookups!$A$2:$A$16,1,FALSE)),1,0)</f>
        <v>1</v>
      </c>
      <c r="M91" s="3">
        <f>IF(ISERROR(VLOOKUP(D91,Data!$A$2:$D$223100,2,FALSE)),0,1)</f>
        <v>1</v>
      </c>
      <c r="N91" s="3">
        <f t="shared" si="3"/>
        <v>1</v>
      </c>
      <c r="O91" s="3" t="str">
        <f>IF(ISERROR(VLOOKUP(D91,Data!$A$2:$C$223100,3,FALSE)),"INACTIVE",VLOOKUP(D91,Data!$A$2:$C$223100,3,FALSE))</f>
        <v>Current</v>
      </c>
    </row>
    <row r="92" spans="1:15" x14ac:dyDescent="0.25">
      <c r="A92" t="s">
        <v>5200</v>
      </c>
      <c r="B92" t="s">
        <v>5201</v>
      </c>
      <c r="C92" t="s">
        <v>5219</v>
      </c>
      <c r="D92" t="s">
        <v>5220</v>
      </c>
      <c r="E92" t="s">
        <v>10091</v>
      </c>
      <c r="F92" t="s">
        <v>5</v>
      </c>
      <c r="G92" t="s">
        <v>5</v>
      </c>
      <c r="H92" t="s">
        <v>5</v>
      </c>
      <c r="I92" t="s">
        <v>10082</v>
      </c>
      <c r="J92" t="s">
        <v>7</v>
      </c>
      <c r="K92" s="3">
        <f t="shared" si="2"/>
        <v>0</v>
      </c>
      <c r="L92" s="3">
        <f>IF(ISERROR(VLOOKUP(J92,Lookups!$A$2:$A$16,1,FALSE)),1,0)</f>
        <v>1</v>
      </c>
      <c r="M92" s="3">
        <f>IF(ISERROR(VLOOKUP(D92,Data!$A$2:$D$223100,2,FALSE)),0,1)</f>
        <v>1</v>
      </c>
      <c r="N92" s="3">
        <f t="shared" si="3"/>
        <v>1</v>
      </c>
      <c r="O92" s="3" t="str">
        <f>IF(ISERROR(VLOOKUP(D92,Data!$A$2:$C$223100,3,FALSE)),"INACTIVE",VLOOKUP(D92,Data!$A$2:$C$223100,3,FALSE))</f>
        <v>30+</v>
      </c>
    </row>
    <row r="93" spans="1:15" x14ac:dyDescent="0.25">
      <c r="A93" t="s">
        <v>5200</v>
      </c>
      <c r="B93" t="s">
        <v>5201</v>
      </c>
      <c r="C93" t="s">
        <v>10092</v>
      </c>
      <c r="D93" t="s">
        <v>10093</v>
      </c>
      <c r="E93" t="s">
        <v>10094</v>
      </c>
      <c r="F93" t="s">
        <v>5</v>
      </c>
      <c r="G93" t="s">
        <v>5</v>
      </c>
      <c r="H93" t="s">
        <v>5</v>
      </c>
      <c r="I93" t="s">
        <v>10082</v>
      </c>
      <c r="J93" t="s">
        <v>7</v>
      </c>
      <c r="K93" s="3">
        <f t="shared" si="2"/>
        <v>0</v>
      </c>
      <c r="L93" s="3">
        <f>IF(ISERROR(VLOOKUP(J93,Lookups!$A$2:$A$16,1,FALSE)),1,0)</f>
        <v>1</v>
      </c>
      <c r="M93" s="3">
        <f>IF(ISERROR(VLOOKUP(D93,Data!$A$2:$D$223100,2,FALSE)),0,1)</f>
        <v>1</v>
      </c>
      <c r="N93" s="3">
        <f t="shared" si="3"/>
        <v>1</v>
      </c>
      <c r="O93" s="3" t="str">
        <f>IF(ISERROR(VLOOKUP(D93,Data!$A$2:$C$223100,3,FALSE)),"INACTIVE",VLOOKUP(D93,Data!$A$2:$C$223100,3,FALSE))</f>
        <v>30+</v>
      </c>
    </row>
    <row r="94" spans="1:15" x14ac:dyDescent="0.25">
      <c r="A94" t="s">
        <v>5200</v>
      </c>
      <c r="B94" t="s">
        <v>5201</v>
      </c>
      <c r="C94" t="s">
        <v>5222</v>
      </c>
      <c r="D94" t="s">
        <v>5223</v>
      </c>
      <c r="E94" t="s">
        <v>10095</v>
      </c>
      <c r="F94" t="s">
        <v>5</v>
      </c>
      <c r="G94" t="s">
        <v>5</v>
      </c>
      <c r="H94" t="s">
        <v>5</v>
      </c>
      <c r="I94" t="s">
        <v>10082</v>
      </c>
      <c r="J94" t="s">
        <v>96</v>
      </c>
      <c r="K94" s="3">
        <f t="shared" si="2"/>
        <v>0</v>
      </c>
      <c r="L94" s="3">
        <f>IF(ISERROR(VLOOKUP(J94,Lookups!$A$2:$A$16,1,FALSE)),1,0)</f>
        <v>0</v>
      </c>
      <c r="M94" s="3">
        <f>IF(ISERROR(VLOOKUP(D94,Data!$A$2:$D$223100,2,FALSE)),0,1)</f>
        <v>0</v>
      </c>
      <c r="N94" s="3">
        <f t="shared" si="3"/>
        <v>0</v>
      </c>
      <c r="O94" s="3" t="str">
        <f>IF(ISERROR(VLOOKUP(D94,Data!$A$2:$C$223100,3,FALSE)),"INACTIVE",VLOOKUP(D94,Data!$A$2:$C$223100,3,FALSE))</f>
        <v>INACTIVE</v>
      </c>
    </row>
    <row r="95" spans="1:15" x14ac:dyDescent="0.25">
      <c r="A95" t="s">
        <v>5200</v>
      </c>
      <c r="B95" t="s">
        <v>5201</v>
      </c>
      <c r="C95" t="s">
        <v>5222</v>
      </c>
      <c r="D95" t="s">
        <v>5223</v>
      </c>
      <c r="E95" t="s">
        <v>10096</v>
      </c>
      <c r="F95" t="s">
        <v>5</v>
      </c>
      <c r="G95" t="s">
        <v>5</v>
      </c>
      <c r="H95" t="s">
        <v>5</v>
      </c>
      <c r="I95" t="s">
        <v>10082</v>
      </c>
      <c r="J95" t="s">
        <v>96</v>
      </c>
      <c r="K95" s="3">
        <f t="shared" si="2"/>
        <v>0</v>
      </c>
      <c r="L95" s="3">
        <f>IF(ISERROR(VLOOKUP(J95,Lookups!$A$2:$A$16,1,FALSE)),1,0)</f>
        <v>0</v>
      </c>
      <c r="M95" s="3">
        <f>IF(ISERROR(VLOOKUP(D95,Data!$A$2:$D$223100,2,FALSE)),0,1)</f>
        <v>0</v>
      </c>
      <c r="N95" s="3">
        <f t="shared" si="3"/>
        <v>0</v>
      </c>
      <c r="O95" s="3" t="str">
        <f>IF(ISERROR(VLOOKUP(D95,Data!$A$2:$C$223100,3,FALSE)),"INACTIVE",VLOOKUP(D95,Data!$A$2:$C$223100,3,FALSE))</f>
        <v>INACTIVE</v>
      </c>
    </row>
    <row r="96" spans="1:15" x14ac:dyDescent="0.25">
      <c r="A96" t="s">
        <v>10232</v>
      </c>
      <c r="B96" t="s">
        <v>10233</v>
      </c>
      <c r="C96" t="s">
        <v>10234</v>
      </c>
      <c r="D96" t="s">
        <v>10235</v>
      </c>
      <c r="E96" t="s">
        <v>10236</v>
      </c>
      <c r="F96" t="s">
        <v>5</v>
      </c>
      <c r="G96" t="s">
        <v>5</v>
      </c>
      <c r="H96" t="s">
        <v>5</v>
      </c>
      <c r="I96" t="s">
        <v>10082</v>
      </c>
      <c r="J96" t="s">
        <v>14</v>
      </c>
      <c r="K96" s="3">
        <f t="shared" si="2"/>
        <v>0</v>
      </c>
      <c r="L96" s="3">
        <f>IF(ISERROR(VLOOKUP(J96,Lookups!$A$2:$A$16,1,FALSE)),1,0)</f>
        <v>1</v>
      </c>
      <c r="M96" s="3">
        <f>IF(ISERROR(VLOOKUP(D96,Data!$A$2:$D$223100,2,FALSE)),0,1)</f>
        <v>1</v>
      </c>
      <c r="N96" s="3">
        <f t="shared" si="3"/>
        <v>1</v>
      </c>
      <c r="O96" s="3" t="str">
        <f>IF(ISERROR(VLOOKUP(D96,Data!$A$2:$C$223100,3,FALSE)),"INACTIVE",VLOOKUP(D96,Data!$A$2:$C$223100,3,FALSE))</f>
        <v>30+</v>
      </c>
    </row>
    <row r="97" spans="1:15" x14ac:dyDescent="0.25">
      <c r="A97" t="s">
        <v>10232</v>
      </c>
      <c r="B97" t="s">
        <v>10233</v>
      </c>
      <c r="C97" t="s">
        <v>10237</v>
      </c>
      <c r="D97" t="s">
        <v>10238</v>
      </c>
      <c r="E97" t="s">
        <v>10239</v>
      </c>
      <c r="F97" t="s">
        <v>5</v>
      </c>
      <c r="G97" t="s">
        <v>5</v>
      </c>
      <c r="H97" t="s">
        <v>5</v>
      </c>
      <c r="I97" t="s">
        <v>10082</v>
      </c>
      <c r="J97" t="s">
        <v>14</v>
      </c>
      <c r="K97" s="3">
        <f t="shared" si="2"/>
        <v>0</v>
      </c>
      <c r="L97" s="3">
        <f>IF(ISERROR(VLOOKUP(J97,Lookups!$A$2:$A$16,1,FALSE)),1,0)</f>
        <v>1</v>
      </c>
      <c r="M97" s="3">
        <f>IF(ISERROR(VLOOKUP(D97,Data!$A$2:$D$223100,2,FALSE)),0,1)</f>
        <v>0</v>
      </c>
      <c r="N97" s="3">
        <f t="shared" si="3"/>
        <v>0</v>
      </c>
      <c r="O97" s="3" t="str">
        <f>IF(ISERROR(VLOOKUP(D97,Data!$A$2:$C$223100,3,FALSE)),"INACTIVE",VLOOKUP(D97,Data!$A$2:$C$223100,3,FALSE))</f>
        <v>INACTIVE</v>
      </c>
    </row>
    <row r="98" spans="1:15" x14ac:dyDescent="0.25">
      <c r="A98" t="s">
        <v>10232</v>
      </c>
      <c r="B98" t="s">
        <v>10233</v>
      </c>
      <c r="C98" t="s">
        <v>10240</v>
      </c>
      <c r="D98" t="s">
        <v>10241</v>
      </c>
      <c r="E98" t="s">
        <v>10242</v>
      </c>
      <c r="F98" t="s">
        <v>5</v>
      </c>
      <c r="G98" t="s">
        <v>5</v>
      </c>
      <c r="H98" t="s">
        <v>5</v>
      </c>
      <c r="I98" t="s">
        <v>10082</v>
      </c>
      <c r="J98" t="s">
        <v>14</v>
      </c>
      <c r="K98" s="3">
        <f t="shared" si="2"/>
        <v>0</v>
      </c>
      <c r="L98" s="3">
        <f>IF(ISERROR(VLOOKUP(J98,Lookups!$A$2:$A$16,1,FALSE)),1,0)</f>
        <v>1</v>
      </c>
      <c r="M98" s="3">
        <f>IF(ISERROR(VLOOKUP(D98,Data!$A$2:$D$223100,2,FALSE)),0,1)</f>
        <v>0</v>
      </c>
      <c r="N98" s="3">
        <f t="shared" si="3"/>
        <v>0</v>
      </c>
      <c r="O98" s="3" t="str">
        <f>IF(ISERROR(VLOOKUP(D98,Data!$A$2:$C$223100,3,FALSE)),"INACTIVE",VLOOKUP(D98,Data!$A$2:$C$223100,3,FALSE))</f>
        <v>INACTIVE</v>
      </c>
    </row>
    <row r="99" spans="1:15" x14ac:dyDescent="0.25">
      <c r="A99" t="s">
        <v>9925</v>
      </c>
      <c r="B99" t="s">
        <v>9926</v>
      </c>
      <c r="C99" t="s">
        <v>4532</v>
      </c>
      <c r="D99" t="s">
        <v>4533</v>
      </c>
      <c r="E99" t="s">
        <v>9927</v>
      </c>
      <c r="F99" t="s">
        <v>5</v>
      </c>
      <c r="G99" t="s">
        <v>5</v>
      </c>
      <c r="H99" t="s">
        <v>5</v>
      </c>
      <c r="I99" t="s">
        <v>9928</v>
      </c>
      <c r="J99" t="s">
        <v>7</v>
      </c>
      <c r="K99" s="3">
        <f t="shared" si="2"/>
        <v>0</v>
      </c>
      <c r="L99" s="3">
        <f>IF(ISERROR(VLOOKUP(J99,Lookups!$A$2:$A$16,1,FALSE)),1,0)</f>
        <v>1</v>
      </c>
      <c r="M99" s="3">
        <f>IF(ISERROR(VLOOKUP(D99,Data!$A$2:$D$223100,2,FALSE)),0,1)</f>
        <v>1</v>
      </c>
      <c r="N99" s="3">
        <f t="shared" si="3"/>
        <v>1</v>
      </c>
      <c r="O99" s="3" t="str">
        <f>IF(ISERROR(VLOOKUP(D99,Data!$A$2:$C$223100,3,FALSE)),"INACTIVE",VLOOKUP(D99,Data!$A$2:$C$223100,3,FALSE))</f>
        <v>FBA</v>
      </c>
    </row>
    <row r="100" spans="1:15" x14ac:dyDescent="0.25">
      <c r="A100" t="s">
        <v>6660</v>
      </c>
      <c r="B100" t="s">
        <v>9929</v>
      </c>
      <c r="C100" t="s">
        <v>9930</v>
      </c>
      <c r="D100" t="s">
        <v>9931</v>
      </c>
      <c r="E100" t="s">
        <v>9932</v>
      </c>
      <c r="F100" t="s">
        <v>5</v>
      </c>
      <c r="G100" t="s">
        <v>5</v>
      </c>
      <c r="H100" t="s">
        <v>5</v>
      </c>
      <c r="I100" t="s">
        <v>9928</v>
      </c>
      <c r="J100" t="s">
        <v>7</v>
      </c>
      <c r="K100" s="3">
        <f t="shared" si="2"/>
        <v>0</v>
      </c>
      <c r="L100" s="3">
        <f>IF(ISERROR(VLOOKUP(J100,Lookups!$A$2:$A$16,1,FALSE)),1,0)</f>
        <v>1</v>
      </c>
      <c r="M100" s="3">
        <f>IF(ISERROR(VLOOKUP(D100,Data!$A$2:$D$223100,2,FALSE)),0,1)</f>
        <v>1</v>
      </c>
      <c r="N100" s="3">
        <f t="shared" si="3"/>
        <v>1</v>
      </c>
      <c r="O100" s="3" t="str">
        <f>IF(ISERROR(VLOOKUP(D100,Data!$A$2:$C$223100,3,FALSE)),"INACTIVE",VLOOKUP(D100,Data!$A$2:$C$223100,3,FALSE))</f>
        <v>Current</v>
      </c>
    </row>
    <row r="101" spans="1:15" x14ac:dyDescent="0.25">
      <c r="A101" t="s">
        <v>6660</v>
      </c>
      <c r="B101" t="s">
        <v>9929</v>
      </c>
      <c r="C101" t="s">
        <v>9933</v>
      </c>
      <c r="D101" t="s">
        <v>9934</v>
      </c>
      <c r="E101" t="s">
        <v>9935</v>
      </c>
      <c r="F101" t="s">
        <v>5</v>
      </c>
      <c r="G101" t="s">
        <v>5</v>
      </c>
      <c r="H101" t="s">
        <v>5</v>
      </c>
      <c r="I101" t="s">
        <v>9928</v>
      </c>
      <c r="J101" t="s">
        <v>7</v>
      </c>
      <c r="K101" s="3">
        <f t="shared" si="2"/>
        <v>0</v>
      </c>
      <c r="L101" s="3">
        <f>IF(ISERROR(VLOOKUP(J101,Lookups!$A$2:$A$16,1,FALSE)),1,0)</f>
        <v>1</v>
      </c>
      <c r="M101" s="3">
        <f>IF(ISERROR(VLOOKUP(D101,Data!$A$2:$D$223100,2,FALSE)),0,1)</f>
        <v>1</v>
      </c>
      <c r="N101" s="3">
        <f t="shared" si="3"/>
        <v>1</v>
      </c>
      <c r="O101" s="3" t="str">
        <f>IF(ISERROR(VLOOKUP(D101,Data!$A$2:$C$223100,3,FALSE)),"INACTIVE",VLOOKUP(D101,Data!$A$2:$C$223100,3,FALSE))</f>
        <v>Current</v>
      </c>
    </row>
    <row r="102" spans="1:15" x14ac:dyDescent="0.25">
      <c r="A102" t="s">
        <v>10014</v>
      </c>
      <c r="B102" t="s">
        <v>10015</v>
      </c>
      <c r="C102" t="s">
        <v>10016</v>
      </c>
      <c r="D102" t="s">
        <v>10017</v>
      </c>
      <c r="E102" t="s">
        <v>5</v>
      </c>
      <c r="F102" t="s">
        <v>5</v>
      </c>
      <c r="G102" t="s">
        <v>10018</v>
      </c>
      <c r="H102" t="s">
        <v>10019</v>
      </c>
      <c r="I102" t="s">
        <v>9928</v>
      </c>
      <c r="J102" t="s">
        <v>7</v>
      </c>
      <c r="K102" s="3">
        <f t="shared" si="2"/>
        <v>0</v>
      </c>
      <c r="L102" s="3">
        <f>IF(ISERROR(VLOOKUP(J102,Lookups!$A$2:$A$16,1,FALSE)),1,0)</f>
        <v>1</v>
      </c>
      <c r="M102" s="3">
        <f>IF(ISERROR(VLOOKUP(D102,Data!$A$2:$D$223100,2,FALSE)),0,1)</f>
        <v>1</v>
      </c>
      <c r="N102" s="3">
        <f t="shared" si="3"/>
        <v>1</v>
      </c>
      <c r="O102" s="3" t="str">
        <f>IF(ISERROR(VLOOKUP(D102,Data!$A$2:$C$223100,3,FALSE)),"INACTIVE",VLOOKUP(D102,Data!$A$2:$C$223100,3,FALSE))</f>
        <v>60+</v>
      </c>
    </row>
    <row r="103" spans="1:15" x14ac:dyDescent="0.25">
      <c r="A103" t="s">
        <v>10037</v>
      </c>
      <c r="B103" t="s">
        <v>10038</v>
      </c>
      <c r="C103" t="s">
        <v>10039</v>
      </c>
      <c r="D103" t="s">
        <v>10040</v>
      </c>
      <c r="E103" t="s">
        <v>5</v>
      </c>
      <c r="F103" t="s">
        <v>5</v>
      </c>
      <c r="G103" t="s">
        <v>5</v>
      </c>
      <c r="H103" t="s">
        <v>10041</v>
      </c>
      <c r="I103" t="s">
        <v>9928</v>
      </c>
      <c r="J103" t="s">
        <v>7</v>
      </c>
      <c r="K103" s="3">
        <f t="shared" si="2"/>
        <v>0</v>
      </c>
      <c r="L103" s="3">
        <f>IF(ISERROR(VLOOKUP(J103,Lookups!$A$2:$A$16,1,FALSE)),1,0)</f>
        <v>1</v>
      </c>
      <c r="M103" s="3">
        <f>IF(ISERROR(VLOOKUP(D103,Data!$A$2:$D$223100,2,FALSE)),0,1)</f>
        <v>1</v>
      </c>
      <c r="N103" s="3">
        <f t="shared" si="3"/>
        <v>1</v>
      </c>
      <c r="O103" s="3" t="str">
        <f>IF(ISERROR(VLOOKUP(D103,Data!$A$2:$C$223100,3,FALSE)),"INACTIVE",VLOOKUP(D103,Data!$A$2:$C$223100,3,FALSE))</f>
        <v>FC</v>
      </c>
    </row>
    <row r="104" spans="1:15" x14ac:dyDescent="0.25">
      <c r="A104" t="s">
        <v>10259</v>
      </c>
      <c r="B104" t="s">
        <v>10260</v>
      </c>
      <c r="C104" t="s">
        <v>10261</v>
      </c>
      <c r="D104" t="s">
        <v>10262</v>
      </c>
      <c r="E104" t="s">
        <v>10263</v>
      </c>
      <c r="F104" t="s">
        <v>10263</v>
      </c>
      <c r="G104" t="s">
        <v>5</v>
      </c>
      <c r="H104" t="s">
        <v>5</v>
      </c>
      <c r="I104" t="s">
        <v>9928</v>
      </c>
      <c r="J104" t="s">
        <v>36</v>
      </c>
      <c r="K104" s="3">
        <f t="shared" si="2"/>
        <v>0</v>
      </c>
      <c r="L104" s="3">
        <f>IF(ISERROR(VLOOKUP(J104,Lookups!$A$2:$A$16,1,FALSE)),1,0)</f>
        <v>1</v>
      </c>
      <c r="M104" s="3">
        <f>IF(ISERROR(VLOOKUP(D104,Data!$A$2:$D$223100,2,FALSE)),0,1)</f>
        <v>1</v>
      </c>
      <c r="N104" s="3">
        <f t="shared" si="3"/>
        <v>1</v>
      </c>
      <c r="O104" s="3" t="str">
        <f>IF(ISERROR(VLOOKUP(D104,Data!$A$2:$C$223100,3,FALSE)),"INACTIVE",VLOOKUP(D104,Data!$A$2:$C$223100,3,FALSE))</f>
        <v>90+</v>
      </c>
    </row>
    <row r="105" spans="1:15" x14ac:dyDescent="0.25">
      <c r="A105" t="s">
        <v>9991</v>
      </c>
      <c r="B105" t="s">
        <v>9992</v>
      </c>
      <c r="C105" t="s">
        <v>9993</v>
      </c>
      <c r="D105" t="s">
        <v>9994</v>
      </c>
      <c r="E105" t="s">
        <v>5</v>
      </c>
      <c r="F105" t="s">
        <v>9995</v>
      </c>
      <c r="G105" t="s">
        <v>5</v>
      </c>
      <c r="H105" t="s">
        <v>5</v>
      </c>
      <c r="I105" t="s">
        <v>9996</v>
      </c>
      <c r="J105" t="s">
        <v>14</v>
      </c>
      <c r="K105" s="3">
        <f t="shared" si="2"/>
        <v>0</v>
      </c>
      <c r="L105" s="3">
        <f>IF(ISERROR(VLOOKUP(J105,Lookups!$A$2:$A$16,1,FALSE)),1,0)</f>
        <v>1</v>
      </c>
      <c r="M105" s="3">
        <f>IF(ISERROR(VLOOKUP(D105,Data!$A$2:$D$223100,2,FALSE)),0,1)</f>
        <v>1</v>
      </c>
      <c r="N105" s="3">
        <f t="shared" si="3"/>
        <v>1</v>
      </c>
      <c r="O105" s="3" t="str">
        <f>IF(ISERROR(VLOOKUP(D105,Data!$A$2:$C$223100,3,FALSE)),"INACTIVE",VLOOKUP(D105,Data!$A$2:$C$223100,3,FALSE))</f>
        <v>90+</v>
      </c>
    </row>
    <row r="106" spans="1:15" x14ac:dyDescent="0.25">
      <c r="A106" t="s">
        <v>10032</v>
      </c>
      <c r="B106" t="s">
        <v>10033</v>
      </c>
      <c r="C106" t="s">
        <v>10034</v>
      </c>
      <c r="D106" t="s">
        <v>10035</v>
      </c>
      <c r="E106" t="s">
        <v>10036</v>
      </c>
      <c r="F106" t="s">
        <v>5</v>
      </c>
      <c r="G106" t="s">
        <v>5</v>
      </c>
      <c r="H106" t="s">
        <v>5</v>
      </c>
      <c r="I106" t="s">
        <v>9996</v>
      </c>
      <c r="J106" t="s">
        <v>7</v>
      </c>
      <c r="K106" s="3">
        <f t="shared" si="2"/>
        <v>0</v>
      </c>
      <c r="L106" s="3">
        <f>IF(ISERROR(VLOOKUP(J106,Lookups!$A$2:$A$16,1,FALSE)),1,0)</f>
        <v>1</v>
      </c>
      <c r="M106" s="3">
        <f>IF(ISERROR(VLOOKUP(D106,Data!$A$2:$D$223100,2,FALSE)),0,1)</f>
        <v>0</v>
      </c>
      <c r="N106" s="3">
        <f t="shared" si="3"/>
        <v>0</v>
      </c>
      <c r="O106" s="3" t="str">
        <f>IF(ISERROR(VLOOKUP(D106,Data!$A$2:$C$223100,3,FALSE)),"INACTIVE",VLOOKUP(D106,Data!$A$2:$C$223100,3,FALSE))</f>
        <v>INACTIVE</v>
      </c>
    </row>
    <row r="107" spans="1:15" x14ac:dyDescent="0.25">
      <c r="A107" t="s">
        <v>2107</v>
      </c>
      <c r="B107" t="s">
        <v>10042</v>
      </c>
      <c r="C107" t="s">
        <v>10043</v>
      </c>
      <c r="D107" t="s">
        <v>10044</v>
      </c>
      <c r="E107" t="s">
        <v>10045</v>
      </c>
      <c r="F107" t="s">
        <v>10046</v>
      </c>
      <c r="G107" t="s">
        <v>5</v>
      </c>
      <c r="H107" t="s">
        <v>5</v>
      </c>
      <c r="I107" t="s">
        <v>9996</v>
      </c>
      <c r="J107" t="s">
        <v>14</v>
      </c>
      <c r="K107" s="3">
        <f t="shared" si="2"/>
        <v>0</v>
      </c>
      <c r="L107" s="3">
        <f>IF(ISERROR(VLOOKUP(J107,Lookups!$A$2:$A$16,1,FALSE)),1,0)</f>
        <v>1</v>
      </c>
      <c r="M107" s="3">
        <f>IF(ISERROR(VLOOKUP(D107,Data!$A$2:$D$223100,2,FALSE)),0,1)</f>
        <v>1</v>
      </c>
      <c r="N107" s="3">
        <f t="shared" si="3"/>
        <v>1</v>
      </c>
      <c r="O107" s="3" t="str">
        <f>IF(ISERROR(VLOOKUP(D107,Data!$A$2:$C$223100,3,FALSE)),"INACTIVE",VLOOKUP(D107,Data!$A$2:$C$223100,3,FALSE))</f>
        <v>Current</v>
      </c>
    </row>
    <row r="108" spans="1:15" x14ac:dyDescent="0.25">
      <c r="A108" t="s">
        <v>10145</v>
      </c>
      <c r="B108" t="s">
        <v>10146</v>
      </c>
      <c r="C108" t="s">
        <v>10147</v>
      </c>
      <c r="D108" t="s">
        <v>10148</v>
      </c>
      <c r="E108" t="s">
        <v>10149</v>
      </c>
      <c r="F108" t="s">
        <v>10149</v>
      </c>
      <c r="G108" t="s">
        <v>10150</v>
      </c>
      <c r="H108" t="s">
        <v>10151</v>
      </c>
      <c r="I108" t="s">
        <v>9996</v>
      </c>
      <c r="J108" t="s">
        <v>7</v>
      </c>
      <c r="K108" s="3">
        <f t="shared" si="2"/>
        <v>0</v>
      </c>
      <c r="L108" s="3">
        <f>IF(ISERROR(VLOOKUP(J108,Lookups!$A$2:$A$16,1,FALSE)),1,0)</f>
        <v>1</v>
      </c>
      <c r="M108" s="3">
        <f>IF(ISERROR(VLOOKUP(D108,Data!$A$2:$D$223100,2,FALSE)),0,1)</f>
        <v>1</v>
      </c>
      <c r="N108" s="3">
        <f t="shared" si="3"/>
        <v>1</v>
      </c>
      <c r="O108" s="3" t="str">
        <f>IF(ISERROR(VLOOKUP(D108,Data!$A$2:$C$223100,3,FALSE)),"INACTIVE",VLOOKUP(D108,Data!$A$2:$C$223100,3,FALSE))</f>
        <v>FBA</v>
      </c>
    </row>
    <row r="109" spans="1:15" x14ac:dyDescent="0.25">
      <c r="A109" t="s">
        <v>10145</v>
      </c>
      <c r="B109" t="s">
        <v>10146</v>
      </c>
      <c r="C109" t="s">
        <v>10152</v>
      </c>
      <c r="D109" t="s">
        <v>10153</v>
      </c>
      <c r="E109" t="s">
        <v>10154</v>
      </c>
      <c r="F109" t="s">
        <v>5</v>
      </c>
      <c r="G109" t="s">
        <v>5</v>
      </c>
      <c r="H109" t="s">
        <v>5</v>
      </c>
      <c r="I109" t="s">
        <v>9996</v>
      </c>
      <c r="J109" t="s">
        <v>7</v>
      </c>
      <c r="K109" s="3">
        <f t="shared" si="2"/>
        <v>0</v>
      </c>
      <c r="L109" s="3">
        <f>IF(ISERROR(VLOOKUP(J109,Lookups!$A$2:$A$16,1,FALSE)),1,0)</f>
        <v>1</v>
      </c>
      <c r="M109" s="3">
        <f>IF(ISERROR(VLOOKUP(D109,Data!$A$2:$D$223100,2,FALSE)),0,1)</f>
        <v>0</v>
      </c>
      <c r="N109" s="3">
        <f t="shared" si="3"/>
        <v>0</v>
      </c>
      <c r="O109" s="3" t="str">
        <f>IF(ISERROR(VLOOKUP(D109,Data!$A$2:$C$223100,3,FALSE)),"INACTIVE",VLOOKUP(D109,Data!$A$2:$C$223100,3,FALSE))</f>
        <v>INACTIVE</v>
      </c>
    </row>
    <row r="110" spans="1:15" x14ac:dyDescent="0.25">
      <c r="A110" t="s">
        <v>10145</v>
      </c>
      <c r="B110" t="s">
        <v>10146</v>
      </c>
      <c r="C110" t="s">
        <v>10155</v>
      </c>
      <c r="D110" t="s">
        <v>10156</v>
      </c>
      <c r="E110" t="s">
        <v>10157</v>
      </c>
      <c r="F110" t="s">
        <v>10158</v>
      </c>
      <c r="G110" t="s">
        <v>10159</v>
      </c>
      <c r="H110" t="s">
        <v>10160</v>
      </c>
      <c r="I110" t="s">
        <v>9996</v>
      </c>
      <c r="J110" t="s">
        <v>7</v>
      </c>
      <c r="K110" s="3">
        <f t="shared" si="2"/>
        <v>0</v>
      </c>
      <c r="L110" s="3">
        <f>IF(ISERROR(VLOOKUP(J110,Lookups!$A$2:$A$16,1,FALSE)),1,0)</f>
        <v>1</v>
      </c>
      <c r="M110" s="3">
        <f>IF(ISERROR(VLOOKUP(D110,Data!$A$2:$D$223100,2,FALSE)),0,1)</f>
        <v>1</v>
      </c>
      <c r="N110" s="3">
        <f t="shared" si="3"/>
        <v>1</v>
      </c>
      <c r="O110" s="3" t="str">
        <f>IF(ISERROR(VLOOKUP(D110,Data!$A$2:$C$223100,3,FALSE)),"INACTIVE",VLOOKUP(D110,Data!$A$2:$C$223100,3,FALSE))</f>
        <v>Current</v>
      </c>
    </row>
    <row r="111" spans="1:15" x14ac:dyDescent="0.25">
      <c r="A111" t="s">
        <v>10248</v>
      </c>
      <c r="B111" t="s">
        <v>10249</v>
      </c>
      <c r="C111" t="s">
        <v>10250</v>
      </c>
      <c r="D111" t="s">
        <v>10251</v>
      </c>
      <c r="E111" t="s">
        <v>10252</v>
      </c>
      <c r="F111" t="s">
        <v>5</v>
      </c>
      <c r="G111" t="s">
        <v>5</v>
      </c>
      <c r="H111" t="s">
        <v>5</v>
      </c>
      <c r="I111" t="s">
        <v>9996</v>
      </c>
      <c r="J111" t="s">
        <v>90</v>
      </c>
      <c r="K111" s="3">
        <f t="shared" si="2"/>
        <v>0</v>
      </c>
      <c r="L111" s="3">
        <f>IF(ISERROR(VLOOKUP(J111,Lookups!$A$2:$A$16,1,FALSE)),1,0)</f>
        <v>0</v>
      </c>
      <c r="M111" s="3">
        <f>IF(ISERROR(VLOOKUP(D111,Data!$A$2:$D$223100,2,FALSE)),0,1)</f>
        <v>0</v>
      </c>
      <c r="N111" s="3">
        <f t="shared" si="3"/>
        <v>0</v>
      </c>
      <c r="O111" s="3" t="str">
        <f>IF(ISERROR(VLOOKUP(D111,Data!$A$2:$C$223100,3,FALSE)),"INACTIVE",VLOOKUP(D111,Data!$A$2:$C$223100,3,FALSE))</f>
        <v>INACTIVE</v>
      </c>
    </row>
    <row r="112" spans="1:15" x14ac:dyDescent="0.25">
      <c r="A112" t="s">
        <v>10054</v>
      </c>
      <c r="B112" t="s">
        <v>10055</v>
      </c>
      <c r="C112" t="s">
        <v>10056</v>
      </c>
      <c r="D112" t="s">
        <v>10057</v>
      </c>
      <c r="E112" t="s">
        <v>3689</v>
      </c>
      <c r="F112" t="s">
        <v>5</v>
      </c>
      <c r="G112" t="s">
        <v>5</v>
      </c>
      <c r="H112" t="s">
        <v>5</v>
      </c>
      <c r="I112" t="s">
        <v>10058</v>
      </c>
      <c r="J112" t="s">
        <v>96</v>
      </c>
      <c r="K112" s="3">
        <f t="shared" si="2"/>
        <v>0</v>
      </c>
      <c r="L112" s="3">
        <f>IF(ISERROR(VLOOKUP(J112,Lookups!$A$2:$A$16,1,FALSE)),1,0)</f>
        <v>0</v>
      </c>
      <c r="M112" s="3">
        <f>IF(ISERROR(VLOOKUP(D112,Data!$A$2:$D$223100,2,FALSE)),0,1)</f>
        <v>1</v>
      </c>
      <c r="N112" s="3">
        <f t="shared" si="3"/>
        <v>0</v>
      </c>
      <c r="O112" s="3" t="str">
        <f>IF(ISERROR(VLOOKUP(D112,Data!$A$2:$C$223100,3,FALSE)),"INACTIVE",VLOOKUP(D112,Data!$A$2:$C$223100,3,FALSE))</f>
        <v>30+</v>
      </c>
    </row>
    <row r="113" spans="1:15" x14ac:dyDescent="0.25">
      <c r="A113" t="s">
        <v>10054</v>
      </c>
      <c r="B113" t="s">
        <v>10055</v>
      </c>
      <c r="C113" t="s">
        <v>10056</v>
      </c>
      <c r="D113" t="s">
        <v>10057</v>
      </c>
      <c r="E113" t="s">
        <v>10059</v>
      </c>
      <c r="F113" t="s">
        <v>5</v>
      </c>
      <c r="G113" t="s">
        <v>5</v>
      </c>
      <c r="H113" t="s">
        <v>5</v>
      </c>
      <c r="I113" t="s">
        <v>10058</v>
      </c>
      <c r="J113" t="s">
        <v>96</v>
      </c>
      <c r="K113" s="3">
        <f t="shared" si="2"/>
        <v>0</v>
      </c>
      <c r="L113" s="3">
        <f>IF(ISERROR(VLOOKUP(J113,Lookups!$A$2:$A$16,1,FALSE)),1,0)</f>
        <v>0</v>
      </c>
      <c r="M113" s="3">
        <f>IF(ISERROR(VLOOKUP(D113,Data!$A$2:$D$223100,2,FALSE)),0,1)</f>
        <v>1</v>
      </c>
      <c r="N113" s="3">
        <f t="shared" si="3"/>
        <v>0</v>
      </c>
      <c r="O113" s="3" t="str">
        <f>IF(ISERROR(VLOOKUP(D113,Data!$A$2:$C$223100,3,FALSE)),"INACTIVE",VLOOKUP(D113,Data!$A$2:$C$223100,3,FALSE))</f>
        <v>30+</v>
      </c>
    </row>
    <row r="114" spans="1:15" x14ac:dyDescent="0.25">
      <c r="A114" t="s">
        <v>10054</v>
      </c>
      <c r="B114" t="s">
        <v>10055</v>
      </c>
      <c r="C114" t="s">
        <v>10056</v>
      </c>
      <c r="D114" t="s">
        <v>10057</v>
      </c>
      <c r="E114" t="s">
        <v>10060</v>
      </c>
      <c r="F114" t="s">
        <v>5</v>
      </c>
      <c r="G114" t="s">
        <v>5</v>
      </c>
      <c r="H114" t="s">
        <v>5</v>
      </c>
      <c r="I114" t="s">
        <v>10058</v>
      </c>
      <c r="J114" t="s">
        <v>96</v>
      </c>
      <c r="K114" s="3">
        <f t="shared" si="2"/>
        <v>0</v>
      </c>
      <c r="L114" s="3">
        <f>IF(ISERROR(VLOOKUP(J114,Lookups!$A$2:$A$16,1,FALSE)),1,0)</f>
        <v>0</v>
      </c>
      <c r="M114" s="3">
        <f>IF(ISERROR(VLOOKUP(D114,Data!$A$2:$D$223100,2,FALSE)),0,1)</f>
        <v>1</v>
      </c>
      <c r="N114" s="3">
        <f t="shared" si="3"/>
        <v>0</v>
      </c>
      <c r="O114" s="3" t="str">
        <f>IF(ISERROR(VLOOKUP(D114,Data!$A$2:$C$223100,3,FALSE)),"INACTIVE",VLOOKUP(D114,Data!$A$2:$C$223100,3,FALSE))</f>
        <v>30+</v>
      </c>
    </row>
    <row r="115" spans="1:15" x14ac:dyDescent="0.25">
      <c r="A115" t="s">
        <v>10054</v>
      </c>
      <c r="B115" t="s">
        <v>10055</v>
      </c>
      <c r="C115" t="s">
        <v>10056</v>
      </c>
      <c r="D115" t="s">
        <v>10057</v>
      </c>
      <c r="E115" t="s">
        <v>10061</v>
      </c>
      <c r="F115" t="s">
        <v>5</v>
      </c>
      <c r="G115" t="s">
        <v>5</v>
      </c>
      <c r="H115" t="s">
        <v>5</v>
      </c>
      <c r="I115" t="s">
        <v>10058</v>
      </c>
      <c r="J115" t="s">
        <v>96</v>
      </c>
      <c r="K115" s="3">
        <f t="shared" si="2"/>
        <v>0</v>
      </c>
      <c r="L115" s="3">
        <f>IF(ISERROR(VLOOKUP(J115,Lookups!$A$2:$A$16,1,FALSE)),1,0)</f>
        <v>0</v>
      </c>
      <c r="M115" s="3">
        <f>IF(ISERROR(VLOOKUP(D115,Data!$A$2:$D$223100,2,FALSE)),0,1)</f>
        <v>1</v>
      </c>
      <c r="N115" s="3">
        <f t="shared" si="3"/>
        <v>0</v>
      </c>
      <c r="O115" s="3" t="str">
        <f>IF(ISERROR(VLOOKUP(D115,Data!$A$2:$C$223100,3,FALSE)),"INACTIVE",VLOOKUP(D115,Data!$A$2:$C$223100,3,FALSE))</f>
        <v>30+</v>
      </c>
    </row>
    <row r="116" spans="1:15" x14ac:dyDescent="0.25">
      <c r="A116" t="s">
        <v>10054</v>
      </c>
      <c r="B116" t="s">
        <v>10055</v>
      </c>
      <c r="C116" t="s">
        <v>10062</v>
      </c>
      <c r="D116" t="s">
        <v>10063</v>
      </c>
      <c r="E116" t="s">
        <v>10064</v>
      </c>
      <c r="F116" t="s">
        <v>5</v>
      </c>
      <c r="G116" t="s">
        <v>5</v>
      </c>
      <c r="H116" t="s">
        <v>5</v>
      </c>
      <c r="I116" t="s">
        <v>10058</v>
      </c>
      <c r="J116" t="s">
        <v>96</v>
      </c>
      <c r="K116" s="3">
        <f t="shared" si="2"/>
        <v>0</v>
      </c>
      <c r="L116" s="3">
        <f>IF(ISERROR(VLOOKUP(J116,Lookups!$A$2:$A$16,1,FALSE)),1,0)</f>
        <v>0</v>
      </c>
      <c r="M116" s="3">
        <f>IF(ISERROR(VLOOKUP(D116,Data!$A$2:$D$223100,2,FALSE)),0,1)</f>
        <v>1</v>
      </c>
      <c r="N116" s="3">
        <f t="shared" si="3"/>
        <v>0</v>
      </c>
      <c r="O116" s="3" t="str">
        <f>IF(ISERROR(VLOOKUP(D116,Data!$A$2:$C$223100,3,FALSE)),"INACTIVE",VLOOKUP(D116,Data!$A$2:$C$223100,3,FALSE))</f>
        <v>Current</v>
      </c>
    </row>
    <row r="117" spans="1:15" x14ac:dyDescent="0.25">
      <c r="A117" t="s">
        <v>10054</v>
      </c>
      <c r="B117" t="s">
        <v>10055</v>
      </c>
      <c r="C117" t="s">
        <v>10062</v>
      </c>
      <c r="D117" t="s">
        <v>10063</v>
      </c>
      <c r="E117" t="s">
        <v>10065</v>
      </c>
      <c r="F117" t="s">
        <v>5</v>
      </c>
      <c r="G117" t="s">
        <v>5</v>
      </c>
      <c r="H117" t="s">
        <v>5</v>
      </c>
      <c r="I117" t="s">
        <v>10058</v>
      </c>
      <c r="J117" t="s">
        <v>96</v>
      </c>
      <c r="K117" s="3">
        <f t="shared" si="2"/>
        <v>0</v>
      </c>
      <c r="L117" s="3">
        <f>IF(ISERROR(VLOOKUP(J117,Lookups!$A$2:$A$16,1,FALSE)),1,0)</f>
        <v>0</v>
      </c>
      <c r="M117" s="3">
        <f>IF(ISERROR(VLOOKUP(D117,Data!$A$2:$D$223100,2,FALSE)),0,1)</f>
        <v>1</v>
      </c>
      <c r="N117" s="3">
        <f t="shared" si="3"/>
        <v>0</v>
      </c>
      <c r="O117" s="3" t="str">
        <f>IF(ISERROR(VLOOKUP(D117,Data!$A$2:$C$223100,3,FALSE)),"INACTIVE",VLOOKUP(D117,Data!$A$2:$C$223100,3,FALSE))</f>
        <v>Current</v>
      </c>
    </row>
    <row r="118" spans="1:15" x14ac:dyDescent="0.25">
      <c r="A118" t="s">
        <v>10054</v>
      </c>
      <c r="B118" t="s">
        <v>10055</v>
      </c>
      <c r="C118" t="s">
        <v>10062</v>
      </c>
      <c r="D118" t="s">
        <v>10063</v>
      </c>
      <c r="E118" t="s">
        <v>10066</v>
      </c>
      <c r="F118" t="s">
        <v>5</v>
      </c>
      <c r="G118" t="s">
        <v>5</v>
      </c>
      <c r="H118" t="s">
        <v>5</v>
      </c>
      <c r="I118" t="s">
        <v>10058</v>
      </c>
      <c r="J118" t="s">
        <v>96</v>
      </c>
      <c r="K118" s="3">
        <f t="shared" si="2"/>
        <v>0</v>
      </c>
      <c r="L118" s="3">
        <f>IF(ISERROR(VLOOKUP(J118,Lookups!$A$2:$A$16,1,FALSE)),1,0)</f>
        <v>0</v>
      </c>
      <c r="M118" s="3">
        <f>IF(ISERROR(VLOOKUP(D118,Data!$A$2:$D$223100,2,FALSE)),0,1)</f>
        <v>1</v>
      </c>
      <c r="N118" s="3">
        <f t="shared" si="3"/>
        <v>0</v>
      </c>
      <c r="O118" s="3" t="str">
        <f>IF(ISERROR(VLOOKUP(D118,Data!$A$2:$C$223100,3,FALSE)),"INACTIVE",VLOOKUP(D118,Data!$A$2:$C$223100,3,FALSE))</f>
        <v>Current</v>
      </c>
    </row>
    <row r="119" spans="1:15" x14ac:dyDescent="0.25">
      <c r="A119" t="s">
        <v>6758</v>
      </c>
      <c r="B119" t="s">
        <v>10224</v>
      </c>
      <c r="C119" t="s">
        <v>10225</v>
      </c>
      <c r="D119" t="s">
        <v>10226</v>
      </c>
      <c r="E119" t="s">
        <v>5</v>
      </c>
      <c r="F119" t="s">
        <v>10227</v>
      </c>
      <c r="G119" t="s">
        <v>5</v>
      </c>
      <c r="H119" t="s">
        <v>5</v>
      </c>
      <c r="I119" t="s">
        <v>10058</v>
      </c>
      <c r="J119" t="s">
        <v>7</v>
      </c>
      <c r="K119" s="3">
        <f t="shared" si="2"/>
        <v>0</v>
      </c>
      <c r="L119" s="3">
        <f>IF(ISERROR(VLOOKUP(J119,Lookups!$A$2:$A$16,1,FALSE)),1,0)</f>
        <v>1</v>
      </c>
      <c r="M119" s="3">
        <f>IF(ISERROR(VLOOKUP(D119,Data!$A$2:$D$223100,2,FALSE)),0,1)</f>
        <v>1</v>
      </c>
      <c r="N119" s="3">
        <f t="shared" si="3"/>
        <v>1</v>
      </c>
      <c r="O119" s="3" t="str">
        <f>IF(ISERROR(VLOOKUP(D119,Data!$A$2:$C$223100,3,FALSE)),"INACTIVE",VLOOKUP(D119,Data!$A$2:$C$223100,3,FALSE))</f>
        <v>Current</v>
      </c>
    </row>
    <row r="120" spans="1:15" x14ac:dyDescent="0.25">
      <c r="A120" t="s">
        <v>6758</v>
      </c>
      <c r="B120" t="s">
        <v>10224</v>
      </c>
      <c r="C120" t="s">
        <v>10225</v>
      </c>
      <c r="D120" t="s">
        <v>10226</v>
      </c>
      <c r="E120" t="s">
        <v>5</v>
      </c>
      <c r="F120" t="s">
        <v>10228</v>
      </c>
      <c r="G120" t="s">
        <v>5</v>
      </c>
      <c r="H120" t="s">
        <v>5</v>
      </c>
      <c r="I120" t="s">
        <v>10058</v>
      </c>
      <c r="J120" t="s">
        <v>7</v>
      </c>
      <c r="K120" s="3">
        <f t="shared" si="2"/>
        <v>0</v>
      </c>
      <c r="L120" s="3">
        <f>IF(ISERROR(VLOOKUP(J120,Lookups!$A$2:$A$16,1,FALSE)),1,0)</f>
        <v>1</v>
      </c>
      <c r="M120" s="3">
        <f>IF(ISERROR(VLOOKUP(D120,Data!$A$2:$D$223100,2,FALSE)),0,1)</f>
        <v>1</v>
      </c>
      <c r="N120" s="3">
        <f t="shared" si="3"/>
        <v>1</v>
      </c>
      <c r="O120" s="3" t="str">
        <f>IF(ISERROR(VLOOKUP(D120,Data!$A$2:$C$223100,3,FALSE)),"INACTIVE",VLOOKUP(D120,Data!$A$2:$C$223100,3,FALSE))</f>
        <v>Current</v>
      </c>
    </row>
    <row r="121" spans="1:15" x14ac:dyDescent="0.25">
      <c r="A121" t="s">
        <v>6758</v>
      </c>
      <c r="B121" t="s">
        <v>10224</v>
      </c>
      <c r="C121" t="s">
        <v>10229</v>
      </c>
      <c r="D121" t="s">
        <v>10230</v>
      </c>
      <c r="E121" t="s">
        <v>5</v>
      </c>
      <c r="F121" t="s">
        <v>10231</v>
      </c>
      <c r="G121" t="s">
        <v>5</v>
      </c>
      <c r="H121" t="s">
        <v>5</v>
      </c>
      <c r="I121" t="s">
        <v>10058</v>
      </c>
      <c r="J121" t="s">
        <v>7</v>
      </c>
      <c r="K121" s="3">
        <f t="shared" si="2"/>
        <v>0</v>
      </c>
      <c r="L121" s="3">
        <f>IF(ISERROR(VLOOKUP(J121,Lookups!$A$2:$A$16,1,FALSE)),1,0)</f>
        <v>1</v>
      </c>
      <c r="M121" s="3">
        <f>IF(ISERROR(VLOOKUP(D121,Data!$A$2:$D$223100,2,FALSE)),0,1)</f>
        <v>1</v>
      </c>
      <c r="N121" s="3">
        <f t="shared" si="3"/>
        <v>1</v>
      </c>
      <c r="O121" s="3" t="str">
        <f>IF(ISERROR(VLOOKUP(D121,Data!$A$2:$C$223100,3,FALSE)),"INACTIVE",VLOOKUP(D121,Data!$A$2:$C$223100,3,FALSE))</f>
        <v>Current</v>
      </c>
    </row>
    <row r="122" spans="1:15" x14ac:dyDescent="0.25">
      <c r="A122" t="s">
        <v>9979</v>
      </c>
      <c r="B122" t="s">
        <v>9980</v>
      </c>
      <c r="C122" t="s">
        <v>9981</v>
      </c>
      <c r="D122" t="s">
        <v>9982</v>
      </c>
      <c r="E122" t="s">
        <v>9983</v>
      </c>
      <c r="F122" t="s">
        <v>9983</v>
      </c>
      <c r="G122" t="s">
        <v>5</v>
      </c>
      <c r="H122" t="s">
        <v>5</v>
      </c>
      <c r="I122" t="s">
        <v>9984</v>
      </c>
      <c r="J122" t="s">
        <v>96</v>
      </c>
      <c r="K122" s="3">
        <f t="shared" si="2"/>
        <v>0</v>
      </c>
      <c r="L122" s="3">
        <f>IF(ISERROR(VLOOKUP(J122,Lookups!$A$2:$A$16,1,FALSE)),1,0)</f>
        <v>0</v>
      </c>
      <c r="M122" s="3">
        <f>IF(ISERROR(VLOOKUP(D122,Data!$A$2:$D$223100,2,FALSE)),0,1)</f>
        <v>1</v>
      </c>
      <c r="N122" s="3">
        <f t="shared" si="3"/>
        <v>0</v>
      </c>
      <c r="O122" s="3" t="str">
        <f>IF(ISERROR(VLOOKUP(D122,Data!$A$2:$C$223100,3,FALSE)),"INACTIVE",VLOOKUP(D122,Data!$A$2:$C$223100,3,FALSE))</f>
        <v>30+</v>
      </c>
    </row>
    <row r="123" spans="1:15" x14ac:dyDescent="0.25">
      <c r="A123" t="s">
        <v>9979</v>
      </c>
      <c r="B123" t="s">
        <v>9980</v>
      </c>
      <c r="C123" t="s">
        <v>9981</v>
      </c>
      <c r="D123" t="s">
        <v>9982</v>
      </c>
      <c r="E123" t="s">
        <v>9985</v>
      </c>
      <c r="F123" t="s">
        <v>9985</v>
      </c>
      <c r="G123" t="s">
        <v>5</v>
      </c>
      <c r="H123" t="s">
        <v>5</v>
      </c>
      <c r="I123" t="s">
        <v>9984</v>
      </c>
      <c r="J123" t="s">
        <v>96</v>
      </c>
      <c r="K123" s="3">
        <f t="shared" si="2"/>
        <v>0</v>
      </c>
      <c r="L123" s="3">
        <f>IF(ISERROR(VLOOKUP(J123,Lookups!$A$2:$A$16,1,FALSE)),1,0)</f>
        <v>0</v>
      </c>
      <c r="M123" s="3">
        <f>IF(ISERROR(VLOOKUP(D123,Data!$A$2:$D$223100,2,FALSE)),0,1)</f>
        <v>1</v>
      </c>
      <c r="N123" s="3">
        <f t="shared" si="3"/>
        <v>0</v>
      </c>
      <c r="O123" s="3" t="str">
        <f>IF(ISERROR(VLOOKUP(D123,Data!$A$2:$C$223100,3,FALSE)),"INACTIVE",VLOOKUP(D123,Data!$A$2:$C$223100,3,FALSE))</f>
        <v>30+</v>
      </c>
    </row>
    <row r="124" spans="1:15" x14ac:dyDescent="0.25">
      <c r="A124" t="s">
        <v>10243</v>
      </c>
      <c r="B124" t="s">
        <v>10244</v>
      </c>
      <c r="C124" t="s">
        <v>10245</v>
      </c>
      <c r="D124" t="s">
        <v>10246</v>
      </c>
      <c r="E124" t="s">
        <v>10247</v>
      </c>
      <c r="F124" t="s">
        <v>5</v>
      </c>
      <c r="G124" t="s">
        <v>5</v>
      </c>
      <c r="H124" t="s">
        <v>5</v>
      </c>
      <c r="I124" t="s">
        <v>9984</v>
      </c>
      <c r="J124" t="s">
        <v>14</v>
      </c>
      <c r="K124" s="3">
        <f t="shared" si="2"/>
        <v>0</v>
      </c>
      <c r="L124" s="3">
        <f>IF(ISERROR(VLOOKUP(J124,Lookups!$A$2:$A$16,1,FALSE)),1,0)</f>
        <v>1</v>
      </c>
      <c r="M124" s="3">
        <f>IF(ISERROR(VLOOKUP(D124,Data!$A$2:$D$223100,2,FALSE)),0,1)</f>
        <v>1</v>
      </c>
      <c r="N124" s="3">
        <f t="shared" si="3"/>
        <v>1</v>
      </c>
      <c r="O124" s="3" t="str">
        <f>IF(ISERROR(VLOOKUP(D124,Data!$A$2:$C$223100,3,FALSE)),"INACTIVE",VLOOKUP(D124,Data!$A$2:$C$223100,3,FALSE))</f>
        <v>FC</v>
      </c>
    </row>
    <row r="125" spans="1:15" x14ac:dyDescent="0.25">
      <c r="A125" t="s">
        <v>10020</v>
      </c>
      <c r="B125" t="s">
        <v>10021</v>
      </c>
      <c r="C125" t="s">
        <v>10022</v>
      </c>
      <c r="D125" t="s">
        <v>10023</v>
      </c>
      <c r="E125" t="s">
        <v>10024</v>
      </c>
      <c r="F125" t="s">
        <v>5</v>
      </c>
      <c r="G125" t="s">
        <v>5</v>
      </c>
      <c r="H125" t="s">
        <v>5</v>
      </c>
      <c r="I125" t="s">
        <v>10025</v>
      </c>
      <c r="J125" t="s">
        <v>7</v>
      </c>
      <c r="K125" s="3">
        <f t="shared" si="2"/>
        <v>0</v>
      </c>
      <c r="L125" s="3">
        <f>IF(ISERROR(VLOOKUP(J125,Lookups!$A$2:$A$16,1,FALSE)),1,0)</f>
        <v>1</v>
      </c>
      <c r="M125" s="3">
        <f>IF(ISERROR(VLOOKUP(D125,Data!$A$2:$D$223100,2,FALSE)),0,1)</f>
        <v>0</v>
      </c>
      <c r="N125" s="3">
        <f t="shared" si="3"/>
        <v>0</v>
      </c>
      <c r="O125" s="3" t="str">
        <f>IF(ISERROR(VLOOKUP(D125,Data!$A$2:$C$223100,3,FALSE)),"INACTIVE",VLOOKUP(D125,Data!$A$2:$C$223100,3,FALSE))</f>
        <v>INACTIVE</v>
      </c>
    </row>
    <row r="126" spans="1:15" x14ac:dyDescent="0.25">
      <c r="A126" t="s">
        <v>10002</v>
      </c>
      <c r="B126" t="s">
        <v>10003</v>
      </c>
      <c r="C126" t="s">
        <v>10004</v>
      </c>
      <c r="D126" t="s">
        <v>10005</v>
      </c>
      <c r="E126" t="s">
        <v>10006</v>
      </c>
      <c r="F126" t="s">
        <v>5</v>
      </c>
      <c r="G126" t="s">
        <v>5</v>
      </c>
      <c r="H126" t="s">
        <v>5</v>
      </c>
      <c r="I126" t="s">
        <v>10007</v>
      </c>
      <c r="J126" t="s">
        <v>90</v>
      </c>
      <c r="K126" s="3">
        <f t="shared" si="2"/>
        <v>0</v>
      </c>
      <c r="L126" s="3">
        <f>IF(ISERROR(VLOOKUP(J126,Lookups!$A$2:$A$16,1,FALSE)),1,0)</f>
        <v>0</v>
      </c>
      <c r="M126" s="3">
        <f>IF(ISERROR(VLOOKUP(D126,Data!$A$2:$D$223100,2,FALSE)),0,1)</f>
        <v>1</v>
      </c>
      <c r="N126" s="3">
        <f t="shared" si="3"/>
        <v>0</v>
      </c>
      <c r="O126" s="3" t="str">
        <f>IF(ISERROR(VLOOKUP(D126,Data!$A$2:$C$223100,3,FALSE)),"INACTIVE",VLOOKUP(D126,Data!$A$2:$C$223100,3,FALSE))</f>
        <v>FC</v>
      </c>
    </row>
    <row r="127" spans="1:15" x14ac:dyDescent="0.25">
      <c r="A127" t="s">
        <v>10002</v>
      </c>
      <c r="B127" t="s">
        <v>10003</v>
      </c>
      <c r="C127" t="s">
        <v>10008</v>
      </c>
      <c r="D127" t="s">
        <v>10009</v>
      </c>
      <c r="E127" t="s">
        <v>10010</v>
      </c>
      <c r="F127" t="s">
        <v>5</v>
      </c>
      <c r="G127" t="s">
        <v>5</v>
      </c>
      <c r="H127" t="s">
        <v>5</v>
      </c>
      <c r="I127" t="s">
        <v>10007</v>
      </c>
      <c r="J127" t="s">
        <v>90</v>
      </c>
      <c r="K127" s="3">
        <f t="shared" si="2"/>
        <v>0</v>
      </c>
      <c r="L127" s="3">
        <f>IF(ISERROR(VLOOKUP(J127,Lookups!$A$2:$A$16,1,FALSE)),1,0)</f>
        <v>0</v>
      </c>
      <c r="M127" s="3">
        <f>IF(ISERROR(VLOOKUP(D127,Data!$A$2:$D$223100,2,FALSE)),0,1)</f>
        <v>1</v>
      </c>
      <c r="N127" s="3">
        <f t="shared" si="3"/>
        <v>0</v>
      </c>
      <c r="O127" s="3" t="str">
        <f>IF(ISERROR(VLOOKUP(D127,Data!$A$2:$C$223100,3,FALSE)),"INACTIVE",VLOOKUP(D127,Data!$A$2:$C$223100,3,FALSE))</f>
        <v>Current</v>
      </c>
    </row>
    <row r="128" spans="1:15" x14ac:dyDescent="0.25">
      <c r="A128" t="s">
        <v>10002</v>
      </c>
      <c r="B128" t="s">
        <v>10003</v>
      </c>
      <c r="C128" t="s">
        <v>10011</v>
      </c>
      <c r="D128" t="s">
        <v>10012</v>
      </c>
      <c r="E128" t="s">
        <v>10013</v>
      </c>
      <c r="F128" t="s">
        <v>5</v>
      </c>
      <c r="G128" t="s">
        <v>5</v>
      </c>
      <c r="H128" t="s">
        <v>5</v>
      </c>
      <c r="I128" t="s">
        <v>10007</v>
      </c>
      <c r="J128" t="s">
        <v>90</v>
      </c>
      <c r="K128" s="3">
        <f t="shared" si="2"/>
        <v>0</v>
      </c>
      <c r="L128" s="3">
        <f>IF(ISERROR(VLOOKUP(J128,Lookups!$A$2:$A$16,1,FALSE)),1,0)</f>
        <v>0</v>
      </c>
      <c r="M128" s="3">
        <f>IF(ISERROR(VLOOKUP(D128,Data!$A$2:$D$223100,2,FALSE)),0,1)</f>
        <v>0</v>
      </c>
      <c r="N128" s="3">
        <f t="shared" si="3"/>
        <v>0</v>
      </c>
      <c r="O128" s="3" t="str">
        <f>IF(ISERROR(VLOOKUP(D128,Data!$A$2:$C$223100,3,FALSE)),"INACTIVE",VLOOKUP(D128,Data!$A$2:$C$223100,3,FALSE))</f>
        <v>INACTIVE</v>
      </c>
    </row>
    <row r="129" spans="1:15" x14ac:dyDescent="0.25">
      <c r="A129" t="s">
        <v>378</v>
      </c>
      <c r="B129" t="s">
        <v>379</v>
      </c>
      <c r="C129" t="s">
        <v>9916</v>
      </c>
      <c r="D129" t="s">
        <v>9917</v>
      </c>
      <c r="E129" t="s">
        <v>9918</v>
      </c>
      <c r="F129" t="s">
        <v>5</v>
      </c>
      <c r="G129" t="s">
        <v>5</v>
      </c>
      <c r="H129" t="s">
        <v>5</v>
      </c>
      <c r="I129" t="s">
        <v>9919</v>
      </c>
      <c r="J129" t="s">
        <v>7</v>
      </c>
      <c r="K129" s="3">
        <f t="shared" si="2"/>
        <v>0</v>
      </c>
      <c r="L129" s="3">
        <f>IF(ISERROR(VLOOKUP(J129,Lookups!$A$2:$A$16,1,FALSE)),1,0)</f>
        <v>1</v>
      </c>
      <c r="M129" s="3">
        <f>IF(ISERROR(VLOOKUP(D129,Data!$A$2:$D$223100,2,FALSE)),0,1)</f>
        <v>1</v>
      </c>
      <c r="N129" s="3">
        <f t="shared" si="3"/>
        <v>1</v>
      </c>
      <c r="O129" s="3" t="str">
        <f>IF(ISERROR(VLOOKUP(D129,Data!$A$2:$C$223100,3,FALSE)),"INACTIVE",VLOOKUP(D129,Data!$A$2:$C$223100,3,FALSE))</f>
        <v>Current</v>
      </c>
    </row>
    <row r="130" spans="1:15" x14ac:dyDescent="0.25">
      <c r="A130" t="s">
        <v>378</v>
      </c>
      <c r="B130" t="s">
        <v>379</v>
      </c>
      <c r="C130" t="s">
        <v>9920</v>
      </c>
      <c r="D130" t="s">
        <v>9921</v>
      </c>
      <c r="E130" t="s">
        <v>9922</v>
      </c>
      <c r="F130" t="s">
        <v>5</v>
      </c>
      <c r="G130" t="s">
        <v>5</v>
      </c>
      <c r="H130" t="s">
        <v>5</v>
      </c>
      <c r="I130" t="s">
        <v>9919</v>
      </c>
      <c r="J130" t="s">
        <v>7</v>
      </c>
      <c r="K130" s="3">
        <f t="shared" si="2"/>
        <v>0</v>
      </c>
      <c r="L130" s="3">
        <f>IF(ISERROR(VLOOKUP(J130,Lookups!$A$2:$A$16,1,FALSE)),1,0)</f>
        <v>1</v>
      </c>
      <c r="M130" s="3">
        <f>IF(ISERROR(VLOOKUP(D130,Data!$A$2:$D$223100,2,FALSE)),0,1)</f>
        <v>1</v>
      </c>
      <c r="N130" s="3">
        <f t="shared" si="3"/>
        <v>1</v>
      </c>
      <c r="O130" s="3" t="str">
        <f>IF(ISERROR(VLOOKUP(D130,Data!$A$2:$C$223100,3,FALSE)),"INACTIVE",VLOOKUP(D130,Data!$A$2:$C$223100,3,FALSE))</f>
        <v>FBA</v>
      </c>
    </row>
    <row r="131" spans="1:15" x14ac:dyDescent="0.25">
      <c r="A131" t="s">
        <v>378</v>
      </c>
      <c r="B131" t="s">
        <v>379</v>
      </c>
      <c r="C131" t="s">
        <v>383</v>
      </c>
      <c r="D131" t="s">
        <v>381</v>
      </c>
      <c r="E131" t="s">
        <v>9923</v>
      </c>
      <c r="F131" t="s">
        <v>5</v>
      </c>
      <c r="G131" t="s">
        <v>5</v>
      </c>
      <c r="H131" t="s">
        <v>5</v>
      </c>
      <c r="I131" t="s">
        <v>9919</v>
      </c>
      <c r="J131" t="s">
        <v>90</v>
      </c>
      <c r="K131" s="3">
        <f t="shared" ref="K131:K194" si="4">IF(ISERROR(FIND("LIEN",A131,1)),0,1)</f>
        <v>0</v>
      </c>
      <c r="L131" s="3">
        <f>IF(ISERROR(VLOOKUP(J131,Lookups!$A$2:$A$16,1,FALSE)),1,0)</f>
        <v>0</v>
      </c>
      <c r="M131" s="3">
        <f>IF(ISERROR(VLOOKUP(D131,Data!$A$2:$D$223100,2,FALSE)),0,1)</f>
        <v>1</v>
      </c>
      <c r="N131" s="3">
        <f t="shared" ref="N131:N194" si="5">IF(M131=0,0,IF(SUM(K131:L131)&gt;0,1,0))</f>
        <v>0</v>
      </c>
      <c r="O131" s="3" t="str">
        <f>IF(ISERROR(VLOOKUP(D131,Data!$A$2:$C$223100,3,FALSE)),"INACTIVE",VLOOKUP(D131,Data!$A$2:$C$223100,3,FALSE))</f>
        <v>Demand Letter</v>
      </c>
    </row>
    <row r="132" spans="1:15" x14ac:dyDescent="0.25">
      <c r="A132" t="s">
        <v>378</v>
      </c>
      <c r="B132" t="s">
        <v>379</v>
      </c>
      <c r="C132" t="s">
        <v>383</v>
      </c>
      <c r="D132" t="s">
        <v>381</v>
      </c>
      <c r="E132" t="s">
        <v>384</v>
      </c>
      <c r="F132" t="s">
        <v>5</v>
      </c>
      <c r="G132" t="s">
        <v>5</v>
      </c>
      <c r="H132" t="s">
        <v>5</v>
      </c>
      <c r="I132" t="s">
        <v>9919</v>
      </c>
      <c r="J132" t="s">
        <v>90</v>
      </c>
      <c r="K132" s="3">
        <f t="shared" si="4"/>
        <v>0</v>
      </c>
      <c r="L132" s="3">
        <f>IF(ISERROR(VLOOKUP(J132,Lookups!$A$2:$A$16,1,FALSE)),1,0)</f>
        <v>0</v>
      </c>
      <c r="M132" s="3">
        <f>IF(ISERROR(VLOOKUP(D132,Data!$A$2:$D$223100,2,FALSE)),0,1)</f>
        <v>1</v>
      </c>
      <c r="N132" s="3">
        <f t="shared" si="5"/>
        <v>0</v>
      </c>
      <c r="O132" s="3" t="str">
        <f>IF(ISERROR(VLOOKUP(D132,Data!$A$2:$C$223100,3,FALSE)),"INACTIVE",VLOOKUP(D132,Data!$A$2:$C$223100,3,FALSE))</f>
        <v>Demand Letter</v>
      </c>
    </row>
    <row r="133" spans="1:15" x14ac:dyDescent="0.25">
      <c r="A133" t="s">
        <v>378</v>
      </c>
      <c r="B133" t="s">
        <v>379</v>
      </c>
      <c r="C133" t="s">
        <v>398</v>
      </c>
      <c r="D133" t="s">
        <v>399</v>
      </c>
      <c r="E133" t="s">
        <v>9924</v>
      </c>
      <c r="F133" t="s">
        <v>5</v>
      </c>
      <c r="G133" t="s">
        <v>5</v>
      </c>
      <c r="H133" t="s">
        <v>5</v>
      </c>
      <c r="I133" t="s">
        <v>9919</v>
      </c>
      <c r="J133" t="s">
        <v>7</v>
      </c>
      <c r="K133" s="3">
        <f t="shared" si="4"/>
        <v>0</v>
      </c>
      <c r="L133" s="3">
        <f>IF(ISERROR(VLOOKUP(J133,Lookups!$A$2:$A$16,1,FALSE)),1,0)</f>
        <v>1</v>
      </c>
      <c r="M133" s="3">
        <f>IF(ISERROR(VLOOKUP(D133,Data!$A$2:$D$223100,2,FALSE)),0,1)</f>
        <v>1</v>
      </c>
      <c r="N133" s="3">
        <f t="shared" si="5"/>
        <v>1</v>
      </c>
      <c r="O133" s="3" t="str">
        <f>IF(ISERROR(VLOOKUP(D133,Data!$A$2:$C$223100,3,FALSE)),"INACTIVE",VLOOKUP(D133,Data!$A$2:$C$223100,3,FALSE))</f>
        <v>BK13</v>
      </c>
    </row>
    <row r="134" spans="1:15" x14ac:dyDescent="0.25">
      <c r="A134" t="s">
        <v>10026</v>
      </c>
      <c r="B134" t="s">
        <v>10027</v>
      </c>
      <c r="C134" t="s">
        <v>10028</v>
      </c>
      <c r="D134" t="s">
        <v>10029</v>
      </c>
      <c r="E134" t="s">
        <v>5</v>
      </c>
      <c r="F134" t="s">
        <v>5</v>
      </c>
      <c r="G134" t="s">
        <v>10030</v>
      </c>
      <c r="H134" t="s">
        <v>10031</v>
      </c>
      <c r="I134" t="s">
        <v>9919</v>
      </c>
      <c r="J134" t="s">
        <v>7</v>
      </c>
      <c r="K134" s="3">
        <f t="shared" si="4"/>
        <v>0</v>
      </c>
      <c r="L134" s="3">
        <f>IF(ISERROR(VLOOKUP(J134,Lookups!$A$2:$A$16,1,FALSE)),1,0)</f>
        <v>1</v>
      </c>
      <c r="M134" s="3">
        <f>IF(ISERROR(VLOOKUP(D134,Data!$A$2:$D$223100,2,FALSE)),0,1)</f>
        <v>1</v>
      </c>
      <c r="N134" s="3">
        <f t="shared" si="5"/>
        <v>1</v>
      </c>
      <c r="O134" s="3" t="str">
        <f>IF(ISERROR(VLOOKUP(D134,Data!$A$2:$C$223100,3,FALSE)),"INACTIVE",VLOOKUP(D134,Data!$A$2:$C$223100,3,FALSE))</f>
        <v>30+</v>
      </c>
    </row>
    <row r="135" spans="1:15" x14ac:dyDescent="0.25">
      <c r="A135" t="s">
        <v>10161</v>
      </c>
      <c r="B135" t="s">
        <v>10162</v>
      </c>
      <c r="C135" t="s">
        <v>10163</v>
      </c>
      <c r="D135" t="s">
        <v>10164</v>
      </c>
      <c r="E135" t="s">
        <v>10165</v>
      </c>
      <c r="F135" t="s">
        <v>5</v>
      </c>
      <c r="G135" t="s">
        <v>5</v>
      </c>
      <c r="H135" t="s">
        <v>5</v>
      </c>
      <c r="I135" t="s">
        <v>9919</v>
      </c>
      <c r="J135" t="s">
        <v>96</v>
      </c>
      <c r="K135" s="3">
        <f t="shared" si="4"/>
        <v>0</v>
      </c>
      <c r="L135" s="3">
        <f>IF(ISERROR(VLOOKUP(J135,Lookups!$A$2:$A$16,1,FALSE)),1,0)</f>
        <v>0</v>
      </c>
      <c r="M135" s="3">
        <f>IF(ISERROR(VLOOKUP(D135,Data!$A$2:$D$223100,2,FALSE)),0,1)</f>
        <v>1</v>
      </c>
      <c r="N135" s="3">
        <f t="shared" si="5"/>
        <v>0</v>
      </c>
      <c r="O135" s="3" t="str">
        <f>IF(ISERROR(VLOOKUP(D135,Data!$A$2:$C$223100,3,FALSE)),"INACTIVE",VLOOKUP(D135,Data!$A$2:$C$223100,3,FALSE))</f>
        <v>Current</v>
      </c>
    </row>
    <row r="136" spans="1:15" x14ac:dyDescent="0.25">
      <c r="A136" t="s">
        <v>10161</v>
      </c>
      <c r="B136" t="s">
        <v>10162</v>
      </c>
      <c r="C136" t="s">
        <v>10163</v>
      </c>
      <c r="D136" t="s">
        <v>10164</v>
      </c>
      <c r="E136" t="s">
        <v>10166</v>
      </c>
      <c r="F136" t="s">
        <v>5</v>
      </c>
      <c r="G136" t="s">
        <v>5</v>
      </c>
      <c r="H136" t="s">
        <v>5</v>
      </c>
      <c r="I136" t="s">
        <v>9919</v>
      </c>
      <c r="J136" t="s">
        <v>96</v>
      </c>
      <c r="K136" s="3">
        <f t="shared" si="4"/>
        <v>0</v>
      </c>
      <c r="L136" s="3">
        <f>IF(ISERROR(VLOOKUP(J136,Lookups!$A$2:$A$16,1,FALSE)),1,0)</f>
        <v>0</v>
      </c>
      <c r="M136" s="3">
        <f>IF(ISERROR(VLOOKUP(D136,Data!$A$2:$D$223100,2,FALSE)),0,1)</f>
        <v>1</v>
      </c>
      <c r="N136" s="3">
        <f t="shared" si="5"/>
        <v>0</v>
      </c>
      <c r="O136" s="3" t="str">
        <f>IF(ISERROR(VLOOKUP(D136,Data!$A$2:$C$223100,3,FALSE)),"INACTIVE",VLOOKUP(D136,Data!$A$2:$C$223100,3,FALSE))</f>
        <v>Current</v>
      </c>
    </row>
    <row r="137" spans="1:15" x14ac:dyDescent="0.25">
      <c r="A137" t="s">
        <v>10161</v>
      </c>
      <c r="B137" t="s">
        <v>10162</v>
      </c>
      <c r="C137" t="s">
        <v>10163</v>
      </c>
      <c r="D137" t="s">
        <v>10164</v>
      </c>
      <c r="E137" t="s">
        <v>10167</v>
      </c>
      <c r="F137" t="s">
        <v>5</v>
      </c>
      <c r="G137" t="s">
        <v>5</v>
      </c>
      <c r="H137" t="s">
        <v>5</v>
      </c>
      <c r="I137" t="s">
        <v>9919</v>
      </c>
      <c r="J137" t="s">
        <v>96</v>
      </c>
      <c r="K137" s="3">
        <f t="shared" si="4"/>
        <v>0</v>
      </c>
      <c r="L137" s="3">
        <f>IF(ISERROR(VLOOKUP(J137,Lookups!$A$2:$A$16,1,FALSE)),1,0)</f>
        <v>0</v>
      </c>
      <c r="M137" s="3">
        <f>IF(ISERROR(VLOOKUP(D137,Data!$A$2:$D$223100,2,FALSE)),0,1)</f>
        <v>1</v>
      </c>
      <c r="N137" s="3">
        <f t="shared" si="5"/>
        <v>0</v>
      </c>
      <c r="O137" s="3" t="str">
        <f>IF(ISERROR(VLOOKUP(D137,Data!$A$2:$C$223100,3,FALSE)),"INACTIVE",VLOOKUP(D137,Data!$A$2:$C$223100,3,FALSE))</f>
        <v>Current</v>
      </c>
    </row>
    <row r="138" spans="1:15" x14ac:dyDescent="0.25">
      <c r="A138" t="s">
        <v>9811</v>
      </c>
      <c r="B138" t="s">
        <v>9812</v>
      </c>
      <c r="C138" t="s">
        <v>9813</v>
      </c>
      <c r="D138" t="s">
        <v>9814</v>
      </c>
      <c r="E138" t="s">
        <v>5</v>
      </c>
      <c r="F138" t="s">
        <v>5052</v>
      </c>
      <c r="G138" t="s">
        <v>5</v>
      </c>
      <c r="H138" t="s">
        <v>5</v>
      </c>
      <c r="I138" t="s">
        <v>9815</v>
      </c>
      <c r="J138" t="s">
        <v>96</v>
      </c>
      <c r="K138" s="3">
        <f t="shared" si="4"/>
        <v>0</v>
      </c>
      <c r="L138" s="3">
        <f>IF(ISERROR(VLOOKUP(J138,Lookups!$A$2:$A$16,1,FALSE)),1,0)</f>
        <v>0</v>
      </c>
      <c r="M138" s="3">
        <f>IF(ISERROR(VLOOKUP(D138,Data!$A$2:$D$223100,2,FALSE)),0,1)</f>
        <v>1</v>
      </c>
      <c r="N138" s="3">
        <f t="shared" si="5"/>
        <v>0</v>
      </c>
      <c r="O138" s="3" t="str">
        <f>IF(ISERROR(VLOOKUP(D138,Data!$A$2:$C$223100,3,FALSE)),"INACTIVE",VLOOKUP(D138,Data!$A$2:$C$223100,3,FALSE))</f>
        <v>FBA</v>
      </c>
    </row>
    <row r="139" spans="1:15" x14ac:dyDescent="0.25">
      <c r="A139" t="s">
        <v>9811</v>
      </c>
      <c r="B139" t="s">
        <v>9812</v>
      </c>
      <c r="C139" t="s">
        <v>9813</v>
      </c>
      <c r="D139" t="s">
        <v>9814</v>
      </c>
      <c r="E139" t="s">
        <v>9816</v>
      </c>
      <c r="F139" t="s">
        <v>5</v>
      </c>
      <c r="G139" t="s">
        <v>5</v>
      </c>
      <c r="H139" t="s">
        <v>5</v>
      </c>
      <c r="I139" t="s">
        <v>9815</v>
      </c>
      <c r="J139" t="s">
        <v>96</v>
      </c>
      <c r="K139" s="3">
        <f t="shared" si="4"/>
        <v>0</v>
      </c>
      <c r="L139" s="3">
        <f>IF(ISERROR(VLOOKUP(J139,Lookups!$A$2:$A$16,1,FALSE)),1,0)</f>
        <v>0</v>
      </c>
      <c r="M139" s="3">
        <f>IF(ISERROR(VLOOKUP(D139,Data!$A$2:$D$223100,2,FALSE)),0,1)</f>
        <v>1</v>
      </c>
      <c r="N139" s="3">
        <f t="shared" si="5"/>
        <v>0</v>
      </c>
      <c r="O139" s="3" t="str">
        <f>IF(ISERROR(VLOOKUP(D139,Data!$A$2:$C$223100,3,FALSE)),"INACTIVE",VLOOKUP(D139,Data!$A$2:$C$223100,3,FALSE))</f>
        <v>FBA</v>
      </c>
    </row>
    <row r="140" spans="1:15" x14ac:dyDescent="0.25">
      <c r="A140" t="s">
        <v>9811</v>
      </c>
      <c r="B140" t="s">
        <v>9812</v>
      </c>
      <c r="C140" t="s">
        <v>9817</v>
      </c>
      <c r="D140" t="s">
        <v>9818</v>
      </c>
      <c r="E140" t="s">
        <v>5</v>
      </c>
      <c r="F140" t="s">
        <v>9819</v>
      </c>
      <c r="G140" t="s">
        <v>5</v>
      </c>
      <c r="H140" t="s">
        <v>5</v>
      </c>
      <c r="I140" t="s">
        <v>9815</v>
      </c>
      <c r="J140" t="s">
        <v>14</v>
      </c>
      <c r="K140" s="3">
        <f t="shared" si="4"/>
        <v>0</v>
      </c>
      <c r="L140" s="3">
        <f>IF(ISERROR(VLOOKUP(J140,Lookups!$A$2:$A$16,1,FALSE)),1,0)</f>
        <v>1</v>
      </c>
      <c r="M140" s="3">
        <f>IF(ISERROR(VLOOKUP(D140,Data!$A$2:$D$223100,2,FALSE)),0,1)</f>
        <v>1</v>
      </c>
      <c r="N140" s="3">
        <f t="shared" si="5"/>
        <v>1</v>
      </c>
      <c r="O140" s="3" t="str">
        <f>IF(ISERROR(VLOOKUP(D140,Data!$A$2:$C$223100,3,FALSE)),"INACTIVE",VLOOKUP(D140,Data!$A$2:$C$223100,3,FALSE))</f>
        <v>Current</v>
      </c>
    </row>
    <row r="141" spans="1:15" x14ac:dyDescent="0.25">
      <c r="A141" t="s">
        <v>9811</v>
      </c>
      <c r="B141" t="s">
        <v>9812</v>
      </c>
      <c r="C141" t="s">
        <v>9820</v>
      </c>
      <c r="D141" t="s">
        <v>9821</v>
      </c>
      <c r="E141" t="s">
        <v>7579</v>
      </c>
      <c r="F141" t="s">
        <v>5</v>
      </c>
      <c r="G141" t="s">
        <v>5</v>
      </c>
      <c r="H141" t="s">
        <v>5</v>
      </c>
      <c r="I141" t="s">
        <v>9815</v>
      </c>
      <c r="J141" t="s">
        <v>14</v>
      </c>
      <c r="K141" s="3">
        <f t="shared" si="4"/>
        <v>0</v>
      </c>
      <c r="L141" s="3">
        <f>IF(ISERROR(VLOOKUP(J141,Lookups!$A$2:$A$16,1,FALSE)),1,0)</f>
        <v>1</v>
      </c>
      <c r="M141" s="3">
        <f>IF(ISERROR(VLOOKUP(D141,Data!$A$2:$D$223100,2,FALSE)),0,1)</f>
        <v>1</v>
      </c>
      <c r="N141" s="3">
        <f t="shared" si="5"/>
        <v>1</v>
      </c>
      <c r="O141" s="3" t="str">
        <f>IF(ISERROR(VLOOKUP(D141,Data!$A$2:$C$223100,3,FALSE)),"INACTIVE",VLOOKUP(D141,Data!$A$2:$C$223100,3,FALSE))</f>
        <v>Demand Letter</v>
      </c>
    </row>
    <row r="142" spans="1:15" x14ac:dyDescent="0.25">
      <c r="A142" t="s">
        <v>9811</v>
      </c>
      <c r="B142" t="s">
        <v>9812</v>
      </c>
      <c r="C142" t="s">
        <v>9822</v>
      </c>
      <c r="D142" t="s">
        <v>9823</v>
      </c>
      <c r="E142" t="s">
        <v>5</v>
      </c>
      <c r="F142" t="s">
        <v>9824</v>
      </c>
      <c r="G142" t="s">
        <v>5</v>
      </c>
      <c r="H142" t="s">
        <v>5</v>
      </c>
      <c r="I142" t="s">
        <v>9815</v>
      </c>
      <c r="J142" t="s">
        <v>14</v>
      </c>
      <c r="K142" s="3">
        <f t="shared" si="4"/>
        <v>0</v>
      </c>
      <c r="L142" s="3">
        <f>IF(ISERROR(VLOOKUP(J142,Lookups!$A$2:$A$16,1,FALSE)),1,0)</f>
        <v>1</v>
      </c>
      <c r="M142" s="3">
        <f>IF(ISERROR(VLOOKUP(D142,Data!$A$2:$D$223100,2,FALSE)),0,1)</f>
        <v>1</v>
      </c>
      <c r="N142" s="3">
        <f t="shared" si="5"/>
        <v>1</v>
      </c>
      <c r="O142" s="3" t="str">
        <f>IF(ISERROR(VLOOKUP(D142,Data!$A$2:$C$223100,3,FALSE)),"INACTIVE",VLOOKUP(D142,Data!$A$2:$C$223100,3,FALSE))</f>
        <v>Current</v>
      </c>
    </row>
    <row r="143" spans="1:15" x14ac:dyDescent="0.25">
      <c r="A143" t="s">
        <v>9811</v>
      </c>
      <c r="B143" t="s">
        <v>9812</v>
      </c>
      <c r="C143" t="s">
        <v>9825</v>
      </c>
      <c r="D143" t="s">
        <v>9826</v>
      </c>
      <c r="E143" t="s">
        <v>9827</v>
      </c>
      <c r="F143" t="s">
        <v>5</v>
      </c>
      <c r="G143" t="s">
        <v>5</v>
      </c>
      <c r="H143" t="s">
        <v>5</v>
      </c>
      <c r="I143" t="s">
        <v>9815</v>
      </c>
      <c r="J143" t="s">
        <v>14</v>
      </c>
      <c r="K143" s="3">
        <f t="shared" si="4"/>
        <v>0</v>
      </c>
      <c r="L143" s="3">
        <f>IF(ISERROR(VLOOKUP(J143,Lookups!$A$2:$A$16,1,FALSE)),1,0)</f>
        <v>1</v>
      </c>
      <c r="M143" s="3">
        <f>IF(ISERROR(VLOOKUP(D143,Data!$A$2:$D$223100,2,FALSE)),0,1)</f>
        <v>0</v>
      </c>
      <c r="N143" s="3">
        <f t="shared" si="5"/>
        <v>0</v>
      </c>
      <c r="O143" s="3" t="str">
        <f>IF(ISERROR(VLOOKUP(D143,Data!$A$2:$C$223100,3,FALSE)),"INACTIVE",VLOOKUP(D143,Data!$A$2:$C$223100,3,FALSE))</f>
        <v>INACTIVE</v>
      </c>
    </row>
    <row r="144" spans="1:15" x14ac:dyDescent="0.25">
      <c r="A144" t="s">
        <v>9811</v>
      </c>
      <c r="B144" t="s">
        <v>9812</v>
      </c>
      <c r="C144" t="s">
        <v>9828</v>
      </c>
      <c r="D144" t="s">
        <v>9829</v>
      </c>
      <c r="E144" t="s">
        <v>5</v>
      </c>
      <c r="F144" t="s">
        <v>9830</v>
      </c>
      <c r="G144" t="s">
        <v>5</v>
      </c>
      <c r="H144" t="s">
        <v>5</v>
      </c>
      <c r="I144" t="s">
        <v>9815</v>
      </c>
      <c r="J144" t="s">
        <v>96</v>
      </c>
      <c r="K144" s="3">
        <f t="shared" si="4"/>
        <v>0</v>
      </c>
      <c r="L144" s="3">
        <f>IF(ISERROR(VLOOKUP(J144,Lookups!$A$2:$A$16,1,FALSE)),1,0)</f>
        <v>0</v>
      </c>
      <c r="M144" s="3">
        <f>IF(ISERROR(VLOOKUP(D144,Data!$A$2:$D$223100,2,FALSE)),0,1)</f>
        <v>1</v>
      </c>
      <c r="N144" s="3">
        <f t="shared" si="5"/>
        <v>0</v>
      </c>
      <c r="O144" s="3" t="str">
        <f>IF(ISERROR(VLOOKUP(D144,Data!$A$2:$C$223100,3,FALSE)),"INACTIVE",VLOOKUP(D144,Data!$A$2:$C$223100,3,FALSE))</f>
        <v>30+</v>
      </c>
    </row>
    <row r="145" spans="1:15" x14ac:dyDescent="0.25">
      <c r="A145" t="s">
        <v>9811</v>
      </c>
      <c r="B145" t="s">
        <v>9812</v>
      </c>
      <c r="C145" t="s">
        <v>9828</v>
      </c>
      <c r="D145" t="s">
        <v>9829</v>
      </c>
      <c r="E145" t="s">
        <v>9831</v>
      </c>
      <c r="F145" t="s">
        <v>5</v>
      </c>
      <c r="G145" t="s">
        <v>5</v>
      </c>
      <c r="H145" t="s">
        <v>5</v>
      </c>
      <c r="I145" t="s">
        <v>9815</v>
      </c>
      <c r="J145" t="s">
        <v>96</v>
      </c>
      <c r="K145" s="3">
        <f t="shared" si="4"/>
        <v>0</v>
      </c>
      <c r="L145" s="3">
        <f>IF(ISERROR(VLOOKUP(J145,Lookups!$A$2:$A$16,1,FALSE)),1,0)</f>
        <v>0</v>
      </c>
      <c r="M145" s="3">
        <f>IF(ISERROR(VLOOKUP(D145,Data!$A$2:$D$223100,2,FALSE)),0,1)</f>
        <v>1</v>
      </c>
      <c r="N145" s="3">
        <f t="shared" si="5"/>
        <v>0</v>
      </c>
      <c r="O145" s="3" t="str">
        <f>IF(ISERROR(VLOOKUP(D145,Data!$A$2:$C$223100,3,FALSE)),"INACTIVE",VLOOKUP(D145,Data!$A$2:$C$223100,3,FALSE))</f>
        <v>30+</v>
      </c>
    </row>
    <row r="146" spans="1:15" x14ac:dyDescent="0.25">
      <c r="A146" t="s">
        <v>9811</v>
      </c>
      <c r="B146" t="s">
        <v>9812</v>
      </c>
      <c r="C146" t="s">
        <v>9832</v>
      </c>
      <c r="D146" t="s">
        <v>9833</v>
      </c>
      <c r="E146" t="s">
        <v>5</v>
      </c>
      <c r="F146" t="s">
        <v>9834</v>
      </c>
      <c r="G146" t="s">
        <v>5</v>
      </c>
      <c r="H146" t="s">
        <v>5</v>
      </c>
      <c r="I146" t="s">
        <v>9815</v>
      </c>
      <c r="J146" t="s">
        <v>14</v>
      </c>
      <c r="K146" s="3">
        <f t="shared" si="4"/>
        <v>0</v>
      </c>
      <c r="L146" s="3">
        <f>IF(ISERROR(VLOOKUP(J146,Lookups!$A$2:$A$16,1,FALSE)),1,0)</f>
        <v>1</v>
      </c>
      <c r="M146" s="3">
        <f>IF(ISERROR(VLOOKUP(D146,Data!$A$2:$D$223100,2,FALSE)),0,1)</f>
        <v>1</v>
      </c>
      <c r="N146" s="3">
        <f t="shared" si="5"/>
        <v>1</v>
      </c>
      <c r="O146" s="3" t="str">
        <f>IF(ISERROR(VLOOKUP(D146,Data!$A$2:$C$223100,3,FALSE)),"INACTIVE",VLOOKUP(D146,Data!$A$2:$C$223100,3,FALSE))</f>
        <v>Current</v>
      </c>
    </row>
    <row r="147" spans="1:15" x14ac:dyDescent="0.25">
      <c r="A147" t="s">
        <v>9811</v>
      </c>
      <c r="B147" t="s">
        <v>9812</v>
      </c>
      <c r="C147" t="s">
        <v>9835</v>
      </c>
      <c r="D147" t="s">
        <v>9836</v>
      </c>
      <c r="E147" t="s">
        <v>9837</v>
      </c>
      <c r="F147" t="s">
        <v>5</v>
      </c>
      <c r="G147" t="s">
        <v>5</v>
      </c>
      <c r="H147" t="s">
        <v>5</v>
      </c>
      <c r="I147" t="s">
        <v>9815</v>
      </c>
      <c r="J147" t="s">
        <v>14</v>
      </c>
      <c r="K147" s="3">
        <f t="shared" si="4"/>
        <v>0</v>
      </c>
      <c r="L147" s="3">
        <f>IF(ISERROR(VLOOKUP(J147,Lookups!$A$2:$A$16,1,FALSE)),1,0)</f>
        <v>1</v>
      </c>
      <c r="M147" s="3">
        <f>IF(ISERROR(VLOOKUP(D147,Data!$A$2:$D$223100,2,FALSE)),0,1)</f>
        <v>1</v>
      </c>
      <c r="N147" s="3">
        <f t="shared" si="5"/>
        <v>1</v>
      </c>
      <c r="O147" s="3" t="str">
        <f>IF(ISERROR(VLOOKUP(D147,Data!$A$2:$C$223100,3,FALSE)),"INACTIVE",VLOOKUP(D147,Data!$A$2:$C$223100,3,FALSE))</f>
        <v>Current</v>
      </c>
    </row>
    <row r="148" spans="1:15" x14ac:dyDescent="0.25">
      <c r="A148" t="s">
        <v>9811</v>
      </c>
      <c r="B148" t="s">
        <v>9812</v>
      </c>
      <c r="C148" t="s">
        <v>9838</v>
      </c>
      <c r="D148" t="s">
        <v>9839</v>
      </c>
      <c r="E148" t="s">
        <v>5</v>
      </c>
      <c r="F148" t="s">
        <v>9840</v>
      </c>
      <c r="G148" t="s">
        <v>5</v>
      </c>
      <c r="H148" t="s">
        <v>5</v>
      </c>
      <c r="I148" t="s">
        <v>9815</v>
      </c>
      <c r="J148" t="s">
        <v>14</v>
      </c>
      <c r="K148" s="3">
        <f t="shared" si="4"/>
        <v>0</v>
      </c>
      <c r="L148" s="3">
        <f>IF(ISERROR(VLOOKUP(J148,Lookups!$A$2:$A$16,1,FALSE)),1,0)</f>
        <v>1</v>
      </c>
      <c r="M148" s="3">
        <f>IF(ISERROR(VLOOKUP(D148,Data!$A$2:$D$223100,2,FALSE)),0,1)</f>
        <v>1</v>
      </c>
      <c r="N148" s="3">
        <f t="shared" si="5"/>
        <v>1</v>
      </c>
      <c r="O148" s="3" t="str">
        <f>IF(ISERROR(VLOOKUP(D148,Data!$A$2:$C$223100,3,FALSE)),"INACTIVE",VLOOKUP(D148,Data!$A$2:$C$223100,3,FALSE))</f>
        <v>30+</v>
      </c>
    </row>
    <row r="149" spans="1:15" x14ac:dyDescent="0.25">
      <c r="A149" t="s">
        <v>9811</v>
      </c>
      <c r="B149" t="s">
        <v>9812</v>
      </c>
      <c r="C149" t="s">
        <v>9841</v>
      </c>
      <c r="D149" t="s">
        <v>9842</v>
      </c>
      <c r="E149" t="s">
        <v>9843</v>
      </c>
      <c r="F149" t="s">
        <v>5</v>
      </c>
      <c r="G149" t="s">
        <v>5</v>
      </c>
      <c r="H149" t="s">
        <v>5</v>
      </c>
      <c r="I149" t="s">
        <v>9815</v>
      </c>
      <c r="J149" t="s">
        <v>14</v>
      </c>
      <c r="K149" s="3">
        <f t="shared" si="4"/>
        <v>0</v>
      </c>
      <c r="L149" s="3">
        <f>IF(ISERROR(VLOOKUP(J149,Lookups!$A$2:$A$16,1,FALSE)),1,0)</f>
        <v>1</v>
      </c>
      <c r="M149" s="3">
        <f>IF(ISERROR(VLOOKUP(D149,Data!$A$2:$D$223100,2,FALSE)),0,1)</f>
        <v>1</v>
      </c>
      <c r="N149" s="3">
        <f t="shared" si="5"/>
        <v>1</v>
      </c>
      <c r="O149" s="3" t="str">
        <f>IF(ISERROR(VLOOKUP(D149,Data!$A$2:$C$223100,3,FALSE)),"INACTIVE",VLOOKUP(D149,Data!$A$2:$C$223100,3,FALSE))</f>
        <v>90+</v>
      </c>
    </row>
    <row r="150" spans="1:15" x14ac:dyDescent="0.25">
      <c r="A150" t="s">
        <v>9811</v>
      </c>
      <c r="B150" t="s">
        <v>9812</v>
      </c>
      <c r="C150" t="s">
        <v>9844</v>
      </c>
      <c r="D150" t="s">
        <v>9845</v>
      </c>
      <c r="E150" t="s">
        <v>9846</v>
      </c>
      <c r="F150" t="s">
        <v>5</v>
      </c>
      <c r="G150" t="s">
        <v>5</v>
      </c>
      <c r="H150" t="s">
        <v>5</v>
      </c>
      <c r="I150" t="s">
        <v>9815</v>
      </c>
      <c r="J150" t="s">
        <v>14</v>
      </c>
      <c r="K150" s="3">
        <f t="shared" si="4"/>
        <v>0</v>
      </c>
      <c r="L150" s="3">
        <f>IF(ISERROR(VLOOKUP(J150,Lookups!$A$2:$A$16,1,FALSE)),1,0)</f>
        <v>1</v>
      </c>
      <c r="M150" s="3">
        <f>IF(ISERROR(VLOOKUP(D150,Data!$A$2:$D$223100,2,FALSE)),0,1)</f>
        <v>1</v>
      </c>
      <c r="N150" s="3">
        <f t="shared" si="5"/>
        <v>1</v>
      </c>
      <c r="O150" s="3" t="str">
        <f>IF(ISERROR(VLOOKUP(D150,Data!$A$2:$C$223100,3,FALSE)),"INACTIVE",VLOOKUP(D150,Data!$A$2:$C$223100,3,FALSE))</f>
        <v>Current</v>
      </c>
    </row>
    <row r="151" spans="1:15" x14ac:dyDescent="0.25">
      <c r="A151" t="s">
        <v>9811</v>
      </c>
      <c r="B151" t="s">
        <v>9812</v>
      </c>
      <c r="C151" t="s">
        <v>9847</v>
      </c>
      <c r="D151" t="s">
        <v>9848</v>
      </c>
      <c r="E151" t="s">
        <v>9849</v>
      </c>
      <c r="F151" t="s">
        <v>5</v>
      </c>
      <c r="G151" t="s">
        <v>5</v>
      </c>
      <c r="H151" t="s">
        <v>5</v>
      </c>
      <c r="I151" t="s">
        <v>9815</v>
      </c>
      <c r="J151" t="s">
        <v>96</v>
      </c>
      <c r="K151" s="3">
        <f t="shared" si="4"/>
        <v>0</v>
      </c>
      <c r="L151" s="3">
        <f>IF(ISERROR(VLOOKUP(J151,Lookups!$A$2:$A$16,1,FALSE)),1,0)</f>
        <v>0</v>
      </c>
      <c r="M151" s="3">
        <f>IF(ISERROR(VLOOKUP(D151,Data!$A$2:$D$223100,2,FALSE)),0,1)</f>
        <v>1</v>
      </c>
      <c r="N151" s="3">
        <f t="shared" si="5"/>
        <v>0</v>
      </c>
      <c r="O151" s="3" t="str">
        <f>IF(ISERROR(VLOOKUP(D151,Data!$A$2:$C$223100,3,FALSE)),"INACTIVE",VLOOKUP(D151,Data!$A$2:$C$223100,3,FALSE))</f>
        <v>BK13</v>
      </c>
    </row>
    <row r="152" spans="1:15" x14ac:dyDescent="0.25">
      <c r="A152" t="s">
        <v>9811</v>
      </c>
      <c r="B152" t="s">
        <v>9812</v>
      </c>
      <c r="C152" t="s">
        <v>9847</v>
      </c>
      <c r="D152" t="s">
        <v>9848</v>
      </c>
      <c r="E152" t="s">
        <v>9850</v>
      </c>
      <c r="F152" t="s">
        <v>5</v>
      </c>
      <c r="G152" t="s">
        <v>5</v>
      </c>
      <c r="H152" t="s">
        <v>5</v>
      </c>
      <c r="I152" t="s">
        <v>9815</v>
      </c>
      <c r="J152" t="s">
        <v>96</v>
      </c>
      <c r="K152" s="3">
        <f t="shared" si="4"/>
        <v>0</v>
      </c>
      <c r="L152" s="3">
        <f>IF(ISERROR(VLOOKUP(J152,Lookups!$A$2:$A$16,1,FALSE)),1,0)</f>
        <v>0</v>
      </c>
      <c r="M152" s="3">
        <f>IF(ISERROR(VLOOKUP(D152,Data!$A$2:$D$223100,2,FALSE)),0,1)</f>
        <v>1</v>
      </c>
      <c r="N152" s="3">
        <f t="shared" si="5"/>
        <v>0</v>
      </c>
      <c r="O152" s="3" t="str">
        <f>IF(ISERROR(VLOOKUP(D152,Data!$A$2:$C$223100,3,FALSE)),"INACTIVE",VLOOKUP(D152,Data!$A$2:$C$223100,3,FALSE))</f>
        <v>BK13</v>
      </c>
    </row>
    <row r="153" spans="1:15" x14ac:dyDescent="0.25">
      <c r="A153" t="s">
        <v>9811</v>
      </c>
      <c r="B153" t="s">
        <v>9812</v>
      </c>
      <c r="C153" t="s">
        <v>9847</v>
      </c>
      <c r="D153" t="s">
        <v>9848</v>
      </c>
      <c r="E153" t="s">
        <v>9851</v>
      </c>
      <c r="F153" t="s">
        <v>5</v>
      </c>
      <c r="G153" t="s">
        <v>5</v>
      </c>
      <c r="H153" t="s">
        <v>5</v>
      </c>
      <c r="I153" t="s">
        <v>9815</v>
      </c>
      <c r="J153" t="s">
        <v>96</v>
      </c>
      <c r="K153" s="3">
        <f t="shared" si="4"/>
        <v>0</v>
      </c>
      <c r="L153" s="3">
        <f>IF(ISERROR(VLOOKUP(J153,Lookups!$A$2:$A$16,1,FALSE)),1,0)</f>
        <v>0</v>
      </c>
      <c r="M153" s="3">
        <f>IF(ISERROR(VLOOKUP(D153,Data!$A$2:$D$223100,2,FALSE)),0,1)</f>
        <v>1</v>
      </c>
      <c r="N153" s="3">
        <f t="shared" si="5"/>
        <v>0</v>
      </c>
      <c r="O153" s="3" t="str">
        <f>IF(ISERROR(VLOOKUP(D153,Data!$A$2:$C$223100,3,FALSE)),"INACTIVE",VLOOKUP(D153,Data!$A$2:$C$223100,3,FALSE))</f>
        <v>BK13</v>
      </c>
    </row>
    <row r="154" spans="1:15" x14ac:dyDescent="0.25">
      <c r="A154" t="s">
        <v>9811</v>
      </c>
      <c r="B154" t="s">
        <v>9812</v>
      </c>
      <c r="C154" t="s">
        <v>9847</v>
      </c>
      <c r="D154" t="s">
        <v>9848</v>
      </c>
      <c r="E154" t="s">
        <v>5</v>
      </c>
      <c r="F154" t="s">
        <v>9852</v>
      </c>
      <c r="G154" t="s">
        <v>5</v>
      </c>
      <c r="H154" t="s">
        <v>5</v>
      </c>
      <c r="I154" t="s">
        <v>9815</v>
      </c>
      <c r="J154" t="s">
        <v>96</v>
      </c>
      <c r="K154" s="3">
        <f t="shared" si="4"/>
        <v>0</v>
      </c>
      <c r="L154" s="3">
        <f>IF(ISERROR(VLOOKUP(J154,Lookups!$A$2:$A$16,1,FALSE)),1,0)</f>
        <v>0</v>
      </c>
      <c r="M154" s="3">
        <f>IF(ISERROR(VLOOKUP(D154,Data!$A$2:$D$223100,2,FALSE)),0,1)</f>
        <v>1</v>
      </c>
      <c r="N154" s="3">
        <f t="shared" si="5"/>
        <v>0</v>
      </c>
      <c r="O154" s="3" t="str">
        <f>IF(ISERROR(VLOOKUP(D154,Data!$A$2:$C$223100,3,FALSE)),"INACTIVE",VLOOKUP(D154,Data!$A$2:$C$223100,3,FALSE))</f>
        <v>BK13</v>
      </c>
    </row>
    <row r="155" spans="1:15" x14ac:dyDescent="0.25">
      <c r="A155" t="s">
        <v>9811</v>
      </c>
      <c r="B155" t="s">
        <v>9812</v>
      </c>
      <c r="C155" t="s">
        <v>9847</v>
      </c>
      <c r="D155" t="s">
        <v>9848</v>
      </c>
      <c r="E155" t="s">
        <v>9853</v>
      </c>
      <c r="F155" t="s">
        <v>5</v>
      </c>
      <c r="G155" t="s">
        <v>5</v>
      </c>
      <c r="H155" t="s">
        <v>5</v>
      </c>
      <c r="I155" t="s">
        <v>9815</v>
      </c>
      <c r="J155" t="s">
        <v>96</v>
      </c>
      <c r="K155" s="3">
        <f t="shared" si="4"/>
        <v>0</v>
      </c>
      <c r="L155" s="3">
        <f>IF(ISERROR(VLOOKUP(J155,Lookups!$A$2:$A$16,1,FALSE)),1,0)</f>
        <v>0</v>
      </c>
      <c r="M155" s="3">
        <f>IF(ISERROR(VLOOKUP(D155,Data!$A$2:$D$223100,2,FALSE)),0,1)</f>
        <v>1</v>
      </c>
      <c r="N155" s="3">
        <f t="shared" si="5"/>
        <v>0</v>
      </c>
      <c r="O155" s="3" t="str">
        <f>IF(ISERROR(VLOOKUP(D155,Data!$A$2:$C$223100,3,FALSE)),"INACTIVE",VLOOKUP(D155,Data!$A$2:$C$223100,3,FALSE))</f>
        <v>BK13</v>
      </c>
    </row>
    <row r="156" spans="1:15" x14ac:dyDescent="0.25">
      <c r="A156" t="s">
        <v>9811</v>
      </c>
      <c r="B156" t="s">
        <v>9812</v>
      </c>
      <c r="C156" t="s">
        <v>9854</v>
      </c>
      <c r="D156" t="s">
        <v>9855</v>
      </c>
      <c r="E156" t="s">
        <v>5</v>
      </c>
      <c r="F156" t="s">
        <v>9856</v>
      </c>
      <c r="G156" t="s">
        <v>5</v>
      </c>
      <c r="H156" t="s">
        <v>5</v>
      </c>
      <c r="I156" t="s">
        <v>9815</v>
      </c>
      <c r="J156" t="s">
        <v>14</v>
      </c>
      <c r="K156" s="3">
        <f t="shared" si="4"/>
        <v>0</v>
      </c>
      <c r="L156" s="3">
        <f>IF(ISERROR(VLOOKUP(J156,Lookups!$A$2:$A$16,1,FALSE)),1,0)</f>
        <v>1</v>
      </c>
      <c r="M156" s="3">
        <f>IF(ISERROR(VLOOKUP(D156,Data!$A$2:$D$223100,2,FALSE)),0,1)</f>
        <v>1</v>
      </c>
      <c r="N156" s="3">
        <f t="shared" si="5"/>
        <v>1</v>
      </c>
      <c r="O156" s="3" t="str">
        <f>IF(ISERROR(VLOOKUP(D156,Data!$A$2:$C$223100,3,FALSE)),"INACTIVE",VLOOKUP(D156,Data!$A$2:$C$223100,3,FALSE))</f>
        <v>180+</v>
      </c>
    </row>
    <row r="157" spans="1:15" x14ac:dyDescent="0.25">
      <c r="A157" t="s">
        <v>9811</v>
      </c>
      <c r="B157" t="s">
        <v>9812</v>
      </c>
      <c r="C157" t="s">
        <v>9857</v>
      </c>
      <c r="D157" t="s">
        <v>9858</v>
      </c>
      <c r="E157" t="s">
        <v>9859</v>
      </c>
      <c r="F157" t="s">
        <v>5</v>
      </c>
      <c r="G157" t="s">
        <v>5</v>
      </c>
      <c r="H157" t="s">
        <v>5</v>
      </c>
      <c r="I157" t="s">
        <v>9815</v>
      </c>
      <c r="J157" t="s">
        <v>14</v>
      </c>
      <c r="K157" s="3">
        <f t="shared" si="4"/>
        <v>0</v>
      </c>
      <c r="L157" s="3">
        <f>IF(ISERROR(VLOOKUP(J157,Lookups!$A$2:$A$16,1,FALSE)),1,0)</f>
        <v>1</v>
      </c>
      <c r="M157" s="3">
        <f>IF(ISERROR(VLOOKUP(D157,Data!$A$2:$D$223100,2,FALSE)),0,1)</f>
        <v>1</v>
      </c>
      <c r="N157" s="3">
        <f t="shared" si="5"/>
        <v>1</v>
      </c>
      <c r="O157" s="3" t="str">
        <f>IF(ISERROR(VLOOKUP(D157,Data!$A$2:$C$223100,3,FALSE)),"INACTIVE",VLOOKUP(D157,Data!$A$2:$C$223100,3,FALSE))</f>
        <v>BK13</v>
      </c>
    </row>
    <row r="158" spans="1:15" x14ac:dyDescent="0.25">
      <c r="A158" t="s">
        <v>9811</v>
      </c>
      <c r="B158" t="s">
        <v>9812</v>
      </c>
      <c r="C158" t="s">
        <v>9860</v>
      </c>
      <c r="D158" t="s">
        <v>9861</v>
      </c>
      <c r="E158" t="s">
        <v>5</v>
      </c>
      <c r="F158" t="s">
        <v>9862</v>
      </c>
      <c r="G158" t="s">
        <v>5</v>
      </c>
      <c r="H158" t="s">
        <v>5</v>
      </c>
      <c r="I158" t="s">
        <v>9815</v>
      </c>
      <c r="J158" t="s">
        <v>14</v>
      </c>
      <c r="K158" s="3">
        <f t="shared" si="4"/>
        <v>0</v>
      </c>
      <c r="L158" s="3">
        <f>IF(ISERROR(VLOOKUP(J158,Lookups!$A$2:$A$16,1,FALSE)),1,0)</f>
        <v>1</v>
      </c>
      <c r="M158" s="3">
        <f>IF(ISERROR(VLOOKUP(D158,Data!$A$2:$D$223100,2,FALSE)),0,1)</f>
        <v>0</v>
      </c>
      <c r="N158" s="3">
        <f t="shared" si="5"/>
        <v>0</v>
      </c>
      <c r="O158" s="3" t="str">
        <f>IF(ISERROR(VLOOKUP(D158,Data!$A$2:$C$223100,3,FALSE)),"INACTIVE",VLOOKUP(D158,Data!$A$2:$C$223100,3,FALSE))</f>
        <v>INACTIVE</v>
      </c>
    </row>
    <row r="159" spans="1:15" x14ac:dyDescent="0.25">
      <c r="A159" t="s">
        <v>9811</v>
      </c>
      <c r="B159" t="s">
        <v>9812</v>
      </c>
      <c r="C159" t="s">
        <v>9863</v>
      </c>
      <c r="D159" t="s">
        <v>9864</v>
      </c>
      <c r="E159" t="s">
        <v>9865</v>
      </c>
      <c r="F159" t="s">
        <v>5</v>
      </c>
      <c r="G159" t="s">
        <v>5</v>
      </c>
      <c r="H159" t="s">
        <v>5</v>
      </c>
      <c r="I159" t="s">
        <v>9815</v>
      </c>
      <c r="J159" t="s">
        <v>14</v>
      </c>
      <c r="K159" s="3">
        <f t="shared" si="4"/>
        <v>0</v>
      </c>
      <c r="L159" s="3">
        <f>IF(ISERROR(VLOOKUP(J159,Lookups!$A$2:$A$16,1,FALSE)),1,0)</f>
        <v>1</v>
      </c>
      <c r="M159" s="3">
        <f>IF(ISERROR(VLOOKUP(D159,Data!$A$2:$D$223100,2,FALSE)),0,1)</f>
        <v>1</v>
      </c>
      <c r="N159" s="3">
        <f t="shared" si="5"/>
        <v>1</v>
      </c>
      <c r="O159" s="3" t="str">
        <f>IF(ISERROR(VLOOKUP(D159,Data!$A$2:$C$223100,3,FALSE)),"INACTIVE",VLOOKUP(D159,Data!$A$2:$C$223100,3,FALSE))</f>
        <v>FBA</v>
      </c>
    </row>
    <row r="160" spans="1:15" x14ac:dyDescent="0.25">
      <c r="A160" t="s">
        <v>9811</v>
      </c>
      <c r="B160" t="s">
        <v>9812</v>
      </c>
      <c r="C160" t="s">
        <v>9866</v>
      </c>
      <c r="D160" t="s">
        <v>9867</v>
      </c>
      <c r="E160" t="s">
        <v>9868</v>
      </c>
      <c r="F160" t="s">
        <v>5</v>
      </c>
      <c r="G160" t="s">
        <v>5</v>
      </c>
      <c r="H160" t="s">
        <v>5</v>
      </c>
      <c r="I160" t="s">
        <v>9815</v>
      </c>
      <c r="J160" t="s">
        <v>96</v>
      </c>
      <c r="K160" s="3">
        <f t="shared" si="4"/>
        <v>0</v>
      </c>
      <c r="L160" s="3">
        <f>IF(ISERROR(VLOOKUP(J160,Lookups!$A$2:$A$16,1,FALSE)),1,0)</f>
        <v>0</v>
      </c>
      <c r="M160" s="3">
        <f>IF(ISERROR(VLOOKUP(D160,Data!$A$2:$D$223100,2,FALSE)),0,1)</f>
        <v>1</v>
      </c>
      <c r="N160" s="3">
        <f t="shared" si="5"/>
        <v>0</v>
      </c>
      <c r="O160" s="3" t="str">
        <f>IF(ISERROR(VLOOKUP(D160,Data!$A$2:$C$223100,3,FALSE)),"INACTIVE",VLOOKUP(D160,Data!$A$2:$C$223100,3,FALSE))</f>
        <v>Current</v>
      </c>
    </row>
    <row r="161" spans="1:15" x14ac:dyDescent="0.25">
      <c r="A161" t="s">
        <v>9811</v>
      </c>
      <c r="B161" t="s">
        <v>9812</v>
      </c>
      <c r="C161" t="s">
        <v>9866</v>
      </c>
      <c r="D161" t="s">
        <v>9867</v>
      </c>
      <c r="E161" t="s">
        <v>9869</v>
      </c>
      <c r="F161" t="s">
        <v>5</v>
      </c>
      <c r="G161" t="s">
        <v>5</v>
      </c>
      <c r="H161" t="s">
        <v>5</v>
      </c>
      <c r="I161" t="s">
        <v>9815</v>
      </c>
      <c r="J161" t="s">
        <v>96</v>
      </c>
      <c r="K161" s="3">
        <f t="shared" si="4"/>
        <v>0</v>
      </c>
      <c r="L161" s="3">
        <f>IF(ISERROR(VLOOKUP(J161,Lookups!$A$2:$A$16,1,FALSE)),1,0)</f>
        <v>0</v>
      </c>
      <c r="M161" s="3">
        <f>IF(ISERROR(VLOOKUP(D161,Data!$A$2:$D$223100,2,FALSE)),0,1)</f>
        <v>1</v>
      </c>
      <c r="N161" s="3">
        <f t="shared" si="5"/>
        <v>0</v>
      </c>
      <c r="O161" s="3" t="str">
        <f>IF(ISERROR(VLOOKUP(D161,Data!$A$2:$C$223100,3,FALSE)),"INACTIVE",VLOOKUP(D161,Data!$A$2:$C$223100,3,FALSE))</f>
        <v>Current</v>
      </c>
    </row>
    <row r="162" spans="1:15" x14ac:dyDescent="0.25">
      <c r="A162" t="s">
        <v>9872</v>
      </c>
      <c r="B162" t="s">
        <v>9873</v>
      </c>
      <c r="C162" t="s">
        <v>9874</v>
      </c>
      <c r="D162" t="s">
        <v>9875</v>
      </c>
      <c r="E162" t="s">
        <v>9876</v>
      </c>
      <c r="F162" t="s">
        <v>5</v>
      </c>
      <c r="G162" t="s">
        <v>5</v>
      </c>
      <c r="H162" t="s">
        <v>5</v>
      </c>
      <c r="I162" t="s">
        <v>9877</v>
      </c>
      <c r="J162" t="s">
        <v>90</v>
      </c>
      <c r="K162" s="3">
        <f t="shared" si="4"/>
        <v>0</v>
      </c>
      <c r="L162" s="3">
        <f>IF(ISERROR(VLOOKUP(J162,Lookups!$A$2:$A$16,1,FALSE)),1,0)</f>
        <v>0</v>
      </c>
      <c r="M162" s="3">
        <f>IF(ISERROR(VLOOKUP(D162,Data!$A$2:$D$223100,2,FALSE)),0,1)</f>
        <v>1</v>
      </c>
      <c r="N162" s="3">
        <f t="shared" si="5"/>
        <v>0</v>
      </c>
      <c r="O162" s="3" t="str">
        <f>IF(ISERROR(VLOOKUP(D162,Data!$A$2:$C$223100,3,FALSE)),"INACTIVE",VLOOKUP(D162,Data!$A$2:$C$223100,3,FALSE))</f>
        <v>Current</v>
      </c>
    </row>
    <row r="163" spans="1:15" x14ac:dyDescent="0.25">
      <c r="A163" t="s">
        <v>9872</v>
      </c>
      <c r="B163" t="s">
        <v>9873</v>
      </c>
      <c r="C163" t="s">
        <v>9874</v>
      </c>
      <c r="D163" t="s">
        <v>9875</v>
      </c>
      <c r="E163" t="s">
        <v>9878</v>
      </c>
      <c r="F163" t="s">
        <v>5</v>
      </c>
      <c r="G163" t="s">
        <v>5</v>
      </c>
      <c r="H163" t="s">
        <v>5</v>
      </c>
      <c r="I163" t="s">
        <v>9877</v>
      </c>
      <c r="J163" t="s">
        <v>90</v>
      </c>
      <c r="K163" s="3">
        <f t="shared" si="4"/>
        <v>0</v>
      </c>
      <c r="L163" s="3">
        <f>IF(ISERROR(VLOOKUP(J163,Lookups!$A$2:$A$16,1,FALSE)),1,0)</f>
        <v>0</v>
      </c>
      <c r="M163" s="3">
        <f>IF(ISERROR(VLOOKUP(D163,Data!$A$2:$D$223100,2,FALSE)),0,1)</f>
        <v>1</v>
      </c>
      <c r="N163" s="3">
        <f t="shared" si="5"/>
        <v>0</v>
      </c>
      <c r="O163" s="3" t="str">
        <f>IF(ISERROR(VLOOKUP(D163,Data!$A$2:$C$223100,3,FALSE)),"INACTIVE",VLOOKUP(D163,Data!$A$2:$C$223100,3,FALSE))</f>
        <v>Current</v>
      </c>
    </row>
    <row r="164" spans="1:15" x14ac:dyDescent="0.25">
      <c r="A164" t="s">
        <v>10219</v>
      </c>
      <c r="B164" t="s">
        <v>10220</v>
      </c>
      <c r="C164" t="s">
        <v>10221</v>
      </c>
      <c r="D164" t="s">
        <v>10222</v>
      </c>
      <c r="E164" t="s">
        <v>10223</v>
      </c>
      <c r="F164" t="s">
        <v>5</v>
      </c>
      <c r="G164" t="s">
        <v>5</v>
      </c>
      <c r="H164" t="s">
        <v>5</v>
      </c>
      <c r="I164" t="s">
        <v>9877</v>
      </c>
      <c r="J164" t="s">
        <v>14</v>
      </c>
      <c r="K164" s="3">
        <f t="shared" si="4"/>
        <v>0</v>
      </c>
      <c r="L164" s="3">
        <f>IF(ISERROR(VLOOKUP(J164,Lookups!$A$2:$A$16,1,FALSE)),1,0)</f>
        <v>1</v>
      </c>
      <c r="M164" s="3">
        <f>IF(ISERROR(VLOOKUP(D164,Data!$A$2:$D$223100,2,FALSE)),0,1)</f>
        <v>1</v>
      </c>
      <c r="N164" s="3">
        <f t="shared" si="5"/>
        <v>1</v>
      </c>
      <c r="O164" s="3" t="str">
        <f>IF(ISERROR(VLOOKUP(D164,Data!$A$2:$C$223100,3,FALSE)),"INACTIVE",VLOOKUP(D164,Data!$A$2:$C$223100,3,FALSE))</f>
        <v>30+</v>
      </c>
    </row>
    <row r="165" spans="1:15" x14ac:dyDescent="0.25">
      <c r="A165" t="s">
        <v>9945</v>
      </c>
      <c r="B165" t="s">
        <v>9946</v>
      </c>
      <c r="C165" t="s">
        <v>9947</v>
      </c>
      <c r="D165" t="s">
        <v>9948</v>
      </c>
      <c r="E165" t="s">
        <v>9949</v>
      </c>
      <c r="F165" t="s">
        <v>9950</v>
      </c>
      <c r="G165" t="s">
        <v>5</v>
      </c>
      <c r="H165" t="s">
        <v>5</v>
      </c>
      <c r="I165" t="s">
        <v>9951</v>
      </c>
      <c r="J165" t="s">
        <v>7</v>
      </c>
      <c r="K165" s="3">
        <f t="shared" si="4"/>
        <v>0</v>
      </c>
      <c r="L165" s="3">
        <f>IF(ISERROR(VLOOKUP(J165,Lookups!$A$2:$A$16,1,FALSE)),1,0)</f>
        <v>1</v>
      </c>
      <c r="M165" s="3">
        <f>IF(ISERROR(VLOOKUP(D165,Data!$A$2:$D$223100,2,FALSE)),0,1)</f>
        <v>1</v>
      </c>
      <c r="N165" s="3">
        <f t="shared" si="5"/>
        <v>1</v>
      </c>
      <c r="O165" s="3" t="str">
        <f>IF(ISERROR(VLOOKUP(D165,Data!$A$2:$C$223100,3,FALSE)),"INACTIVE",VLOOKUP(D165,Data!$A$2:$C$223100,3,FALSE))</f>
        <v>Current</v>
      </c>
    </row>
    <row r="166" spans="1:15" x14ac:dyDescent="0.25">
      <c r="A166" t="s">
        <v>9747</v>
      </c>
      <c r="B166" t="s">
        <v>9748</v>
      </c>
      <c r="C166" t="s">
        <v>9749</v>
      </c>
      <c r="D166" t="s">
        <v>9750</v>
      </c>
      <c r="E166" t="s">
        <v>5</v>
      </c>
      <c r="F166" t="s">
        <v>9751</v>
      </c>
      <c r="G166" t="s">
        <v>5</v>
      </c>
      <c r="H166" t="s">
        <v>5</v>
      </c>
      <c r="I166" t="s">
        <v>9752</v>
      </c>
      <c r="J166" t="s">
        <v>96</v>
      </c>
      <c r="K166" s="3">
        <f t="shared" si="4"/>
        <v>0</v>
      </c>
      <c r="L166" s="3">
        <f>IF(ISERROR(VLOOKUP(J166,Lookups!$A$2:$A$16,1,FALSE)),1,0)</f>
        <v>0</v>
      </c>
      <c r="M166" s="3">
        <f>IF(ISERROR(VLOOKUP(D166,Data!$A$2:$D$223100,2,FALSE)),0,1)</f>
        <v>0</v>
      </c>
      <c r="N166" s="3">
        <f t="shared" si="5"/>
        <v>0</v>
      </c>
      <c r="O166" s="3" t="str">
        <f>IF(ISERROR(VLOOKUP(D166,Data!$A$2:$C$223100,3,FALSE)),"INACTIVE",VLOOKUP(D166,Data!$A$2:$C$223100,3,FALSE))</f>
        <v>INACTIVE</v>
      </c>
    </row>
    <row r="167" spans="1:15" x14ac:dyDescent="0.25">
      <c r="A167" t="s">
        <v>9747</v>
      </c>
      <c r="B167" t="s">
        <v>9748</v>
      </c>
      <c r="C167" t="s">
        <v>9749</v>
      </c>
      <c r="D167" t="s">
        <v>9750</v>
      </c>
      <c r="E167" t="s">
        <v>5</v>
      </c>
      <c r="F167" t="s">
        <v>9753</v>
      </c>
      <c r="G167" t="s">
        <v>5</v>
      </c>
      <c r="H167" t="s">
        <v>5</v>
      </c>
      <c r="I167" t="s">
        <v>9752</v>
      </c>
      <c r="J167" t="s">
        <v>96</v>
      </c>
      <c r="K167" s="3">
        <f t="shared" si="4"/>
        <v>0</v>
      </c>
      <c r="L167" s="3">
        <f>IF(ISERROR(VLOOKUP(J167,Lookups!$A$2:$A$16,1,FALSE)),1,0)</f>
        <v>0</v>
      </c>
      <c r="M167" s="3">
        <f>IF(ISERROR(VLOOKUP(D167,Data!$A$2:$D$223100,2,FALSE)),0,1)</f>
        <v>0</v>
      </c>
      <c r="N167" s="3">
        <f t="shared" si="5"/>
        <v>0</v>
      </c>
      <c r="O167" s="3" t="str">
        <f>IF(ISERROR(VLOOKUP(D167,Data!$A$2:$C$223100,3,FALSE)),"INACTIVE",VLOOKUP(D167,Data!$A$2:$C$223100,3,FALSE))</f>
        <v>INACTIVE</v>
      </c>
    </row>
    <row r="168" spans="1:15" x14ac:dyDescent="0.25">
      <c r="A168" t="s">
        <v>9733</v>
      </c>
      <c r="B168" t="s">
        <v>9734</v>
      </c>
      <c r="C168" t="s">
        <v>9735</v>
      </c>
      <c r="D168" t="s">
        <v>9736</v>
      </c>
      <c r="E168" t="s">
        <v>5</v>
      </c>
      <c r="F168" t="s">
        <v>5</v>
      </c>
      <c r="G168" t="s">
        <v>5</v>
      </c>
      <c r="H168" t="s">
        <v>9737</v>
      </c>
      <c r="I168" t="s">
        <v>9738</v>
      </c>
      <c r="J168" t="s">
        <v>7</v>
      </c>
      <c r="K168" s="3">
        <f t="shared" si="4"/>
        <v>0</v>
      </c>
      <c r="L168" s="3">
        <f>IF(ISERROR(VLOOKUP(J168,Lookups!$A$2:$A$16,1,FALSE)),1,0)</f>
        <v>1</v>
      </c>
      <c r="M168" s="3">
        <f>IF(ISERROR(VLOOKUP(D168,Data!$A$2:$D$223100,2,FALSE)),0,1)</f>
        <v>1</v>
      </c>
      <c r="N168" s="3">
        <f t="shared" si="5"/>
        <v>1</v>
      </c>
      <c r="O168" s="3" t="str">
        <f>IF(ISERROR(VLOOKUP(D168,Data!$A$2:$C$223100,3,FALSE)),"INACTIVE",VLOOKUP(D168,Data!$A$2:$C$223100,3,FALSE))</f>
        <v>120+</v>
      </c>
    </row>
    <row r="169" spans="1:15" x14ac:dyDescent="0.25">
      <c r="A169" t="s">
        <v>9733</v>
      </c>
      <c r="B169" t="s">
        <v>9734</v>
      </c>
      <c r="C169" t="s">
        <v>9739</v>
      </c>
      <c r="D169" t="s">
        <v>9740</v>
      </c>
      <c r="E169" t="s">
        <v>9741</v>
      </c>
      <c r="F169" t="s">
        <v>5</v>
      </c>
      <c r="G169" t="s">
        <v>5</v>
      </c>
      <c r="H169" t="s">
        <v>9741</v>
      </c>
      <c r="I169" t="s">
        <v>9738</v>
      </c>
      <c r="J169" t="s">
        <v>7</v>
      </c>
      <c r="K169" s="3">
        <f t="shared" si="4"/>
        <v>0</v>
      </c>
      <c r="L169" s="3">
        <f>IF(ISERROR(VLOOKUP(J169,Lookups!$A$2:$A$16,1,FALSE)),1,0)</f>
        <v>1</v>
      </c>
      <c r="M169" s="3">
        <f>IF(ISERROR(VLOOKUP(D169,Data!$A$2:$D$223100,2,FALSE)),0,1)</f>
        <v>0</v>
      </c>
      <c r="N169" s="3">
        <f t="shared" si="5"/>
        <v>0</v>
      </c>
      <c r="O169" s="3" t="str">
        <f>IF(ISERROR(VLOOKUP(D169,Data!$A$2:$C$223100,3,FALSE)),"INACTIVE",VLOOKUP(D169,Data!$A$2:$C$223100,3,FALSE))</f>
        <v>INACTIVE</v>
      </c>
    </row>
    <row r="170" spans="1:15" x14ac:dyDescent="0.25">
      <c r="A170" t="s">
        <v>10097</v>
      </c>
      <c r="B170" t="s">
        <v>10098</v>
      </c>
      <c r="C170" t="s">
        <v>10099</v>
      </c>
      <c r="D170" t="s">
        <v>10100</v>
      </c>
      <c r="E170" t="s">
        <v>10101</v>
      </c>
      <c r="F170" t="s">
        <v>5</v>
      </c>
      <c r="G170" t="s">
        <v>5</v>
      </c>
      <c r="H170" t="s">
        <v>5</v>
      </c>
      <c r="I170" t="s">
        <v>9738</v>
      </c>
      <c r="J170" t="s">
        <v>7</v>
      </c>
      <c r="K170" s="3">
        <f t="shared" si="4"/>
        <v>0</v>
      </c>
      <c r="L170" s="3">
        <f>IF(ISERROR(VLOOKUP(J170,Lookups!$A$2:$A$16,1,FALSE)),1,0)</f>
        <v>1</v>
      </c>
      <c r="M170" s="3">
        <f>IF(ISERROR(VLOOKUP(D170,Data!$A$2:$D$223100,2,FALSE)),0,1)</f>
        <v>1</v>
      </c>
      <c r="N170" s="3">
        <f t="shared" si="5"/>
        <v>1</v>
      </c>
      <c r="O170" s="3" t="str">
        <f>IF(ISERROR(VLOOKUP(D170,Data!$A$2:$C$223100,3,FALSE)),"INACTIVE",VLOOKUP(D170,Data!$A$2:$C$223100,3,FALSE))</f>
        <v>Current</v>
      </c>
    </row>
    <row r="171" spans="1:15" x14ac:dyDescent="0.25">
      <c r="A171" t="s">
        <v>84</v>
      </c>
      <c r="B171" t="s">
        <v>85</v>
      </c>
      <c r="C171" t="s">
        <v>93</v>
      </c>
      <c r="D171" t="s">
        <v>94</v>
      </c>
      <c r="E171" t="s">
        <v>10108</v>
      </c>
      <c r="F171" t="s">
        <v>5</v>
      </c>
      <c r="G171" t="s">
        <v>5</v>
      </c>
      <c r="H171" t="s">
        <v>5</v>
      </c>
      <c r="I171" t="s">
        <v>9738</v>
      </c>
      <c r="J171" t="s">
        <v>96</v>
      </c>
      <c r="K171" s="3">
        <f t="shared" si="4"/>
        <v>0</v>
      </c>
      <c r="L171" s="3">
        <f>IF(ISERROR(VLOOKUP(J171,Lookups!$A$2:$A$16,1,FALSE)),1,0)</f>
        <v>0</v>
      </c>
      <c r="M171" s="3">
        <f>IF(ISERROR(VLOOKUP(D171,Data!$A$2:$D$223100,2,FALSE)),0,1)</f>
        <v>1</v>
      </c>
      <c r="N171" s="3">
        <f t="shared" si="5"/>
        <v>0</v>
      </c>
      <c r="O171" s="3" t="str">
        <f>IF(ISERROR(VLOOKUP(D171,Data!$A$2:$C$223100,3,FALSE)),"INACTIVE",VLOOKUP(D171,Data!$A$2:$C$223100,3,FALSE))</f>
        <v>BK13</v>
      </c>
    </row>
    <row r="172" spans="1:15" x14ac:dyDescent="0.25">
      <c r="A172" t="s">
        <v>84</v>
      </c>
      <c r="B172" t="s">
        <v>85</v>
      </c>
      <c r="C172" t="s">
        <v>93</v>
      </c>
      <c r="D172" t="s">
        <v>94</v>
      </c>
      <c r="E172" t="s">
        <v>10109</v>
      </c>
      <c r="F172" t="s">
        <v>5</v>
      </c>
      <c r="G172" t="s">
        <v>5</v>
      </c>
      <c r="H172" t="s">
        <v>5</v>
      </c>
      <c r="I172" t="s">
        <v>9738</v>
      </c>
      <c r="J172" t="s">
        <v>96</v>
      </c>
      <c r="K172" s="3">
        <f t="shared" si="4"/>
        <v>0</v>
      </c>
      <c r="L172" s="3">
        <f>IF(ISERROR(VLOOKUP(J172,Lookups!$A$2:$A$16,1,FALSE)),1,0)</f>
        <v>0</v>
      </c>
      <c r="M172" s="3">
        <f>IF(ISERROR(VLOOKUP(D172,Data!$A$2:$D$223100,2,FALSE)),0,1)</f>
        <v>1</v>
      </c>
      <c r="N172" s="3">
        <f t="shared" si="5"/>
        <v>0</v>
      </c>
      <c r="O172" s="3" t="str">
        <f>IF(ISERROR(VLOOKUP(D172,Data!$A$2:$C$223100,3,FALSE)),"INACTIVE",VLOOKUP(D172,Data!$A$2:$C$223100,3,FALSE))</f>
        <v>BK13</v>
      </c>
    </row>
    <row r="173" spans="1:15" x14ac:dyDescent="0.25">
      <c r="A173" t="s">
        <v>1248</v>
      </c>
      <c r="B173" t="s">
        <v>9986</v>
      </c>
      <c r="C173" t="s">
        <v>9987</v>
      </c>
      <c r="D173" t="s">
        <v>9988</v>
      </c>
      <c r="E173" t="s">
        <v>9989</v>
      </c>
      <c r="F173" t="s">
        <v>9989</v>
      </c>
      <c r="G173" t="s">
        <v>5</v>
      </c>
      <c r="H173" t="s">
        <v>5</v>
      </c>
      <c r="I173" t="s">
        <v>9990</v>
      </c>
      <c r="J173" t="s">
        <v>14</v>
      </c>
      <c r="K173" s="3">
        <f t="shared" si="4"/>
        <v>0</v>
      </c>
      <c r="L173" s="3">
        <f>IF(ISERROR(VLOOKUP(J173,Lookups!$A$2:$A$16,1,FALSE)),1,0)</f>
        <v>1</v>
      </c>
      <c r="M173" s="3">
        <f>IF(ISERROR(VLOOKUP(D173,Data!$A$2:$D$223100,2,FALSE)),0,1)</f>
        <v>1</v>
      </c>
      <c r="N173" s="3">
        <f t="shared" si="5"/>
        <v>1</v>
      </c>
      <c r="O173" s="3" t="str">
        <f>IF(ISERROR(VLOOKUP(D173,Data!$A$2:$C$223100,3,FALSE)),"INACTIVE",VLOOKUP(D173,Data!$A$2:$C$223100,3,FALSE))</f>
        <v>Current</v>
      </c>
    </row>
    <row r="174" spans="1:15" x14ac:dyDescent="0.25">
      <c r="A174" t="s">
        <v>9760</v>
      </c>
      <c r="B174" t="s">
        <v>9761</v>
      </c>
      <c r="C174" t="s">
        <v>9762</v>
      </c>
      <c r="D174" t="s">
        <v>9763</v>
      </c>
      <c r="E174" t="s">
        <v>9764</v>
      </c>
      <c r="F174" t="s">
        <v>5</v>
      </c>
      <c r="G174" t="s">
        <v>5</v>
      </c>
      <c r="H174" t="s">
        <v>5</v>
      </c>
      <c r="I174" t="s">
        <v>9765</v>
      </c>
      <c r="J174" t="s">
        <v>7</v>
      </c>
      <c r="K174" s="3">
        <f t="shared" si="4"/>
        <v>0</v>
      </c>
      <c r="L174" s="3">
        <f>IF(ISERROR(VLOOKUP(J174,Lookups!$A$2:$A$16,1,FALSE)),1,0)</f>
        <v>1</v>
      </c>
      <c r="M174" s="3">
        <f>IF(ISERROR(VLOOKUP(D174,Data!$A$2:$D$223100,2,FALSE)),0,1)</f>
        <v>1</v>
      </c>
      <c r="N174" s="3">
        <f t="shared" si="5"/>
        <v>1</v>
      </c>
      <c r="O174" s="3" t="str">
        <f>IF(ISERROR(VLOOKUP(D174,Data!$A$2:$C$223100,3,FALSE)),"INACTIVE",VLOOKUP(D174,Data!$A$2:$C$223100,3,FALSE))</f>
        <v>FBA</v>
      </c>
    </row>
    <row r="175" spans="1:15" x14ac:dyDescent="0.25">
      <c r="A175" t="s">
        <v>9760</v>
      </c>
      <c r="B175" t="s">
        <v>9761</v>
      </c>
      <c r="C175" t="s">
        <v>9766</v>
      </c>
      <c r="D175" t="s">
        <v>9767</v>
      </c>
      <c r="E175" t="s">
        <v>9768</v>
      </c>
      <c r="F175" t="s">
        <v>5</v>
      </c>
      <c r="G175" t="s">
        <v>5</v>
      </c>
      <c r="H175" t="s">
        <v>5</v>
      </c>
      <c r="I175" t="s">
        <v>9765</v>
      </c>
      <c r="J175" t="s">
        <v>96</v>
      </c>
      <c r="K175" s="3">
        <f t="shared" si="4"/>
        <v>0</v>
      </c>
      <c r="L175" s="3">
        <f>IF(ISERROR(VLOOKUP(J175,Lookups!$A$2:$A$16,1,FALSE)),1,0)</f>
        <v>0</v>
      </c>
      <c r="M175" s="3">
        <f>IF(ISERROR(VLOOKUP(D175,Data!$A$2:$D$223100,2,FALSE)),0,1)</f>
        <v>1</v>
      </c>
      <c r="N175" s="3">
        <f t="shared" si="5"/>
        <v>0</v>
      </c>
      <c r="O175" s="3" t="str">
        <f>IF(ISERROR(VLOOKUP(D175,Data!$A$2:$C$223100,3,FALSE)),"INACTIVE",VLOOKUP(D175,Data!$A$2:$C$223100,3,FALSE))</f>
        <v>FC</v>
      </c>
    </row>
    <row r="176" spans="1:15" x14ac:dyDescent="0.25">
      <c r="A176" t="s">
        <v>9760</v>
      </c>
      <c r="B176" t="s">
        <v>9761</v>
      </c>
      <c r="C176" t="s">
        <v>9769</v>
      </c>
      <c r="D176" t="s">
        <v>9770</v>
      </c>
      <c r="E176" t="s">
        <v>9771</v>
      </c>
      <c r="F176" t="s">
        <v>5</v>
      </c>
      <c r="G176" t="s">
        <v>5</v>
      </c>
      <c r="H176" t="s">
        <v>5</v>
      </c>
      <c r="I176" t="s">
        <v>9765</v>
      </c>
      <c r="J176" t="s">
        <v>7</v>
      </c>
      <c r="K176" s="3">
        <f t="shared" si="4"/>
        <v>0</v>
      </c>
      <c r="L176" s="3">
        <f>IF(ISERROR(VLOOKUP(J176,Lookups!$A$2:$A$16,1,FALSE)),1,0)</f>
        <v>1</v>
      </c>
      <c r="M176" s="3">
        <f>IF(ISERROR(VLOOKUP(D176,Data!$A$2:$D$223100,2,FALSE)),0,1)</f>
        <v>1</v>
      </c>
      <c r="N176" s="3">
        <f t="shared" si="5"/>
        <v>1</v>
      </c>
      <c r="O176" s="3" t="str">
        <f>IF(ISERROR(VLOOKUP(D176,Data!$A$2:$C$223100,3,FALSE)),"INACTIVE",VLOOKUP(D176,Data!$A$2:$C$223100,3,FALSE))</f>
        <v>BK13</v>
      </c>
    </row>
    <row r="177" spans="1:15" x14ac:dyDescent="0.25">
      <c r="A177" t="s">
        <v>9760</v>
      </c>
      <c r="B177" t="s">
        <v>9761</v>
      </c>
      <c r="C177" t="s">
        <v>9772</v>
      </c>
      <c r="D177" t="s">
        <v>9773</v>
      </c>
      <c r="E177" t="s">
        <v>9774</v>
      </c>
      <c r="F177" t="s">
        <v>5</v>
      </c>
      <c r="G177" t="s">
        <v>5</v>
      </c>
      <c r="H177" t="s">
        <v>5</v>
      </c>
      <c r="I177" t="s">
        <v>9765</v>
      </c>
      <c r="J177" t="s">
        <v>90</v>
      </c>
      <c r="K177" s="3">
        <f t="shared" si="4"/>
        <v>0</v>
      </c>
      <c r="L177" s="3">
        <f>IF(ISERROR(VLOOKUP(J177,Lookups!$A$2:$A$16,1,FALSE)),1,0)</f>
        <v>0</v>
      </c>
      <c r="M177" s="3">
        <f>IF(ISERROR(VLOOKUP(D177,Data!$A$2:$D$223100,2,FALSE)),0,1)</f>
        <v>1</v>
      </c>
      <c r="N177" s="3">
        <f t="shared" si="5"/>
        <v>0</v>
      </c>
      <c r="O177" s="3" t="str">
        <f>IF(ISERROR(VLOOKUP(D177,Data!$A$2:$C$223100,3,FALSE)),"INACTIVE",VLOOKUP(D177,Data!$A$2:$C$223100,3,FALSE))</f>
        <v>BK13</v>
      </c>
    </row>
    <row r="178" spans="1:15" x14ac:dyDescent="0.25">
      <c r="A178" t="s">
        <v>9760</v>
      </c>
      <c r="B178" t="s">
        <v>9761</v>
      </c>
      <c r="C178" t="s">
        <v>9775</v>
      </c>
      <c r="D178" t="s">
        <v>9776</v>
      </c>
      <c r="E178" t="s">
        <v>9777</v>
      </c>
      <c r="F178" t="s">
        <v>5</v>
      </c>
      <c r="G178" t="s">
        <v>5</v>
      </c>
      <c r="H178" t="s">
        <v>5</v>
      </c>
      <c r="I178" t="s">
        <v>9765</v>
      </c>
      <c r="J178" t="s">
        <v>7</v>
      </c>
      <c r="K178" s="3">
        <f t="shared" si="4"/>
        <v>0</v>
      </c>
      <c r="L178" s="3">
        <f>IF(ISERROR(VLOOKUP(J178,Lookups!$A$2:$A$16,1,FALSE)),1,0)</f>
        <v>1</v>
      </c>
      <c r="M178" s="3">
        <f>IF(ISERROR(VLOOKUP(D178,Data!$A$2:$D$223100,2,FALSE)),0,1)</f>
        <v>1</v>
      </c>
      <c r="N178" s="3">
        <f t="shared" si="5"/>
        <v>1</v>
      </c>
      <c r="O178" s="3" t="str">
        <f>IF(ISERROR(VLOOKUP(D178,Data!$A$2:$C$223100,3,FALSE)),"INACTIVE",VLOOKUP(D178,Data!$A$2:$C$223100,3,FALSE))</f>
        <v>90+</v>
      </c>
    </row>
    <row r="179" spans="1:15" x14ac:dyDescent="0.25">
      <c r="A179" t="s">
        <v>9760</v>
      </c>
      <c r="B179" t="s">
        <v>9761</v>
      </c>
      <c r="C179" t="s">
        <v>9778</v>
      </c>
      <c r="D179" t="s">
        <v>9779</v>
      </c>
      <c r="E179" t="s">
        <v>9780</v>
      </c>
      <c r="F179" t="s">
        <v>5</v>
      </c>
      <c r="G179" t="s">
        <v>5</v>
      </c>
      <c r="H179" t="s">
        <v>5</v>
      </c>
      <c r="I179" t="s">
        <v>9765</v>
      </c>
      <c r="J179" t="s">
        <v>7</v>
      </c>
      <c r="K179" s="3">
        <f t="shared" si="4"/>
        <v>0</v>
      </c>
      <c r="L179" s="3">
        <f>IF(ISERROR(VLOOKUP(J179,Lookups!$A$2:$A$16,1,FALSE)),1,0)</f>
        <v>1</v>
      </c>
      <c r="M179" s="3">
        <f>IF(ISERROR(VLOOKUP(D179,Data!$A$2:$D$223100,2,FALSE)),0,1)</f>
        <v>1</v>
      </c>
      <c r="N179" s="3">
        <f t="shared" si="5"/>
        <v>1</v>
      </c>
      <c r="O179" s="3" t="str">
        <f>IF(ISERROR(VLOOKUP(D179,Data!$A$2:$C$223100,3,FALSE)),"INACTIVE",VLOOKUP(D179,Data!$A$2:$C$223100,3,FALSE))</f>
        <v>30+</v>
      </c>
    </row>
    <row r="180" spans="1:15" x14ac:dyDescent="0.25">
      <c r="A180" t="s">
        <v>9760</v>
      </c>
      <c r="B180" t="s">
        <v>9761</v>
      </c>
      <c r="C180" t="s">
        <v>9781</v>
      </c>
      <c r="D180" t="s">
        <v>9779</v>
      </c>
      <c r="E180" t="s">
        <v>9782</v>
      </c>
      <c r="F180" t="s">
        <v>5</v>
      </c>
      <c r="G180" t="s">
        <v>5</v>
      </c>
      <c r="H180" t="s">
        <v>5</v>
      </c>
      <c r="I180" t="s">
        <v>9765</v>
      </c>
      <c r="J180" t="s">
        <v>7</v>
      </c>
      <c r="K180" s="3">
        <f t="shared" si="4"/>
        <v>0</v>
      </c>
      <c r="L180" s="3">
        <f>IF(ISERROR(VLOOKUP(J180,Lookups!$A$2:$A$16,1,FALSE)),1,0)</f>
        <v>1</v>
      </c>
      <c r="M180" s="3">
        <f>IF(ISERROR(VLOOKUP(D180,Data!$A$2:$D$223100,2,FALSE)),0,1)</f>
        <v>1</v>
      </c>
      <c r="N180" s="3">
        <f t="shared" si="5"/>
        <v>1</v>
      </c>
      <c r="O180" s="3" t="str">
        <f>IF(ISERROR(VLOOKUP(D180,Data!$A$2:$C$223100,3,FALSE)),"INACTIVE",VLOOKUP(D180,Data!$A$2:$C$223100,3,FALSE))</f>
        <v>30+</v>
      </c>
    </row>
    <row r="181" spans="1:15" x14ac:dyDescent="0.25">
      <c r="A181" t="s">
        <v>9760</v>
      </c>
      <c r="B181" t="s">
        <v>9761</v>
      </c>
      <c r="C181" t="s">
        <v>9783</v>
      </c>
      <c r="D181" t="s">
        <v>9784</v>
      </c>
      <c r="E181" t="s">
        <v>9785</v>
      </c>
      <c r="F181" t="s">
        <v>5</v>
      </c>
      <c r="G181" t="s">
        <v>5</v>
      </c>
      <c r="H181" t="s">
        <v>5</v>
      </c>
      <c r="I181" t="s">
        <v>9765</v>
      </c>
      <c r="J181" t="s">
        <v>96</v>
      </c>
      <c r="K181" s="3">
        <f t="shared" si="4"/>
        <v>0</v>
      </c>
      <c r="L181" s="3">
        <f>IF(ISERROR(VLOOKUP(J181,Lookups!$A$2:$A$16,1,FALSE)),1,0)</f>
        <v>0</v>
      </c>
      <c r="M181" s="3">
        <f>IF(ISERROR(VLOOKUP(D181,Data!$A$2:$D$223100,2,FALSE)),0,1)</f>
        <v>1</v>
      </c>
      <c r="N181" s="3">
        <f t="shared" si="5"/>
        <v>0</v>
      </c>
      <c r="O181" s="3" t="str">
        <f>IF(ISERROR(VLOOKUP(D181,Data!$A$2:$C$223100,3,FALSE)),"INACTIVE",VLOOKUP(D181,Data!$A$2:$C$223100,3,FALSE))</f>
        <v>60+</v>
      </c>
    </row>
    <row r="182" spans="1:15" x14ac:dyDescent="0.25">
      <c r="A182" t="s">
        <v>9760</v>
      </c>
      <c r="B182" t="s">
        <v>9761</v>
      </c>
      <c r="C182" t="s">
        <v>9786</v>
      </c>
      <c r="D182" t="s">
        <v>9784</v>
      </c>
      <c r="E182" t="s">
        <v>9787</v>
      </c>
      <c r="F182" t="s">
        <v>5</v>
      </c>
      <c r="G182" t="s">
        <v>5</v>
      </c>
      <c r="H182" t="s">
        <v>5</v>
      </c>
      <c r="I182" t="s">
        <v>9765</v>
      </c>
      <c r="J182" t="s">
        <v>96</v>
      </c>
      <c r="K182" s="3">
        <f t="shared" si="4"/>
        <v>0</v>
      </c>
      <c r="L182" s="3">
        <f>IF(ISERROR(VLOOKUP(J182,Lookups!$A$2:$A$16,1,FALSE)),1,0)</f>
        <v>0</v>
      </c>
      <c r="M182" s="3">
        <f>IF(ISERROR(VLOOKUP(D182,Data!$A$2:$D$223100,2,FALSE)),0,1)</f>
        <v>1</v>
      </c>
      <c r="N182" s="3">
        <f t="shared" si="5"/>
        <v>0</v>
      </c>
      <c r="O182" s="3" t="str">
        <f>IF(ISERROR(VLOOKUP(D182,Data!$A$2:$C$223100,3,FALSE)),"INACTIVE",VLOOKUP(D182,Data!$A$2:$C$223100,3,FALSE))</f>
        <v>60+</v>
      </c>
    </row>
    <row r="183" spans="1:15" x14ac:dyDescent="0.25">
      <c r="A183" t="s">
        <v>9760</v>
      </c>
      <c r="B183" t="s">
        <v>9761</v>
      </c>
      <c r="C183" t="s">
        <v>9788</v>
      </c>
      <c r="D183" t="s">
        <v>9789</v>
      </c>
      <c r="E183" t="s">
        <v>9790</v>
      </c>
      <c r="F183" t="s">
        <v>5</v>
      </c>
      <c r="G183" t="s">
        <v>5</v>
      </c>
      <c r="H183" t="s">
        <v>5</v>
      </c>
      <c r="I183" t="s">
        <v>9765</v>
      </c>
      <c r="J183" t="s">
        <v>7</v>
      </c>
      <c r="K183" s="3">
        <f t="shared" si="4"/>
        <v>0</v>
      </c>
      <c r="L183" s="3">
        <f>IF(ISERROR(VLOOKUP(J183,Lookups!$A$2:$A$16,1,FALSE)),1,0)</f>
        <v>1</v>
      </c>
      <c r="M183" s="3">
        <f>IF(ISERROR(VLOOKUP(D183,Data!$A$2:$D$223100,2,FALSE)),0,1)</f>
        <v>0</v>
      </c>
      <c r="N183" s="3">
        <f t="shared" si="5"/>
        <v>0</v>
      </c>
      <c r="O183" s="3" t="str">
        <f>IF(ISERROR(VLOOKUP(D183,Data!$A$2:$C$223100,3,FALSE)),"INACTIVE",VLOOKUP(D183,Data!$A$2:$C$223100,3,FALSE))</f>
        <v>INACTIVE</v>
      </c>
    </row>
    <row r="184" spans="1:15" x14ac:dyDescent="0.25">
      <c r="A184" t="s">
        <v>9760</v>
      </c>
      <c r="B184" t="s">
        <v>9761</v>
      </c>
      <c r="C184" t="s">
        <v>9791</v>
      </c>
      <c r="D184" t="s">
        <v>9792</v>
      </c>
      <c r="E184" t="s">
        <v>9793</v>
      </c>
      <c r="F184" t="s">
        <v>5</v>
      </c>
      <c r="G184" t="s">
        <v>5</v>
      </c>
      <c r="H184" t="s">
        <v>5</v>
      </c>
      <c r="I184" t="s">
        <v>9765</v>
      </c>
      <c r="J184" t="s">
        <v>7</v>
      </c>
      <c r="K184" s="3">
        <f t="shared" si="4"/>
        <v>0</v>
      </c>
      <c r="L184" s="3">
        <f>IF(ISERROR(VLOOKUP(J184,Lookups!$A$2:$A$16,1,FALSE)),1,0)</f>
        <v>1</v>
      </c>
      <c r="M184" s="3">
        <f>IF(ISERROR(VLOOKUP(D184,Data!$A$2:$D$223100,2,FALSE)),0,1)</f>
        <v>1</v>
      </c>
      <c r="N184" s="3">
        <f t="shared" si="5"/>
        <v>1</v>
      </c>
      <c r="O184" s="3" t="str">
        <f>IF(ISERROR(VLOOKUP(D184,Data!$A$2:$C$223100,3,FALSE)),"INACTIVE",VLOOKUP(D184,Data!$A$2:$C$223100,3,FALSE))</f>
        <v>FC</v>
      </c>
    </row>
    <row r="185" spans="1:15" x14ac:dyDescent="0.25">
      <c r="A185" t="s">
        <v>9760</v>
      </c>
      <c r="B185" t="s">
        <v>9761</v>
      </c>
      <c r="C185" t="s">
        <v>9794</v>
      </c>
      <c r="D185" t="s">
        <v>9792</v>
      </c>
      <c r="E185" t="s">
        <v>9795</v>
      </c>
      <c r="F185" t="s">
        <v>5</v>
      </c>
      <c r="G185" t="s">
        <v>5</v>
      </c>
      <c r="H185" t="s">
        <v>5</v>
      </c>
      <c r="I185" t="s">
        <v>9765</v>
      </c>
      <c r="J185" t="s">
        <v>7</v>
      </c>
      <c r="K185" s="3">
        <f t="shared" si="4"/>
        <v>0</v>
      </c>
      <c r="L185" s="3">
        <f>IF(ISERROR(VLOOKUP(J185,Lookups!$A$2:$A$16,1,FALSE)),1,0)</f>
        <v>1</v>
      </c>
      <c r="M185" s="3">
        <f>IF(ISERROR(VLOOKUP(D185,Data!$A$2:$D$223100,2,FALSE)),0,1)</f>
        <v>1</v>
      </c>
      <c r="N185" s="3">
        <f t="shared" si="5"/>
        <v>1</v>
      </c>
      <c r="O185" s="3" t="str">
        <f>IF(ISERROR(VLOOKUP(D185,Data!$A$2:$C$223100,3,FALSE)),"INACTIVE",VLOOKUP(D185,Data!$A$2:$C$223100,3,FALSE))</f>
        <v>FC</v>
      </c>
    </row>
    <row r="186" spans="1:15" x14ac:dyDescent="0.25">
      <c r="A186" t="s">
        <v>9760</v>
      </c>
      <c r="B186" t="s">
        <v>9761</v>
      </c>
      <c r="C186" t="s">
        <v>9796</v>
      </c>
      <c r="D186" t="s">
        <v>9797</v>
      </c>
      <c r="E186" t="s">
        <v>9798</v>
      </c>
      <c r="F186" t="s">
        <v>5</v>
      </c>
      <c r="G186" t="s">
        <v>5</v>
      </c>
      <c r="H186" t="s">
        <v>5</v>
      </c>
      <c r="I186" t="s">
        <v>9765</v>
      </c>
      <c r="J186" t="s">
        <v>7</v>
      </c>
      <c r="K186" s="3">
        <f t="shared" si="4"/>
        <v>0</v>
      </c>
      <c r="L186" s="3">
        <f>IF(ISERROR(VLOOKUP(J186,Lookups!$A$2:$A$16,1,FALSE)),1,0)</f>
        <v>1</v>
      </c>
      <c r="M186" s="3">
        <f>IF(ISERROR(VLOOKUP(D186,Data!$A$2:$D$223100,2,FALSE)),0,1)</f>
        <v>1</v>
      </c>
      <c r="N186" s="3">
        <f t="shared" si="5"/>
        <v>1</v>
      </c>
      <c r="O186" s="3" t="str">
        <f>IF(ISERROR(VLOOKUP(D186,Data!$A$2:$C$223100,3,FALSE)),"INACTIVE",VLOOKUP(D186,Data!$A$2:$C$223100,3,FALSE))</f>
        <v>60+</v>
      </c>
    </row>
    <row r="187" spans="1:15" x14ac:dyDescent="0.25">
      <c r="A187" t="s">
        <v>9760</v>
      </c>
      <c r="B187" t="s">
        <v>9761</v>
      </c>
      <c r="C187" t="s">
        <v>9799</v>
      </c>
      <c r="D187" t="s">
        <v>9800</v>
      </c>
      <c r="E187" t="s">
        <v>9801</v>
      </c>
      <c r="F187" t="s">
        <v>5</v>
      </c>
      <c r="G187" t="s">
        <v>5</v>
      </c>
      <c r="H187" t="s">
        <v>5</v>
      </c>
      <c r="I187" t="s">
        <v>9765</v>
      </c>
      <c r="J187" t="s">
        <v>96</v>
      </c>
      <c r="K187" s="3">
        <f t="shared" si="4"/>
        <v>0</v>
      </c>
      <c r="L187" s="3">
        <f>IF(ISERROR(VLOOKUP(J187,Lookups!$A$2:$A$16,1,FALSE)),1,0)</f>
        <v>0</v>
      </c>
      <c r="M187" s="3">
        <f>IF(ISERROR(VLOOKUP(D187,Data!$A$2:$D$223100,2,FALSE)),0,1)</f>
        <v>1</v>
      </c>
      <c r="N187" s="3">
        <f t="shared" si="5"/>
        <v>0</v>
      </c>
      <c r="O187" s="3" t="str">
        <f>IF(ISERROR(VLOOKUP(D187,Data!$A$2:$C$223100,3,FALSE)),"INACTIVE",VLOOKUP(D187,Data!$A$2:$C$223100,3,FALSE))</f>
        <v>FBA</v>
      </c>
    </row>
    <row r="188" spans="1:15" x14ac:dyDescent="0.25">
      <c r="A188" t="s">
        <v>122</v>
      </c>
      <c r="B188" t="s">
        <v>9580</v>
      </c>
      <c r="C188" t="s">
        <v>9586</v>
      </c>
      <c r="D188" t="s">
        <v>9587</v>
      </c>
      <c r="E188" t="s">
        <v>9588</v>
      </c>
      <c r="F188" t="s">
        <v>5</v>
      </c>
      <c r="G188" t="s">
        <v>5</v>
      </c>
      <c r="H188" t="s">
        <v>5</v>
      </c>
      <c r="I188" t="s">
        <v>9765</v>
      </c>
      <c r="J188" t="s">
        <v>14</v>
      </c>
      <c r="K188" s="3">
        <f t="shared" si="4"/>
        <v>0</v>
      </c>
      <c r="L188" s="3">
        <f>IF(ISERROR(VLOOKUP(J188,Lookups!$A$2:$A$16,1,FALSE)),1,0)</f>
        <v>1</v>
      </c>
      <c r="M188" s="3">
        <f>IF(ISERROR(VLOOKUP(D188,Data!$A$2:$D$223100,2,FALSE)),0,1)</f>
        <v>1</v>
      </c>
      <c r="N188" s="3">
        <f t="shared" si="5"/>
        <v>1</v>
      </c>
      <c r="O188" s="3" t="str">
        <f>IF(ISERROR(VLOOKUP(D188,Data!$A$2:$C$223100,3,FALSE)),"INACTIVE",VLOOKUP(D188,Data!$A$2:$C$223100,3,FALSE))</f>
        <v>30+</v>
      </c>
    </row>
    <row r="189" spans="1:15" x14ac:dyDescent="0.25">
      <c r="A189" t="s">
        <v>109</v>
      </c>
      <c r="B189" t="s">
        <v>110</v>
      </c>
      <c r="C189" t="s">
        <v>115</v>
      </c>
      <c r="D189" t="s">
        <v>116</v>
      </c>
      <c r="E189" t="s">
        <v>10110</v>
      </c>
      <c r="F189" t="s">
        <v>5</v>
      </c>
      <c r="G189" t="s">
        <v>5</v>
      </c>
      <c r="H189" t="s">
        <v>5</v>
      </c>
      <c r="I189" t="s">
        <v>10111</v>
      </c>
      <c r="J189" t="s">
        <v>90</v>
      </c>
      <c r="K189" s="3">
        <f t="shared" si="4"/>
        <v>0</v>
      </c>
      <c r="L189" s="3">
        <f>IF(ISERROR(VLOOKUP(J189,Lookups!$A$2:$A$16,1,FALSE)),1,0)</f>
        <v>0</v>
      </c>
      <c r="M189" s="3">
        <f>IF(ISERROR(VLOOKUP(D189,Data!$A$2:$D$223100,2,FALSE)),0,1)</f>
        <v>1</v>
      </c>
      <c r="N189" s="3">
        <f t="shared" si="5"/>
        <v>0</v>
      </c>
      <c r="O189" s="3" t="str">
        <f>IF(ISERROR(VLOOKUP(D189,Data!$A$2:$C$223100,3,FALSE)),"INACTIVE",VLOOKUP(D189,Data!$A$2:$C$223100,3,FALSE))</f>
        <v>BK13</v>
      </c>
    </row>
    <row r="190" spans="1:15" x14ac:dyDescent="0.25">
      <c r="A190" t="s">
        <v>9754</v>
      </c>
      <c r="B190" t="s">
        <v>9755</v>
      </c>
      <c r="C190" t="s">
        <v>9756</v>
      </c>
      <c r="D190" t="s">
        <v>9757</v>
      </c>
      <c r="E190" t="s">
        <v>9758</v>
      </c>
      <c r="F190" t="s">
        <v>5</v>
      </c>
      <c r="G190" t="s">
        <v>5</v>
      </c>
      <c r="H190" t="s">
        <v>5</v>
      </c>
      <c r="I190" t="s">
        <v>9759</v>
      </c>
      <c r="J190" t="s">
        <v>90</v>
      </c>
      <c r="K190" s="3">
        <f t="shared" si="4"/>
        <v>0</v>
      </c>
      <c r="L190" s="3">
        <f>IF(ISERROR(VLOOKUP(J190,Lookups!$A$2:$A$16,1,FALSE)),1,0)</f>
        <v>0</v>
      </c>
      <c r="M190" s="3">
        <f>IF(ISERROR(VLOOKUP(D190,Data!$A$2:$D$223100,2,FALSE)),0,1)</f>
        <v>1</v>
      </c>
      <c r="N190" s="3">
        <f t="shared" si="5"/>
        <v>0</v>
      </c>
      <c r="O190" s="3" t="str">
        <f>IF(ISERROR(VLOOKUP(D190,Data!$A$2:$C$223100,3,FALSE)),"INACTIVE",VLOOKUP(D190,Data!$A$2:$C$223100,3,FALSE))</f>
        <v>30+</v>
      </c>
    </row>
    <row r="191" spans="1:15" x14ac:dyDescent="0.25">
      <c r="A191" t="s">
        <v>9997</v>
      </c>
      <c r="B191" t="s">
        <v>9998</v>
      </c>
      <c r="C191" t="s">
        <v>9999</v>
      </c>
      <c r="D191" t="s">
        <v>10000</v>
      </c>
      <c r="E191" t="s">
        <v>10001</v>
      </c>
      <c r="F191" t="s">
        <v>5</v>
      </c>
      <c r="G191" t="s">
        <v>5</v>
      </c>
      <c r="H191" t="s">
        <v>5</v>
      </c>
      <c r="I191" t="s">
        <v>9759</v>
      </c>
      <c r="J191" t="s">
        <v>14</v>
      </c>
      <c r="K191" s="3">
        <f t="shared" si="4"/>
        <v>0</v>
      </c>
      <c r="L191" s="3">
        <f>IF(ISERROR(VLOOKUP(J191,Lookups!$A$2:$A$16,1,FALSE)),1,0)</f>
        <v>1</v>
      </c>
      <c r="M191" s="3">
        <f>IF(ISERROR(VLOOKUP(D191,Data!$A$2:$D$223100,2,FALSE)),0,1)</f>
        <v>1</v>
      </c>
      <c r="N191" s="3">
        <f t="shared" si="5"/>
        <v>1</v>
      </c>
      <c r="O191" s="3" t="str">
        <f>IF(ISERROR(VLOOKUP(D191,Data!$A$2:$C$223100,3,FALSE)),"INACTIVE",VLOOKUP(D191,Data!$A$2:$C$223100,3,FALSE))</f>
        <v>FC</v>
      </c>
    </row>
    <row r="192" spans="1:15" x14ac:dyDescent="0.25">
      <c r="A192" t="s">
        <v>10047</v>
      </c>
      <c r="B192" t="s">
        <v>10048</v>
      </c>
      <c r="C192" t="s">
        <v>10049</v>
      </c>
      <c r="D192" t="s">
        <v>10050</v>
      </c>
      <c r="E192" t="s">
        <v>10051</v>
      </c>
      <c r="F192" t="s">
        <v>10052</v>
      </c>
      <c r="G192" t="s">
        <v>5</v>
      </c>
      <c r="H192" t="s">
        <v>5</v>
      </c>
      <c r="I192" t="s">
        <v>9759</v>
      </c>
      <c r="J192" t="s">
        <v>96</v>
      </c>
      <c r="K192" s="3">
        <f t="shared" si="4"/>
        <v>0</v>
      </c>
      <c r="L192" s="3">
        <f>IF(ISERROR(VLOOKUP(J192,Lookups!$A$2:$A$16,1,FALSE)),1,0)</f>
        <v>0</v>
      </c>
      <c r="M192" s="3">
        <f>IF(ISERROR(VLOOKUP(D192,Data!$A$2:$D$223100,2,FALSE)),0,1)</f>
        <v>1</v>
      </c>
      <c r="N192" s="3">
        <f t="shared" si="5"/>
        <v>0</v>
      </c>
      <c r="O192" s="3" t="str">
        <f>IF(ISERROR(VLOOKUP(D192,Data!$A$2:$C$223100,3,FALSE)),"INACTIVE",VLOOKUP(D192,Data!$A$2:$C$223100,3,FALSE))</f>
        <v>120+</v>
      </c>
    </row>
    <row r="193" spans="1:15" x14ac:dyDescent="0.25">
      <c r="A193" t="s">
        <v>10047</v>
      </c>
      <c r="B193" t="s">
        <v>10048</v>
      </c>
      <c r="C193" t="s">
        <v>10049</v>
      </c>
      <c r="D193" t="s">
        <v>10050</v>
      </c>
      <c r="E193" t="s">
        <v>5</v>
      </c>
      <c r="F193" t="s">
        <v>10053</v>
      </c>
      <c r="G193" t="s">
        <v>5</v>
      </c>
      <c r="H193" t="s">
        <v>5</v>
      </c>
      <c r="I193" t="s">
        <v>9759</v>
      </c>
      <c r="J193" t="s">
        <v>96</v>
      </c>
      <c r="K193" s="3">
        <f t="shared" si="4"/>
        <v>0</v>
      </c>
      <c r="L193" s="3">
        <f>IF(ISERROR(VLOOKUP(J193,Lookups!$A$2:$A$16,1,FALSE)),1,0)</f>
        <v>0</v>
      </c>
      <c r="M193" s="3">
        <f>IF(ISERROR(VLOOKUP(D193,Data!$A$2:$D$223100,2,FALSE)),0,1)</f>
        <v>1</v>
      </c>
      <c r="N193" s="3">
        <f t="shared" si="5"/>
        <v>0</v>
      </c>
      <c r="O193" s="3" t="str">
        <f>IF(ISERROR(VLOOKUP(D193,Data!$A$2:$C$223100,3,FALSE)),"INACTIVE",VLOOKUP(D193,Data!$A$2:$C$223100,3,FALSE))</f>
        <v>120+</v>
      </c>
    </row>
    <row r="194" spans="1:15" x14ac:dyDescent="0.25">
      <c r="A194" t="s">
        <v>540</v>
      </c>
      <c r="B194" t="s">
        <v>541</v>
      </c>
      <c r="C194" t="s">
        <v>542</v>
      </c>
      <c r="D194" t="s">
        <v>543</v>
      </c>
      <c r="E194" t="s">
        <v>544</v>
      </c>
      <c r="F194" t="s">
        <v>5</v>
      </c>
      <c r="G194" t="s">
        <v>5</v>
      </c>
      <c r="H194" t="s">
        <v>5</v>
      </c>
      <c r="I194" t="s">
        <v>9871</v>
      </c>
      <c r="J194" t="s">
        <v>96</v>
      </c>
      <c r="K194" s="3">
        <f t="shared" si="4"/>
        <v>0</v>
      </c>
      <c r="L194" s="3">
        <f>IF(ISERROR(VLOOKUP(J194,Lookups!$A$2:$A$16,1,FALSE)),1,0)</f>
        <v>0</v>
      </c>
      <c r="M194" s="3">
        <f>IF(ISERROR(VLOOKUP(D194,Data!$A$2:$D$223100,2,FALSE)),0,1)</f>
        <v>1</v>
      </c>
      <c r="N194" s="3">
        <f t="shared" si="5"/>
        <v>0</v>
      </c>
      <c r="O194" s="3" t="str">
        <f>IF(ISERROR(VLOOKUP(D194,Data!$A$2:$C$223100,3,FALSE)),"INACTIVE",VLOOKUP(D194,Data!$A$2:$C$223100,3,FALSE))</f>
        <v>FC</v>
      </c>
    </row>
    <row r="195" spans="1:15" x14ac:dyDescent="0.25">
      <c r="A195" t="s">
        <v>540</v>
      </c>
      <c r="B195" t="s">
        <v>541</v>
      </c>
      <c r="C195" t="s">
        <v>542</v>
      </c>
      <c r="D195" t="s">
        <v>543</v>
      </c>
      <c r="E195" t="s">
        <v>545</v>
      </c>
      <c r="F195" t="s">
        <v>5</v>
      </c>
      <c r="G195" t="s">
        <v>5</v>
      </c>
      <c r="H195" t="s">
        <v>5</v>
      </c>
      <c r="I195" t="s">
        <v>9871</v>
      </c>
      <c r="J195" t="s">
        <v>96</v>
      </c>
      <c r="K195" s="3">
        <f t="shared" ref="K195:K258" si="6">IF(ISERROR(FIND("LIEN",A195,1)),0,1)</f>
        <v>0</v>
      </c>
      <c r="L195" s="3">
        <f>IF(ISERROR(VLOOKUP(J195,Lookups!$A$2:$A$16,1,FALSE)),1,0)</f>
        <v>0</v>
      </c>
      <c r="M195" s="3">
        <f>IF(ISERROR(VLOOKUP(D195,Data!$A$2:$D$223100,2,FALSE)),0,1)</f>
        <v>1</v>
      </c>
      <c r="N195" s="3">
        <f t="shared" ref="N195:N258" si="7">IF(M195=0,0,IF(SUM(K195:L195)&gt;0,1,0))</f>
        <v>0</v>
      </c>
      <c r="O195" s="3" t="str">
        <f>IF(ISERROR(VLOOKUP(D195,Data!$A$2:$C$223100,3,FALSE)),"INACTIVE",VLOOKUP(D195,Data!$A$2:$C$223100,3,FALSE))</f>
        <v>FC</v>
      </c>
    </row>
    <row r="196" spans="1:15" x14ac:dyDescent="0.25">
      <c r="A196" t="s">
        <v>9952</v>
      </c>
      <c r="B196" t="s">
        <v>9953</v>
      </c>
      <c r="C196" t="s">
        <v>9954</v>
      </c>
      <c r="D196" t="s">
        <v>9955</v>
      </c>
      <c r="E196" t="s">
        <v>9956</v>
      </c>
      <c r="F196" t="s">
        <v>5</v>
      </c>
      <c r="G196" t="s">
        <v>5</v>
      </c>
      <c r="H196" t="s">
        <v>5</v>
      </c>
      <c r="I196" t="s">
        <v>9871</v>
      </c>
      <c r="J196" t="s">
        <v>14</v>
      </c>
      <c r="K196" s="3">
        <f t="shared" si="6"/>
        <v>0</v>
      </c>
      <c r="L196" s="3">
        <f>IF(ISERROR(VLOOKUP(J196,Lookups!$A$2:$A$16,1,FALSE)),1,0)</f>
        <v>1</v>
      </c>
      <c r="M196" s="3">
        <f>IF(ISERROR(VLOOKUP(D196,Data!$A$2:$D$223100,2,FALSE)),0,1)</f>
        <v>1</v>
      </c>
      <c r="N196" s="3">
        <f t="shared" si="7"/>
        <v>1</v>
      </c>
      <c r="O196" s="3" t="str">
        <f>IF(ISERROR(VLOOKUP(D196,Data!$A$2:$C$223100,3,FALSE)),"INACTIVE",VLOOKUP(D196,Data!$A$2:$C$223100,3,FALSE))</f>
        <v>Current</v>
      </c>
    </row>
    <row r="197" spans="1:15" x14ac:dyDescent="0.25">
      <c r="A197" t="s">
        <v>151</v>
      </c>
      <c r="B197" t="s">
        <v>152</v>
      </c>
      <c r="C197" t="s">
        <v>9698</v>
      </c>
      <c r="D197" t="s">
        <v>9699</v>
      </c>
      <c r="E197" t="s">
        <v>9700</v>
      </c>
      <c r="F197" t="s">
        <v>5</v>
      </c>
      <c r="G197" t="s">
        <v>5</v>
      </c>
      <c r="H197" t="s">
        <v>5</v>
      </c>
      <c r="I197" t="s">
        <v>9701</v>
      </c>
      <c r="J197" t="s">
        <v>7</v>
      </c>
      <c r="K197" s="3">
        <f t="shared" si="6"/>
        <v>0</v>
      </c>
      <c r="L197" s="3">
        <f>IF(ISERROR(VLOOKUP(J197,Lookups!$A$2:$A$16,1,FALSE)),1,0)</f>
        <v>1</v>
      </c>
      <c r="M197" s="3">
        <f>IF(ISERROR(VLOOKUP(D197,Data!$A$2:$D$223100,2,FALSE)),0,1)</f>
        <v>1</v>
      </c>
      <c r="N197" s="3">
        <f t="shared" si="7"/>
        <v>1</v>
      </c>
      <c r="O197" s="3" t="str">
        <f>IF(ISERROR(VLOOKUP(D197,Data!$A$2:$C$223100,3,FALSE)),"INACTIVE",VLOOKUP(D197,Data!$A$2:$C$223100,3,FALSE))</f>
        <v>Current</v>
      </c>
    </row>
    <row r="198" spans="1:15" x14ac:dyDescent="0.25">
      <c r="A198" t="s">
        <v>9707</v>
      </c>
      <c r="B198" t="s">
        <v>9708</v>
      </c>
      <c r="C198" t="s">
        <v>9709</v>
      </c>
      <c r="D198" t="s">
        <v>9710</v>
      </c>
      <c r="E198" t="s">
        <v>9711</v>
      </c>
      <c r="F198" t="s">
        <v>5</v>
      </c>
      <c r="G198" t="s">
        <v>5</v>
      </c>
      <c r="H198" t="s">
        <v>5</v>
      </c>
      <c r="I198" t="s">
        <v>9701</v>
      </c>
      <c r="J198" t="s">
        <v>7</v>
      </c>
      <c r="K198" s="3">
        <f t="shared" si="6"/>
        <v>0</v>
      </c>
      <c r="L198" s="3">
        <f>IF(ISERROR(VLOOKUP(J198,Lookups!$A$2:$A$16,1,FALSE)),1,0)</f>
        <v>1</v>
      </c>
      <c r="M198" s="3">
        <f>IF(ISERROR(VLOOKUP(D198,Data!$A$2:$D$223100,2,FALSE)),0,1)</f>
        <v>0</v>
      </c>
      <c r="N198" s="3">
        <f t="shared" si="7"/>
        <v>0</v>
      </c>
      <c r="O198" s="3" t="str">
        <f>IF(ISERROR(VLOOKUP(D198,Data!$A$2:$C$223100,3,FALSE)),"INACTIVE",VLOOKUP(D198,Data!$A$2:$C$223100,3,FALSE))</f>
        <v>INACTIVE</v>
      </c>
    </row>
    <row r="199" spans="1:15" x14ac:dyDescent="0.25">
      <c r="A199" t="s">
        <v>9707</v>
      </c>
      <c r="B199" t="s">
        <v>9708</v>
      </c>
      <c r="C199" t="s">
        <v>9712</v>
      </c>
      <c r="D199" t="s">
        <v>9713</v>
      </c>
      <c r="E199" t="s">
        <v>9714</v>
      </c>
      <c r="F199" t="s">
        <v>5</v>
      </c>
      <c r="G199" t="s">
        <v>5</v>
      </c>
      <c r="H199" t="s">
        <v>5</v>
      </c>
      <c r="I199" t="s">
        <v>9701</v>
      </c>
      <c r="J199" t="s">
        <v>7</v>
      </c>
      <c r="K199" s="3">
        <f t="shared" si="6"/>
        <v>0</v>
      </c>
      <c r="L199" s="3">
        <f>IF(ISERROR(VLOOKUP(J199,Lookups!$A$2:$A$16,1,FALSE)),1,0)</f>
        <v>1</v>
      </c>
      <c r="M199" s="3">
        <f>IF(ISERROR(VLOOKUP(D199,Data!$A$2:$D$223100,2,FALSE)),0,1)</f>
        <v>1</v>
      </c>
      <c r="N199" s="3">
        <f t="shared" si="7"/>
        <v>1</v>
      </c>
      <c r="O199" s="3" t="str">
        <f>IF(ISERROR(VLOOKUP(D199,Data!$A$2:$C$223100,3,FALSE)),"INACTIVE",VLOOKUP(D199,Data!$A$2:$C$223100,3,FALSE))</f>
        <v>Current</v>
      </c>
    </row>
    <row r="200" spans="1:15" x14ac:dyDescent="0.25">
      <c r="A200" t="s">
        <v>9802</v>
      </c>
      <c r="B200" t="s">
        <v>9803</v>
      </c>
      <c r="C200" t="s">
        <v>9804</v>
      </c>
      <c r="D200" t="s">
        <v>9805</v>
      </c>
      <c r="E200" t="s">
        <v>9806</v>
      </c>
      <c r="F200" t="s">
        <v>5</v>
      </c>
      <c r="G200" t="s">
        <v>5</v>
      </c>
      <c r="H200" t="s">
        <v>5</v>
      </c>
      <c r="I200" t="s">
        <v>9701</v>
      </c>
      <c r="J200" t="s">
        <v>7</v>
      </c>
      <c r="K200" s="3">
        <f t="shared" si="6"/>
        <v>0</v>
      </c>
      <c r="L200" s="3">
        <f>IF(ISERROR(VLOOKUP(J200,Lookups!$A$2:$A$16,1,FALSE)),1,0)</f>
        <v>1</v>
      </c>
      <c r="M200" s="3">
        <f>IF(ISERROR(VLOOKUP(D200,Data!$A$2:$D$223100,2,FALSE)),0,1)</f>
        <v>0</v>
      </c>
      <c r="N200" s="3">
        <f t="shared" si="7"/>
        <v>0</v>
      </c>
      <c r="O200" s="3" t="str">
        <f>IF(ISERROR(VLOOKUP(D200,Data!$A$2:$C$223100,3,FALSE)),"INACTIVE",VLOOKUP(D200,Data!$A$2:$C$223100,3,FALSE))</f>
        <v>INACTIVE</v>
      </c>
    </row>
    <row r="201" spans="1:15" x14ac:dyDescent="0.25">
      <c r="A201" t="s">
        <v>9957</v>
      </c>
      <c r="B201" t="s">
        <v>9958</v>
      </c>
      <c r="C201" t="s">
        <v>9959</v>
      </c>
      <c r="D201" t="s">
        <v>9960</v>
      </c>
      <c r="E201" t="s">
        <v>9961</v>
      </c>
      <c r="F201" t="s">
        <v>9962</v>
      </c>
      <c r="G201" t="s">
        <v>5</v>
      </c>
      <c r="H201" t="s">
        <v>5</v>
      </c>
      <c r="I201" t="s">
        <v>9701</v>
      </c>
      <c r="J201" t="s">
        <v>14</v>
      </c>
      <c r="K201" s="3">
        <f t="shared" si="6"/>
        <v>0</v>
      </c>
      <c r="L201" s="3">
        <f>IF(ISERROR(VLOOKUP(J201,Lookups!$A$2:$A$16,1,FALSE)),1,0)</f>
        <v>1</v>
      </c>
      <c r="M201" s="3">
        <f>IF(ISERROR(VLOOKUP(D201,Data!$A$2:$D$223100,2,FALSE)),0,1)</f>
        <v>1</v>
      </c>
      <c r="N201" s="3">
        <f t="shared" si="7"/>
        <v>1</v>
      </c>
      <c r="O201" s="3" t="str">
        <f>IF(ISERROR(VLOOKUP(D201,Data!$A$2:$C$223100,3,FALSE)),"INACTIVE",VLOOKUP(D201,Data!$A$2:$C$223100,3,FALSE))</f>
        <v>90+</v>
      </c>
    </row>
    <row r="202" spans="1:15" x14ac:dyDescent="0.25">
      <c r="A202" t="s">
        <v>9957</v>
      </c>
      <c r="B202" t="s">
        <v>9958</v>
      </c>
      <c r="C202" t="s">
        <v>9963</v>
      </c>
      <c r="D202" t="s">
        <v>9964</v>
      </c>
      <c r="E202" t="s">
        <v>5</v>
      </c>
      <c r="F202" t="s">
        <v>9965</v>
      </c>
      <c r="G202" t="s">
        <v>5</v>
      </c>
      <c r="H202" t="s">
        <v>5</v>
      </c>
      <c r="I202" t="s">
        <v>9701</v>
      </c>
      <c r="J202" t="s">
        <v>14</v>
      </c>
      <c r="K202" s="3">
        <f t="shared" si="6"/>
        <v>0</v>
      </c>
      <c r="L202" s="3">
        <f>IF(ISERROR(VLOOKUP(J202,Lookups!$A$2:$A$16,1,FALSE)),1,0)</f>
        <v>1</v>
      </c>
      <c r="M202" s="3">
        <f>IF(ISERROR(VLOOKUP(D202,Data!$A$2:$D$223100,2,FALSE)),0,1)</f>
        <v>1</v>
      </c>
      <c r="N202" s="3">
        <f t="shared" si="7"/>
        <v>1</v>
      </c>
      <c r="O202" s="3" t="str">
        <f>IF(ISERROR(VLOOKUP(D202,Data!$A$2:$C$223100,3,FALSE)),"INACTIVE",VLOOKUP(D202,Data!$A$2:$C$223100,3,FALSE))</f>
        <v>Demand Letter</v>
      </c>
    </row>
    <row r="203" spans="1:15" x14ac:dyDescent="0.25">
      <c r="A203" t="s">
        <v>9957</v>
      </c>
      <c r="B203" t="s">
        <v>9958</v>
      </c>
      <c r="C203" t="s">
        <v>9966</v>
      </c>
      <c r="D203" t="s">
        <v>9967</v>
      </c>
      <c r="E203" t="s">
        <v>9968</v>
      </c>
      <c r="F203" t="s">
        <v>9969</v>
      </c>
      <c r="G203" t="s">
        <v>5</v>
      </c>
      <c r="H203" t="s">
        <v>5</v>
      </c>
      <c r="I203" t="s">
        <v>9701</v>
      </c>
      <c r="J203" t="s">
        <v>14</v>
      </c>
      <c r="K203" s="3">
        <f t="shared" si="6"/>
        <v>0</v>
      </c>
      <c r="L203" s="3">
        <f>IF(ISERROR(VLOOKUP(J203,Lookups!$A$2:$A$16,1,FALSE)),1,0)</f>
        <v>1</v>
      </c>
      <c r="M203" s="3">
        <f>IF(ISERROR(VLOOKUP(D203,Data!$A$2:$D$223100,2,FALSE)),0,1)</f>
        <v>1</v>
      </c>
      <c r="N203" s="3">
        <f t="shared" si="7"/>
        <v>1</v>
      </c>
      <c r="O203" s="3" t="str">
        <f>IF(ISERROR(VLOOKUP(D203,Data!$A$2:$C$223100,3,FALSE)),"INACTIVE",VLOOKUP(D203,Data!$A$2:$C$223100,3,FALSE))</f>
        <v>Current</v>
      </c>
    </row>
    <row r="204" spans="1:15" x14ac:dyDescent="0.25">
      <c r="A204" t="s">
        <v>9957</v>
      </c>
      <c r="B204" t="s">
        <v>9958</v>
      </c>
      <c r="C204" t="s">
        <v>9970</v>
      </c>
      <c r="D204" t="s">
        <v>9971</v>
      </c>
      <c r="E204" t="s">
        <v>9972</v>
      </c>
      <c r="F204" t="s">
        <v>5</v>
      </c>
      <c r="G204" t="s">
        <v>5</v>
      </c>
      <c r="H204" t="s">
        <v>5</v>
      </c>
      <c r="I204" t="s">
        <v>9701</v>
      </c>
      <c r="J204" t="s">
        <v>96</v>
      </c>
      <c r="K204" s="3">
        <f t="shared" si="6"/>
        <v>0</v>
      </c>
      <c r="L204" s="3">
        <f>IF(ISERROR(VLOOKUP(J204,Lookups!$A$2:$A$16,1,FALSE)),1,0)</f>
        <v>0</v>
      </c>
      <c r="M204" s="3">
        <f>IF(ISERROR(VLOOKUP(D204,Data!$A$2:$D$223100,2,FALSE)),0,1)</f>
        <v>0</v>
      </c>
      <c r="N204" s="3">
        <f t="shared" si="7"/>
        <v>0</v>
      </c>
      <c r="O204" s="3" t="str">
        <f>IF(ISERROR(VLOOKUP(D204,Data!$A$2:$C$223100,3,FALSE)),"INACTIVE",VLOOKUP(D204,Data!$A$2:$C$223100,3,FALSE))</f>
        <v>INACTIVE</v>
      </c>
    </row>
    <row r="205" spans="1:15" x14ac:dyDescent="0.25">
      <c r="A205" t="s">
        <v>9957</v>
      </c>
      <c r="B205" t="s">
        <v>9958</v>
      </c>
      <c r="C205" t="s">
        <v>9970</v>
      </c>
      <c r="D205" t="s">
        <v>9971</v>
      </c>
      <c r="E205" t="s">
        <v>9973</v>
      </c>
      <c r="F205" t="s">
        <v>5</v>
      </c>
      <c r="G205" t="s">
        <v>5</v>
      </c>
      <c r="H205" t="s">
        <v>5</v>
      </c>
      <c r="I205" t="s">
        <v>9701</v>
      </c>
      <c r="J205" t="s">
        <v>96</v>
      </c>
      <c r="K205" s="3">
        <f t="shared" si="6"/>
        <v>0</v>
      </c>
      <c r="L205" s="3">
        <f>IF(ISERROR(VLOOKUP(J205,Lookups!$A$2:$A$16,1,FALSE)),1,0)</f>
        <v>0</v>
      </c>
      <c r="M205" s="3">
        <f>IF(ISERROR(VLOOKUP(D205,Data!$A$2:$D$223100,2,FALSE)),0,1)</f>
        <v>0</v>
      </c>
      <c r="N205" s="3">
        <f t="shared" si="7"/>
        <v>0</v>
      </c>
      <c r="O205" s="3" t="str">
        <f>IF(ISERROR(VLOOKUP(D205,Data!$A$2:$C$223100,3,FALSE)),"INACTIVE",VLOOKUP(D205,Data!$A$2:$C$223100,3,FALSE))</f>
        <v>INACTIVE</v>
      </c>
    </row>
    <row r="206" spans="1:15" x14ac:dyDescent="0.25">
      <c r="A206" t="s">
        <v>9957</v>
      </c>
      <c r="B206" t="s">
        <v>9958</v>
      </c>
      <c r="C206" t="s">
        <v>9974</v>
      </c>
      <c r="D206" t="s">
        <v>9975</v>
      </c>
      <c r="E206" t="s">
        <v>9976</v>
      </c>
      <c r="F206" t="s">
        <v>5</v>
      </c>
      <c r="G206" t="s">
        <v>5</v>
      </c>
      <c r="H206" t="s">
        <v>5</v>
      </c>
      <c r="I206" t="s">
        <v>9701</v>
      </c>
      <c r="J206" t="s">
        <v>96</v>
      </c>
      <c r="K206" s="3">
        <f t="shared" si="6"/>
        <v>0</v>
      </c>
      <c r="L206" s="3">
        <f>IF(ISERROR(VLOOKUP(J206,Lookups!$A$2:$A$16,1,FALSE)),1,0)</f>
        <v>0</v>
      </c>
      <c r="M206" s="3">
        <f>IF(ISERROR(VLOOKUP(D206,Data!$A$2:$D$223100,2,FALSE)),0,1)</f>
        <v>1</v>
      </c>
      <c r="N206" s="3">
        <f t="shared" si="7"/>
        <v>0</v>
      </c>
      <c r="O206" s="3" t="str">
        <f>IF(ISERROR(VLOOKUP(D206,Data!$A$2:$C$223100,3,FALSE)),"INACTIVE",VLOOKUP(D206,Data!$A$2:$C$223100,3,FALSE))</f>
        <v>Current</v>
      </c>
    </row>
    <row r="207" spans="1:15" x14ac:dyDescent="0.25">
      <c r="A207" t="s">
        <v>9957</v>
      </c>
      <c r="B207" t="s">
        <v>9958</v>
      </c>
      <c r="C207" t="s">
        <v>9974</v>
      </c>
      <c r="D207" t="s">
        <v>9975</v>
      </c>
      <c r="E207" t="s">
        <v>9977</v>
      </c>
      <c r="F207" t="s">
        <v>5</v>
      </c>
      <c r="G207" t="s">
        <v>5</v>
      </c>
      <c r="H207" t="s">
        <v>5</v>
      </c>
      <c r="I207" t="s">
        <v>9701</v>
      </c>
      <c r="J207" t="s">
        <v>96</v>
      </c>
      <c r="K207" s="3">
        <f t="shared" si="6"/>
        <v>0</v>
      </c>
      <c r="L207" s="3">
        <f>IF(ISERROR(VLOOKUP(J207,Lookups!$A$2:$A$16,1,FALSE)),1,0)</f>
        <v>0</v>
      </c>
      <c r="M207" s="3">
        <f>IF(ISERROR(VLOOKUP(D207,Data!$A$2:$D$223100,2,FALSE)),0,1)</f>
        <v>1</v>
      </c>
      <c r="N207" s="3">
        <f t="shared" si="7"/>
        <v>0</v>
      </c>
      <c r="O207" s="3" t="str">
        <f>IF(ISERROR(VLOOKUP(D207,Data!$A$2:$C$223100,3,FALSE)),"INACTIVE",VLOOKUP(D207,Data!$A$2:$C$223100,3,FALSE))</f>
        <v>Current</v>
      </c>
    </row>
    <row r="208" spans="1:15" x14ac:dyDescent="0.25">
      <c r="A208" t="s">
        <v>9957</v>
      </c>
      <c r="B208" t="s">
        <v>9958</v>
      </c>
      <c r="C208" t="s">
        <v>9974</v>
      </c>
      <c r="D208" t="s">
        <v>9975</v>
      </c>
      <c r="E208" t="s">
        <v>9978</v>
      </c>
      <c r="F208" t="s">
        <v>9978</v>
      </c>
      <c r="G208" t="s">
        <v>5</v>
      </c>
      <c r="H208" t="s">
        <v>5</v>
      </c>
      <c r="I208" t="s">
        <v>9701</v>
      </c>
      <c r="J208" t="s">
        <v>96</v>
      </c>
      <c r="K208" s="3">
        <f t="shared" si="6"/>
        <v>0</v>
      </c>
      <c r="L208" s="3">
        <f>IF(ISERROR(VLOOKUP(J208,Lookups!$A$2:$A$16,1,FALSE)),1,0)</f>
        <v>0</v>
      </c>
      <c r="M208" s="3">
        <f>IF(ISERROR(VLOOKUP(D208,Data!$A$2:$D$223100,2,FALSE)),0,1)</f>
        <v>1</v>
      </c>
      <c r="N208" s="3">
        <f t="shared" si="7"/>
        <v>0</v>
      </c>
      <c r="O208" s="3" t="str">
        <f>IF(ISERROR(VLOOKUP(D208,Data!$A$2:$C$223100,3,FALSE)),"INACTIVE",VLOOKUP(D208,Data!$A$2:$C$223100,3,FALSE))</f>
        <v>Current</v>
      </c>
    </row>
    <row r="209" spans="1:15" x14ac:dyDescent="0.25">
      <c r="A209" t="s">
        <v>9879</v>
      </c>
      <c r="B209" t="s">
        <v>9880</v>
      </c>
      <c r="C209" t="s">
        <v>9881</v>
      </c>
      <c r="D209" t="s">
        <v>9882</v>
      </c>
      <c r="E209" t="s">
        <v>9883</v>
      </c>
      <c r="F209" t="s">
        <v>5</v>
      </c>
      <c r="G209" t="s">
        <v>5</v>
      </c>
      <c r="H209" t="s">
        <v>5</v>
      </c>
      <c r="I209" t="s">
        <v>9884</v>
      </c>
      <c r="J209" t="s">
        <v>14</v>
      </c>
      <c r="K209" s="3">
        <f t="shared" si="6"/>
        <v>0</v>
      </c>
      <c r="L209" s="3">
        <f>IF(ISERROR(VLOOKUP(J209,Lookups!$A$2:$A$16,1,FALSE)),1,0)</f>
        <v>1</v>
      </c>
      <c r="M209" s="3">
        <f>IF(ISERROR(VLOOKUP(D209,Data!$A$2:$D$223100,2,FALSE)),0,1)</f>
        <v>1</v>
      </c>
      <c r="N209" s="3">
        <f t="shared" si="7"/>
        <v>1</v>
      </c>
      <c r="O209" s="3" t="str">
        <f>IF(ISERROR(VLOOKUP(D209,Data!$A$2:$C$223100,3,FALSE)),"INACTIVE",VLOOKUP(D209,Data!$A$2:$C$223100,3,FALSE))</f>
        <v>PP</v>
      </c>
    </row>
    <row r="210" spans="1:15" x14ac:dyDescent="0.25">
      <c r="A210" t="s">
        <v>9879</v>
      </c>
      <c r="B210" t="s">
        <v>9880</v>
      </c>
      <c r="C210" t="s">
        <v>9885</v>
      </c>
      <c r="D210" t="s">
        <v>9886</v>
      </c>
      <c r="E210" t="s">
        <v>9887</v>
      </c>
      <c r="F210" t="s">
        <v>9887</v>
      </c>
      <c r="G210" t="s">
        <v>5</v>
      </c>
      <c r="H210" t="s">
        <v>5</v>
      </c>
      <c r="I210" t="s">
        <v>9884</v>
      </c>
      <c r="J210" t="s">
        <v>14</v>
      </c>
      <c r="K210" s="3">
        <f t="shared" si="6"/>
        <v>0</v>
      </c>
      <c r="L210" s="3">
        <f>IF(ISERROR(VLOOKUP(J210,Lookups!$A$2:$A$16,1,FALSE)),1,0)</f>
        <v>1</v>
      </c>
      <c r="M210" s="3">
        <f>IF(ISERROR(VLOOKUP(D210,Data!$A$2:$D$223100,2,FALSE)),0,1)</f>
        <v>1</v>
      </c>
      <c r="N210" s="3">
        <f t="shared" si="7"/>
        <v>1</v>
      </c>
      <c r="O210" s="3" t="str">
        <f>IF(ISERROR(VLOOKUP(D210,Data!$A$2:$C$223100,3,FALSE)),"INACTIVE",VLOOKUP(D210,Data!$A$2:$C$223100,3,FALSE))</f>
        <v>Current</v>
      </c>
    </row>
    <row r="211" spans="1:15" x14ac:dyDescent="0.25">
      <c r="A211" t="s">
        <v>9879</v>
      </c>
      <c r="B211" t="s">
        <v>9880</v>
      </c>
      <c r="C211" t="s">
        <v>9888</v>
      </c>
      <c r="D211" t="s">
        <v>9889</v>
      </c>
      <c r="E211" t="s">
        <v>9890</v>
      </c>
      <c r="F211" t="s">
        <v>5</v>
      </c>
      <c r="G211" t="s">
        <v>5</v>
      </c>
      <c r="H211" t="s">
        <v>5</v>
      </c>
      <c r="I211" t="s">
        <v>9884</v>
      </c>
      <c r="J211" t="s">
        <v>7</v>
      </c>
      <c r="K211" s="3">
        <f t="shared" si="6"/>
        <v>0</v>
      </c>
      <c r="L211" s="3">
        <f>IF(ISERROR(VLOOKUP(J211,Lookups!$A$2:$A$16,1,FALSE)),1,0)</f>
        <v>1</v>
      </c>
      <c r="M211" s="3">
        <f>IF(ISERROR(VLOOKUP(D211,Data!$A$2:$D$223100,2,FALSE)),0,1)</f>
        <v>0</v>
      </c>
      <c r="N211" s="3">
        <f t="shared" si="7"/>
        <v>0</v>
      </c>
      <c r="O211" s="3" t="str">
        <f>IF(ISERROR(VLOOKUP(D211,Data!$A$2:$C$223100,3,FALSE)),"INACTIVE",VLOOKUP(D211,Data!$A$2:$C$223100,3,FALSE))</f>
        <v>INACTIVE</v>
      </c>
    </row>
    <row r="212" spans="1:15" x14ac:dyDescent="0.25">
      <c r="A212" t="s">
        <v>9879</v>
      </c>
      <c r="B212" t="s">
        <v>9880</v>
      </c>
      <c r="C212" t="s">
        <v>9888</v>
      </c>
      <c r="D212" t="s">
        <v>9889</v>
      </c>
      <c r="E212" t="s">
        <v>9891</v>
      </c>
      <c r="F212" t="s">
        <v>9891</v>
      </c>
      <c r="G212" t="s">
        <v>5</v>
      </c>
      <c r="H212" t="s">
        <v>5</v>
      </c>
      <c r="I212" t="s">
        <v>9884</v>
      </c>
      <c r="J212" t="s">
        <v>7</v>
      </c>
      <c r="K212" s="3">
        <f t="shared" si="6"/>
        <v>0</v>
      </c>
      <c r="L212" s="3">
        <f>IF(ISERROR(VLOOKUP(J212,Lookups!$A$2:$A$16,1,FALSE)),1,0)</f>
        <v>1</v>
      </c>
      <c r="M212" s="3">
        <f>IF(ISERROR(VLOOKUP(D212,Data!$A$2:$D$223100,2,FALSE)),0,1)</f>
        <v>0</v>
      </c>
      <c r="N212" s="3">
        <f t="shared" si="7"/>
        <v>0</v>
      </c>
      <c r="O212" s="3" t="str">
        <f>IF(ISERROR(VLOOKUP(D212,Data!$A$2:$C$223100,3,FALSE)),"INACTIVE",VLOOKUP(D212,Data!$A$2:$C$223100,3,FALSE))</f>
        <v>INACTIVE</v>
      </c>
    </row>
    <row r="213" spans="1:15" x14ac:dyDescent="0.25">
      <c r="A213" t="s">
        <v>9879</v>
      </c>
      <c r="B213" t="s">
        <v>9880</v>
      </c>
      <c r="C213" t="s">
        <v>9892</v>
      </c>
      <c r="D213" t="s">
        <v>9893</v>
      </c>
      <c r="E213" t="s">
        <v>9894</v>
      </c>
      <c r="F213" t="s">
        <v>5</v>
      </c>
      <c r="G213" t="s">
        <v>5</v>
      </c>
      <c r="H213" t="s">
        <v>5</v>
      </c>
      <c r="I213" t="s">
        <v>9884</v>
      </c>
      <c r="J213" t="s">
        <v>14</v>
      </c>
      <c r="K213" s="3">
        <f t="shared" si="6"/>
        <v>0</v>
      </c>
      <c r="L213" s="3">
        <f>IF(ISERROR(VLOOKUP(J213,Lookups!$A$2:$A$16,1,FALSE)),1,0)</f>
        <v>1</v>
      </c>
      <c r="M213" s="3">
        <f>IF(ISERROR(VLOOKUP(D213,Data!$A$2:$D$223100,2,FALSE)),0,1)</f>
        <v>1</v>
      </c>
      <c r="N213" s="3">
        <f t="shared" si="7"/>
        <v>1</v>
      </c>
      <c r="O213" s="3" t="str">
        <f>IF(ISERROR(VLOOKUP(D213,Data!$A$2:$C$223100,3,FALSE)),"INACTIVE",VLOOKUP(D213,Data!$A$2:$C$223100,3,FALSE))</f>
        <v>BK13</v>
      </c>
    </row>
    <row r="214" spans="1:15" x14ac:dyDescent="0.25">
      <c r="A214" t="s">
        <v>9879</v>
      </c>
      <c r="B214" t="s">
        <v>9880</v>
      </c>
      <c r="C214" t="s">
        <v>9895</v>
      </c>
      <c r="D214" t="s">
        <v>9896</v>
      </c>
      <c r="E214" t="s">
        <v>9897</v>
      </c>
      <c r="F214" t="s">
        <v>9897</v>
      </c>
      <c r="G214" t="s">
        <v>5</v>
      </c>
      <c r="H214" t="s">
        <v>5</v>
      </c>
      <c r="I214" t="s">
        <v>9884</v>
      </c>
      <c r="J214" t="s">
        <v>14</v>
      </c>
      <c r="K214" s="3">
        <f t="shared" si="6"/>
        <v>0</v>
      </c>
      <c r="L214" s="3">
        <f>IF(ISERROR(VLOOKUP(J214,Lookups!$A$2:$A$16,1,FALSE)),1,0)</f>
        <v>1</v>
      </c>
      <c r="M214" s="3">
        <f>IF(ISERROR(VLOOKUP(D214,Data!$A$2:$D$223100,2,FALSE)),0,1)</f>
        <v>1</v>
      </c>
      <c r="N214" s="3">
        <f t="shared" si="7"/>
        <v>1</v>
      </c>
      <c r="O214" s="3" t="str">
        <f>IF(ISERROR(VLOOKUP(D214,Data!$A$2:$C$223100,3,FALSE)),"INACTIVE",VLOOKUP(D214,Data!$A$2:$C$223100,3,FALSE))</f>
        <v>FC</v>
      </c>
    </row>
    <row r="215" spans="1:15" x14ac:dyDescent="0.25">
      <c r="A215" t="s">
        <v>9879</v>
      </c>
      <c r="B215" t="s">
        <v>9880</v>
      </c>
      <c r="C215" t="s">
        <v>9898</v>
      </c>
      <c r="D215" t="s">
        <v>9899</v>
      </c>
      <c r="E215" t="s">
        <v>9900</v>
      </c>
      <c r="F215" t="s">
        <v>5</v>
      </c>
      <c r="G215" t="s">
        <v>5</v>
      </c>
      <c r="H215" t="s">
        <v>5</v>
      </c>
      <c r="I215" t="s">
        <v>9884</v>
      </c>
      <c r="J215" t="s">
        <v>14</v>
      </c>
      <c r="K215" s="3">
        <f t="shared" si="6"/>
        <v>0</v>
      </c>
      <c r="L215" s="3">
        <f>IF(ISERROR(VLOOKUP(J215,Lookups!$A$2:$A$16,1,FALSE)),1,0)</f>
        <v>1</v>
      </c>
      <c r="M215" s="3">
        <f>IF(ISERROR(VLOOKUP(D215,Data!$A$2:$D$223100,2,FALSE)),0,1)</f>
        <v>0</v>
      </c>
      <c r="N215" s="3">
        <f t="shared" si="7"/>
        <v>0</v>
      </c>
      <c r="O215" s="3" t="str">
        <f>IF(ISERROR(VLOOKUP(D215,Data!$A$2:$C$223100,3,FALSE)),"INACTIVE",VLOOKUP(D215,Data!$A$2:$C$223100,3,FALSE))</f>
        <v>INACTIVE</v>
      </c>
    </row>
    <row r="216" spans="1:15" x14ac:dyDescent="0.25">
      <c r="A216" t="s">
        <v>9879</v>
      </c>
      <c r="B216" t="s">
        <v>9880</v>
      </c>
      <c r="C216" t="s">
        <v>9901</v>
      </c>
      <c r="D216" t="s">
        <v>9902</v>
      </c>
      <c r="E216" t="s">
        <v>9903</v>
      </c>
      <c r="F216" t="s">
        <v>9903</v>
      </c>
      <c r="G216" t="s">
        <v>5</v>
      </c>
      <c r="H216" t="s">
        <v>5</v>
      </c>
      <c r="I216" t="s">
        <v>9884</v>
      </c>
      <c r="J216" t="s">
        <v>14</v>
      </c>
      <c r="K216" s="3">
        <f t="shared" si="6"/>
        <v>0</v>
      </c>
      <c r="L216" s="3">
        <f>IF(ISERROR(VLOOKUP(J216,Lookups!$A$2:$A$16,1,FALSE)),1,0)</f>
        <v>1</v>
      </c>
      <c r="M216" s="3">
        <f>IF(ISERROR(VLOOKUP(D216,Data!$A$2:$D$223100,2,FALSE)),0,1)</f>
        <v>1</v>
      </c>
      <c r="N216" s="3">
        <f t="shared" si="7"/>
        <v>1</v>
      </c>
      <c r="O216" s="3" t="str">
        <f>IF(ISERROR(VLOOKUP(D216,Data!$A$2:$C$223100,3,FALSE)),"INACTIVE",VLOOKUP(D216,Data!$A$2:$C$223100,3,FALSE))</f>
        <v>FC</v>
      </c>
    </row>
    <row r="217" spans="1:15" x14ac:dyDescent="0.25">
      <c r="A217" t="s">
        <v>9879</v>
      </c>
      <c r="B217" t="s">
        <v>9880</v>
      </c>
      <c r="C217" t="s">
        <v>9904</v>
      </c>
      <c r="D217" t="s">
        <v>9905</v>
      </c>
      <c r="E217" t="s">
        <v>9906</v>
      </c>
      <c r="F217" t="s">
        <v>9906</v>
      </c>
      <c r="G217" t="s">
        <v>5</v>
      </c>
      <c r="H217" t="s">
        <v>5</v>
      </c>
      <c r="I217" t="s">
        <v>9884</v>
      </c>
      <c r="J217" t="s">
        <v>14</v>
      </c>
      <c r="K217" s="3">
        <f t="shared" si="6"/>
        <v>0</v>
      </c>
      <c r="L217" s="3">
        <f>IF(ISERROR(VLOOKUP(J217,Lookups!$A$2:$A$16,1,FALSE)),1,0)</f>
        <v>1</v>
      </c>
      <c r="M217" s="3">
        <f>IF(ISERROR(VLOOKUP(D217,Data!$A$2:$D$223100,2,FALSE)),0,1)</f>
        <v>1</v>
      </c>
      <c r="N217" s="3">
        <f t="shared" si="7"/>
        <v>1</v>
      </c>
      <c r="O217" s="3" t="str">
        <f>IF(ISERROR(VLOOKUP(D217,Data!$A$2:$C$223100,3,FALSE)),"INACTIVE",VLOOKUP(D217,Data!$A$2:$C$223100,3,FALSE))</f>
        <v>120+</v>
      </c>
    </row>
    <row r="218" spans="1:15" x14ac:dyDescent="0.25">
      <c r="A218" t="s">
        <v>9879</v>
      </c>
      <c r="B218" t="s">
        <v>9880</v>
      </c>
      <c r="C218" t="s">
        <v>9907</v>
      </c>
      <c r="D218" t="s">
        <v>9908</v>
      </c>
      <c r="E218" t="s">
        <v>9909</v>
      </c>
      <c r="F218" t="s">
        <v>5</v>
      </c>
      <c r="G218" t="s">
        <v>5</v>
      </c>
      <c r="H218" t="s">
        <v>5</v>
      </c>
      <c r="I218" t="s">
        <v>9884</v>
      </c>
      <c r="J218" t="s">
        <v>14</v>
      </c>
      <c r="K218" s="3">
        <f t="shared" si="6"/>
        <v>0</v>
      </c>
      <c r="L218" s="3">
        <f>IF(ISERROR(VLOOKUP(J218,Lookups!$A$2:$A$16,1,FALSE)),1,0)</f>
        <v>1</v>
      </c>
      <c r="M218" s="3">
        <f>IF(ISERROR(VLOOKUP(D218,Data!$A$2:$D$223100,2,FALSE)),0,1)</f>
        <v>0</v>
      </c>
      <c r="N218" s="3">
        <f t="shared" si="7"/>
        <v>0</v>
      </c>
      <c r="O218" s="3" t="str">
        <f>IF(ISERROR(VLOOKUP(D218,Data!$A$2:$C$223100,3,FALSE)),"INACTIVE",VLOOKUP(D218,Data!$A$2:$C$223100,3,FALSE))</f>
        <v>INACTIVE</v>
      </c>
    </row>
    <row r="219" spans="1:15" x14ac:dyDescent="0.25">
      <c r="A219" t="s">
        <v>9879</v>
      </c>
      <c r="B219" t="s">
        <v>9880</v>
      </c>
      <c r="C219" t="s">
        <v>9910</v>
      </c>
      <c r="D219" t="s">
        <v>9911</v>
      </c>
      <c r="E219" t="s">
        <v>9912</v>
      </c>
      <c r="F219" t="s">
        <v>9912</v>
      </c>
      <c r="G219" t="s">
        <v>5</v>
      </c>
      <c r="H219" t="s">
        <v>5</v>
      </c>
      <c r="I219" t="s">
        <v>9884</v>
      </c>
      <c r="J219" t="s">
        <v>14</v>
      </c>
      <c r="K219" s="3">
        <f t="shared" si="6"/>
        <v>0</v>
      </c>
      <c r="L219" s="3">
        <f>IF(ISERROR(VLOOKUP(J219,Lookups!$A$2:$A$16,1,FALSE)),1,0)</f>
        <v>1</v>
      </c>
      <c r="M219" s="3">
        <f>IF(ISERROR(VLOOKUP(D219,Data!$A$2:$D$223100,2,FALSE)),0,1)</f>
        <v>1</v>
      </c>
      <c r="N219" s="3">
        <f t="shared" si="7"/>
        <v>1</v>
      </c>
      <c r="O219" s="3" t="str">
        <f>IF(ISERROR(VLOOKUP(D219,Data!$A$2:$C$223100,3,FALSE)),"INACTIVE",VLOOKUP(D219,Data!$A$2:$C$223100,3,FALSE))</f>
        <v>FC</v>
      </c>
    </row>
    <row r="220" spans="1:15" x14ac:dyDescent="0.25">
      <c r="A220" t="s">
        <v>9879</v>
      </c>
      <c r="B220" t="s">
        <v>9880</v>
      </c>
      <c r="C220" t="s">
        <v>9913</v>
      </c>
      <c r="D220" t="s">
        <v>9914</v>
      </c>
      <c r="E220" t="s">
        <v>9915</v>
      </c>
      <c r="F220" t="s">
        <v>5</v>
      </c>
      <c r="G220" t="s">
        <v>5</v>
      </c>
      <c r="H220" t="s">
        <v>5</v>
      </c>
      <c r="I220" t="s">
        <v>9884</v>
      </c>
      <c r="J220" t="s">
        <v>14</v>
      </c>
      <c r="K220" s="3">
        <f t="shared" si="6"/>
        <v>0</v>
      </c>
      <c r="L220" s="3">
        <f>IF(ISERROR(VLOOKUP(J220,Lookups!$A$2:$A$16,1,FALSE)),1,0)</f>
        <v>1</v>
      </c>
      <c r="M220" s="3">
        <f>IF(ISERROR(VLOOKUP(D220,Data!$A$2:$D$223100,2,FALSE)),0,1)</f>
        <v>0</v>
      </c>
      <c r="N220" s="3">
        <f t="shared" si="7"/>
        <v>0</v>
      </c>
      <c r="O220" s="3" t="str">
        <f>IF(ISERROR(VLOOKUP(D220,Data!$A$2:$C$223100,3,FALSE)),"INACTIVE",VLOOKUP(D220,Data!$A$2:$C$223100,3,FALSE))</f>
        <v>INACTIVE</v>
      </c>
    </row>
    <row r="221" spans="1:15" x14ac:dyDescent="0.25">
      <c r="A221" t="s">
        <v>332</v>
      </c>
      <c r="B221" t="s">
        <v>9936</v>
      </c>
      <c r="C221" t="s">
        <v>9937</v>
      </c>
      <c r="D221" t="s">
        <v>9938</v>
      </c>
      <c r="E221" t="s">
        <v>5</v>
      </c>
      <c r="F221" t="s">
        <v>9939</v>
      </c>
      <c r="G221" t="s">
        <v>5</v>
      </c>
      <c r="H221" t="s">
        <v>5</v>
      </c>
      <c r="I221" t="s">
        <v>9884</v>
      </c>
      <c r="J221" t="s">
        <v>7</v>
      </c>
      <c r="K221" s="3">
        <f t="shared" si="6"/>
        <v>0</v>
      </c>
      <c r="L221" s="3">
        <f>IF(ISERROR(VLOOKUP(J221,Lookups!$A$2:$A$16,1,FALSE)),1,0)</f>
        <v>1</v>
      </c>
      <c r="M221" s="3">
        <f>IF(ISERROR(VLOOKUP(D221,Data!$A$2:$D$223100,2,FALSE)),0,1)</f>
        <v>1</v>
      </c>
      <c r="N221" s="3">
        <f t="shared" si="7"/>
        <v>1</v>
      </c>
      <c r="O221" s="3" t="str">
        <f>IF(ISERROR(VLOOKUP(D221,Data!$A$2:$C$223100,3,FALSE)),"INACTIVE",VLOOKUP(D221,Data!$A$2:$C$223100,3,FALSE))</f>
        <v>180+</v>
      </c>
    </row>
    <row r="222" spans="1:15" x14ac:dyDescent="0.25">
      <c r="A222" t="s">
        <v>9661</v>
      </c>
      <c r="B222" t="s">
        <v>9662</v>
      </c>
      <c r="C222" t="s">
        <v>9663</v>
      </c>
      <c r="D222" t="s">
        <v>9664</v>
      </c>
      <c r="E222" t="s">
        <v>9665</v>
      </c>
      <c r="F222" t="s">
        <v>5</v>
      </c>
      <c r="G222" t="s">
        <v>5</v>
      </c>
      <c r="H222" t="s">
        <v>5</v>
      </c>
      <c r="I222" t="s">
        <v>9666</v>
      </c>
      <c r="J222" t="s">
        <v>7</v>
      </c>
      <c r="K222" s="3">
        <f t="shared" si="6"/>
        <v>0</v>
      </c>
      <c r="L222" s="3">
        <f>IF(ISERROR(VLOOKUP(J222,Lookups!$A$2:$A$16,1,FALSE)),1,0)</f>
        <v>1</v>
      </c>
      <c r="M222" s="3">
        <f>IF(ISERROR(VLOOKUP(D222,Data!$A$2:$D$223100,2,FALSE)),0,1)</f>
        <v>1</v>
      </c>
      <c r="N222" s="3">
        <f t="shared" si="7"/>
        <v>1</v>
      </c>
      <c r="O222" s="3" t="str">
        <f>IF(ISERROR(VLOOKUP(D222,Data!$A$2:$C$223100,3,FALSE)),"INACTIVE",VLOOKUP(D222,Data!$A$2:$C$223100,3,FALSE))</f>
        <v>Demand Letter</v>
      </c>
    </row>
    <row r="223" spans="1:15" x14ac:dyDescent="0.25">
      <c r="A223" t="s">
        <v>9672</v>
      </c>
      <c r="B223" t="s">
        <v>9673</v>
      </c>
      <c r="C223" t="s">
        <v>9674</v>
      </c>
      <c r="D223" t="s">
        <v>9675</v>
      </c>
      <c r="E223" t="s">
        <v>9676</v>
      </c>
      <c r="F223" t="s">
        <v>5</v>
      </c>
      <c r="G223" t="s">
        <v>5</v>
      </c>
      <c r="H223" t="s">
        <v>5</v>
      </c>
      <c r="I223" t="s">
        <v>9666</v>
      </c>
      <c r="J223" t="s">
        <v>90</v>
      </c>
      <c r="K223" s="3">
        <f t="shared" si="6"/>
        <v>0</v>
      </c>
      <c r="L223" s="3">
        <f>IF(ISERROR(VLOOKUP(J223,Lookups!$A$2:$A$16,1,FALSE)),1,0)</f>
        <v>0</v>
      </c>
      <c r="M223" s="3">
        <f>IF(ISERROR(VLOOKUP(D223,Data!$A$2:$D$223100,2,FALSE)),0,1)</f>
        <v>1</v>
      </c>
      <c r="N223" s="3">
        <f t="shared" si="7"/>
        <v>0</v>
      </c>
      <c r="O223" s="3" t="str">
        <f>IF(ISERROR(VLOOKUP(D223,Data!$A$2:$C$223100,3,FALSE)),"INACTIVE",VLOOKUP(D223,Data!$A$2:$C$223100,3,FALSE))</f>
        <v>180+</v>
      </c>
    </row>
    <row r="224" spans="1:15" x14ac:dyDescent="0.25">
      <c r="A224" t="s">
        <v>9672</v>
      </c>
      <c r="B224" t="s">
        <v>9673</v>
      </c>
      <c r="C224" t="s">
        <v>9677</v>
      </c>
      <c r="D224" t="s">
        <v>9678</v>
      </c>
      <c r="E224" t="s">
        <v>9679</v>
      </c>
      <c r="F224" t="s">
        <v>5</v>
      </c>
      <c r="G224" t="s">
        <v>5</v>
      </c>
      <c r="H224" t="s">
        <v>5</v>
      </c>
      <c r="I224" t="s">
        <v>9666</v>
      </c>
      <c r="J224" t="s">
        <v>7</v>
      </c>
      <c r="K224" s="3">
        <f t="shared" si="6"/>
        <v>0</v>
      </c>
      <c r="L224" s="3">
        <f>IF(ISERROR(VLOOKUP(J224,Lookups!$A$2:$A$16,1,FALSE)),1,0)</f>
        <v>1</v>
      </c>
      <c r="M224" s="3">
        <f>IF(ISERROR(VLOOKUP(D224,Data!$A$2:$D$223100,2,FALSE)),0,1)</f>
        <v>1</v>
      </c>
      <c r="N224" s="3">
        <f t="shared" si="7"/>
        <v>1</v>
      </c>
      <c r="O224" s="3" t="str">
        <f>IF(ISERROR(VLOOKUP(D224,Data!$A$2:$C$223100,3,FALSE)),"INACTIVE",VLOOKUP(D224,Data!$A$2:$C$223100,3,FALSE))</f>
        <v>Demand Letter</v>
      </c>
    </row>
    <row r="225" spans="1:15" x14ac:dyDescent="0.25">
      <c r="A225" t="s">
        <v>9702</v>
      </c>
      <c r="B225" t="s">
        <v>9703</v>
      </c>
      <c r="C225" t="s">
        <v>9704</v>
      </c>
      <c r="D225" t="s">
        <v>9705</v>
      </c>
      <c r="E225" t="s">
        <v>9706</v>
      </c>
      <c r="F225" t="s">
        <v>5</v>
      </c>
      <c r="G225" t="s">
        <v>5</v>
      </c>
      <c r="H225" t="s">
        <v>5</v>
      </c>
      <c r="I225" t="s">
        <v>9666</v>
      </c>
      <c r="J225" t="s">
        <v>96</v>
      </c>
      <c r="K225" s="3">
        <f t="shared" si="6"/>
        <v>0</v>
      </c>
      <c r="L225" s="3">
        <f>IF(ISERROR(VLOOKUP(J225,Lookups!$A$2:$A$16,1,FALSE)),1,0)</f>
        <v>0</v>
      </c>
      <c r="M225" s="3">
        <f>IF(ISERROR(VLOOKUP(D225,Data!$A$2:$D$223100,2,FALSE)),0,1)</f>
        <v>1</v>
      </c>
      <c r="N225" s="3">
        <f t="shared" si="7"/>
        <v>0</v>
      </c>
      <c r="O225" s="3" t="str">
        <f>IF(ISERROR(VLOOKUP(D225,Data!$A$2:$C$223100,3,FALSE)),"INACTIVE",VLOOKUP(D225,Data!$A$2:$C$223100,3,FALSE))</f>
        <v>Current</v>
      </c>
    </row>
    <row r="226" spans="1:15" x14ac:dyDescent="0.25">
      <c r="A226" t="s">
        <v>9721</v>
      </c>
      <c r="B226" t="s">
        <v>9722</v>
      </c>
      <c r="C226" t="s">
        <v>9723</v>
      </c>
      <c r="D226" t="s">
        <v>9724</v>
      </c>
      <c r="E226" t="s">
        <v>9725</v>
      </c>
      <c r="F226" t="s">
        <v>9726</v>
      </c>
      <c r="G226" t="s">
        <v>5</v>
      </c>
      <c r="H226" t="s">
        <v>5</v>
      </c>
      <c r="I226" t="s">
        <v>9666</v>
      </c>
      <c r="J226" t="s">
        <v>7</v>
      </c>
      <c r="K226" s="3">
        <f t="shared" si="6"/>
        <v>0</v>
      </c>
      <c r="L226" s="3">
        <f>IF(ISERROR(VLOOKUP(J226,Lookups!$A$2:$A$16,1,FALSE)),1,0)</f>
        <v>1</v>
      </c>
      <c r="M226" s="3">
        <f>IF(ISERROR(VLOOKUP(D226,Data!$A$2:$D$223100,2,FALSE)),0,1)</f>
        <v>1</v>
      </c>
      <c r="N226" s="3">
        <f t="shared" si="7"/>
        <v>1</v>
      </c>
      <c r="O226" s="3" t="str">
        <f>IF(ISERROR(VLOOKUP(D226,Data!$A$2:$C$223100,3,FALSE)),"INACTIVE",VLOOKUP(D226,Data!$A$2:$C$223100,3,FALSE))</f>
        <v>90+</v>
      </c>
    </row>
    <row r="227" spans="1:15" x14ac:dyDescent="0.25">
      <c r="A227" t="s">
        <v>9721</v>
      </c>
      <c r="B227" t="s">
        <v>9722</v>
      </c>
      <c r="C227" t="s">
        <v>9723</v>
      </c>
      <c r="D227" t="s">
        <v>9724</v>
      </c>
      <c r="E227" t="s">
        <v>9727</v>
      </c>
      <c r="F227" t="s">
        <v>9728</v>
      </c>
      <c r="G227" t="s">
        <v>5</v>
      </c>
      <c r="H227" t="s">
        <v>5</v>
      </c>
      <c r="I227" t="s">
        <v>9666</v>
      </c>
      <c r="J227" t="s">
        <v>7</v>
      </c>
      <c r="K227" s="3">
        <f t="shared" si="6"/>
        <v>0</v>
      </c>
      <c r="L227" s="3">
        <f>IF(ISERROR(VLOOKUP(J227,Lookups!$A$2:$A$16,1,FALSE)),1,0)</f>
        <v>1</v>
      </c>
      <c r="M227" s="3">
        <f>IF(ISERROR(VLOOKUP(D227,Data!$A$2:$D$223100,2,FALSE)),0,1)</f>
        <v>1</v>
      </c>
      <c r="N227" s="3">
        <f t="shared" si="7"/>
        <v>1</v>
      </c>
      <c r="O227" s="3" t="str">
        <f>IF(ISERROR(VLOOKUP(D227,Data!$A$2:$C$223100,3,FALSE)),"INACTIVE",VLOOKUP(D227,Data!$A$2:$C$223100,3,FALSE))</f>
        <v>90+</v>
      </c>
    </row>
    <row r="228" spans="1:15" x14ac:dyDescent="0.25">
      <c r="A228" t="s">
        <v>4564</v>
      </c>
      <c r="B228" t="s">
        <v>4565</v>
      </c>
      <c r="C228" t="s">
        <v>4566</v>
      </c>
      <c r="D228" t="s">
        <v>4567</v>
      </c>
      <c r="E228" t="s">
        <v>9940</v>
      </c>
      <c r="F228" t="s">
        <v>9940</v>
      </c>
      <c r="G228" t="s">
        <v>5</v>
      </c>
      <c r="H228" t="s">
        <v>5</v>
      </c>
      <c r="I228" t="s">
        <v>9941</v>
      </c>
      <c r="J228" t="s">
        <v>7</v>
      </c>
      <c r="K228" s="3">
        <f t="shared" si="6"/>
        <v>0</v>
      </c>
      <c r="L228" s="3">
        <f>IF(ISERROR(VLOOKUP(J228,Lookups!$A$2:$A$16,1,FALSE)),1,0)</f>
        <v>1</v>
      </c>
      <c r="M228" s="3">
        <f>IF(ISERROR(VLOOKUP(D228,Data!$A$2:$D$223100,2,FALSE)),0,1)</f>
        <v>1</v>
      </c>
      <c r="N228" s="3">
        <f t="shared" si="7"/>
        <v>1</v>
      </c>
      <c r="O228" s="3" t="str">
        <f>IF(ISERROR(VLOOKUP(D228,Data!$A$2:$C$223100,3,FALSE)),"INACTIVE",VLOOKUP(D228,Data!$A$2:$C$223100,3,FALSE))</f>
        <v>Current</v>
      </c>
    </row>
    <row r="229" spans="1:15" x14ac:dyDescent="0.25">
      <c r="A229" t="s">
        <v>4564</v>
      </c>
      <c r="B229" t="s">
        <v>4565</v>
      </c>
      <c r="C229" t="s">
        <v>9942</v>
      </c>
      <c r="D229" t="s">
        <v>9943</v>
      </c>
      <c r="E229" t="s">
        <v>5</v>
      </c>
      <c r="F229" t="s">
        <v>9944</v>
      </c>
      <c r="G229" t="s">
        <v>5</v>
      </c>
      <c r="H229" t="s">
        <v>5</v>
      </c>
      <c r="I229" t="s">
        <v>9941</v>
      </c>
      <c r="J229" t="s">
        <v>7</v>
      </c>
      <c r="K229" s="3">
        <f t="shared" si="6"/>
        <v>0</v>
      </c>
      <c r="L229" s="3">
        <f>IF(ISERROR(VLOOKUP(J229,Lookups!$A$2:$A$16,1,FALSE)),1,0)</f>
        <v>1</v>
      </c>
      <c r="M229" s="3">
        <f>IF(ISERROR(VLOOKUP(D229,Data!$A$2:$D$223100,2,FALSE)),0,1)</f>
        <v>1</v>
      </c>
      <c r="N229" s="3">
        <f t="shared" si="7"/>
        <v>1</v>
      </c>
      <c r="O229" s="3" t="str">
        <f>IF(ISERROR(VLOOKUP(D229,Data!$A$2:$C$223100,3,FALSE)),"INACTIVE",VLOOKUP(D229,Data!$A$2:$C$223100,3,FALSE))</f>
        <v>30+</v>
      </c>
    </row>
    <row r="230" spans="1:15" x14ac:dyDescent="0.25">
      <c r="A230" t="s">
        <v>1042</v>
      </c>
      <c r="B230" t="s">
        <v>1043</v>
      </c>
      <c r="C230" t="s">
        <v>9807</v>
      </c>
      <c r="D230" t="s">
        <v>9808</v>
      </c>
      <c r="E230" t="s">
        <v>9809</v>
      </c>
      <c r="F230" t="s">
        <v>5</v>
      </c>
      <c r="G230" t="s">
        <v>5</v>
      </c>
      <c r="H230" t="s">
        <v>5</v>
      </c>
      <c r="I230" t="s">
        <v>9810</v>
      </c>
      <c r="J230" t="s">
        <v>7</v>
      </c>
      <c r="K230" s="3">
        <f t="shared" si="6"/>
        <v>0</v>
      </c>
      <c r="L230" s="3">
        <f>IF(ISERROR(VLOOKUP(J230,Lookups!$A$2:$A$16,1,FALSE)),1,0)</f>
        <v>1</v>
      </c>
      <c r="M230" s="3">
        <f>IF(ISERROR(VLOOKUP(D230,Data!$A$2:$D$223100,2,FALSE)),0,1)</f>
        <v>0</v>
      </c>
      <c r="N230" s="3">
        <f t="shared" si="7"/>
        <v>0</v>
      </c>
      <c r="O230" s="3" t="str">
        <f>IF(ISERROR(VLOOKUP(D230,Data!$A$2:$C$223100,3,FALSE)),"INACTIVE",VLOOKUP(D230,Data!$A$2:$C$223100,3,FALSE))</f>
        <v>INACTIVE</v>
      </c>
    </row>
    <row r="231" spans="1:15" x14ac:dyDescent="0.25">
      <c r="A231" t="s">
        <v>7736</v>
      </c>
      <c r="B231" t="s">
        <v>7737</v>
      </c>
      <c r="C231" t="s">
        <v>7422</v>
      </c>
      <c r="D231" t="s">
        <v>7423</v>
      </c>
      <c r="E231" t="s">
        <v>7120</v>
      </c>
      <c r="F231" t="s">
        <v>5</v>
      </c>
      <c r="G231" t="s">
        <v>5</v>
      </c>
      <c r="H231" t="s">
        <v>5</v>
      </c>
      <c r="I231" t="s">
        <v>9870</v>
      </c>
      <c r="J231" t="s">
        <v>96</v>
      </c>
      <c r="K231" s="3">
        <f t="shared" si="6"/>
        <v>0</v>
      </c>
      <c r="L231" s="3">
        <f>IF(ISERROR(VLOOKUP(J231,Lookups!$A$2:$A$16,1,FALSE)),1,0)</f>
        <v>0</v>
      </c>
      <c r="M231" s="3">
        <f>IF(ISERROR(VLOOKUP(D231,Data!$A$2:$D$223100,2,FALSE)),0,1)</f>
        <v>1</v>
      </c>
      <c r="N231" s="3">
        <f t="shared" si="7"/>
        <v>0</v>
      </c>
      <c r="O231" s="3" t="str">
        <f>IF(ISERROR(VLOOKUP(D231,Data!$A$2:$C$223100,3,FALSE)),"INACTIVE",VLOOKUP(D231,Data!$A$2:$C$223100,3,FALSE))</f>
        <v>FBA</v>
      </c>
    </row>
    <row r="232" spans="1:15" x14ac:dyDescent="0.25">
      <c r="A232" t="s">
        <v>9522</v>
      </c>
      <c r="B232" t="s">
        <v>9523</v>
      </c>
      <c r="C232" t="s">
        <v>9524</v>
      </c>
      <c r="D232" t="s">
        <v>9525</v>
      </c>
      <c r="E232" t="s">
        <v>9526</v>
      </c>
      <c r="F232" t="s">
        <v>5</v>
      </c>
      <c r="G232" t="s">
        <v>5</v>
      </c>
      <c r="H232" t="s">
        <v>5</v>
      </c>
      <c r="I232" t="s">
        <v>9527</v>
      </c>
      <c r="J232" t="s">
        <v>14</v>
      </c>
      <c r="K232" s="3">
        <f t="shared" si="6"/>
        <v>0</v>
      </c>
      <c r="L232" s="3">
        <f>IF(ISERROR(VLOOKUP(J232,Lookups!$A$2:$A$16,1,FALSE)),1,0)</f>
        <v>1</v>
      </c>
      <c r="M232" s="3">
        <f>IF(ISERROR(VLOOKUP(D232,Data!$A$2:$D$223100,2,FALSE)),0,1)</f>
        <v>1</v>
      </c>
      <c r="N232" s="3">
        <f t="shared" si="7"/>
        <v>1</v>
      </c>
      <c r="O232" s="3" t="str">
        <f>IF(ISERROR(VLOOKUP(D232,Data!$A$2:$C$223100,3,FALSE)),"INACTIVE",VLOOKUP(D232,Data!$A$2:$C$223100,3,FALSE))</f>
        <v>30+</v>
      </c>
    </row>
    <row r="233" spans="1:15" x14ac:dyDescent="0.25">
      <c r="A233" t="s">
        <v>9522</v>
      </c>
      <c r="B233" t="s">
        <v>9523</v>
      </c>
      <c r="C233" t="s">
        <v>9528</v>
      </c>
      <c r="D233" t="s">
        <v>9525</v>
      </c>
      <c r="E233" t="s">
        <v>9529</v>
      </c>
      <c r="F233" t="s">
        <v>5</v>
      </c>
      <c r="G233" t="s">
        <v>5</v>
      </c>
      <c r="H233" t="s">
        <v>5</v>
      </c>
      <c r="I233" t="s">
        <v>9527</v>
      </c>
      <c r="J233" t="s">
        <v>14</v>
      </c>
      <c r="K233" s="3">
        <f t="shared" si="6"/>
        <v>0</v>
      </c>
      <c r="L233" s="3">
        <f>IF(ISERROR(VLOOKUP(J233,Lookups!$A$2:$A$16,1,FALSE)),1,0)</f>
        <v>1</v>
      </c>
      <c r="M233" s="3">
        <f>IF(ISERROR(VLOOKUP(D233,Data!$A$2:$D$223100,2,FALSE)),0,1)</f>
        <v>1</v>
      </c>
      <c r="N233" s="3">
        <f t="shared" si="7"/>
        <v>1</v>
      </c>
      <c r="O233" s="3" t="str">
        <f>IF(ISERROR(VLOOKUP(D233,Data!$A$2:$C$223100,3,FALSE)),"INACTIVE",VLOOKUP(D233,Data!$A$2:$C$223100,3,FALSE))</f>
        <v>30+</v>
      </c>
    </row>
    <row r="234" spans="1:15" x14ac:dyDescent="0.25">
      <c r="A234" t="s">
        <v>9522</v>
      </c>
      <c r="B234" t="s">
        <v>9523</v>
      </c>
      <c r="C234" t="s">
        <v>9530</v>
      </c>
      <c r="D234" t="s">
        <v>9525</v>
      </c>
      <c r="E234" t="s">
        <v>9531</v>
      </c>
      <c r="F234" t="s">
        <v>5</v>
      </c>
      <c r="G234" t="s">
        <v>5</v>
      </c>
      <c r="H234" t="s">
        <v>5</v>
      </c>
      <c r="I234" t="s">
        <v>9527</v>
      </c>
      <c r="J234" t="s">
        <v>14</v>
      </c>
      <c r="K234" s="3">
        <f t="shared" si="6"/>
        <v>0</v>
      </c>
      <c r="L234" s="3">
        <f>IF(ISERROR(VLOOKUP(J234,Lookups!$A$2:$A$16,1,FALSE)),1,0)</f>
        <v>1</v>
      </c>
      <c r="M234" s="3">
        <f>IF(ISERROR(VLOOKUP(D234,Data!$A$2:$D$223100,2,FALSE)),0,1)</f>
        <v>1</v>
      </c>
      <c r="N234" s="3">
        <f t="shared" si="7"/>
        <v>1</v>
      </c>
      <c r="O234" s="3" t="str">
        <f>IF(ISERROR(VLOOKUP(D234,Data!$A$2:$C$223100,3,FALSE)),"INACTIVE",VLOOKUP(D234,Data!$A$2:$C$223100,3,FALSE))</f>
        <v>30+</v>
      </c>
    </row>
    <row r="235" spans="1:15" x14ac:dyDescent="0.25">
      <c r="A235" t="s">
        <v>9638</v>
      </c>
      <c r="B235" t="s">
        <v>9639</v>
      </c>
      <c r="C235" t="s">
        <v>9640</v>
      </c>
      <c r="D235" t="s">
        <v>9641</v>
      </c>
      <c r="E235" t="s">
        <v>5</v>
      </c>
      <c r="F235" t="s">
        <v>5</v>
      </c>
      <c r="G235" t="s">
        <v>9642</v>
      </c>
      <c r="H235" t="s">
        <v>9642</v>
      </c>
      <c r="I235" t="s">
        <v>9527</v>
      </c>
      <c r="J235" t="s">
        <v>7</v>
      </c>
      <c r="K235" s="3">
        <f t="shared" si="6"/>
        <v>0</v>
      </c>
      <c r="L235" s="3">
        <f>IF(ISERROR(VLOOKUP(J235,Lookups!$A$2:$A$16,1,FALSE)),1,0)</f>
        <v>1</v>
      </c>
      <c r="M235" s="3">
        <f>IF(ISERROR(VLOOKUP(D235,Data!$A$2:$D$223100,2,FALSE)),0,1)</f>
        <v>1</v>
      </c>
      <c r="N235" s="3">
        <f t="shared" si="7"/>
        <v>1</v>
      </c>
      <c r="O235" s="3" t="str">
        <f>IF(ISERROR(VLOOKUP(D235,Data!$A$2:$C$223100,3,FALSE)),"INACTIVE",VLOOKUP(D235,Data!$A$2:$C$223100,3,FALSE))</f>
        <v>BK7</v>
      </c>
    </row>
    <row r="236" spans="1:15" x14ac:dyDescent="0.25">
      <c r="A236" t="s">
        <v>9516</v>
      </c>
      <c r="B236" t="s">
        <v>9517</v>
      </c>
      <c r="C236" t="s">
        <v>9518</v>
      </c>
      <c r="D236" t="s">
        <v>9519</v>
      </c>
      <c r="E236" t="s">
        <v>9520</v>
      </c>
      <c r="F236" t="s">
        <v>5</v>
      </c>
      <c r="G236" t="s">
        <v>5</v>
      </c>
      <c r="H236" t="s">
        <v>5</v>
      </c>
      <c r="I236" t="s">
        <v>9521</v>
      </c>
      <c r="J236" t="s">
        <v>14</v>
      </c>
      <c r="K236" s="3">
        <f t="shared" si="6"/>
        <v>0</v>
      </c>
      <c r="L236" s="3">
        <f>IF(ISERROR(VLOOKUP(J236,Lookups!$A$2:$A$16,1,FALSE)),1,0)</f>
        <v>1</v>
      </c>
      <c r="M236" s="3">
        <f>IF(ISERROR(VLOOKUP(D236,Data!$A$2:$D$223100,2,FALSE)),0,1)</f>
        <v>0</v>
      </c>
      <c r="N236" s="3">
        <f t="shared" si="7"/>
        <v>0</v>
      </c>
      <c r="O236" s="3" t="str">
        <f>IF(ISERROR(VLOOKUP(D236,Data!$A$2:$C$223100,3,FALSE)),"INACTIVE",VLOOKUP(D236,Data!$A$2:$C$223100,3,FALSE))</f>
        <v>INACTIVE</v>
      </c>
    </row>
    <row r="237" spans="1:15" x14ac:dyDescent="0.25">
      <c r="A237" t="s">
        <v>4117</v>
      </c>
      <c r="B237" t="s">
        <v>9680</v>
      </c>
      <c r="C237" t="s">
        <v>9681</v>
      </c>
      <c r="D237" t="s">
        <v>9682</v>
      </c>
      <c r="E237" t="s">
        <v>9683</v>
      </c>
      <c r="F237" t="s">
        <v>5</v>
      </c>
      <c r="G237" t="s">
        <v>5</v>
      </c>
      <c r="H237" t="s">
        <v>5</v>
      </c>
      <c r="I237" t="s">
        <v>9521</v>
      </c>
      <c r="J237" t="s">
        <v>14</v>
      </c>
      <c r="K237" s="3">
        <f t="shared" si="6"/>
        <v>0</v>
      </c>
      <c r="L237" s="3">
        <f>IF(ISERROR(VLOOKUP(J237,Lookups!$A$2:$A$16,1,FALSE)),1,0)</f>
        <v>1</v>
      </c>
      <c r="M237" s="3">
        <f>IF(ISERROR(VLOOKUP(D237,Data!$A$2:$D$223100,2,FALSE)),0,1)</f>
        <v>1</v>
      </c>
      <c r="N237" s="3">
        <f t="shared" si="7"/>
        <v>1</v>
      </c>
      <c r="O237" s="3" t="str">
        <f>IF(ISERROR(VLOOKUP(D237,Data!$A$2:$C$223100,3,FALSE)),"INACTIVE",VLOOKUP(D237,Data!$A$2:$C$223100,3,FALSE))</f>
        <v>BK13</v>
      </c>
    </row>
    <row r="238" spans="1:15" x14ac:dyDescent="0.25">
      <c r="A238" t="s">
        <v>4117</v>
      </c>
      <c r="B238" t="s">
        <v>9680</v>
      </c>
      <c r="C238" t="s">
        <v>9684</v>
      </c>
      <c r="D238" t="s">
        <v>9682</v>
      </c>
      <c r="E238" t="s">
        <v>9685</v>
      </c>
      <c r="F238" t="s">
        <v>5</v>
      </c>
      <c r="G238" t="s">
        <v>5</v>
      </c>
      <c r="H238" t="s">
        <v>5</v>
      </c>
      <c r="I238" t="s">
        <v>9521</v>
      </c>
      <c r="J238" t="s">
        <v>14</v>
      </c>
      <c r="K238" s="3">
        <f t="shared" si="6"/>
        <v>0</v>
      </c>
      <c r="L238" s="3">
        <f>IF(ISERROR(VLOOKUP(J238,Lookups!$A$2:$A$16,1,FALSE)),1,0)</f>
        <v>1</v>
      </c>
      <c r="M238" s="3">
        <f>IF(ISERROR(VLOOKUP(D238,Data!$A$2:$D$223100,2,FALSE)),0,1)</f>
        <v>1</v>
      </c>
      <c r="N238" s="3">
        <f t="shared" si="7"/>
        <v>1</v>
      </c>
      <c r="O238" s="3" t="str">
        <f>IF(ISERROR(VLOOKUP(D238,Data!$A$2:$C$223100,3,FALSE)),"INACTIVE",VLOOKUP(D238,Data!$A$2:$C$223100,3,FALSE))</f>
        <v>BK13</v>
      </c>
    </row>
    <row r="239" spans="1:15" x14ac:dyDescent="0.25">
      <c r="A239" t="s">
        <v>4117</v>
      </c>
      <c r="B239" t="s">
        <v>9680</v>
      </c>
      <c r="C239" t="s">
        <v>9686</v>
      </c>
      <c r="D239" t="s">
        <v>9687</v>
      </c>
      <c r="E239" t="s">
        <v>9688</v>
      </c>
      <c r="F239" t="s">
        <v>5</v>
      </c>
      <c r="G239" t="s">
        <v>5</v>
      </c>
      <c r="H239" t="s">
        <v>5</v>
      </c>
      <c r="I239" t="s">
        <v>9521</v>
      </c>
      <c r="J239" t="s">
        <v>14</v>
      </c>
      <c r="K239" s="3">
        <f t="shared" si="6"/>
        <v>0</v>
      </c>
      <c r="L239" s="3">
        <f>IF(ISERROR(VLOOKUP(J239,Lookups!$A$2:$A$16,1,FALSE)),1,0)</f>
        <v>1</v>
      </c>
      <c r="M239" s="3">
        <f>IF(ISERROR(VLOOKUP(D239,Data!$A$2:$D$223100,2,FALSE)),0,1)</f>
        <v>1</v>
      </c>
      <c r="N239" s="3">
        <f t="shared" si="7"/>
        <v>1</v>
      </c>
      <c r="O239" s="3" t="str">
        <f>IF(ISERROR(VLOOKUP(D239,Data!$A$2:$C$223100,3,FALSE)),"INACTIVE",VLOOKUP(D239,Data!$A$2:$C$223100,3,FALSE))</f>
        <v>180+</v>
      </c>
    </row>
    <row r="240" spans="1:15" x14ac:dyDescent="0.25">
      <c r="A240" t="s">
        <v>4117</v>
      </c>
      <c r="B240" t="s">
        <v>9680</v>
      </c>
      <c r="C240" t="s">
        <v>9689</v>
      </c>
      <c r="D240" t="s">
        <v>9690</v>
      </c>
      <c r="E240" t="s">
        <v>9691</v>
      </c>
      <c r="F240" t="s">
        <v>5</v>
      </c>
      <c r="G240" t="s">
        <v>5</v>
      </c>
      <c r="H240" t="s">
        <v>5</v>
      </c>
      <c r="I240" t="s">
        <v>9521</v>
      </c>
      <c r="J240" t="s">
        <v>96</v>
      </c>
      <c r="K240" s="3">
        <f t="shared" si="6"/>
        <v>0</v>
      </c>
      <c r="L240" s="3">
        <f>IF(ISERROR(VLOOKUP(J240,Lookups!$A$2:$A$16,1,FALSE)),1,0)</f>
        <v>0</v>
      </c>
      <c r="M240" s="3">
        <f>IF(ISERROR(VLOOKUP(D240,Data!$A$2:$D$223100,2,FALSE)),0,1)</f>
        <v>1</v>
      </c>
      <c r="N240" s="3">
        <f t="shared" si="7"/>
        <v>0</v>
      </c>
      <c r="O240" s="3" t="str">
        <f>IF(ISERROR(VLOOKUP(D240,Data!$A$2:$C$223100,3,FALSE)),"INACTIVE",VLOOKUP(D240,Data!$A$2:$C$223100,3,FALSE))</f>
        <v>Demand Letter</v>
      </c>
    </row>
    <row r="241" spans="1:15" x14ac:dyDescent="0.25">
      <c r="A241" t="s">
        <v>4117</v>
      </c>
      <c r="B241" t="s">
        <v>9680</v>
      </c>
      <c r="C241" t="s">
        <v>9689</v>
      </c>
      <c r="D241" t="s">
        <v>9690</v>
      </c>
      <c r="E241" t="s">
        <v>9692</v>
      </c>
      <c r="F241" t="s">
        <v>5</v>
      </c>
      <c r="G241" t="s">
        <v>5</v>
      </c>
      <c r="H241" t="s">
        <v>5</v>
      </c>
      <c r="I241" t="s">
        <v>9521</v>
      </c>
      <c r="J241" t="s">
        <v>96</v>
      </c>
      <c r="K241" s="3">
        <f t="shared" si="6"/>
        <v>0</v>
      </c>
      <c r="L241" s="3">
        <f>IF(ISERROR(VLOOKUP(J241,Lookups!$A$2:$A$16,1,FALSE)),1,0)</f>
        <v>0</v>
      </c>
      <c r="M241" s="3">
        <f>IF(ISERROR(VLOOKUP(D241,Data!$A$2:$D$223100,2,FALSE)),0,1)</f>
        <v>1</v>
      </c>
      <c r="N241" s="3">
        <f t="shared" si="7"/>
        <v>0</v>
      </c>
      <c r="O241" s="3" t="str">
        <f>IF(ISERROR(VLOOKUP(D241,Data!$A$2:$C$223100,3,FALSE)),"INACTIVE",VLOOKUP(D241,Data!$A$2:$C$223100,3,FALSE))</f>
        <v>Demand Letter</v>
      </c>
    </row>
    <row r="242" spans="1:15" x14ac:dyDescent="0.25">
      <c r="A242" t="s">
        <v>4117</v>
      </c>
      <c r="B242" t="s">
        <v>9680</v>
      </c>
      <c r="C242" t="s">
        <v>9689</v>
      </c>
      <c r="D242" t="s">
        <v>9690</v>
      </c>
      <c r="E242" t="s">
        <v>9693</v>
      </c>
      <c r="F242" t="s">
        <v>5</v>
      </c>
      <c r="G242" t="s">
        <v>5</v>
      </c>
      <c r="H242" t="s">
        <v>5</v>
      </c>
      <c r="I242" t="s">
        <v>9521</v>
      </c>
      <c r="J242" t="s">
        <v>96</v>
      </c>
      <c r="K242" s="3">
        <f t="shared" si="6"/>
        <v>0</v>
      </c>
      <c r="L242" s="3">
        <f>IF(ISERROR(VLOOKUP(J242,Lookups!$A$2:$A$16,1,FALSE)),1,0)</f>
        <v>0</v>
      </c>
      <c r="M242" s="3">
        <f>IF(ISERROR(VLOOKUP(D242,Data!$A$2:$D$223100,2,FALSE)),0,1)</f>
        <v>1</v>
      </c>
      <c r="N242" s="3">
        <f t="shared" si="7"/>
        <v>0</v>
      </c>
      <c r="O242" s="3" t="str">
        <f>IF(ISERROR(VLOOKUP(D242,Data!$A$2:$C$223100,3,FALSE)),"INACTIVE",VLOOKUP(D242,Data!$A$2:$C$223100,3,FALSE))</f>
        <v>Demand Letter</v>
      </c>
    </row>
    <row r="243" spans="1:15" x14ac:dyDescent="0.25">
      <c r="A243" t="s">
        <v>4117</v>
      </c>
      <c r="B243" t="s">
        <v>9680</v>
      </c>
      <c r="C243" t="s">
        <v>9694</v>
      </c>
      <c r="D243" t="s">
        <v>9695</v>
      </c>
      <c r="E243" t="s">
        <v>9696</v>
      </c>
      <c r="F243" t="s">
        <v>5</v>
      </c>
      <c r="G243" t="s">
        <v>5</v>
      </c>
      <c r="H243" t="s">
        <v>5</v>
      </c>
      <c r="I243" t="s">
        <v>9521</v>
      </c>
      <c r="J243" t="s">
        <v>7</v>
      </c>
      <c r="K243" s="3">
        <f t="shared" si="6"/>
        <v>0</v>
      </c>
      <c r="L243" s="3">
        <f>IF(ISERROR(VLOOKUP(J243,Lookups!$A$2:$A$16,1,FALSE)),1,0)</f>
        <v>1</v>
      </c>
      <c r="M243" s="3">
        <f>IF(ISERROR(VLOOKUP(D243,Data!$A$2:$D$223100,2,FALSE)),0,1)</f>
        <v>1</v>
      </c>
      <c r="N243" s="3">
        <f t="shared" si="7"/>
        <v>1</v>
      </c>
      <c r="O243" s="3" t="str">
        <f>IF(ISERROR(VLOOKUP(D243,Data!$A$2:$C$223100,3,FALSE)),"INACTIVE",VLOOKUP(D243,Data!$A$2:$C$223100,3,FALSE))</f>
        <v>Demand Letter</v>
      </c>
    </row>
    <row r="244" spans="1:15" x14ac:dyDescent="0.25">
      <c r="A244" t="s">
        <v>4117</v>
      </c>
      <c r="B244" t="s">
        <v>9680</v>
      </c>
      <c r="C244" t="s">
        <v>9694</v>
      </c>
      <c r="D244" t="s">
        <v>9695</v>
      </c>
      <c r="E244" t="s">
        <v>9697</v>
      </c>
      <c r="F244" t="s">
        <v>5</v>
      </c>
      <c r="G244" t="s">
        <v>5</v>
      </c>
      <c r="H244" t="s">
        <v>5</v>
      </c>
      <c r="I244" t="s">
        <v>9521</v>
      </c>
      <c r="J244" t="s">
        <v>7</v>
      </c>
      <c r="K244" s="3">
        <f t="shared" si="6"/>
        <v>0</v>
      </c>
      <c r="L244" s="3">
        <f>IF(ISERROR(VLOOKUP(J244,Lookups!$A$2:$A$16,1,FALSE)),1,0)</f>
        <v>1</v>
      </c>
      <c r="M244" s="3">
        <f>IF(ISERROR(VLOOKUP(D244,Data!$A$2:$D$223100,2,FALSE)),0,1)</f>
        <v>1</v>
      </c>
      <c r="N244" s="3">
        <f t="shared" si="7"/>
        <v>1</v>
      </c>
      <c r="O244" s="3" t="str">
        <f>IF(ISERROR(VLOOKUP(D244,Data!$A$2:$C$223100,3,FALSE)),"INACTIVE",VLOOKUP(D244,Data!$A$2:$C$223100,3,FALSE))</f>
        <v>Demand Letter</v>
      </c>
    </row>
    <row r="245" spans="1:15" x14ac:dyDescent="0.25">
      <c r="A245" t="s">
        <v>9729</v>
      </c>
      <c r="B245" t="s">
        <v>9730</v>
      </c>
      <c r="C245" t="s">
        <v>3877</v>
      </c>
      <c r="D245" t="s">
        <v>3878</v>
      </c>
      <c r="E245" t="s">
        <v>9731</v>
      </c>
      <c r="F245" t="s">
        <v>5</v>
      </c>
      <c r="G245" t="s">
        <v>5</v>
      </c>
      <c r="H245" t="s">
        <v>5</v>
      </c>
      <c r="I245" t="s">
        <v>9732</v>
      </c>
      <c r="J245" t="s">
        <v>96</v>
      </c>
      <c r="K245" s="3">
        <f t="shared" si="6"/>
        <v>0</v>
      </c>
      <c r="L245" s="3">
        <f>IF(ISERROR(VLOOKUP(J245,Lookups!$A$2:$A$16,1,FALSE)),1,0)</f>
        <v>0</v>
      </c>
      <c r="M245" s="3">
        <f>IF(ISERROR(VLOOKUP(D245,Data!$A$2:$D$223100,2,FALSE)),0,1)</f>
        <v>1</v>
      </c>
      <c r="N245" s="3">
        <f t="shared" si="7"/>
        <v>0</v>
      </c>
      <c r="O245" s="3" t="str">
        <f>IF(ISERROR(VLOOKUP(D245,Data!$A$2:$C$223100,3,FALSE)),"INACTIVE",VLOOKUP(D245,Data!$A$2:$C$223100,3,FALSE))</f>
        <v>PP</v>
      </c>
    </row>
    <row r="246" spans="1:15" x14ac:dyDescent="0.25">
      <c r="A246" t="s">
        <v>9742</v>
      </c>
      <c r="B246" t="s">
        <v>9743</v>
      </c>
      <c r="C246" t="s">
        <v>9744</v>
      </c>
      <c r="D246" t="s">
        <v>9745</v>
      </c>
      <c r="E246" t="s">
        <v>9746</v>
      </c>
      <c r="F246" t="s">
        <v>5</v>
      </c>
      <c r="G246" t="s">
        <v>5</v>
      </c>
      <c r="H246" t="s">
        <v>5</v>
      </c>
      <c r="I246" t="s">
        <v>9732</v>
      </c>
      <c r="J246" t="s">
        <v>7</v>
      </c>
      <c r="K246" s="3">
        <f t="shared" si="6"/>
        <v>0</v>
      </c>
      <c r="L246" s="3">
        <f>IF(ISERROR(VLOOKUP(J246,Lookups!$A$2:$A$16,1,FALSE)),1,0)</f>
        <v>1</v>
      </c>
      <c r="M246" s="3">
        <f>IF(ISERROR(VLOOKUP(D246,Data!$A$2:$D$223100,2,FALSE)),0,1)</f>
        <v>1</v>
      </c>
      <c r="N246" s="3">
        <f t="shared" si="7"/>
        <v>1</v>
      </c>
      <c r="O246" s="3" t="str">
        <f>IF(ISERROR(VLOOKUP(D246,Data!$A$2:$C$223100,3,FALSE)),"INACTIVE",VLOOKUP(D246,Data!$A$2:$C$223100,3,FALSE))</f>
        <v>30+</v>
      </c>
    </row>
    <row r="247" spans="1:15" x14ac:dyDescent="0.25">
      <c r="A247" t="s">
        <v>9503</v>
      </c>
      <c r="B247" t="s">
        <v>9504</v>
      </c>
      <c r="C247" t="s">
        <v>9505</v>
      </c>
      <c r="D247" t="s">
        <v>9506</v>
      </c>
      <c r="E247" t="s">
        <v>5</v>
      </c>
      <c r="F247" t="s">
        <v>9507</v>
      </c>
      <c r="G247" t="s">
        <v>5</v>
      </c>
      <c r="H247" t="s">
        <v>5</v>
      </c>
      <c r="I247" t="s">
        <v>9508</v>
      </c>
      <c r="J247" t="s">
        <v>14</v>
      </c>
      <c r="K247" s="3">
        <f t="shared" si="6"/>
        <v>0</v>
      </c>
      <c r="L247" s="3">
        <f>IF(ISERROR(VLOOKUP(J247,Lookups!$A$2:$A$16,1,FALSE)),1,0)</f>
        <v>1</v>
      </c>
      <c r="M247" s="3">
        <f>IF(ISERROR(VLOOKUP(D247,Data!$A$2:$D$223100,2,FALSE)),0,1)</f>
        <v>1</v>
      </c>
      <c r="N247" s="3">
        <f t="shared" si="7"/>
        <v>1</v>
      </c>
      <c r="O247" s="3" t="str">
        <f>IF(ISERROR(VLOOKUP(D247,Data!$A$2:$C$223100,3,FALSE)),"INACTIVE",VLOOKUP(D247,Data!$A$2:$C$223100,3,FALSE))</f>
        <v>60+</v>
      </c>
    </row>
    <row r="248" spans="1:15" x14ac:dyDescent="0.25">
      <c r="A248" t="s">
        <v>9632</v>
      </c>
      <c r="B248" t="s">
        <v>9633</v>
      </c>
      <c r="C248" t="s">
        <v>9634</v>
      </c>
      <c r="D248" t="s">
        <v>9635</v>
      </c>
      <c r="E248" t="s">
        <v>9636</v>
      </c>
      <c r="F248" t="s">
        <v>5</v>
      </c>
      <c r="G248" t="s">
        <v>5</v>
      </c>
      <c r="H248" t="s">
        <v>5</v>
      </c>
      <c r="I248" t="s">
        <v>9508</v>
      </c>
      <c r="J248" t="s">
        <v>90</v>
      </c>
      <c r="K248" s="3">
        <f t="shared" si="6"/>
        <v>0</v>
      </c>
      <c r="L248" s="3">
        <f>IF(ISERROR(VLOOKUP(J248,Lookups!$A$2:$A$16,1,FALSE)),1,0)</f>
        <v>0</v>
      </c>
      <c r="M248" s="3">
        <f>IF(ISERROR(VLOOKUP(D248,Data!$A$2:$D$223100,2,FALSE)),0,1)</f>
        <v>1</v>
      </c>
      <c r="N248" s="3">
        <f t="shared" si="7"/>
        <v>0</v>
      </c>
      <c r="O248" s="3" t="str">
        <f>IF(ISERROR(VLOOKUP(D248,Data!$A$2:$C$223100,3,FALSE)),"INACTIVE",VLOOKUP(D248,Data!$A$2:$C$223100,3,FALSE))</f>
        <v>Current</v>
      </c>
    </row>
    <row r="249" spans="1:15" x14ac:dyDescent="0.25">
      <c r="A249" t="s">
        <v>9632</v>
      </c>
      <c r="B249" t="s">
        <v>9633</v>
      </c>
      <c r="C249" t="s">
        <v>9634</v>
      </c>
      <c r="D249" t="s">
        <v>9635</v>
      </c>
      <c r="E249" t="s">
        <v>9637</v>
      </c>
      <c r="F249" t="s">
        <v>5</v>
      </c>
      <c r="G249" t="s">
        <v>5</v>
      </c>
      <c r="H249" t="s">
        <v>5</v>
      </c>
      <c r="I249" t="s">
        <v>9508</v>
      </c>
      <c r="J249" t="s">
        <v>90</v>
      </c>
      <c r="K249" s="3">
        <f t="shared" si="6"/>
        <v>0</v>
      </c>
      <c r="L249" s="3">
        <f>IF(ISERROR(VLOOKUP(J249,Lookups!$A$2:$A$16,1,FALSE)),1,0)</f>
        <v>0</v>
      </c>
      <c r="M249" s="3">
        <f>IF(ISERROR(VLOOKUP(D249,Data!$A$2:$D$223100,2,FALSE)),0,1)</f>
        <v>1</v>
      </c>
      <c r="N249" s="3">
        <f t="shared" si="7"/>
        <v>0</v>
      </c>
      <c r="O249" s="3" t="str">
        <f>IF(ISERROR(VLOOKUP(D249,Data!$A$2:$C$223100,3,FALSE)),"INACTIVE",VLOOKUP(D249,Data!$A$2:$C$223100,3,FALSE))</f>
        <v>Current</v>
      </c>
    </row>
    <row r="250" spans="1:15" x14ac:dyDescent="0.25">
      <c r="A250" t="s">
        <v>5559</v>
      </c>
      <c r="B250" t="s">
        <v>9498</v>
      </c>
      <c r="C250" t="s">
        <v>9499</v>
      </c>
      <c r="D250" t="s">
        <v>9500</v>
      </c>
      <c r="E250" t="s">
        <v>9501</v>
      </c>
      <c r="F250" t="s">
        <v>5</v>
      </c>
      <c r="G250" t="s">
        <v>5</v>
      </c>
      <c r="H250" t="s">
        <v>5</v>
      </c>
      <c r="I250" t="s">
        <v>9502</v>
      </c>
      <c r="J250" t="s">
        <v>14</v>
      </c>
      <c r="K250" s="3">
        <f t="shared" si="6"/>
        <v>0</v>
      </c>
      <c r="L250" s="3">
        <f>IF(ISERROR(VLOOKUP(J250,Lookups!$A$2:$A$16,1,FALSE)),1,0)</f>
        <v>1</v>
      </c>
      <c r="M250" s="3">
        <f>IF(ISERROR(VLOOKUP(D250,Data!$A$2:$D$223100,2,FALSE)),0,1)</f>
        <v>1</v>
      </c>
      <c r="N250" s="3">
        <f t="shared" si="7"/>
        <v>1</v>
      </c>
      <c r="O250" s="3" t="str">
        <f>IF(ISERROR(VLOOKUP(D250,Data!$A$2:$C$223100,3,FALSE)),"INACTIVE",VLOOKUP(D250,Data!$A$2:$C$223100,3,FALSE))</f>
        <v>90+</v>
      </c>
    </row>
    <row r="251" spans="1:15" x14ac:dyDescent="0.25">
      <c r="A251" t="s">
        <v>4772</v>
      </c>
      <c r="B251" t="s">
        <v>4773</v>
      </c>
      <c r="C251" t="s">
        <v>4774</v>
      </c>
      <c r="D251" t="s">
        <v>4775</v>
      </c>
      <c r="E251" t="s">
        <v>4776</v>
      </c>
      <c r="F251" t="s">
        <v>5</v>
      </c>
      <c r="G251" t="s">
        <v>5</v>
      </c>
      <c r="H251" t="s">
        <v>5</v>
      </c>
      <c r="I251" t="s">
        <v>9502</v>
      </c>
      <c r="J251" t="s">
        <v>96</v>
      </c>
      <c r="K251" s="3">
        <f t="shared" si="6"/>
        <v>0</v>
      </c>
      <c r="L251" s="3">
        <f>IF(ISERROR(VLOOKUP(J251,Lookups!$A$2:$A$16,1,FALSE)),1,0)</f>
        <v>0</v>
      </c>
      <c r="M251" s="3">
        <f>IF(ISERROR(VLOOKUP(D251,Data!$A$2:$D$223100,2,FALSE)),0,1)</f>
        <v>1</v>
      </c>
      <c r="N251" s="3">
        <f t="shared" si="7"/>
        <v>0</v>
      </c>
      <c r="O251" s="3" t="str">
        <f>IF(ISERROR(VLOOKUP(D251,Data!$A$2:$C$223100,3,FALSE)),"INACTIVE",VLOOKUP(D251,Data!$A$2:$C$223100,3,FALSE))</f>
        <v>60+</v>
      </c>
    </row>
    <row r="252" spans="1:15" x14ac:dyDescent="0.25">
      <c r="A252" t="s">
        <v>4772</v>
      </c>
      <c r="B252" t="s">
        <v>4773</v>
      </c>
      <c r="C252" t="s">
        <v>4774</v>
      </c>
      <c r="D252" t="s">
        <v>4775</v>
      </c>
      <c r="E252" t="s">
        <v>4777</v>
      </c>
      <c r="F252" t="s">
        <v>5</v>
      </c>
      <c r="G252" t="s">
        <v>5</v>
      </c>
      <c r="H252" t="s">
        <v>5</v>
      </c>
      <c r="I252" t="s">
        <v>9502</v>
      </c>
      <c r="J252" t="s">
        <v>96</v>
      </c>
      <c r="K252" s="3">
        <f t="shared" si="6"/>
        <v>0</v>
      </c>
      <c r="L252" s="3">
        <f>IF(ISERROR(VLOOKUP(J252,Lookups!$A$2:$A$16,1,FALSE)),1,0)</f>
        <v>0</v>
      </c>
      <c r="M252" s="3">
        <f>IF(ISERROR(VLOOKUP(D252,Data!$A$2:$D$223100,2,FALSE)),0,1)</f>
        <v>1</v>
      </c>
      <c r="N252" s="3">
        <f t="shared" si="7"/>
        <v>0</v>
      </c>
      <c r="O252" s="3" t="str">
        <f>IF(ISERROR(VLOOKUP(D252,Data!$A$2:$C$223100,3,FALSE)),"INACTIVE",VLOOKUP(D252,Data!$A$2:$C$223100,3,FALSE))</f>
        <v>60+</v>
      </c>
    </row>
    <row r="253" spans="1:15" x14ac:dyDescent="0.25">
      <c r="A253" t="s">
        <v>4772</v>
      </c>
      <c r="B253" t="s">
        <v>4773</v>
      </c>
      <c r="C253" t="s">
        <v>4774</v>
      </c>
      <c r="D253" t="s">
        <v>4775</v>
      </c>
      <c r="E253" t="s">
        <v>4778</v>
      </c>
      <c r="F253" t="s">
        <v>5</v>
      </c>
      <c r="G253" t="s">
        <v>5</v>
      </c>
      <c r="H253" t="s">
        <v>5</v>
      </c>
      <c r="I253" t="s">
        <v>9502</v>
      </c>
      <c r="J253" t="s">
        <v>96</v>
      </c>
      <c r="K253" s="3">
        <f t="shared" si="6"/>
        <v>0</v>
      </c>
      <c r="L253" s="3">
        <f>IF(ISERROR(VLOOKUP(J253,Lookups!$A$2:$A$16,1,FALSE)),1,0)</f>
        <v>0</v>
      </c>
      <c r="M253" s="3">
        <f>IF(ISERROR(VLOOKUP(D253,Data!$A$2:$D$223100,2,FALSE)),0,1)</f>
        <v>1</v>
      </c>
      <c r="N253" s="3">
        <f t="shared" si="7"/>
        <v>0</v>
      </c>
      <c r="O253" s="3" t="str">
        <f>IF(ISERROR(VLOOKUP(D253,Data!$A$2:$C$223100,3,FALSE)),"INACTIVE",VLOOKUP(D253,Data!$A$2:$C$223100,3,FALSE))</f>
        <v>60+</v>
      </c>
    </row>
    <row r="254" spans="1:15" x14ac:dyDescent="0.25">
      <c r="A254" t="s">
        <v>4772</v>
      </c>
      <c r="B254" t="s">
        <v>4773</v>
      </c>
      <c r="C254" t="s">
        <v>4774</v>
      </c>
      <c r="D254" t="s">
        <v>4775</v>
      </c>
      <c r="E254" t="s">
        <v>4779</v>
      </c>
      <c r="F254" t="s">
        <v>5</v>
      </c>
      <c r="G254" t="s">
        <v>5</v>
      </c>
      <c r="H254" t="s">
        <v>5</v>
      </c>
      <c r="I254" t="s">
        <v>9502</v>
      </c>
      <c r="J254" t="s">
        <v>96</v>
      </c>
      <c r="K254" s="3">
        <f t="shared" si="6"/>
        <v>0</v>
      </c>
      <c r="L254" s="3">
        <f>IF(ISERROR(VLOOKUP(J254,Lookups!$A$2:$A$16,1,FALSE)),1,0)</f>
        <v>0</v>
      </c>
      <c r="M254" s="3">
        <f>IF(ISERROR(VLOOKUP(D254,Data!$A$2:$D$223100,2,FALSE)),0,1)</f>
        <v>1</v>
      </c>
      <c r="N254" s="3">
        <f t="shared" si="7"/>
        <v>0</v>
      </c>
      <c r="O254" s="3" t="str">
        <f>IF(ISERROR(VLOOKUP(D254,Data!$A$2:$C$223100,3,FALSE)),"INACTIVE",VLOOKUP(D254,Data!$A$2:$C$223100,3,FALSE))</f>
        <v>60+</v>
      </c>
    </row>
    <row r="255" spans="1:15" x14ac:dyDescent="0.25">
      <c r="A255" t="s">
        <v>4772</v>
      </c>
      <c r="B255" t="s">
        <v>4773</v>
      </c>
      <c r="C255" t="s">
        <v>4774</v>
      </c>
      <c r="D255" t="s">
        <v>4775</v>
      </c>
      <c r="E255" t="s">
        <v>4780</v>
      </c>
      <c r="F255" t="s">
        <v>5</v>
      </c>
      <c r="G255" t="s">
        <v>5</v>
      </c>
      <c r="H255" t="s">
        <v>5</v>
      </c>
      <c r="I255" t="s">
        <v>9502</v>
      </c>
      <c r="J255" t="s">
        <v>96</v>
      </c>
      <c r="K255" s="3">
        <f t="shared" si="6"/>
        <v>0</v>
      </c>
      <c r="L255" s="3">
        <f>IF(ISERROR(VLOOKUP(J255,Lookups!$A$2:$A$16,1,FALSE)),1,0)</f>
        <v>0</v>
      </c>
      <c r="M255" s="3">
        <f>IF(ISERROR(VLOOKUP(D255,Data!$A$2:$D$223100,2,FALSE)),0,1)</f>
        <v>1</v>
      </c>
      <c r="N255" s="3">
        <f t="shared" si="7"/>
        <v>0</v>
      </c>
      <c r="O255" s="3" t="str">
        <f>IF(ISERROR(VLOOKUP(D255,Data!$A$2:$C$223100,3,FALSE)),"INACTIVE",VLOOKUP(D255,Data!$A$2:$C$223100,3,FALSE))</f>
        <v>60+</v>
      </c>
    </row>
    <row r="256" spans="1:15" x14ac:dyDescent="0.25">
      <c r="A256" t="s">
        <v>122</v>
      </c>
      <c r="B256" t="s">
        <v>9580</v>
      </c>
      <c r="C256" t="s">
        <v>9581</v>
      </c>
      <c r="D256" t="s">
        <v>9582</v>
      </c>
      <c r="E256" t="s">
        <v>9583</v>
      </c>
      <c r="F256" t="s">
        <v>5</v>
      </c>
      <c r="G256" t="s">
        <v>5</v>
      </c>
      <c r="H256" t="s">
        <v>5</v>
      </c>
      <c r="I256" t="s">
        <v>9502</v>
      </c>
      <c r="J256" t="s">
        <v>96</v>
      </c>
      <c r="K256" s="3">
        <f t="shared" si="6"/>
        <v>0</v>
      </c>
      <c r="L256" s="3">
        <f>IF(ISERROR(VLOOKUP(J256,Lookups!$A$2:$A$16,1,FALSE)),1,0)</f>
        <v>0</v>
      </c>
      <c r="M256" s="3">
        <f>IF(ISERROR(VLOOKUP(D256,Data!$A$2:$D$223100,2,FALSE)),0,1)</f>
        <v>1</v>
      </c>
      <c r="N256" s="3">
        <f t="shared" si="7"/>
        <v>0</v>
      </c>
      <c r="O256" s="3" t="str">
        <f>IF(ISERROR(VLOOKUP(D256,Data!$A$2:$C$223100,3,FALSE)),"INACTIVE",VLOOKUP(D256,Data!$A$2:$C$223100,3,FALSE))</f>
        <v>Current</v>
      </c>
    </row>
    <row r="257" spans="1:15" x14ac:dyDescent="0.25">
      <c r="A257" t="s">
        <v>122</v>
      </c>
      <c r="B257" t="s">
        <v>9580</v>
      </c>
      <c r="C257" t="s">
        <v>9581</v>
      </c>
      <c r="D257" t="s">
        <v>9582</v>
      </c>
      <c r="E257" t="s">
        <v>9584</v>
      </c>
      <c r="F257" t="s">
        <v>5</v>
      </c>
      <c r="G257" t="s">
        <v>5</v>
      </c>
      <c r="H257" t="s">
        <v>5</v>
      </c>
      <c r="I257" t="s">
        <v>9502</v>
      </c>
      <c r="J257" t="s">
        <v>96</v>
      </c>
      <c r="K257" s="3">
        <f t="shared" si="6"/>
        <v>0</v>
      </c>
      <c r="L257" s="3">
        <f>IF(ISERROR(VLOOKUP(J257,Lookups!$A$2:$A$16,1,FALSE)),1,0)</f>
        <v>0</v>
      </c>
      <c r="M257" s="3">
        <f>IF(ISERROR(VLOOKUP(D257,Data!$A$2:$D$223100,2,FALSE)),0,1)</f>
        <v>1</v>
      </c>
      <c r="N257" s="3">
        <f t="shared" si="7"/>
        <v>0</v>
      </c>
      <c r="O257" s="3" t="str">
        <f>IF(ISERROR(VLOOKUP(D257,Data!$A$2:$C$223100,3,FALSE)),"INACTIVE",VLOOKUP(D257,Data!$A$2:$C$223100,3,FALSE))</f>
        <v>Current</v>
      </c>
    </row>
    <row r="258" spans="1:15" x14ac:dyDescent="0.25">
      <c r="A258" t="s">
        <v>122</v>
      </c>
      <c r="B258" t="s">
        <v>9580</v>
      </c>
      <c r="C258" t="s">
        <v>9581</v>
      </c>
      <c r="D258" t="s">
        <v>9582</v>
      </c>
      <c r="E258" t="s">
        <v>9585</v>
      </c>
      <c r="F258" t="s">
        <v>5</v>
      </c>
      <c r="G258" t="s">
        <v>5</v>
      </c>
      <c r="H258" t="s">
        <v>5</v>
      </c>
      <c r="I258" t="s">
        <v>9502</v>
      </c>
      <c r="J258" t="s">
        <v>96</v>
      </c>
      <c r="K258" s="3">
        <f t="shared" si="6"/>
        <v>0</v>
      </c>
      <c r="L258" s="3">
        <f>IF(ISERROR(VLOOKUP(J258,Lookups!$A$2:$A$16,1,FALSE)),1,0)</f>
        <v>0</v>
      </c>
      <c r="M258" s="3">
        <f>IF(ISERROR(VLOOKUP(D258,Data!$A$2:$D$223100,2,FALSE)),0,1)</f>
        <v>1</v>
      </c>
      <c r="N258" s="3">
        <f t="shared" si="7"/>
        <v>0</v>
      </c>
      <c r="O258" s="3" t="str">
        <f>IF(ISERROR(VLOOKUP(D258,Data!$A$2:$C$223100,3,FALSE)),"INACTIVE",VLOOKUP(D258,Data!$A$2:$C$223100,3,FALSE))</f>
        <v>Current</v>
      </c>
    </row>
    <row r="259" spans="1:15" x14ac:dyDescent="0.25">
      <c r="A259" t="s">
        <v>122</v>
      </c>
      <c r="B259" t="s">
        <v>9580</v>
      </c>
      <c r="C259" t="s">
        <v>9586</v>
      </c>
      <c r="D259" t="s">
        <v>9587</v>
      </c>
      <c r="E259" t="s">
        <v>9588</v>
      </c>
      <c r="F259" t="s">
        <v>5</v>
      </c>
      <c r="G259" t="s">
        <v>5</v>
      </c>
      <c r="H259" t="s">
        <v>5</v>
      </c>
      <c r="I259" t="s">
        <v>9502</v>
      </c>
      <c r="J259" t="s">
        <v>96</v>
      </c>
      <c r="K259" s="3">
        <f t="shared" ref="K259:K322" si="8">IF(ISERROR(FIND("LIEN",A259,1)),0,1)</f>
        <v>0</v>
      </c>
      <c r="L259" s="3">
        <f>IF(ISERROR(VLOOKUP(J259,Lookups!$A$2:$A$16,1,FALSE)),1,0)</f>
        <v>0</v>
      </c>
      <c r="M259" s="3">
        <f>IF(ISERROR(VLOOKUP(D259,Data!$A$2:$D$223100,2,FALSE)),0,1)</f>
        <v>1</v>
      </c>
      <c r="N259" s="3">
        <f t="shared" ref="N259:N322" si="9">IF(M259=0,0,IF(SUM(K259:L259)&gt;0,1,0))</f>
        <v>0</v>
      </c>
      <c r="O259" s="3" t="str">
        <f>IF(ISERROR(VLOOKUP(D259,Data!$A$2:$C$223100,3,FALSE)),"INACTIVE",VLOOKUP(D259,Data!$A$2:$C$223100,3,FALSE))</f>
        <v>30+</v>
      </c>
    </row>
    <row r="260" spans="1:15" x14ac:dyDescent="0.25">
      <c r="A260" t="s">
        <v>122</v>
      </c>
      <c r="B260" t="s">
        <v>9580</v>
      </c>
      <c r="C260" t="s">
        <v>9589</v>
      </c>
      <c r="D260" t="s">
        <v>9590</v>
      </c>
      <c r="E260" t="s">
        <v>9591</v>
      </c>
      <c r="F260" t="s">
        <v>5</v>
      </c>
      <c r="G260" t="s">
        <v>5</v>
      </c>
      <c r="H260" t="s">
        <v>5</v>
      </c>
      <c r="I260" t="s">
        <v>9502</v>
      </c>
      <c r="J260" t="s">
        <v>96</v>
      </c>
      <c r="K260" s="3">
        <f t="shared" si="8"/>
        <v>0</v>
      </c>
      <c r="L260" s="3">
        <f>IF(ISERROR(VLOOKUP(J260,Lookups!$A$2:$A$16,1,FALSE)),1,0)</f>
        <v>0</v>
      </c>
      <c r="M260" s="3">
        <f>IF(ISERROR(VLOOKUP(D260,Data!$A$2:$D$223100,2,FALSE)),0,1)</f>
        <v>0</v>
      </c>
      <c r="N260" s="3">
        <f t="shared" si="9"/>
        <v>0</v>
      </c>
      <c r="O260" s="3" t="str">
        <f>IF(ISERROR(VLOOKUP(D260,Data!$A$2:$C$223100,3,FALSE)),"INACTIVE",VLOOKUP(D260,Data!$A$2:$C$223100,3,FALSE))</f>
        <v>INACTIVE</v>
      </c>
    </row>
    <row r="261" spans="1:15" x14ac:dyDescent="0.25">
      <c r="A261" t="s">
        <v>122</v>
      </c>
      <c r="B261" t="s">
        <v>9580</v>
      </c>
      <c r="C261" t="s">
        <v>9589</v>
      </c>
      <c r="D261" t="s">
        <v>9590</v>
      </c>
      <c r="E261" t="s">
        <v>9592</v>
      </c>
      <c r="F261" t="s">
        <v>5</v>
      </c>
      <c r="G261" t="s">
        <v>5</v>
      </c>
      <c r="H261" t="s">
        <v>5</v>
      </c>
      <c r="I261" t="s">
        <v>9502</v>
      </c>
      <c r="J261" t="s">
        <v>96</v>
      </c>
      <c r="K261" s="3">
        <f t="shared" si="8"/>
        <v>0</v>
      </c>
      <c r="L261" s="3">
        <f>IF(ISERROR(VLOOKUP(J261,Lookups!$A$2:$A$16,1,FALSE)),1,0)</f>
        <v>0</v>
      </c>
      <c r="M261" s="3">
        <f>IF(ISERROR(VLOOKUP(D261,Data!$A$2:$D$223100,2,FALSE)),0,1)</f>
        <v>0</v>
      </c>
      <c r="N261" s="3">
        <f t="shared" si="9"/>
        <v>0</v>
      </c>
      <c r="O261" s="3" t="str">
        <f>IF(ISERROR(VLOOKUP(D261,Data!$A$2:$C$223100,3,FALSE)),"INACTIVE",VLOOKUP(D261,Data!$A$2:$C$223100,3,FALSE))</f>
        <v>INACTIVE</v>
      </c>
    </row>
    <row r="262" spans="1:15" x14ac:dyDescent="0.25">
      <c r="A262" t="s">
        <v>122</v>
      </c>
      <c r="B262" t="s">
        <v>9580</v>
      </c>
      <c r="C262" t="s">
        <v>9589</v>
      </c>
      <c r="D262" t="s">
        <v>9590</v>
      </c>
      <c r="E262" t="s">
        <v>9593</v>
      </c>
      <c r="F262" t="s">
        <v>5</v>
      </c>
      <c r="G262" t="s">
        <v>5</v>
      </c>
      <c r="H262" t="s">
        <v>5</v>
      </c>
      <c r="I262" t="s">
        <v>9502</v>
      </c>
      <c r="J262" t="s">
        <v>96</v>
      </c>
      <c r="K262" s="3">
        <f t="shared" si="8"/>
        <v>0</v>
      </c>
      <c r="L262" s="3">
        <f>IF(ISERROR(VLOOKUP(J262,Lookups!$A$2:$A$16,1,FALSE)),1,0)</f>
        <v>0</v>
      </c>
      <c r="M262" s="3">
        <f>IF(ISERROR(VLOOKUP(D262,Data!$A$2:$D$223100,2,FALSE)),0,1)</f>
        <v>0</v>
      </c>
      <c r="N262" s="3">
        <f t="shared" si="9"/>
        <v>0</v>
      </c>
      <c r="O262" s="3" t="str">
        <f>IF(ISERROR(VLOOKUP(D262,Data!$A$2:$C$223100,3,FALSE)),"INACTIVE",VLOOKUP(D262,Data!$A$2:$C$223100,3,FALSE))</f>
        <v>INACTIVE</v>
      </c>
    </row>
    <row r="263" spans="1:15" x14ac:dyDescent="0.25">
      <c r="A263" t="s">
        <v>122</v>
      </c>
      <c r="B263" t="s">
        <v>9580</v>
      </c>
      <c r="C263" t="s">
        <v>9589</v>
      </c>
      <c r="D263" t="s">
        <v>9590</v>
      </c>
      <c r="E263" t="s">
        <v>9594</v>
      </c>
      <c r="F263" t="s">
        <v>5</v>
      </c>
      <c r="G263" t="s">
        <v>5</v>
      </c>
      <c r="H263" t="s">
        <v>5</v>
      </c>
      <c r="I263" t="s">
        <v>9502</v>
      </c>
      <c r="J263" t="s">
        <v>96</v>
      </c>
      <c r="K263" s="3">
        <f t="shared" si="8"/>
        <v>0</v>
      </c>
      <c r="L263" s="3">
        <f>IF(ISERROR(VLOOKUP(J263,Lookups!$A$2:$A$16,1,FALSE)),1,0)</f>
        <v>0</v>
      </c>
      <c r="M263" s="3">
        <f>IF(ISERROR(VLOOKUP(D263,Data!$A$2:$D$223100,2,FALSE)),0,1)</f>
        <v>0</v>
      </c>
      <c r="N263" s="3">
        <f t="shared" si="9"/>
        <v>0</v>
      </c>
      <c r="O263" s="3" t="str">
        <f>IF(ISERROR(VLOOKUP(D263,Data!$A$2:$C$223100,3,FALSE)),"INACTIVE",VLOOKUP(D263,Data!$A$2:$C$223100,3,FALSE))</f>
        <v>INACTIVE</v>
      </c>
    </row>
    <row r="264" spans="1:15" x14ac:dyDescent="0.25">
      <c r="A264" t="s">
        <v>122</v>
      </c>
      <c r="B264" t="s">
        <v>9580</v>
      </c>
      <c r="C264" t="s">
        <v>9589</v>
      </c>
      <c r="D264" t="s">
        <v>9590</v>
      </c>
      <c r="E264" t="s">
        <v>9595</v>
      </c>
      <c r="F264" t="s">
        <v>5</v>
      </c>
      <c r="G264" t="s">
        <v>5</v>
      </c>
      <c r="H264" t="s">
        <v>5</v>
      </c>
      <c r="I264" t="s">
        <v>9502</v>
      </c>
      <c r="J264" t="s">
        <v>96</v>
      </c>
      <c r="K264" s="3">
        <f t="shared" si="8"/>
        <v>0</v>
      </c>
      <c r="L264" s="3">
        <f>IF(ISERROR(VLOOKUP(J264,Lookups!$A$2:$A$16,1,FALSE)),1,0)</f>
        <v>0</v>
      </c>
      <c r="M264" s="3">
        <f>IF(ISERROR(VLOOKUP(D264,Data!$A$2:$D$223100,2,FALSE)),0,1)</f>
        <v>0</v>
      </c>
      <c r="N264" s="3">
        <f t="shared" si="9"/>
        <v>0</v>
      </c>
      <c r="O264" s="3" t="str">
        <f>IF(ISERROR(VLOOKUP(D264,Data!$A$2:$C$223100,3,FALSE)),"INACTIVE",VLOOKUP(D264,Data!$A$2:$C$223100,3,FALSE))</f>
        <v>INACTIVE</v>
      </c>
    </row>
    <row r="265" spans="1:15" x14ac:dyDescent="0.25">
      <c r="A265" t="s">
        <v>122</v>
      </c>
      <c r="B265" t="s">
        <v>9580</v>
      </c>
      <c r="C265" t="s">
        <v>9589</v>
      </c>
      <c r="D265" t="s">
        <v>9590</v>
      </c>
      <c r="E265" t="s">
        <v>9596</v>
      </c>
      <c r="F265" t="s">
        <v>5</v>
      </c>
      <c r="G265" t="s">
        <v>5</v>
      </c>
      <c r="H265" t="s">
        <v>5</v>
      </c>
      <c r="I265" t="s">
        <v>9502</v>
      </c>
      <c r="J265" t="s">
        <v>96</v>
      </c>
      <c r="K265" s="3">
        <f t="shared" si="8"/>
        <v>0</v>
      </c>
      <c r="L265" s="3">
        <f>IF(ISERROR(VLOOKUP(J265,Lookups!$A$2:$A$16,1,FALSE)),1,0)</f>
        <v>0</v>
      </c>
      <c r="M265" s="3">
        <f>IF(ISERROR(VLOOKUP(D265,Data!$A$2:$D$223100,2,FALSE)),0,1)</f>
        <v>0</v>
      </c>
      <c r="N265" s="3">
        <f t="shared" si="9"/>
        <v>0</v>
      </c>
      <c r="O265" s="3" t="str">
        <f>IF(ISERROR(VLOOKUP(D265,Data!$A$2:$C$223100,3,FALSE)),"INACTIVE",VLOOKUP(D265,Data!$A$2:$C$223100,3,FALSE))</f>
        <v>INACTIVE</v>
      </c>
    </row>
    <row r="266" spans="1:15" x14ac:dyDescent="0.25">
      <c r="A266" t="s">
        <v>122</v>
      </c>
      <c r="B266" t="s">
        <v>9580</v>
      </c>
      <c r="C266" t="s">
        <v>9597</v>
      </c>
      <c r="D266" t="s">
        <v>9598</v>
      </c>
      <c r="E266" t="s">
        <v>9599</v>
      </c>
      <c r="F266" t="s">
        <v>5</v>
      </c>
      <c r="G266" t="s">
        <v>5</v>
      </c>
      <c r="H266" t="s">
        <v>5</v>
      </c>
      <c r="I266" t="s">
        <v>9502</v>
      </c>
      <c r="J266" t="s">
        <v>96</v>
      </c>
      <c r="K266" s="3">
        <f t="shared" si="8"/>
        <v>0</v>
      </c>
      <c r="L266" s="3">
        <f>IF(ISERROR(VLOOKUP(J266,Lookups!$A$2:$A$16,1,FALSE)),1,0)</f>
        <v>0</v>
      </c>
      <c r="M266" s="3">
        <f>IF(ISERROR(VLOOKUP(D266,Data!$A$2:$D$223100,2,FALSE)),0,1)</f>
        <v>1</v>
      </c>
      <c r="N266" s="3">
        <f t="shared" si="9"/>
        <v>0</v>
      </c>
      <c r="O266" s="3" t="str">
        <f>IF(ISERROR(VLOOKUP(D266,Data!$A$2:$C$223100,3,FALSE)),"INACTIVE",VLOOKUP(D266,Data!$A$2:$C$223100,3,FALSE))</f>
        <v>Current</v>
      </c>
    </row>
    <row r="267" spans="1:15" x14ac:dyDescent="0.25">
      <c r="A267" t="s">
        <v>122</v>
      </c>
      <c r="B267" t="s">
        <v>9580</v>
      </c>
      <c r="C267" t="s">
        <v>9600</v>
      </c>
      <c r="D267" t="s">
        <v>9601</v>
      </c>
      <c r="E267" t="s">
        <v>9602</v>
      </c>
      <c r="F267" t="s">
        <v>5</v>
      </c>
      <c r="G267" t="s">
        <v>5</v>
      </c>
      <c r="H267" t="s">
        <v>5</v>
      </c>
      <c r="I267" t="s">
        <v>9502</v>
      </c>
      <c r="J267" t="s">
        <v>96</v>
      </c>
      <c r="K267" s="3">
        <f t="shared" si="8"/>
        <v>0</v>
      </c>
      <c r="L267" s="3">
        <f>IF(ISERROR(VLOOKUP(J267,Lookups!$A$2:$A$16,1,FALSE)),1,0)</f>
        <v>0</v>
      </c>
      <c r="M267" s="3">
        <f>IF(ISERROR(VLOOKUP(D267,Data!$A$2:$D$223100,2,FALSE)),0,1)</f>
        <v>1</v>
      </c>
      <c r="N267" s="3">
        <f t="shared" si="9"/>
        <v>0</v>
      </c>
      <c r="O267" s="3" t="str">
        <f>IF(ISERROR(VLOOKUP(D267,Data!$A$2:$C$223100,3,FALSE)),"INACTIVE",VLOOKUP(D267,Data!$A$2:$C$223100,3,FALSE))</f>
        <v>Current</v>
      </c>
    </row>
    <row r="268" spans="1:15" x14ac:dyDescent="0.25">
      <c r="A268" t="s">
        <v>122</v>
      </c>
      <c r="B268" t="s">
        <v>9580</v>
      </c>
      <c r="C268" t="s">
        <v>9603</v>
      </c>
      <c r="D268" t="s">
        <v>9604</v>
      </c>
      <c r="E268" t="s">
        <v>9605</v>
      </c>
      <c r="F268" t="s">
        <v>5</v>
      </c>
      <c r="G268" t="s">
        <v>5</v>
      </c>
      <c r="H268" t="s">
        <v>5</v>
      </c>
      <c r="I268" t="s">
        <v>9502</v>
      </c>
      <c r="J268" t="s">
        <v>96</v>
      </c>
      <c r="K268" s="3">
        <f t="shared" si="8"/>
        <v>0</v>
      </c>
      <c r="L268" s="3">
        <f>IF(ISERROR(VLOOKUP(J268,Lookups!$A$2:$A$16,1,FALSE)),1,0)</f>
        <v>0</v>
      </c>
      <c r="M268" s="3">
        <f>IF(ISERROR(VLOOKUP(D268,Data!$A$2:$D$223100,2,FALSE)),0,1)</f>
        <v>1</v>
      </c>
      <c r="N268" s="3">
        <f t="shared" si="9"/>
        <v>0</v>
      </c>
      <c r="O268" s="3" t="str">
        <f>IF(ISERROR(VLOOKUP(D268,Data!$A$2:$C$223100,3,FALSE)),"INACTIVE",VLOOKUP(D268,Data!$A$2:$C$223100,3,FALSE))</f>
        <v>BK13</v>
      </c>
    </row>
    <row r="269" spans="1:15" x14ac:dyDescent="0.25">
      <c r="A269" t="s">
        <v>122</v>
      </c>
      <c r="B269" t="s">
        <v>9580</v>
      </c>
      <c r="C269" t="s">
        <v>9603</v>
      </c>
      <c r="D269" t="s">
        <v>9604</v>
      </c>
      <c r="E269" t="s">
        <v>9606</v>
      </c>
      <c r="F269" t="s">
        <v>5</v>
      </c>
      <c r="G269" t="s">
        <v>5</v>
      </c>
      <c r="H269" t="s">
        <v>5</v>
      </c>
      <c r="I269" t="s">
        <v>9502</v>
      </c>
      <c r="J269" t="s">
        <v>96</v>
      </c>
      <c r="K269" s="3">
        <f t="shared" si="8"/>
        <v>0</v>
      </c>
      <c r="L269" s="3">
        <f>IF(ISERROR(VLOOKUP(J269,Lookups!$A$2:$A$16,1,FALSE)),1,0)</f>
        <v>0</v>
      </c>
      <c r="M269" s="3">
        <f>IF(ISERROR(VLOOKUP(D269,Data!$A$2:$D$223100,2,FALSE)),0,1)</f>
        <v>1</v>
      </c>
      <c r="N269" s="3">
        <f t="shared" si="9"/>
        <v>0</v>
      </c>
      <c r="O269" s="3" t="str">
        <f>IF(ISERROR(VLOOKUP(D269,Data!$A$2:$C$223100,3,FALSE)),"INACTIVE",VLOOKUP(D269,Data!$A$2:$C$223100,3,FALSE))</f>
        <v>BK13</v>
      </c>
    </row>
    <row r="270" spans="1:15" x14ac:dyDescent="0.25">
      <c r="A270" t="s">
        <v>122</v>
      </c>
      <c r="B270" t="s">
        <v>9580</v>
      </c>
      <c r="C270" t="s">
        <v>9603</v>
      </c>
      <c r="D270" t="s">
        <v>9604</v>
      </c>
      <c r="E270" t="s">
        <v>9606</v>
      </c>
      <c r="F270" t="s">
        <v>5</v>
      </c>
      <c r="G270" t="s">
        <v>5</v>
      </c>
      <c r="H270" t="s">
        <v>5</v>
      </c>
      <c r="I270" t="s">
        <v>9502</v>
      </c>
      <c r="J270" t="s">
        <v>96</v>
      </c>
      <c r="K270" s="3">
        <f t="shared" si="8"/>
        <v>0</v>
      </c>
      <c r="L270" s="3">
        <f>IF(ISERROR(VLOOKUP(J270,Lookups!$A$2:$A$16,1,FALSE)),1,0)</f>
        <v>0</v>
      </c>
      <c r="M270" s="3">
        <f>IF(ISERROR(VLOOKUP(D270,Data!$A$2:$D$223100,2,FALSE)),0,1)</f>
        <v>1</v>
      </c>
      <c r="N270" s="3">
        <f t="shared" si="9"/>
        <v>0</v>
      </c>
      <c r="O270" s="3" t="str">
        <f>IF(ISERROR(VLOOKUP(D270,Data!$A$2:$C$223100,3,FALSE)),"INACTIVE",VLOOKUP(D270,Data!$A$2:$C$223100,3,FALSE))</f>
        <v>BK13</v>
      </c>
    </row>
    <row r="271" spans="1:15" x14ac:dyDescent="0.25">
      <c r="A271" t="s">
        <v>122</v>
      </c>
      <c r="B271" t="s">
        <v>9580</v>
      </c>
      <c r="C271" t="s">
        <v>9607</v>
      </c>
      <c r="D271" t="s">
        <v>9608</v>
      </c>
      <c r="E271" t="s">
        <v>9609</v>
      </c>
      <c r="F271" t="s">
        <v>5</v>
      </c>
      <c r="G271" t="s">
        <v>5</v>
      </c>
      <c r="H271" t="s">
        <v>5</v>
      </c>
      <c r="I271" t="s">
        <v>9502</v>
      </c>
      <c r="J271" t="s">
        <v>96</v>
      </c>
      <c r="K271" s="3">
        <f t="shared" si="8"/>
        <v>0</v>
      </c>
      <c r="L271" s="3">
        <f>IF(ISERROR(VLOOKUP(J271,Lookups!$A$2:$A$16,1,FALSE)),1,0)</f>
        <v>0</v>
      </c>
      <c r="M271" s="3">
        <f>IF(ISERROR(VLOOKUP(D271,Data!$A$2:$D$223100,2,FALSE)),0,1)</f>
        <v>0</v>
      </c>
      <c r="N271" s="3">
        <f t="shared" si="9"/>
        <v>0</v>
      </c>
      <c r="O271" s="3" t="str">
        <f>IF(ISERROR(VLOOKUP(D271,Data!$A$2:$C$223100,3,FALSE)),"INACTIVE",VLOOKUP(D271,Data!$A$2:$C$223100,3,FALSE))</f>
        <v>INACTIVE</v>
      </c>
    </row>
    <row r="272" spans="1:15" x14ac:dyDescent="0.25">
      <c r="A272" t="s">
        <v>122</v>
      </c>
      <c r="B272" t="s">
        <v>9580</v>
      </c>
      <c r="C272" t="s">
        <v>9610</v>
      </c>
      <c r="D272" t="s">
        <v>9611</v>
      </c>
      <c r="E272" t="s">
        <v>9612</v>
      </c>
      <c r="F272" t="s">
        <v>5</v>
      </c>
      <c r="G272" t="s">
        <v>5</v>
      </c>
      <c r="H272" t="s">
        <v>5</v>
      </c>
      <c r="I272" t="s">
        <v>9502</v>
      </c>
      <c r="J272" t="s">
        <v>96</v>
      </c>
      <c r="K272" s="3">
        <f t="shared" si="8"/>
        <v>0</v>
      </c>
      <c r="L272" s="3">
        <f>IF(ISERROR(VLOOKUP(J272,Lookups!$A$2:$A$16,1,FALSE)),1,0)</f>
        <v>0</v>
      </c>
      <c r="M272" s="3">
        <f>IF(ISERROR(VLOOKUP(D272,Data!$A$2:$D$223100,2,FALSE)),0,1)</f>
        <v>0</v>
      </c>
      <c r="N272" s="3">
        <f t="shared" si="9"/>
        <v>0</v>
      </c>
      <c r="O272" s="3" t="str">
        <f>IF(ISERROR(VLOOKUP(D272,Data!$A$2:$C$223100,3,FALSE)),"INACTIVE",VLOOKUP(D272,Data!$A$2:$C$223100,3,FALSE))</f>
        <v>INACTIVE</v>
      </c>
    </row>
    <row r="273" spans="1:15" x14ac:dyDescent="0.25">
      <c r="A273" t="s">
        <v>122</v>
      </c>
      <c r="B273" t="s">
        <v>9580</v>
      </c>
      <c r="C273" t="s">
        <v>9613</v>
      </c>
      <c r="D273" t="s">
        <v>9614</v>
      </c>
      <c r="E273" t="s">
        <v>9615</v>
      </c>
      <c r="F273" t="s">
        <v>5</v>
      </c>
      <c r="G273" t="s">
        <v>5</v>
      </c>
      <c r="H273" t="s">
        <v>5</v>
      </c>
      <c r="I273" t="s">
        <v>9502</v>
      </c>
      <c r="J273" t="s">
        <v>14</v>
      </c>
      <c r="K273" s="3">
        <f t="shared" si="8"/>
        <v>0</v>
      </c>
      <c r="L273" s="3">
        <f>IF(ISERROR(VLOOKUP(J273,Lookups!$A$2:$A$16,1,FALSE)),1,0)</f>
        <v>1</v>
      </c>
      <c r="M273" s="3">
        <f>IF(ISERROR(VLOOKUP(D273,Data!$A$2:$D$223100,2,FALSE)),0,1)</f>
        <v>1</v>
      </c>
      <c r="N273" s="3">
        <f t="shared" si="9"/>
        <v>1</v>
      </c>
      <c r="O273" s="3" t="str">
        <f>IF(ISERROR(VLOOKUP(D273,Data!$A$2:$C$223100,3,FALSE)),"INACTIVE",VLOOKUP(D273,Data!$A$2:$C$223100,3,FALSE))</f>
        <v>Current</v>
      </c>
    </row>
    <row r="274" spans="1:15" x14ac:dyDescent="0.25">
      <c r="A274" t="s">
        <v>122</v>
      </c>
      <c r="B274" t="s">
        <v>9580</v>
      </c>
      <c r="C274" t="s">
        <v>9616</v>
      </c>
      <c r="D274" t="s">
        <v>9617</v>
      </c>
      <c r="E274" t="s">
        <v>9618</v>
      </c>
      <c r="F274" t="s">
        <v>5</v>
      </c>
      <c r="G274" t="s">
        <v>5</v>
      </c>
      <c r="H274" t="s">
        <v>5</v>
      </c>
      <c r="I274" t="s">
        <v>9502</v>
      </c>
      <c r="J274" t="s">
        <v>96</v>
      </c>
      <c r="K274" s="3">
        <f t="shared" si="8"/>
        <v>0</v>
      </c>
      <c r="L274" s="3">
        <f>IF(ISERROR(VLOOKUP(J274,Lookups!$A$2:$A$16,1,FALSE)),1,0)</f>
        <v>0</v>
      </c>
      <c r="M274" s="3">
        <f>IF(ISERROR(VLOOKUP(D274,Data!$A$2:$D$223100,2,FALSE)),0,1)</f>
        <v>1</v>
      </c>
      <c r="N274" s="3">
        <f t="shared" si="9"/>
        <v>0</v>
      </c>
      <c r="O274" s="3" t="str">
        <f>IF(ISERROR(VLOOKUP(D274,Data!$A$2:$C$223100,3,FALSE)),"INACTIVE",VLOOKUP(D274,Data!$A$2:$C$223100,3,FALSE))</f>
        <v>Current</v>
      </c>
    </row>
    <row r="275" spans="1:15" x14ac:dyDescent="0.25">
      <c r="A275" t="s">
        <v>4666</v>
      </c>
      <c r="B275" t="s">
        <v>4667</v>
      </c>
      <c r="C275" t="s">
        <v>4668</v>
      </c>
      <c r="D275" t="s">
        <v>4669</v>
      </c>
      <c r="E275" t="s">
        <v>9717</v>
      </c>
      <c r="F275" t="s">
        <v>9718</v>
      </c>
      <c r="G275" t="s">
        <v>5</v>
      </c>
      <c r="H275" t="s">
        <v>5</v>
      </c>
      <c r="I275" t="s">
        <v>9502</v>
      </c>
      <c r="J275" t="s">
        <v>90</v>
      </c>
      <c r="K275" s="3">
        <f t="shared" si="8"/>
        <v>0</v>
      </c>
      <c r="L275" s="3">
        <f>IF(ISERROR(VLOOKUP(J275,Lookups!$A$2:$A$16,1,FALSE)),1,0)</f>
        <v>0</v>
      </c>
      <c r="M275" s="3">
        <f>IF(ISERROR(VLOOKUP(D275,Data!$A$2:$D$223100,2,FALSE)),0,1)</f>
        <v>1</v>
      </c>
      <c r="N275" s="3">
        <f t="shared" si="9"/>
        <v>0</v>
      </c>
      <c r="O275" s="3" t="str">
        <f>IF(ISERROR(VLOOKUP(D275,Data!$A$2:$C$223100,3,FALSE)),"INACTIVE",VLOOKUP(D275,Data!$A$2:$C$223100,3,FALSE))</f>
        <v>Current</v>
      </c>
    </row>
    <row r="276" spans="1:15" x14ac:dyDescent="0.25">
      <c r="A276" t="s">
        <v>4666</v>
      </c>
      <c r="B276" t="s">
        <v>4667</v>
      </c>
      <c r="C276" t="s">
        <v>4668</v>
      </c>
      <c r="D276" t="s">
        <v>4669</v>
      </c>
      <c r="E276" t="s">
        <v>9719</v>
      </c>
      <c r="F276" t="s">
        <v>9719</v>
      </c>
      <c r="G276" t="s">
        <v>5</v>
      </c>
      <c r="H276" t="s">
        <v>5</v>
      </c>
      <c r="I276" t="s">
        <v>9502</v>
      </c>
      <c r="J276" t="s">
        <v>90</v>
      </c>
      <c r="K276" s="3">
        <f t="shared" si="8"/>
        <v>0</v>
      </c>
      <c r="L276" s="3">
        <f>IF(ISERROR(VLOOKUP(J276,Lookups!$A$2:$A$16,1,FALSE)),1,0)</f>
        <v>0</v>
      </c>
      <c r="M276" s="3">
        <f>IF(ISERROR(VLOOKUP(D276,Data!$A$2:$D$223100,2,FALSE)),0,1)</f>
        <v>1</v>
      </c>
      <c r="N276" s="3">
        <f t="shared" si="9"/>
        <v>0</v>
      </c>
      <c r="O276" s="3" t="str">
        <f>IF(ISERROR(VLOOKUP(D276,Data!$A$2:$C$223100,3,FALSE)),"INACTIVE",VLOOKUP(D276,Data!$A$2:$C$223100,3,FALSE))</f>
        <v>Current</v>
      </c>
    </row>
    <row r="277" spans="1:15" x14ac:dyDescent="0.25">
      <c r="A277" t="s">
        <v>4666</v>
      </c>
      <c r="B277" t="s">
        <v>4667</v>
      </c>
      <c r="C277" t="s">
        <v>4668</v>
      </c>
      <c r="D277" t="s">
        <v>4669</v>
      </c>
      <c r="E277" t="s">
        <v>9720</v>
      </c>
      <c r="F277" t="s">
        <v>5</v>
      </c>
      <c r="G277" t="s">
        <v>5</v>
      </c>
      <c r="H277" t="s">
        <v>5</v>
      </c>
      <c r="I277" t="s">
        <v>9502</v>
      </c>
      <c r="J277" t="s">
        <v>90</v>
      </c>
      <c r="K277" s="3">
        <f t="shared" si="8"/>
        <v>0</v>
      </c>
      <c r="L277" s="3">
        <f>IF(ISERROR(VLOOKUP(J277,Lookups!$A$2:$A$16,1,FALSE)),1,0)</f>
        <v>0</v>
      </c>
      <c r="M277" s="3">
        <f>IF(ISERROR(VLOOKUP(D277,Data!$A$2:$D$223100,2,FALSE)),0,1)</f>
        <v>1</v>
      </c>
      <c r="N277" s="3">
        <f t="shared" si="9"/>
        <v>0</v>
      </c>
      <c r="O277" s="3" t="str">
        <f>IF(ISERROR(VLOOKUP(D277,Data!$A$2:$C$223100,3,FALSE)),"INACTIVE",VLOOKUP(D277,Data!$A$2:$C$223100,3,FALSE))</f>
        <v>Current</v>
      </c>
    </row>
    <row r="278" spans="1:15" x14ac:dyDescent="0.25">
      <c r="A278" t="s">
        <v>9649</v>
      </c>
      <c r="B278" t="s">
        <v>9650</v>
      </c>
      <c r="C278" t="s">
        <v>9651</v>
      </c>
      <c r="D278" t="s">
        <v>9652</v>
      </c>
      <c r="E278" t="s">
        <v>9653</v>
      </c>
      <c r="F278" t="s">
        <v>5</v>
      </c>
      <c r="G278" t="s">
        <v>5</v>
      </c>
      <c r="H278" t="s">
        <v>5</v>
      </c>
      <c r="I278" t="s">
        <v>9654</v>
      </c>
      <c r="J278" t="s">
        <v>96</v>
      </c>
      <c r="K278" s="3">
        <f t="shared" si="8"/>
        <v>0</v>
      </c>
      <c r="L278" s="3">
        <f>IF(ISERROR(VLOOKUP(J278,Lookups!$A$2:$A$16,1,FALSE)),1,0)</f>
        <v>0</v>
      </c>
      <c r="M278" s="3">
        <f>IF(ISERROR(VLOOKUP(D278,Data!$A$2:$D$223100,2,FALSE)),0,1)</f>
        <v>0</v>
      </c>
      <c r="N278" s="3">
        <f t="shared" si="9"/>
        <v>0</v>
      </c>
      <c r="O278" s="3" t="str">
        <f>IF(ISERROR(VLOOKUP(D278,Data!$A$2:$C$223100,3,FALSE)),"INACTIVE",VLOOKUP(D278,Data!$A$2:$C$223100,3,FALSE))</f>
        <v>INACTIVE</v>
      </c>
    </row>
    <row r="279" spans="1:15" x14ac:dyDescent="0.25">
      <c r="A279" t="s">
        <v>9649</v>
      </c>
      <c r="B279" t="s">
        <v>9650</v>
      </c>
      <c r="C279" t="s">
        <v>9651</v>
      </c>
      <c r="D279" t="s">
        <v>9652</v>
      </c>
      <c r="E279" t="s">
        <v>9655</v>
      </c>
      <c r="F279" t="s">
        <v>5</v>
      </c>
      <c r="G279" t="s">
        <v>5</v>
      </c>
      <c r="H279" t="s">
        <v>5</v>
      </c>
      <c r="I279" t="s">
        <v>9654</v>
      </c>
      <c r="J279" t="s">
        <v>96</v>
      </c>
      <c r="K279" s="3">
        <f t="shared" si="8"/>
        <v>0</v>
      </c>
      <c r="L279" s="3">
        <f>IF(ISERROR(VLOOKUP(J279,Lookups!$A$2:$A$16,1,FALSE)),1,0)</f>
        <v>0</v>
      </c>
      <c r="M279" s="3">
        <f>IF(ISERROR(VLOOKUP(D279,Data!$A$2:$D$223100,2,FALSE)),0,1)</f>
        <v>0</v>
      </c>
      <c r="N279" s="3">
        <f t="shared" si="9"/>
        <v>0</v>
      </c>
      <c r="O279" s="3" t="str">
        <f>IF(ISERROR(VLOOKUP(D279,Data!$A$2:$C$223100,3,FALSE)),"INACTIVE",VLOOKUP(D279,Data!$A$2:$C$223100,3,FALSE))</f>
        <v>INACTIVE</v>
      </c>
    </row>
    <row r="280" spans="1:15" x14ac:dyDescent="0.25">
      <c r="A280" t="s">
        <v>9656</v>
      </c>
      <c r="B280" t="s">
        <v>9657</v>
      </c>
      <c r="C280" t="s">
        <v>9658</v>
      </c>
      <c r="D280" t="s">
        <v>9659</v>
      </c>
      <c r="E280" t="s">
        <v>9660</v>
      </c>
      <c r="F280" t="s">
        <v>5</v>
      </c>
      <c r="G280" t="s">
        <v>5</v>
      </c>
      <c r="H280" t="s">
        <v>5</v>
      </c>
      <c r="I280" t="s">
        <v>9654</v>
      </c>
      <c r="J280" t="s">
        <v>7</v>
      </c>
      <c r="K280" s="3">
        <f t="shared" si="8"/>
        <v>0</v>
      </c>
      <c r="L280" s="3">
        <f>IF(ISERROR(VLOOKUP(J280,Lookups!$A$2:$A$16,1,FALSE)),1,0)</f>
        <v>1</v>
      </c>
      <c r="M280" s="3">
        <f>IF(ISERROR(VLOOKUP(D280,Data!$A$2:$D$223100,2,FALSE)),0,1)</f>
        <v>1</v>
      </c>
      <c r="N280" s="3">
        <f t="shared" si="9"/>
        <v>1</v>
      </c>
      <c r="O280" s="3" t="str">
        <f>IF(ISERROR(VLOOKUP(D280,Data!$A$2:$C$223100,3,FALSE)),"INACTIVE",VLOOKUP(D280,Data!$A$2:$C$223100,3,FALSE))</f>
        <v>30+</v>
      </c>
    </row>
    <row r="281" spans="1:15" x14ac:dyDescent="0.25">
      <c r="A281" t="s">
        <v>303</v>
      </c>
      <c r="B281" t="s">
        <v>304</v>
      </c>
      <c r="C281" t="s">
        <v>305</v>
      </c>
      <c r="D281" t="s">
        <v>306</v>
      </c>
      <c r="E281" t="s">
        <v>9715</v>
      </c>
      <c r="F281" t="s">
        <v>5</v>
      </c>
      <c r="G281" t="s">
        <v>5</v>
      </c>
      <c r="H281" t="s">
        <v>5</v>
      </c>
      <c r="I281" t="s">
        <v>9654</v>
      </c>
      <c r="J281" t="s">
        <v>7</v>
      </c>
      <c r="K281" s="3">
        <f t="shared" si="8"/>
        <v>0</v>
      </c>
      <c r="L281" s="3">
        <f>IF(ISERROR(VLOOKUP(J281,Lookups!$A$2:$A$16,1,FALSE)),1,0)</f>
        <v>1</v>
      </c>
      <c r="M281" s="3">
        <f>IF(ISERROR(VLOOKUP(D281,Data!$A$2:$D$223100,2,FALSE)),0,1)</f>
        <v>1</v>
      </c>
      <c r="N281" s="3">
        <f t="shared" si="9"/>
        <v>1</v>
      </c>
      <c r="O281" s="3" t="str">
        <f>IF(ISERROR(VLOOKUP(D281,Data!$A$2:$C$223100,3,FALSE)),"INACTIVE",VLOOKUP(D281,Data!$A$2:$C$223100,3,FALSE))</f>
        <v>BK13</v>
      </c>
    </row>
    <row r="282" spans="1:15" x14ac:dyDescent="0.25">
      <c r="A282" t="s">
        <v>303</v>
      </c>
      <c r="B282" t="s">
        <v>304</v>
      </c>
      <c r="C282" t="s">
        <v>309</v>
      </c>
      <c r="D282" t="s">
        <v>310</v>
      </c>
      <c r="E282" t="s">
        <v>9716</v>
      </c>
      <c r="F282" t="s">
        <v>5</v>
      </c>
      <c r="G282" t="s">
        <v>5</v>
      </c>
      <c r="H282" t="s">
        <v>5</v>
      </c>
      <c r="I282" t="s">
        <v>9654</v>
      </c>
      <c r="J282" t="s">
        <v>7</v>
      </c>
      <c r="K282" s="3">
        <f t="shared" si="8"/>
        <v>0</v>
      </c>
      <c r="L282" s="3">
        <f>IF(ISERROR(VLOOKUP(J282,Lookups!$A$2:$A$16,1,FALSE)),1,0)</f>
        <v>1</v>
      </c>
      <c r="M282" s="3">
        <f>IF(ISERROR(VLOOKUP(D282,Data!$A$2:$D$223100,2,FALSE)),0,1)</f>
        <v>1</v>
      </c>
      <c r="N282" s="3">
        <f t="shared" si="9"/>
        <v>1</v>
      </c>
      <c r="O282" s="3" t="str">
        <f>IF(ISERROR(VLOOKUP(D282,Data!$A$2:$C$223100,3,FALSE)),"INACTIVE",VLOOKUP(D282,Data!$A$2:$C$223100,3,FALSE))</f>
        <v>Demand Letter</v>
      </c>
    </row>
    <row r="283" spans="1:15" x14ac:dyDescent="0.25">
      <c r="A283" t="s">
        <v>159</v>
      </c>
      <c r="B283" t="s">
        <v>160</v>
      </c>
      <c r="C283" t="s">
        <v>164</v>
      </c>
      <c r="D283" t="s">
        <v>165</v>
      </c>
      <c r="E283" t="s">
        <v>166</v>
      </c>
      <c r="F283" t="s">
        <v>5</v>
      </c>
      <c r="G283" t="s">
        <v>5</v>
      </c>
      <c r="H283" t="s">
        <v>5</v>
      </c>
      <c r="I283" t="s">
        <v>9648</v>
      </c>
      <c r="J283" t="s">
        <v>7</v>
      </c>
      <c r="K283" s="3">
        <f t="shared" si="8"/>
        <v>0</v>
      </c>
      <c r="L283" s="3">
        <f>IF(ISERROR(VLOOKUP(J283,Lookups!$A$2:$A$16,1,FALSE)),1,0)</f>
        <v>1</v>
      </c>
      <c r="M283" s="3">
        <f>IF(ISERROR(VLOOKUP(D283,Data!$A$2:$D$223100,2,FALSE)),0,1)</f>
        <v>1</v>
      </c>
      <c r="N283" s="3">
        <f t="shared" si="9"/>
        <v>1</v>
      </c>
      <c r="O283" s="3" t="str">
        <f>IF(ISERROR(VLOOKUP(D283,Data!$A$2:$C$223100,3,FALSE)),"INACTIVE",VLOOKUP(D283,Data!$A$2:$C$223100,3,FALSE))</f>
        <v>120+</v>
      </c>
    </row>
    <row r="284" spans="1:15" x14ac:dyDescent="0.25">
      <c r="A284" t="s">
        <v>3922</v>
      </c>
      <c r="B284" t="s">
        <v>4782</v>
      </c>
      <c r="C284" t="s">
        <v>4783</v>
      </c>
      <c r="D284" t="s">
        <v>4784</v>
      </c>
      <c r="E284" t="s">
        <v>4785</v>
      </c>
      <c r="F284" t="s">
        <v>5</v>
      </c>
      <c r="G284" t="s">
        <v>5</v>
      </c>
      <c r="H284" t="s">
        <v>5</v>
      </c>
      <c r="I284" t="s">
        <v>9509</v>
      </c>
      <c r="J284" t="s">
        <v>7</v>
      </c>
      <c r="K284" s="3">
        <f t="shared" si="8"/>
        <v>0</v>
      </c>
      <c r="L284" s="3">
        <f>IF(ISERROR(VLOOKUP(J284,Lookups!$A$2:$A$16,1,FALSE)),1,0)</f>
        <v>1</v>
      </c>
      <c r="M284" s="3">
        <f>IF(ISERROR(VLOOKUP(D284,Data!$A$2:$D$223100,2,FALSE)),0,1)</f>
        <v>1</v>
      </c>
      <c r="N284" s="3">
        <f t="shared" si="9"/>
        <v>1</v>
      </c>
      <c r="O284" s="3" t="str">
        <f>IF(ISERROR(VLOOKUP(D284,Data!$A$2:$C$223100,3,FALSE)),"INACTIVE",VLOOKUP(D284,Data!$A$2:$C$223100,3,FALSE))</f>
        <v>Current</v>
      </c>
    </row>
    <row r="285" spans="1:15" x14ac:dyDescent="0.25">
      <c r="A285" t="s">
        <v>3922</v>
      </c>
      <c r="B285" t="s">
        <v>4782</v>
      </c>
      <c r="C285" t="s">
        <v>4788</v>
      </c>
      <c r="D285" t="s">
        <v>4789</v>
      </c>
      <c r="E285" t="s">
        <v>4790</v>
      </c>
      <c r="F285" t="s">
        <v>5</v>
      </c>
      <c r="G285" t="s">
        <v>5</v>
      </c>
      <c r="H285" t="s">
        <v>5</v>
      </c>
      <c r="I285" t="s">
        <v>9509</v>
      </c>
      <c r="J285" t="s">
        <v>7</v>
      </c>
      <c r="K285" s="3">
        <f t="shared" si="8"/>
        <v>0</v>
      </c>
      <c r="L285" s="3">
        <f>IF(ISERROR(VLOOKUP(J285,Lookups!$A$2:$A$16,1,FALSE)),1,0)</f>
        <v>1</v>
      </c>
      <c r="M285" s="3">
        <f>IF(ISERROR(VLOOKUP(D285,Data!$A$2:$D$223100,2,FALSE)),0,1)</f>
        <v>1</v>
      </c>
      <c r="N285" s="3">
        <f t="shared" si="9"/>
        <v>1</v>
      </c>
      <c r="O285" s="3" t="str">
        <f>IF(ISERROR(VLOOKUP(D285,Data!$A$2:$C$223100,3,FALSE)),"INACTIVE",VLOOKUP(D285,Data!$A$2:$C$223100,3,FALSE))</f>
        <v>Current</v>
      </c>
    </row>
    <row r="286" spans="1:15" x14ac:dyDescent="0.25">
      <c r="A286" t="s">
        <v>9553</v>
      </c>
      <c r="B286" t="s">
        <v>9554</v>
      </c>
      <c r="C286" t="s">
        <v>9555</v>
      </c>
      <c r="D286" t="s">
        <v>9556</v>
      </c>
      <c r="E286" t="s">
        <v>9557</v>
      </c>
      <c r="F286" t="s">
        <v>5</v>
      </c>
      <c r="G286" t="s">
        <v>5</v>
      </c>
      <c r="H286" t="s">
        <v>5</v>
      </c>
      <c r="I286" t="s">
        <v>9558</v>
      </c>
      <c r="J286" t="s">
        <v>7</v>
      </c>
      <c r="K286" s="3">
        <f t="shared" si="8"/>
        <v>0</v>
      </c>
      <c r="L286" s="3">
        <f>IF(ISERROR(VLOOKUP(J286,Lookups!$A$2:$A$16,1,FALSE)),1,0)</f>
        <v>1</v>
      </c>
      <c r="M286" s="3">
        <f>IF(ISERROR(VLOOKUP(D286,Data!$A$2:$D$223100,2,FALSE)),0,1)</f>
        <v>0</v>
      </c>
      <c r="N286" s="3">
        <f t="shared" si="9"/>
        <v>0</v>
      </c>
      <c r="O286" s="3" t="str">
        <f>IF(ISERROR(VLOOKUP(D286,Data!$A$2:$C$223100,3,FALSE)),"INACTIVE",VLOOKUP(D286,Data!$A$2:$C$223100,3,FALSE))</f>
        <v>INACTIVE</v>
      </c>
    </row>
    <row r="287" spans="1:15" x14ac:dyDescent="0.25">
      <c r="A287" t="s">
        <v>9553</v>
      </c>
      <c r="B287" t="s">
        <v>9554</v>
      </c>
      <c r="C287" t="s">
        <v>9559</v>
      </c>
      <c r="D287" t="s">
        <v>9560</v>
      </c>
      <c r="E287" t="s">
        <v>9561</v>
      </c>
      <c r="F287" t="s">
        <v>5</v>
      </c>
      <c r="G287" t="s">
        <v>5</v>
      </c>
      <c r="H287" t="s">
        <v>5</v>
      </c>
      <c r="I287" t="s">
        <v>9558</v>
      </c>
      <c r="J287" t="s">
        <v>7</v>
      </c>
      <c r="K287" s="3">
        <f t="shared" si="8"/>
        <v>0</v>
      </c>
      <c r="L287" s="3">
        <f>IF(ISERROR(VLOOKUP(J287,Lookups!$A$2:$A$16,1,FALSE)),1,0)</f>
        <v>1</v>
      </c>
      <c r="M287" s="3">
        <f>IF(ISERROR(VLOOKUP(D287,Data!$A$2:$D$223100,2,FALSE)),0,1)</f>
        <v>1</v>
      </c>
      <c r="N287" s="3">
        <f t="shared" si="9"/>
        <v>1</v>
      </c>
      <c r="O287" s="3" t="str">
        <f>IF(ISERROR(VLOOKUP(D287,Data!$A$2:$C$223100,3,FALSE)),"INACTIVE",VLOOKUP(D287,Data!$A$2:$C$223100,3,FALSE))</f>
        <v>Current</v>
      </c>
    </row>
    <row r="288" spans="1:15" x14ac:dyDescent="0.25">
      <c r="A288" t="s">
        <v>9553</v>
      </c>
      <c r="B288" t="s">
        <v>9554</v>
      </c>
      <c r="C288" t="s">
        <v>9562</v>
      </c>
      <c r="D288" t="s">
        <v>9563</v>
      </c>
      <c r="E288" t="s">
        <v>9564</v>
      </c>
      <c r="F288" t="s">
        <v>5</v>
      </c>
      <c r="G288" t="s">
        <v>5</v>
      </c>
      <c r="H288" t="s">
        <v>5</v>
      </c>
      <c r="I288" t="s">
        <v>9558</v>
      </c>
      <c r="J288" t="s">
        <v>7</v>
      </c>
      <c r="K288" s="3">
        <f t="shared" si="8"/>
        <v>0</v>
      </c>
      <c r="L288" s="3">
        <f>IF(ISERROR(VLOOKUP(J288,Lookups!$A$2:$A$16,1,FALSE)),1,0)</f>
        <v>1</v>
      </c>
      <c r="M288" s="3">
        <f>IF(ISERROR(VLOOKUP(D288,Data!$A$2:$D$223100,2,FALSE)),0,1)</f>
        <v>1</v>
      </c>
      <c r="N288" s="3">
        <f t="shared" si="9"/>
        <v>1</v>
      </c>
      <c r="O288" s="3" t="str">
        <f>IF(ISERROR(VLOOKUP(D288,Data!$A$2:$C$223100,3,FALSE)),"INACTIVE",VLOOKUP(D288,Data!$A$2:$C$223100,3,FALSE))</f>
        <v>Current</v>
      </c>
    </row>
    <row r="289" spans="1:15" x14ac:dyDescent="0.25">
      <c r="A289" t="s">
        <v>9553</v>
      </c>
      <c r="B289" t="s">
        <v>9554</v>
      </c>
      <c r="C289" t="s">
        <v>9565</v>
      </c>
      <c r="D289" t="s">
        <v>9566</v>
      </c>
      <c r="E289" t="s">
        <v>9567</v>
      </c>
      <c r="F289" t="s">
        <v>5</v>
      </c>
      <c r="G289" t="s">
        <v>5</v>
      </c>
      <c r="H289" t="s">
        <v>5</v>
      </c>
      <c r="I289" t="s">
        <v>9558</v>
      </c>
      <c r="J289" t="s">
        <v>7</v>
      </c>
      <c r="K289" s="3">
        <f t="shared" si="8"/>
        <v>0</v>
      </c>
      <c r="L289" s="3">
        <f>IF(ISERROR(VLOOKUP(J289,Lookups!$A$2:$A$16,1,FALSE)),1,0)</f>
        <v>1</v>
      </c>
      <c r="M289" s="3">
        <f>IF(ISERROR(VLOOKUP(D289,Data!$A$2:$D$223100,2,FALSE)),0,1)</f>
        <v>1</v>
      </c>
      <c r="N289" s="3">
        <f t="shared" si="9"/>
        <v>1</v>
      </c>
      <c r="O289" s="3" t="str">
        <f>IF(ISERROR(VLOOKUP(D289,Data!$A$2:$C$223100,3,FALSE)),"INACTIVE",VLOOKUP(D289,Data!$A$2:$C$223100,3,FALSE))</f>
        <v>Current</v>
      </c>
    </row>
    <row r="290" spans="1:15" x14ac:dyDescent="0.25">
      <c r="A290" t="s">
        <v>9532</v>
      </c>
      <c r="B290" t="s">
        <v>9533</v>
      </c>
      <c r="C290" t="s">
        <v>9534</v>
      </c>
      <c r="D290" t="s">
        <v>9535</v>
      </c>
      <c r="E290" t="s">
        <v>9536</v>
      </c>
      <c r="F290" t="s">
        <v>5</v>
      </c>
      <c r="G290" t="s">
        <v>5</v>
      </c>
      <c r="H290" t="s">
        <v>5</v>
      </c>
      <c r="I290" t="s">
        <v>9537</v>
      </c>
      <c r="J290" t="s">
        <v>90</v>
      </c>
      <c r="K290" s="3">
        <f t="shared" si="8"/>
        <v>0</v>
      </c>
      <c r="L290" s="3">
        <f>IF(ISERROR(VLOOKUP(J290,Lookups!$A$2:$A$16,1,FALSE)),1,0)</f>
        <v>0</v>
      </c>
      <c r="M290" s="3">
        <f>IF(ISERROR(VLOOKUP(D290,Data!$A$2:$D$223100,2,FALSE)),0,1)</f>
        <v>1</v>
      </c>
      <c r="N290" s="3">
        <f t="shared" si="9"/>
        <v>0</v>
      </c>
      <c r="O290" s="3" t="str">
        <f>IF(ISERROR(VLOOKUP(D290,Data!$A$2:$C$223100,3,FALSE)),"INACTIVE",VLOOKUP(D290,Data!$A$2:$C$223100,3,FALSE))</f>
        <v>FC</v>
      </c>
    </row>
    <row r="291" spans="1:15" x14ac:dyDescent="0.25">
      <c r="A291" t="s">
        <v>9667</v>
      </c>
      <c r="B291" t="s">
        <v>9668</v>
      </c>
      <c r="C291" t="s">
        <v>9669</v>
      </c>
      <c r="D291" t="s">
        <v>9670</v>
      </c>
      <c r="E291" t="s">
        <v>9671</v>
      </c>
      <c r="F291" t="s">
        <v>5</v>
      </c>
      <c r="G291" t="s">
        <v>5</v>
      </c>
      <c r="H291" t="s">
        <v>5</v>
      </c>
      <c r="I291" t="s">
        <v>9537</v>
      </c>
      <c r="J291" t="s">
        <v>7</v>
      </c>
      <c r="K291" s="3">
        <f t="shared" si="8"/>
        <v>0</v>
      </c>
      <c r="L291" s="3">
        <f>IF(ISERROR(VLOOKUP(J291,Lookups!$A$2:$A$16,1,FALSE)),1,0)</f>
        <v>1</v>
      </c>
      <c r="M291" s="3">
        <f>IF(ISERROR(VLOOKUP(D291,Data!$A$2:$D$223100,2,FALSE)),0,1)</f>
        <v>1</v>
      </c>
      <c r="N291" s="3">
        <f t="shared" si="9"/>
        <v>1</v>
      </c>
      <c r="O291" s="3" t="str">
        <f>IF(ISERROR(VLOOKUP(D291,Data!$A$2:$C$223100,3,FALSE)),"INACTIVE",VLOOKUP(D291,Data!$A$2:$C$223100,3,FALSE))</f>
        <v>Current</v>
      </c>
    </row>
    <row r="292" spans="1:15" x14ac:dyDescent="0.25">
      <c r="A292" t="s">
        <v>2009</v>
      </c>
      <c r="B292" t="s">
        <v>2010</v>
      </c>
      <c r="C292" t="s">
        <v>9619</v>
      </c>
      <c r="D292" t="s">
        <v>9620</v>
      </c>
      <c r="E292" t="s">
        <v>5</v>
      </c>
      <c r="F292" t="s">
        <v>9621</v>
      </c>
      <c r="G292" t="s">
        <v>5</v>
      </c>
      <c r="H292" t="s">
        <v>5</v>
      </c>
      <c r="I292" t="s">
        <v>9622</v>
      </c>
      <c r="J292" t="s">
        <v>573</v>
      </c>
      <c r="K292" s="3">
        <f t="shared" si="8"/>
        <v>0</v>
      </c>
      <c r="L292" s="3">
        <f>IF(ISERROR(VLOOKUP(J292,Lookups!$A$2:$A$16,1,FALSE)),1,0)</f>
        <v>1</v>
      </c>
      <c r="M292" s="3">
        <f>IF(ISERROR(VLOOKUP(D292,Data!$A$2:$D$223100,2,FALSE)),0,1)</f>
        <v>1</v>
      </c>
      <c r="N292" s="3">
        <f t="shared" si="9"/>
        <v>1</v>
      </c>
      <c r="O292" s="3" t="str">
        <f>IF(ISERROR(VLOOKUP(D292,Data!$A$2:$C$223100,3,FALSE)),"INACTIVE",VLOOKUP(D292,Data!$A$2:$C$223100,3,FALSE))</f>
        <v>30+</v>
      </c>
    </row>
    <row r="293" spans="1:15" x14ac:dyDescent="0.25">
      <c r="A293" t="s">
        <v>2009</v>
      </c>
      <c r="B293" t="s">
        <v>2010</v>
      </c>
      <c r="C293" t="s">
        <v>9332</v>
      </c>
      <c r="D293" t="s">
        <v>9333</v>
      </c>
      <c r="E293" t="s">
        <v>5</v>
      </c>
      <c r="F293" t="s">
        <v>9334</v>
      </c>
      <c r="G293" t="s">
        <v>5</v>
      </c>
      <c r="H293" t="s">
        <v>5</v>
      </c>
      <c r="I293" t="s">
        <v>9622</v>
      </c>
      <c r="J293" t="s">
        <v>573</v>
      </c>
      <c r="K293" s="3">
        <f t="shared" si="8"/>
        <v>0</v>
      </c>
      <c r="L293" s="3">
        <f>IF(ISERROR(VLOOKUP(J293,Lookups!$A$2:$A$16,1,FALSE)),1,0)</f>
        <v>1</v>
      </c>
      <c r="M293" s="3">
        <f>IF(ISERROR(VLOOKUP(D293,Data!$A$2:$D$223100,2,FALSE)),0,1)</f>
        <v>1</v>
      </c>
      <c r="N293" s="3">
        <f t="shared" si="9"/>
        <v>1</v>
      </c>
      <c r="O293" s="3" t="str">
        <f>IF(ISERROR(VLOOKUP(D293,Data!$A$2:$C$223100,3,FALSE)),"INACTIVE",VLOOKUP(D293,Data!$A$2:$C$223100,3,FALSE))</f>
        <v>150+</v>
      </c>
    </row>
    <row r="294" spans="1:15" x14ac:dyDescent="0.25">
      <c r="A294" t="s">
        <v>2009</v>
      </c>
      <c r="B294" t="s">
        <v>2010</v>
      </c>
      <c r="C294" t="s">
        <v>2011</v>
      </c>
      <c r="D294" t="s">
        <v>2012</v>
      </c>
      <c r="E294" t="s">
        <v>2013</v>
      </c>
      <c r="F294" t="s">
        <v>5</v>
      </c>
      <c r="G294" t="s">
        <v>5</v>
      </c>
      <c r="H294" t="s">
        <v>5</v>
      </c>
      <c r="I294" t="s">
        <v>9622</v>
      </c>
      <c r="J294" t="s">
        <v>36</v>
      </c>
      <c r="K294" s="3">
        <f t="shared" si="8"/>
        <v>0</v>
      </c>
      <c r="L294" s="3">
        <f>IF(ISERROR(VLOOKUP(J294,Lookups!$A$2:$A$16,1,FALSE)),1,0)</f>
        <v>1</v>
      </c>
      <c r="M294" s="3">
        <f>IF(ISERROR(VLOOKUP(D294,Data!$A$2:$D$223100,2,FALSE)),0,1)</f>
        <v>1</v>
      </c>
      <c r="N294" s="3">
        <f t="shared" si="9"/>
        <v>1</v>
      </c>
      <c r="O294" s="3" t="str">
        <f>IF(ISERROR(VLOOKUP(D294,Data!$A$2:$C$223100,3,FALSE)),"INACTIVE",VLOOKUP(D294,Data!$A$2:$C$223100,3,FALSE))</f>
        <v>Current</v>
      </c>
    </row>
    <row r="295" spans="1:15" x14ac:dyDescent="0.25">
      <c r="A295" t="s">
        <v>2009</v>
      </c>
      <c r="B295" t="s">
        <v>2010</v>
      </c>
      <c r="C295" t="s">
        <v>2011</v>
      </c>
      <c r="D295" t="s">
        <v>2012</v>
      </c>
      <c r="E295" t="s">
        <v>5</v>
      </c>
      <c r="F295" t="s">
        <v>2014</v>
      </c>
      <c r="G295" t="s">
        <v>5</v>
      </c>
      <c r="H295" t="s">
        <v>5</v>
      </c>
      <c r="I295" t="s">
        <v>9622</v>
      </c>
      <c r="J295" t="s">
        <v>36</v>
      </c>
      <c r="K295" s="3">
        <f t="shared" si="8"/>
        <v>0</v>
      </c>
      <c r="L295" s="3">
        <f>IF(ISERROR(VLOOKUP(J295,Lookups!$A$2:$A$16,1,FALSE)),1,0)</f>
        <v>1</v>
      </c>
      <c r="M295" s="3">
        <f>IF(ISERROR(VLOOKUP(D295,Data!$A$2:$D$223100,2,FALSE)),0,1)</f>
        <v>1</v>
      </c>
      <c r="N295" s="3">
        <f t="shared" si="9"/>
        <v>1</v>
      </c>
      <c r="O295" s="3" t="str">
        <f>IF(ISERROR(VLOOKUP(D295,Data!$A$2:$C$223100,3,FALSE)),"INACTIVE",VLOOKUP(D295,Data!$A$2:$C$223100,3,FALSE))</f>
        <v>Current</v>
      </c>
    </row>
    <row r="296" spans="1:15" x14ac:dyDescent="0.25">
      <c r="A296" t="s">
        <v>2009</v>
      </c>
      <c r="B296" t="s">
        <v>2010</v>
      </c>
      <c r="C296" t="s">
        <v>2015</v>
      </c>
      <c r="D296" t="s">
        <v>2016</v>
      </c>
      <c r="E296" t="s">
        <v>5</v>
      </c>
      <c r="F296" t="s">
        <v>2017</v>
      </c>
      <c r="G296" t="s">
        <v>5</v>
      </c>
      <c r="H296" t="s">
        <v>5</v>
      </c>
      <c r="I296" t="s">
        <v>9622</v>
      </c>
      <c r="J296" t="s">
        <v>36</v>
      </c>
      <c r="K296" s="3">
        <f t="shared" si="8"/>
        <v>0</v>
      </c>
      <c r="L296" s="3">
        <f>IF(ISERROR(VLOOKUP(J296,Lookups!$A$2:$A$16,1,FALSE)),1,0)</f>
        <v>1</v>
      </c>
      <c r="M296" s="3">
        <f>IF(ISERROR(VLOOKUP(D296,Data!$A$2:$D$223100,2,FALSE)),0,1)</f>
        <v>1</v>
      </c>
      <c r="N296" s="3">
        <f t="shared" si="9"/>
        <v>1</v>
      </c>
      <c r="O296" s="3" t="str">
        <f>IF(ISERROR(VLOOKUP(D296,Data!$A$2:$C$223100,3,FALSE)),"INACTIVE",VLOOKUP(D296,Data!$A$2:$C$223100,3,FALSE))</f>
        <v>Current</v>
      </c>
    </row>
    <row r="297" spans="1:15" x14ac:dyDescent="0.25">
      <c r="A297" t="s">
        <v>2009</v>
      </c>
      <c r="B297" t="s">
        <v>2010</v>
      </c>
      <c r="C297" t="s">
        <v>2051</v>
      </c>
      <c r="D297" t="s">
        <v>2052</v>
      </c>
      <c r="E297" t="s">
        <v>5</v>
      </c>
      <c r="F297" t="s">
        <v>9335</v>
      </c>
      <c r="G297" t="s">
        <v>5</v>
      </c>
      <c r="H297" t="s">
        <v>5</v>
      </c>
      <c r="I297" t="s">
        <v>9622</v>
      </c>
      <c r="J297" t="s">
        <v>36</v>
      </c>
      <c r="K297" s="3">
        <f t="shared" si="8"/>
        <v>0</v>
      </c>
      <c r="L297" s="3">
        <f>IF(ISERROR(VLOOKUP(J297,Lookups!$A$2:$A$16,1,FALSE)),1,0)</f>
        <v>1</v>
      </c>
      <c r="M297" s="3">
        <f>IF(ISERROR(VLOOKUP(D297,Data!$A$2:$D$223100,2,FALSE)),0,1)</f>
        <v>1</v>
      </c>
      <c r="N297" s="3">
        <f t="shared" si="9"/>
        <v>1</v>
      </c>
      <c r="O297" s="3" t="str">
        <f>IF(ISERROR(VLOOKUP(D297,Data!$A$2:$C$223100,3,FALSE)),"INACTIVE",VLOOKUP(D297,Data!$A$2:$C$223100,3,FALSE))</f>
        <v>60+</v>
      </c>
    </row>
    <row r="298" spans="1:15" x14ac:dyDescent="0.25">
      <c r="A298" t="s">
        <v>2009</v>
      </c>
      <c r="B298" t="s">
        <v>2010</v>
      </c>
      <c r="C298" t="s">
        <v>2018</v>
      </c>
      <c r="D298" t="s">
        <v>2019</v>
      </c>
      <c r="E298" t="s">
        <v>5</v>
      </c>
      <c r="F298" t="s">
        <v>2020</v>
      </c>
      <c r="G298" t="s">
        <v>5</v>
      </c>
      <c r="H298" t="s">
        <v>5</v>
      </c>
      <c r="I298" t="s">
        <v>9622</v>
      </c>
      <c r="J298" t="s">
        <v>573</v>
      </c>
      <c r="K298" s="3">
        <f t="shared" si="8"/>
        <v>0</v>
      </c>
      <c r="L298" s="3">
        <f>IF(ISERROR(VLOOKUP(J298,Lookups!$A$2:$A$16,1,FALSE)),1,0)</f>
        <v>1</v>
      </c>
      <c r="M298" s="3">
        <f>IF(ISERROR(VLOOKUP(D298,Data!$A$2:$D$223100,2,FALSE)),0,1)</f>
        <v>1</v>
      </c>
      <c r="N298" s="3">
        <f t="shared" si="9"/>
        <v>1</v>
      </c>
      <c r="O298" s="3" t="str">
        <f>IF(ISERROR(VLOOKUP(D298,Data!$A$2:$C$223100,3,FALSE)),"INACTIVE",VLOOKUP(D298,Data!$A$2:$C$223100,3,FALSE))</f>
        <v>Demand Letter</v>
      </c>
    </row>
    <row r="299" spans="1:15" x14ac:dyDescent="0.25">
      <c r="A299" t="s">
        <v>2009</v>
      </c>
      <c r="B299" t="s">
        <v>2010</v>
      </c>
      <c r="C299" t="s">
        <v>2021</v>
      </c>
      <c r="D299" t="s">
        <v>2022</v>
      </c>
      <c r="E299" t="s">
        <v>2023</v>
      </c>
      <c r="F299" t="s">
        <v>5</v>
      </c>
      <c r="G299" t="s">
        <v>5</v>
      </c>
      <c r="H299" t="s">
        <v>5</v>
      </c>
      <c r="I299" t="s">
        <v>9622</v>
      </c>
      <c r="J299" t="s">
        <v>36</v>
      </c>
      <c r="K299" s="3">
        <f t="shared" si="8"/>
        <v>0</v>
      </c>
      <c r="L299" s="3">
        <f>IF(ISERROR(VLOOKUP(J299,Lookups!$A$2:$A$16,1,FALSE)),1,0)</f>
        <v>1</v>
      </c>
      <c r="M299" s="3">
        <f>IF(ISERROR(VLOOKUP(D299,Data!$A$2:$D$223100,2,FALSE)),0,1)</f>
        <v>1</v>
      </c>
      <c r="N299" s="3">
        <f t="shared" si="9"/>
        <v>1</v>
      </c>
      <c r="O299" s="3" t="str">
        <f>IF(ISERROR(VLOOKUP(D299,Data!$A$2:$C$223100,3,FALSE)),"INACTIVE",VLOOKUP(D299,Data!$A$2:$C$223100,3,FALSE))</f>
        <v>FBA</v>
      </c>
    </row>
    <row r="300" spans="1:15" x14ac:dyDescent="0.25">
      <c r="A300" t="s">
        <v>2009</v>
      </c>
      <c r="B300" t="s">
        <v>2010</v>
      </c>
      <c r="C300" t="s">
        <v>2021</v>
      </c>
      <c r="D300" t="s">
        <v>2022</v>
      </c>
      <c r="E300" t="s">
        <v>2024</v>
      </c>
      <c r="F300" t="s">
        <v>5</v>
      </c>
      <c r="G300" t="s">
        <v>5</v>
      </c>
      <c r="H300" t="s">
        <v>5</v>
      </c>
      <c r="I300" t="s">
        <v>9622</v>
      </c>
      <c r="J300" t="s">
        <v>36</v>
      </c>
      <c r="K300" s="3">
        <f t="shared" si="8"/>
        <v>0</v>
      </c>
      <c r="L300" s="3">
        <f>IF(ISERROR(VLOOKUP(J300,Lookups!$A$2:$A$16,1,FALSE)),1,0)</f>
        <v>1</v>
      </c>
      <c r="M300" s="3">
        <f>IF(ISERROR(VLOOKUP(D300,Data!$A$2:$D$223100,2,FALSE)),0,1)</f>
        <v>1</v>
      </c>
      <c r="N300" s="3">
        <f t="shared" si="9"/>
        <v>1</v>
      </c>
      <c r="O300" s="3" t="str">
        <f>IF(ISERROR(VLOOKUP(D300,Data!$A$2:$C$223100,3,FALSE)),"INACTIVE",VLOOKUP(D300,Data!$A$2:$C$223100,3,FALSE))</f>
        <v>FBA</v>
      </c>
    </row>
    <row r="301" spans="1:15" x14ac:dyDescent="0.25">
      <c r="A301" t="s">
        <v>2009</v>
      </c>
      <c r="B301" t="s">
        <v>2010</v>
      </c>
      <c r="C301" t="s">
        <v>9336</v>
      </c>
      <c r="D301" t="s">
        <v>9337</v>
      </c>
      <c r="E301" t="s">
        <v>5</v>
      </c>
      <c r="F301" t="s">
        <v>9338</v>
      </c>
      <c r="G301" t="s">
        <v>5</v>
      </c>
      <c r="H301" t="s">
        <v>5</v>
      </c>
      <c r="I301" t="s">
        <v>9622</v>
      </c>
      <c r="J301" t="s">
        <v>573</v>
      </c>
      <c r="K301" s="3">
        <f t="shared" si="8"/>
        <v>0</v>
      </c>
      <c r="L301" s="3">
        <f>IF(ISERROR(VLOOKUP(J301,Lookups!$A$2:$A$16,1,FALSE)),1,0)</f>
        <v>1</v>
      </c>
      <c r="M301" s="3">
        <f>IF(ISERROR(VLOOKUP(D301,Data!$A$2:$D$223100,2,FALSE)),0,1)</f>
        <v>1</v>
      </c>
      <c r="N301" s="3">
        <f t="shared" si="9"/>
        <v>1</v>
      </c>
      <c r="O301" s="3" t="str">
        <f>IF(ISERROR(VLOOKUP(D301,Data!$A$2:$C$223100,3,FALSE)),"INACTIVE",VLOOKUP(D301,Data!$A$2:$C$223100,3,FALSE))</f>
        <v>120+</v>
      </c>
    </row>
    <row r="302" spans="1:15" x14ac:dyDescent="0.25">
      <c r="A302" t="s">
        <v>2009</v>
      </c>
      <c r="B302" t="s">
        <v>2010</v>
      </c>
      <c r="C302" t="s">
        <v>9339</v>
      </c>
      <c r="D302" t="s">
        <v>9340</v>
      </c>
      <c r="E302" t="s">
        <v>9341</v>
      </c>
      <c r="F302" t="s">
        <v>5</v>
      </c>
      <c r="G302" t="s">
        <v>5</v>
      </c>
      <c r="H302" t="s">
        <v>5</v>
      </c>
      <c r="I302" t="s">
        <v>9622</v>
      </c>
      <c r="J302" t="s">
        <v>573</v>
      </c>
      <c r="K302" s="3">
        <f t="shared" si="8"/>
        <v>0</v>
      </c>
      <c r="L302" s="3">
        <f>IF(ISERROR(VLOOKUP(J302,Lookups!$A$2:$A$16,1,FALSE)),1,0)</f>
        <v>1</v>
      </c>
      <c r="M302" s="3">
        <f>IF(ISERROR(VLOOKUP(D302,Data!$A$2:$D$223100,2,FALSE)),0,1)</f>
        <v>1</v>
      </c>
      <c r="N302" s="3">
        <f t="shared" si="9"/>
        <v>1</v>
      </c>
      <c r="O302" s="3" t="str">
        <f>IF(ISERROR(VLOOKUP(D302,Data!$A$2:$C$223100,3,FALSE)),"INACTIVE",VLOOKUP(D302,Data!$A$2:$C$223100,3,FALSE))</f>
        <v>60+</v>
      </c>
    </row>
    <row r="303" spans="1:15" x14ac:dyDescent="0.25">
      <c r="A303" t="s">
        <v>9643</v>
      </c>
      <c r="B303" t="s">
        <v>9644</v>
      </c>
      <c r="C303" t="s">
        <v>9645</v>
      </c>
      <c r="D303" t="s">
        <v>9646</v>
      </c>
      <c r="E303" t="s">
        <v>5</v>
      </c>
      <c r="F303" t="s">
        <v>5</v>
      </c>
      <c r="G303" t="s">
        <v>5</v>
      </c>
      <c r="H303" t="s">
        <v>9647</v>
      </c>
      <c r="I303" t="s">
        <v>9622</v>
      </c>
      <c r="J303" t="s">
        <v>90</v>
      </c>
      <c r="K303" s="3">
        <f t="shared" si="8"/>
        <v>0</v>
      </c>
      <c r="L303" s="3">
        <f>IF(ISERROR(VLOOKUP(J303,Lookups!$A$2:$A$16,1,FALSE)),1,0)</f>
        <v>0</v>
      </c>
      <c r="M303" s="3">
        <f>IF(ISERROR(VLOOKUP(D303,Data!$A$2:$D$223100,2,FALSE)),0,1)</f>
        <v>1</v>
      </c>
      <c r="N303" s="3">
        <f t="shared" si="9"/>
        <v>0</v>
      </c>
      <c r="O303" s="3" t="str">
        <f>IF(ISERROR(VLOOKUP(D303,Data!$A$2:$C$223100,3,FALSE)),"INACTIVE",VLOOKUP(D303,Data!$A$2:$C$223100,3,FALSE))</f>
        <v>FBA</v>
      </c>
    </row>
    <row r="304" spans="1:15" x14ac:dyDescent="0.25">
      <c r="A304" t="s">
        <v>9623</v>
      </c>
      <c r="B304" t="s">
        <v>9624</v>
      </c>
      <c r="C304" t="s">
        <v>9625</v>
      </c>
      <c r="D304" t="s">
        <v>9626</v>
      </c>
      <c r="E304" t="s">
        <v>5</v>
      </c>
      <c r="F304" t="s">
        <v>9627</v>
      </c>
      <c r="G304" t="s">
        <v>5</v>
      </c>
      <c r="H304" t="s">
        <v>5</v>
      </c>
      <c r="I304" t="s">
        <v>9628</v>
      </c>
      <c r="J304" t="s">
        <v>7</v>
      </c>
      <c r="K304" s="3">
        <f t="shared" si="8"/>
        <v>0</v>
      </c>
      <c r="L304" s="3">
        <f>IF(ISERROR(VLOOKUP(J304,Lookups!$A$2:$A$16,1,FALSE)),1,0)</f>
        <v>1</v>
      </c>
      <c r="M304" s="3">
        <f>IF(ISERROR(VLOOKUP(D304,Data!$A$2:$D$223100,2,FALSE)),0,1)</f>
        <v>1</v>
      </c>
      <c r="N304" s="3">
        <f t="shared" si="9"/>
        <v>1</v>
      </c>
      <c r="O304" s="3" t="str">
        <f>IF(ISERROR(VLOOKUP(D304,Data!$A$2:$C$223100,3,FALSE)),"INACTIVE",VLOOKUP(D304,Data!$A$2:$C$223100,3,FALSE))</f>
        <v>Current</v>
      </c>
    </row>
    <row r="305" spans="1:15" x14ac:dyDescent="0.25">
      <c r="A305" t="s">
        <v>9623</v>
      </c>
      <c r="B305" t="s">
        <v>9624</v>
      </c>
      <c r="C305" t="s">
        <v>9629</v>
      </c>
      <c r="D305" t="s">
        <v>9630</v>
      </c>
      <c r="E305" t="s">
        <v>9631</v>
      </c>
      <c r="F305" t="s">
        <v>9631</v>
      </c>
      <c r="G305" t="s">
        <v>5</v>
      </c>
      <c r="H305" t="s">
        <v>5</v>
      </c>
      <c r="I305" t="s">
        <v>9628</v>
      </c>
      <c r="J305" t="s">
        <v>7</v>
      </c>
      <c r="K305" s="3">
        <f t="shared" si="8"/>
        <v>0</v>
      </c>
      <c r="L305" s="3">
        <f>IF(ISERROR(VLOOKUP(J305,Lookups!$A$2:$A$16,1,FALSE)),1,0)</f>
        <v>1</v>
      </c>
      <c r="M305" s="3">
        <f>IF(ISERROR(VLOOKUP(D305,Data!$A$2:$D$223100,2,FALSE)),0,1)</f>
        <v>1</v>
      </c>
      <c r="N305" s="3">
        <f t="shared" si="9"/>
        <v>1</v>
      </c>
      <c r="O305" s="3" t="str">
        <f>IF(ISERROR(VLOOKUP(D305,Data!$A$2:$C$223100,3,FALSE)),"INACTIVE",VLOOKUP(D305,Data!$A$2:$C$223100,3,FALSE))</f>
        <v>Current</v>
      </c>
    </row>
    <row r="306" spans="1:15" x14ac:dyDescent="0.25">
      <c r="A306" t="s">
        <v>9510</v>
      </c>
      <c r="B306" t="s">
        <v>9511</v>
      </c>
      <c r="C306" t="s">
        <v>9512</v>
      </c>
      <c r="D306" t="s">
        <v>9513</v>
      </c>
      <c r="E306" t="s">
        <v>9514</v>
      </c>
      <c r="F306" t="s">
        <v>5</v>
      </c>
      <c r="G306" t="s">
        <v>5</v>
      </c>
      <c r="H306" t="s">
        <v>5</v>
      </c>
      <c r="I306" t="s">
        <v>9515</v>
      </c>
      <c r="J306" t="s">
        <v>14</v>
      </c>
      <c r="K306" s="3">
        <f t="shared" si="8"/>
        <v>0</v>
      </c>
      <c r="L306" s="3">
        <f>IF(ISERROR(VLOOKUP(J306,Lookups!$A$2:$A$16,1,FALSE)),1,0)</f>
        <v>1</v>
      </c>
      <c r="M306" s="3">
        <f>IF(ISERROR(VLOOKUP(D306,Data!$A$2:$D$223100,2,FALSE)),0,1)</f>
        <v>1</v>
      </c>
      <c r="N306" s="3">
        <f t="shared" si="9"/>
        <v>1</v>
      </c>
      <c r="O306" s="3" t="str">
        <f>IF(ISERROR(VLOOKUP(D306,Data!$A$2:$C$223100,3,FALSE)),"INACTIVE",VLOOKUP(D306,Data!$A$2:$C$223100,3,FALSE))</f>
        <v>FC</v>
      </c>
    </row>
    <row r="307" spans="1:15" x14ac:dyDescent="0.25">
      <c r="A307" t="s">
        <v>9574</v>
      </c>
      <c r="B307" t="s">
        <v>9575</v>
      </c>
      <c r="C307" t="s">
        <v>9576</v>
      </c>
      <c r="D307" t="s">
        <v>9577</v>
      </c>
      <c r="E307" t="s">
        <v>9578</v>
      </c>
      <c r="F307" t="s">
        <v>5</v>
      </c>
      <c r="G307" t="s">
        <v>5</v>
      </c>
      <c r="H307" t="s">
        <v>5</v>
      </c>
      <c r="I307" t="s">
        <v>9579</v>
      </c>
      <c r="J307" t="s">
        <v>96</v>
      </c>
      <c r="K307" s="3">
        <f t="shared" si="8"/>
        <v>0</v>
      </c>
      <c r="L307" s="3">
        <f>IF(ISERROR(VLOOKUP(J307,Lookups!$A$2:$A$16,1,FALSE)),1,0)</f>
        <v>0</v>
      </c>
      <c r="M307" s="3">
        <f>IF(ISERROR(VLOOKUP(D307,Data!$A$2:$D$223100,2,FALSE)),0,1)</f>
        <v>1</v>
      </c>
      <c r="N307" s="3">
        <f t="shared" si="9"/>
        <v>0</v>
      </c>
      <c r="O307" s="3" t="str">
        <f>IF(ISERROR(VLOOKUP(D307,Data!$A$2:$C$223100,3,FALSE)),"INACTIVE",VLOOKUP(D307,Data!$A$2:$C$223100,3,FALSE))</f>
        <v>Current</v>
      </c>
    </row>
    <row r="308" spans="1:15" x14ac:dyDescent="0.25">
      <c r="A308" t="s">
        <v>9574</v>
      </c>
      <c r="B308" t="s">
        <v>9575</v>
      </c>
      <c r="C308" t="s">
        <v>9576</v>
      </c>
      <c r="D308" t="s">
        <v>9577</v>
      </c>
      <c r="E308" t="s">
        <v>9578</v>
      </c>
      <c r="F308" t="s">
        <v>5</v>
      </c>
      <c r="G308" t="s">
        <v>5</v>
      </c>
      <c r="H308" t="s">
        <v>5</v>
      </c>
      <c r="I308" t="s">
        <v>9579</v>
      </c>
      <c r="J308" t="s">
        <v>96</v>
      </c>
      <c r="K308" s="3">
        <f t="shared" si="8"/>
        <v>0</v>
      </c>
      <c r="L308" s="3">
        <f>IF(ISERROR(VLOOKUP(J308,Lookups!$A$2:$A$16,1,FALSE)),1,0)</f>
        <v>0</v>
      </c>
      <c r="M308" s="3">
        <f>IF(ISERROR(VLOOKUP(D308,Data!$A$2:$D$223100,2,FALSE)),0,1)</f>
        <v>1</v>
      </c>
      <c r="N308" s="3">
        <f t="shared" si="9"/>
        <v>0</v>
      </c>
      <c r="O308" s="3" t="str">
        <f>IF(ISERROR(VLOOKUP(D308,Data!$A$2:$C$223100,3,FALSE)),"INACTIVE",VLOOKUP(D308,Data!$A$2:$C$223100,3,FALSE))</f>
        <v>Current</v>
      </c>
    </row>
    <row r="309" spans="1:15" x14ac:dyDescent="0.25">
      <c r="A309" t="s">
        <v>9574</v>
      </c>
      <c r="B309" t="s">
        <v>9575</v>
      </c>
      <c r="C309" t="s">
        <v>9576</v>
      </c>
      <c r="D309" t="s">
        <v>9577</v>
      </c>
      <c r="E309" t="s">
        <v>9578</v>
      </c>
      <c r="F309" t="s">
        <v>5</v>
      </c>
      <c r="G309" t="s">
        <v>5</v>
      </c>
      <c r="H309" t="s">
        <v>5</v>
      </c>
      <c r="I309" t="s">
        <v>9579</v>
      </c>
      <c r="J309" t="s">
        <v>96</v>
      </c>
      <c r="K309" s="3">
        <f t="shared" si="8"/>
        <v>0</v>
      </c>
      <c r="L309" s="3">
        <f>IF(ISERROR(VLOOKUP(J309,Lookups!$A$2:$A$16,1,FALSE)),1,0)</f>
        <v>0</v>
      </c>
      <c r="M309" s="3">
        <f>IF(ISERROR(VLOOKUP(D309,Data!$A$2:$D$223100,2,FALSE)),0,1)</f>
        <v>1</v>
      </c>
      <c r="N309" s="3">
        <f t="shared" si="9"/>
        <v>0</v>
      </c>
      <c r="O309" s="3" t="str">
        <f>IF(ISERROR(VLOOKUP(D309,Data!$A$2:$C$223100,3,FALSE)),"INACTIVE",VLOOKUP(D309,Data!$A$2:$C$223100,3,FALSE))</f>
        <v>Current</v>
      </c>
    </row>
    <row r="310" spans="1:15" x14ac:dyDescent="0.25">
      <c r="A310" t="s">
        <v>9547</v>
      </c>
      <c r="B310" t="s">
        <v>9548</v>
      </c>
      <c r="C310" t="s">
        <v>9549</v>
      </c>
      <c r="D310" t="s">
        <v>9550</v>
      </c>
      <c r="E310" t="s">
        <v>9551</v>
      </c>
      <c r="F310" t="s">
        <v>5</v>
      </c>
      <c r="G310" t="s">
        <v>5</v>
      </c>
      <c r="H310" t="s">
        <v>5</v>
      </c>
      <c r="I310" t="s">
        <v>9552</v>
      </c>
      <c r="J310" t="s">
        <v>90</v>
      </c>
      <c r="K310" s="3">
        <f t="shared" si="8"/>
        <v>0</v>
      </c>
      <c r="L310" s="3">
        <f>IF(ISERROR(VLOOKUP(J310,Lookups!$A$2:$A$16,1,FALSE)),1,0)</f>
        <v>0</v>
      </c>
      <c r="M310" s="3">
        <f>IF(ISERROR(VLOOKUP(D310,Data!$A$2:$D$223100,2,FALSE)),0,1)</f>
        <v>1</v>
      </c>
      <c r="N310" s="3">
        <f t="shared" si="9"/>
        <v>0</v>
      </c>
      <c r="O310" s="3" t="str">
        <f>IF(ISERROR(VLOOKUP(D310,Data!$A$2:$C$223100,3,FALSE)),"INACTIVE",VLOOKUP(D310,Data!$A$2:$C$223100,3,FALSE))</f>
        <v>FC</v>
      </c>
    </row>
    <row r="311" spans="1:15" x14ac:dyDescent="0.25">
      <c r="A311" t="s">
        <v>9538</v>
      </c>
      <c r="B311" t="s">
        <v>9539</v>
      </c>
      <c r="C311" t="s">
        <v>8309</v>
      </c>
      <c r="D311" t="s">
        <v>8310</v>
      </c>
      <c r="E311" t="s">
        <v>9540</v>
      </c>
      <c r="F311" t="s">
        <v>5</v>
      </c>
      <c r="G311" t="s">
        <v>5</v>
      </c>
      <c r="H311" t="s">
        <v>5</v>
      </c>
      <c r="I311" t="s">
        <v>9541</v>
      </c>
      <c r="J311" t="s">
        <v>96</v>
      </c>
      <c r="K311" s="3">
        <f t="shared" si="8"/>
        <v>0</v>
      </c>
      <c r="L311" s="3">
        <f>IF(ISERROR(VLOOKUP(J311,Lookups!$A$2:$A$16,1,FALSE)),1,0)</f>
        <v>0</v>
      </c>
      <c r="M311" s="3">
        <f>IF(ISERROR(VLOOKUP(D311,Data!$A$2:$D$223100,2,FALSE)),0,1)</f>
        <v>1</v>
      </c>
      <c r="N311" s="3">
        <f t="shared" si="9"/>
        <v>0</v>
      </c>
      <c r="O311" s="3" t="str">
        <f>IF(ISERROR(VLOOKUP(D311,Data!$A$2:$C$223100,3,FALSE)),"INACTIVE",VLOOKUP(D311,Data!$A$2:$C$223100,3,FALSE))</f>
        <v>BK13</v>
      </c>
    </row>
    <row r="312" spans="1:15" x14ac:dyDescent="0.25">
      <c r="A312" t="s">
        <v>9538</v>
      </c>
      <c r="B312" t="s">
        <v>9539</v>
      </c>
      <c r="C312" t="s">
        <v>8309</v>
      </c>
      <c r="D312" t="s">
        <v>8310</v>
      </c>
      <c r="E312" t="s">
        <v>9542</v>
      </c>
      <c r="F312" t="s">
        <v>5</v>
      </c>
      <c r="G312" t="s">
        <v>5</v>
      </c>
      <c r="H312" t="s">
        <v>5</v>
      </c>
      <c r="I312" t="s">
        <v>9541</v>
      </c>
      <c r="J312" t="s">
        <v>96</v>
      </c>
      <c r="K312" s="3">
        <f t="shared" si="8"/>
        <v>0</v>
      </c>
      <c r="L312" s="3">
        <f>IF(ISERROR(VLOOKUP(J312,Lookups!$A$2:$A$16,1,FALSE)),1,0)</f>
        <v>0</v>
      </c>
      <c r="M312" s="3">
        <f>IF(ISERROR(VLOOKUP(D312,Data!$A$2:$D$223100,2,FALSE)),0,1)</f>
        <v>1</v>
      </c>
      <c r="N312" s="3">
        <f t="shared" si="9"/>
        <v>0</v>
      </c>
      <c r="O312" s="3" t="str">
        <f>IF(ISERROR(VLOOKUP(D312,Data!$A$2:$C$223100,3,FALSE)),"INACTIVE",VLOOKUP(D312,Data!$A$2:$C$223100,3,FALSE))</f>
        <v>BK13</v>
      </c>
    </row>
    <row r="313" spans="1:15" x14ac:dyDescent="0.25">
      <c r="A313" t="s">
        <v>9538</v>
      </c>
      <c r="B313" t="s">
        <v>9539</v>
      </c>
      <c r="C313" t="s">
        <v>8309</v>
      </c>
      <c r="D313" t="s">
        <v>8310</v>
      </c>
      <c r="E313" t="s">
        <v>9543</v>
      </c>
      <c r="F313" t="s">
        <v>5</v>
      </c>
      <c r="G313" t="s">
        <v>5</v>
      </c>
      <c r="H313" t="s">
        <v>5</v>
      </c>
      <c r="I313" t="s">
        <v>9541</v>
      </c>
      <c r="J313" t="s">
        <v>96</v>
      </c>
      <c r="K313" s="3">
        <f t="shared" si="8"/>
        <v>0</v>
      </c>
      <c r="L313" s="3">
        <f>IF(ISERROR(VLOOKUP(J313,Lookups!$A$2:$A$16,1,FALSE)),1,0)</f>
        <v>0</v>
      </c>
      <c r="M313" s="3">
        <f>IF(ISERROR(VLOOKUP(D313,Data!$A$2:$D$223100,2,FALSE)),0,1)</f>
        <v>1</v>
      </c>
      <c r="N313" s="3">
        <f t="shared" si="9"/>
        <v>0</v>
      </c>
      <c r="O313" s="3" t="str">
        <f>IF(ISERROR(VLOOKUP(D313,Data!$A$2:$C$223100,3,FALSE)),"INACTIVE",VLOOKUP(D313,Data!$A$2:$C$223100,3,FALSE))</f>
        <v>BK13</v>
      </c>
    </row>
    <row r="314" spans="1:15" x14ac:dyDescent="0.25">
      <c r="A314" t="s">
        <v>9538</v>
      </c>
      <c r="B314" t="s">
        <v>9539</v>
      </c>
      <c r="C314" t="s">
        <v>9544</v>
      </c>
      <c r="D314" t="s">
        <v>9545</v>
      </c>
      <c r="E314" t="s">
        <v>9546</v>
      </c>
      <c r="F314" t="s">
        <v>5</v>
      </c>
      <c r="G314" t="s">
        <v>5</v>
      </c>
      <c r="H314" t="s">
        <v>5</v>
      </c>
      <c r="I314" t="s">
        <v>9541</v>
      </c>
      <c r="J314" t="s">
        <v>90</v>
      </c>
      <c r="K314" s="3">
        <f t="shared" si="8"/>
        <v>0</v>
      </c>
      <c r="L314" s="3">
        <f>IF(ISERROR(VLOOKUP(J314,Lookups!$A$2:$A$16,1,FALSE)),1,0)</f>
        <v>0</v>
      </c>
      <c r="M314" s="3">
        <f>IF(ISERROR(VLOOKUP(D314,Data!$A$2:$D$223100,2,FALSE)),0,1)</f>
        <v>1</v>
      </c>
      <c r="N314" s="3">
        <f t="shared" si="9"/>
        <v>0</v>
      </c>
      <c r="O314" s="3" t="str">
        <f>IF(ISERROR(VLOOKUP(D314,Data!$A$2:$C$223100,3,FALSE)),"INACTIVE",VLOOKUP(D314,Data!$A$2:$C$223100,3,FALSE))</f>
        <v>180+</v>
      </c>
    </row>
    <row r="315" spans="1:15" x14ac:dyDescent="0.25">
      <c r="A315" t="s">
        <v>9569</v>
      </c>
      <c r="B315" t="s">
        <v>9570</v>
      </c>
      <c r="C315" t="s">
        <v>6871</v>
      </c>
      <c r="D315" t="s">
        <v>9571</v>
      </c>
      <c r="E315" t="s">
        <v>5</v>
      </c>
      <c r="F315" t="s">
        <v>5</v>
      </c>
      <c r="G315" t="s">
        <v>6605</v>
      </c>
      <c r="H315" t="s">
        <v>9572</v>
      </c>
      <c r="I315" t="s">
        <v>9573</v>
      </c>
      <c r="J315" t="s">
        <v>90</v>
      </c>
      <c r="K315" s="3">
        <f t="shared" si="8"/>
        <v>0</v>
      </c>
      <c r="L315" s="3">
        <f>IF(ISERROR(VLOOKUP(J315,Lookups!$A$2:$A$16,1,FALSE)),1,0)</f>
        <v>0</v>
      </c>
      <c r="M315" s="3">
        <f>IF(ISERROR(VLOOKUP(D315,Data!$A$2:$D$223100,2,FALSE)),0,1)</f>
        <v>0</v>
      </c>
      <c r="N315" s="3">
        <f t="shared" si="9"/>
        <v>0</v>
      </c>
      <c r="O315" s="3" t="str">
        <f>IF(ISERROR(VLOOKUP(D315,Data!$A$2:$C$223100,3,FALSE)),"INACTIVE",VLOOKUP(D315,Data!$A$2:$C$223100,3,FALSE))</f>
        <v>INACTIVE</v>
      </c>
    </row>
    <row r="316" spans="1:15" x14ac:dyDescent="0.25">
      <c r="A316" t="s">
        <v>3916</v>
      </c>
      <c r="B316" t="s">
        <v>3917</v>
      </c>
      <c r="C316" t="s">
        <v>3918</v>
      </c>
      <c r="D316" t="s">
        <v>3919</v>
      </c>
      <c r="E316" t="s">
        <v>3920</v>
      </c>
      <c r="F316" t="s">
        <v>5</v>
      </c>
      <c r="G316" t="s">
        <v>5</v>
      </c>
      <c r="H316" t="s">
        <v>5</v>
      </c>
      <c r="I316" t="s">
        <v>9568</v>
      </c>
      <c r="J316" t="s">
        <v>96</v>
      </c>
      <c r="K316" s="3">
        <f t="shared" si="8"/>
        <v>0</v>
      </c>
      <c r="L316" s="3">
        <f>IF(ISERROR(VLOOKUP(J316,Lookups!$A$2:$A$16,1,FALSE)),1,0)</f>
        <v>0</v>
      </c>
      <c r="M316" s="3">
        <f>IF(ISERROR(VLOOKUP(D316,Data!$A$2:$D$223100,2,FALSE)),0,1)</f>
        <v>0</v>
      </c>
      <c r="N316" s="3">
        <f t="shared" si="9"/>
        <v>0</v>
      </c>
      <c r="O316" s="3" t="str">
        <f>IF(ISERROR(VLOOKUP(D316,Data!$A$2:$C$223100,3,FALSE)),"INACTIVE",VLOOKUP(D316,Data!$A$2:$C$223100,3,FALSE))</f>
        <v>INACTIVE</v>
      </c>
    </row>
    <row r="317" spans="1:15" x14ac:dyDescent="0.25">
      <c r="A317" t="s">
        <v>3916</v>
      </c>
      <c r="B317" t="s">
        <v>3917</v>
      </c>
      <c r="C317" t="s">
        <v>3918</v>
      </c>
      <c r="D317" t="s">
        <v>3919</v>
      </c>
      <c r="E317" t="s">
        <v>3920</v>
      </c>
      <c r="F317" t="s">
        <v>5</v>
      </c>
      <c r="G317" t="s">
        <v>5</v>
      </c>
      <c r="H317" t="s">
        <v>5</v>
      </c>
      <c r="I317" t="s">
        <v>9568</v>
      </c>
      <c r="J317" t="s">
        <v>96</v>
      </c>
      <c r="K317" s="3">
        <f t="shared" si="8"/>
        <v>0</v>
      </c>
      <c r="L317" s="3">
        <f>IF(ISERROR(VLOOKUP(J317,Lookups!$A$2:$A$16,1,FALSE)),1,0)</f>
        <v>0</v>
      </c>
      <c r="M317" s="3">
        <f>IF(ISERROR(VLOOKUP(D317,Data!$A$2:$D$223100,2,FALSE)),0,1)</f>
        <v>0</v>
      </c>
      <c r="N317" s="3">
        <f t="shared" si="9"/>
        <v>0</v>
      </c>
      <c r="O317" s="3" t="str">
        <f>IF(ISERROR(VLOOKUP(D317,Data!$A$2:$C$223100,3,FALSE)),"INACTIVE",VLOOKUP(D317,Data!$A$2:$C$223100,3,FALSE))</f>
        <v>INACTIVE</v>
      </c>
    </row>
    <row r="318" spans="1:15" x14ac:dyDescent="0.25">
      <c r="A318" t="s">
        <v>3916</v>
      </c>
      <c r="B318" t="s">
        <v>3917</v>
      </c>
      <c r="C318" t="s">
        <v>3918</v>
      </c>
      <c r="D318" t="s">
        <v>3919</v>
      </c>
      <c r="E318" t="s">
        <v>3920</v>
      </c>
      <c r="F318" t="s">
        <v>5</v>
      </c>
      <c r="G318" t="s">
        <v>5</v>
      </c>
      <c r="H318" t="s">
        <v>5</v>
      </c>
      <c r="I318" t="s">
        <v>9568</v>
      </c>
      <c r="J318" t="s">
        <v>96</v>
      </c>
      <c r="K318" s="3">
        <f t="shared" si="8"/>
        <v>0</v>
      </c>
      <c r="L318" s="3">
        <f>IF(ISERROR(VLOOKUP(J318,Lookups!$A$2:$A$16,1,FALSE)),1,0)</f>
        <v>0</v>
      </c>
      <c r="M318" s="3">
        <f>IF(ISERROR(VLOOKUP(D318,Data!$A$2:$D$223100,2,FALSE)),0,1)</f>
        <v>0</v>
      </c>
      <c r="N318" s="3">
        <f t="shared" si="9"/>
        <v>0</v>
      </c>
      <c r="O318" s="3" t="str">
        <f>IF(ISERROR(VLOOKUP(D318,Data!$A$2:$C$223100,3,FALSE)),"INACTIVE",VLOOKUP(D318,Data!$A$2:$C$223100,3,FALSE))</f>
        <v>INACTIVE</v>
      </c>
    </row>
    <row r="319" spans="1:15" x14ac:dyDescent="0.25">
      <c r="A319" t="s">
        <v>3916</v>
      </c>
      <c r="B319" t="s">
        <v>3917</v>
      </c>
      <c r="C319" t="s">
        <v>3918</v>
      </c>
      <c r="D319" t="s">
        <v>3919</v>
      </c>
      <c r="E319" t="s">
        <v>3920</v>
      </c>
      <c r="F319" t="s">
        <v>5</v>
      </c>
      <c r="G319" t="s">
        <v>5</v>
      </c>
      <c r="H319" t="s">
        <v>5</v>
      </c>
      <c r="I319" t="s">
        <v>9568</v>
      </c>
      <c r="J319" t="s">
        <v>96</v>
      </c>
      <c r="K319" s="3">
        <f t="shared" si="8"/>
        <v>0</v>
      </c>
      <c r="L319" s="3">
        <f>IF(ISERROR(VLOOKUP(J319,Lookups!$A$2:$A$16,1,FALSE)),1,0)</f>
        <v>0</v>
      </c>
      <c r="M319" s="3">
        <f>IF(ISERROR(VLOOKUP(D319,Data!$A$2:$D$223100,2,FALSE)),0,1)</f>
        <v>0</v>
      </c>
      <c r="N319" s="3">
        <f t="shared" si="9"/>
        <v>0</v>
      </c>
      <c r="O319" s="3" t="str">
        <f>IF(ISERROR(VLOOKUP(D319,Data!$A$2:$C$223100,3,FALSE)),"INACTIVE",VLOOKUP(D319,Data!$A$2:$C$223100,3,FALSE))</f>
        <v>INACTIVE</v>
      </c>
    </row>
    <row r="320" spans="1:15" x14ac:dyDescent="0.25">
      <c r="A320" t="s">
        <v>3916</v>
      </c>
      <c r="B320" t="s">
        <v>3917</v>
      </c>
      <c r="C320" t="s">
        <v>3918</v>
      </c>
      <c r="D320" t="s">
        <v>3919</v>
      </c>
      <c r="E320" t="s">
        <v>3920</v>
      </c>
      <c r="F320" t="s">
        <v>5</v>
      </c>
      <c r="G320" t="s">
        <v>5</v>
      </c>
      <c r="H320" t="s">
        <v>5</v>
      </c>
      <c r="I320" t="s">
        <v>9568</v>
      </c>
      <c r="J320" t="s">
        <v>96</v>
      </c>
      <c r="K320" s="3">
        <f t="shared" si="8"/>
        <v>0</v>
      </c>
      <c r="L320" s="3">
        <f>IF(ISERROR(VLOOKUP(J320,Lookups!$A$2:$A$16,1,FALSE)),1,0)</f>
        <v>0</v>
      </c>
      <c r="M320" s="3">
        <f>IF(ISERROR(VLOOKUP(D320,Data!$A$2:$D$223100,2,FALSE)),0,1)</f>
        <v>0</v>
      </c>
      <c r="N320" s="3">
        <f t="shared" si="9"/>
        <v>0</v>
      </c>
      <c r="O320" s="3" t="str">
        <f>IF(ISERROR(VLOOKUP(D320,Data!$A$2:$C$223100,3,FALSE)),"INACTIVE",VLOOKUP(D320,Data!$A$2:$C$223100,3,FALSE))</f>
        <v>INACTIVE</v>
      </c>
    </row>
    <row r="321" spans="1:15" x14ac:dyDescent="0.25">
      <c r="A321" t="s">
        <v>312</v>
      </c>
      <c r="B321" t="s">
        <v>313</v>
      </c>
      <c r="C321" t="s">
        <v>9423</v>
      </c>
      <c r="D321" t="s">
        <v>9424</v>
      </c>
      <c r="E321" t="s">
        <v>9425</v>
      </c>
      <c r="F321" t="s">
        <v>5</v>
      </c>
      <c r="G321" t="s">
        <v>5</v>
      </c>
      <c r="H321" t="s">
        <v>5</v>
      </c>
      <c r="I321" t="s">
        <v>9426</v>
      </c>
      <c r="J321" t="s">
        <v>7</v>
      </c>
      <c r="K321" s="3">
        <f t="shared" si="8"/>
        <v>0</v>
      </c>
      <c r="L321" s="3">
        <f>IF(ISERROR(VLOOKUP(J321,Lookups!$A$2:$A$16,1,FALSE)),1,0)</f>
        <v>1</v>
      </c>
      <c r="M321" s="3">
        <f>IF(ISERROR(VLOOKUP(D321,Data!$A$2:$D$223100,2,FALSE)),0,1)</f>
        <v>1</v>
      </c>
      <c r="N321" s="3">
        <f t="shared" si="9"/>
        <v>1</v>
      </c>
      <c r="O321" s="3" t="str">
        <f>IF(ISERROR(VLOOKUP(D321,Data!$A$2:$C$223100,3,FALSE)),"INACTIVE",VLOOKUP(D321,Data!$A$2:$C$223100,3,FALSE))</f>
        <v>90+</v>
      </c>
    </row>
    <row r="322" spans="1:15" x14ac:dyDescent="0.25">
      <c r="A322" t="s">
        <v>312</v>
      </c>
      <c r="B322" t="s">
        <v>313</v>
      </c>
      <c r="C322" t="s">
        <v>9427</v>
      </c>
      <c r="D322" t="s">
        <v>9428</v>
      </c>
      <c r="E322" t="s">
        <v>9429</v>
      </c>
      <c r="F322" t="s">
        <v>5</v>
      </c>
      <c r="G322" t="s">
        <v>5</v>
      </c>
      <c r="H322" t="s">
        <v>5</v>
      </c>
      <c r="I322" t="s">
        <v>9426</v>
      </c>
      <c r="J322" t="s">
        <v>7</v>
      </c>
      <c r="K322" s="3">
        <f t="shared" si="8"/>
        <v>0</v>
      </c>
      <c r="L322" s="3">
        <f>IF(ISERROR(VLOOKUP(J322,Lookups!$A$2:$A$16,1,FALSE)),1,0)</f>
        <v>1</v>
      </c>
      <c r="M322" s="3">
        <f>IF(ISERROR(VLOOKUP(D322,Data!$A$2:$D$223100,2,FALSE)),0,1)</f>
        <v>1</v>
      </c>
      <c r="N322" s="3">
        <f t="shared" si="9"/>
        <v>1</v>
      </c>
      <c r="O322" s="3" t="str">
        <f>IF(ISERROR(VLOOKUP(D322,Data!$A$2:$C$223100,3,FALSE)),"INACTIVE",VLOOKUP(D322,Data!$A$2:$C$223100,3,FALSE))</f>
        <v>Current</v>
      </c>
    </row>
    <row r="323" spans="1:15" x14ac:dyDescent="0.25">
      <c r="A323" t="s">
        <v>312</v>
      </c>
      <c r="B323" t="s">
        <v>313</v>
      </c>
      <c r="C323" t="s">
        <v>317</v>
      </c>
      <c r="D323" t="s">
        <v>318</v>
      </c>
      <c r="E323" t="s">
        <v>319</v>
      </c>
      <c r="F323" t="s">
        <v>5</v>
      </c>
      <c r="G323" t="s">
        <v>5</v>
      </c>
      <c r="H323" t="s">
        <v>5</v>
      </c>
      <c r="I323" t="s">
        <v>9426</v>
      </c>
      <c r="J323" t="s">
        <v>7</v>
      </c>
      <c r="K323" s="3">
        <f t="shared" ref="K323:K386" si="10">IF(ISERROR(FIND("LIEN",A323,1)),0,1)</f>
        <v>0</v>
      </c>
      <c r="L323" s="3">
        <f>IF(ISERROR(VLOOKUP(J323,Lookups!$A$2:$A$16,1,FALSE)),1,0)</f>
        <v>1</v>
      </c>
      <c r="M323" s="3">
        <f>IF(ISERROR(VLOOKUP(D323,Data!$A$2:$D$223100,2,FALSE)),0,1)</f>
        <v>1</v>
      </c>
      <c r="N323" s="3">
        <f t="shared" ref="N323:N386" si="11">IF(M323=0,0,IF(SUM(K323:L323)&gt;0,1,0))</f>
        <v>1</v>
      </c>
      <c r="O323" s="3" t="str">
        <f>IF(ISERROR(VLOOKUP(D323,Data!$A$2:$C$223100,3,FALSE)),"INACTIVE",VLOOKUP(D323,Data!$A$2:$C$223100,3,FALSE))</f>
        <v>Demand Letter</v>
      </c>
    </row>
    <row r="324" spans="1:15" x14ac:dyDescent="0.25">
      <c r="A324" t="s">
        <v>312</v>
      </c>
      <c r="B324" t="s">
        <v>313</v>
      </c>
      <c r="C324" t="s">
        <v>9430</v>
      </c>
      <c r="D324" t="s">
        <v>9431</v>
      </c>
      <c r="E324" t="s">
        <v>9432</v>
      </c>
      <c r="F324" t="s">
        <v>5</v>
      </c>
      <c r="G324" t="s">
        <v>5</v>
      </c>
      <c r="H324" t="s">
        <v>5</v>
      </c>
      <c r="I324" t="s">
        <v>9426</v>
      </c>
      <c r="J324" t="s">
        <v>7</v>
      </c>
      <c r="K324" s="3">
        <f t="shared" si="10"/>
        <v>0</v>
      </c>
      <c r="L324" s="3">
        <f>IF(ISERROR(VLOOKUP(J324,Lookups!$A$2:$A$16,1,FALSE)),1,0)</f>
        <v>1</v>
      </c>
      <c r="M324" s="3">
        <f>IF(ISERROR(VLOOKUP(D324,Data!$A$2:$D$223100,2,FALSE)),0,1)</f>
        <v>0</v>
      </c>
      <c r="N324" s="3">
        <f t="shared" si="11"/>
        <v>0</v>
      </c>
      <c r="O324" s="3" t="str">
        <f>IF(ISERROR(VLOOKUP(D324,Data!$A$2:$C$223100,3,FALSE)),"INACTIVE",VLOOKUP(D324,Data!$A$2:$C$223100,3,FALSE))</f>
        <v>INACTIVE</v>
      </c>
    </row>
    <row r="325" spans="1:15" x14ac:dyDescent="0.25">
      <c r="A325" t="s">
        <v>9433</v>
      </c>
      <c r="B325" t="s">
        <v>9434</v>
      </c>
      <c r="C325" t="s">
        <v>9435</v>
      </c>
      <c r="D325" t="s">
        <v>9436</v>
      </c>
      <c r="E325" t="s">
        <v>9437</v>
      </c>
      <c r="F325" t="s">
        <v>5</v>
      </c>
      <c r="G325" t="s">
        <v>5</v>
      </c>
      <c r="H325" t="s">
        <v>5</v>
      </c>
      <c r="I325" t="s">
        <v>9438</v>
      </c>
      <c r="J325" t="s">
        <v>7</v>
      </c>
      <c r="K325" s="3">
        <f t="shared" si="10"/>
        <v>0</v>
      </c>
      <c r="L325" s="3">
        <f>IF(ISERROR(VLOOKUP(J325,Lookups!$A$2:$A$16,1,FALSE)),1,0)</f>
        <v>1</v>
      </c>
      <c r="M325" s="3">
        <f>IF(ISERROR(VLOOKUP(D325,Data!$A$2:$D$223100,2,FALSE)),0,1)</f>
        <v>1</v>
      </c>
      <c r="N325" s="3">
        <f t="shared" si="11"/>
        <v>1</v>
      </c>
      <c r="O325" s="3" t="str">
        <f>IF(ISERROR(VLOOKUP(D325,Data!$A$2:$C$223100,3,FALSE)),"INACTIVE",VLOOKUP(D325,Data!$A$2:$C$223100,3,FALSE))</f>
        <v>Current</v>
      </c>
    </row>
    <row r="326" spans="1:15" x14ac:dyDescent="0.25">
      <c r="A326" t="s">
        <v>9433</v>
      </c>
      <c r="B326" t="s">
        <v>9434</v>
      </c>
      <c r="C326" t="s">
        <v>9439</v>
      </c>
      <c r="D326" t="s">
        <v>9440</v>
      </c>
      <c r="E326" t="s">
        <v>9441</v>
      </c>
      <c r="F326" t="s">
        <v>5</v>
      </c>
      <c r="G326" t="s">
        <v>5</v>
      </c>
      <c r="H326" t="s">
        <v>5</v>
      </c>
      <c r="I326" t="s">
        <v>9438</v>
      </c>
      <c r="J326" t="s">
        <v>7</v>
      </c>
      <c r="K326" s="3">
        <f t="shared" si="10"/>
        <v>0</v>
      </c>
      <c r="L326" s="3">
        <f>IF(ISERROR(VLOOKUP(J326,Lookups!$A$2:$A$16,1,FALSE)),1,0)</f>
        <v>1</v>
      </c>
      <c r="M326" s="3">
        <f>IF(ISERROR(VLOOKUP(D326,Data!$A$2:$D$223100,2,FALSE)),0,1)</f>
        <v>1</v>
      </c>
      <c r="N326" s="3">
        <f t="shared" si="11"/>
        <v>1</v>
      </c>
      <c r="O326" s="3" t="str">
        <f>IF(ISERROR(VLOOKUP(D326,Data!$A$2:$C$223100,3,FALSE)),"INACTIVE",VLOOKUP(D326,Data!$A$2:$C$223100,3,FALSE))</f>
        <v>Demand Letter</v>
      </c>
    </row>
    <row r="327" spans="1:15" x14ac:dyDescent="0.25">
      <c r="A327" t="s">
        <v>9433</v>
      </c>
      <c r="B327" t="s">
        <v>9434</v>
      </c>
      <c r="C327" t="s">
        <v>9442</v>
      </c>
      <c r="D327" t="s">
        <v>9443</v>
      </c>
      <c r="E327" t="s">
        <v>9444</v>
      </c>
      <c r="F327" t="s">
        <v>5</v>
      </c>
      <c r="G327" t="s">
        <v>5</v>
      </c>
      <c r="H327" t="s">
        <v>5</v>
      </c>
      <c r="I327" t="s">
        <v>9438</v>
      </c>
      <c r="J327" t="s">
        <v>7</v>
      </c>
      <c r="K327" s="3">
        <f t="shared" si="10"/>
        <v>0</v>
      </c>
      <c r="L327" s="3">
        <f>IF(ISERROR(VLOOKUP(J327,Lookups!$A$2:$A$16,1,FALSE)),1,0)</f>
        <v>1</v>
      </c>
      <c r="M327" s="3">
        <f>IF(ISERROR(VLOOKUP(D327,Data!$A$2:$D$223100,2,FALSE)),0,1)</f>
        <v>1</v>
      </c>
      <c r="N327" s="3">
        <f t="shared" si="11"/>
        <v>1</v>
      </c>
      <c r="O327" s="3" t="str">
        <f>IF(ISERROR(VLOOKUP(D327,Data!$A$2:$C$223100,3,FALSE)),"INACTIVE",VLOOKUP(D327,Data!$A$2:$C$223100,3,FALSE))</f>
        <v>Current</v>
      </c>
    </row>
    <row r="328" spans="1:15" x14ac:dyDescent="0.25">
      <c r="A328" t="s">
        <v>9475</v>
      </c>
      <c r="B328" t="s">
        <v>9476</v>
      </c>
      <c r="C328" t="s">
        <v>9477</v>
      </c>
      <c r="D328" t="s">
        <v>9478</v>
      </c>
      <c r="E328" t="s">
        <v>9479</v>
      </c>
      <c r="F328" t="s">
        <v>9480</v>
      </c>
      <c r="G328" t="s">
        <v>5</v>
      </c>
      <c r="H328" t="s">
        <v>5</v>
      </c>
      <c r="I328" t="s">
        <v>9481</v>
      </c>
      <c r="J328" t="s">
        <v>7</v>
      </c>
      <c r="K328" s="3">
        <f t="shared" si="10"/>
        <v>0</v>
      </c>
      <c r="L328" s="3">
        <f>IF(ISERROR(VLOOKUP(J328,Lookups!$A$2:$A$16,1,FALSE)),1,0)</f>
        <v>1</v>
      </c>
      <c r="M328" s="3">
        <f>IF(ISERROR(VLOOKUP(D328,Data!$A$2:$D$223100,2,FALSE)),0,1)</f>
        <v>1</v>
      </c>
      <c r="N328" s="3">
        <f t="shared" si="11"/>
        <v>1</v>
      </c>
      <c r="O328" s="3" t="str">
        <f>IF(ISERROR(VLOOKUP(D328,Data!$A$2:$C$223100,3,FALSE)),"INACTIVE",VLOOKUP(D328,Data!$A$2:$C$223100,3,FALSE))</f>
        <v>BK13</v>
      </c>
    </row>
    <row r="329" spans="1:15" x14ac:dyDescent="0.25">
      <c r="A329" t="s">
        <v>9482</v>
      </c>
      <c r="B329" t="s">
        <v>9483</v>
      </c>
      <c r="C329" t="s">
        <v>9484</v>
      </c>
      <c r="D329" t="s">
        <v>9485</v>
      </c>
      <c r="E329" t="s">
        <v>9486</v>
      </c>
      <c r="F329" t="s">
        <v>9486</v>
      </c>
      <c r="G329" t="s">
        <v>9487</v>
      </c>
      <c r="H329" t="s">
        <v>5</v>
      </c>
      <c r="I329" t="s">
        <v>9481</v>
      </c>
      <c r="J329" t="s">
        <v>7</v>
      </c>
      <c r="K329" s="3">
        <f t="shared" si="10"/>
        <v>0</v>
      </c>
      <c r="L329" s="3">
        <f>IF(ISERROR(VLOOKUP(J329,Lookups!$A$2:$A$16,1,FALSE)),1,0)</f>
        <v>1</v>
      </c>
      <c r="M329" s="3">
        <f>IF(ISERROR(VLOOKUP(D329,Data!$A$2:$D$223100,2,FALSE)),0,1)</f>
        <v>1</v>
      </c>
      <c r="N329" s="3">
        <f t="shared" si="11"/>
        <v>1</v>
      </c>
      <c r="O329" s="3" t="str">
        <f>IF(ISERROR(VLOOKUP(D329,Data!$A$2:$C$223100,3,FALSE)),"INACTIVE",VLOOKUP(D329,Data!$A$2:$C$223100,3,FALSE))</f>
        <v>FC</v>
      </c>
    </row>
    <row r="330" spans="1:15" x14ac:dyDescent="0.25">
      <c r="A330" t="s">
        <v>9482</v>
      </c>
      <c r="B330" t="s">
        <v>9483</v>
      </c>
      <c r="C330" t="s">
        <v>9488</v>
      </c>
      <c r="D330" t="s">
        <v>9489</v>
      </c>
      <c r="E330" t="s">
        <v>5</v>
      </c>
      <c r="F330" t="s">
        <v>5</v>
      </c>
      <c r="G330" t="s">
        <v>9490</v>
      </c>
      <c r="H330" t="s">
        <v>9491</v>
      </c>
      <c r="I330" t="s">
        <v>9481</v>
      </c>
      <c r="J330" t="s">
        <v>7</v>
      </c>
      <c r="K330" s="3">
        <f t="shared" si="10"/>
        <v>0</v>
      </c>
      <c r="L330" s="3">
        <f>IF(ISERROR(VLOOKUP(J330,Lookups!$A$2:$A$16,1,FALSE)),1,0)</f>
        <v>1</v>
      </c>
      <c r="M330" s="3">
        <f>IF(ISERROR(VLOOKUP(D330,Data!$A$2:$D$223100,2,FALSE)),0,1)</f>
        <v>1</v>
      </c>
      <c r="N330" s="3">
        <f t="shared" si="11"/>
        <v>1</v>
      </c>
      <c r="O330" s="3" t="str">
        <f>IF(ISERROR(VLOOKUP(D330,Data!$A$2:$C$223100,3,FALSE)),"INACTIVE",VLOOKUP(D330,Data!$A$2:$C$223100,3,FALSE))</f>
        <v>FC</v>
      </c>
    </row>
    <row r="331" spans="1:15" x14ac:dyDescent="0.25">
      <c r="A331" t="s">
        <v>9482</v>
      </c>
      <c r="B331" t="s">
        <v>9483</v>
      </c>
      <c r="C331" t="s">
        <v>9492</v>
      </c>
      <c r="D331" t="s">
        <v>9493</v>
      </c>
      <c r="E331" t="s">
        <v>5</v>
      </c>
      <c r="F331" t="s">
        <v>5</v>
      </c>
      <c r="G331" t="s">
        <v>5</v>
      </c>
      <c r="H331" t="s">
        <v>9494</v>
      </c>
      <c r="I331" t="s">
        <v>9481</v>
      </c>
      <c r="J331" t="s">
        <v>7</v>
      </c>
      <c r="K331" s="3">
        <f t="shared" si="10"/>
        <v>0</v>
      </c>
      <c r="L331" s="3">
        <f>IF(ISERROR(VLOOKUP(J331,Lookups!$A$2:$A$16,1,FALSE)),1,0)</f>
        <v>1</v>
      </c>
      <c r="M331" s="3">
        <f>IF(ISERROR(VLOOKUP(D331,Data!$A$2:$D$223100,2,FALSE)),0,1)</f>
        <v>1</v>
      </c>
      <c r="N331" s="3">
        <f t="shared" si="11"/>
        <v>1</v>
      </c>
      <c r="O331" s="3" t="str">
        <f>IF(ISERROR(VLOOKUP(D331,Data!$A$2:$C$223100,3,FALSE)),"INACTIVE",VLOOKUP(D331,Data!$A$2:$C$223100,3,FALSE))</f>
        <v>60+</v>
      </c>
    </row>
    <row r="332" spans="1:15" x14ac:dyDescent="0.25">
      <c r="A332" t="s">
        <v>9482</v>
      </c>
      <c r="B332" t="s">
        <v>9483</v>
      </c>
      <c r="C332" t="s">
        <v>9495</v>
      </c>
      <c r="D332" t="s">
        <v>9496</v>
      </c>
      <c r="E332" t="s">
        <v>5</v>
      </c>
      <c r="F332" t="s">
        <v>5</v>
      </c>
      <c r="G332" t="s">
        <v>5</v>
      </c>
      <c r="H332" t="s">
        <v>9497</v>
      </c>
      <c r="I332" t="s">
        <v>9481</v>
      </c>
      <c r="J332" t="s">
        <v>7</v>
      </c>
      <c r="K332" s="3">
        <f t="shared" si="10"/>
        <v>0</v>
      </c>
      <c r="L332" s="3">
        <f>IF(ISERROR(VLOOKUP(J332,Lookups!$A$2:$A$16,1,FALSE)),1,0)</f>
        <v>1</v>
      </c>
      <c r="M332" s="3">
        <f>IF(ISERROR(VLOOKUP(D332,Data!$A$2:$D$223100,2,FALSE)),0,1)</f>
        <v>1</v>
      </c>
      <c r="N332" s="3">
        <f t="shared" si="11"/>
        <v>1</v>
      </c>
      <c r="O332" s="3" t="str">
        <f>IF(ISERROR(VLOOKUP(D332,Data!$A$2:$C$223100,3,FALSE)),"INACTIVE",VLOOKUP(D332,Data!$A$2:$C$223100,3,FALSE))</f>
        <v>30+</v>
      </c>
    </row>
    <row r="333" spans="1:15" x14ac:dyDescent="0.25">
      <c r="A333" t="s">
        <v>9462</v>
      </c>
      <c r="B333" t="s">
        <v>9463</v>
      </c>
      <c r="C333" t="s">
        <v>9464</v>
      </c>
      <c r="D333" t="s">
        <v>9465</v>
      </c>
      <c r="E333" t="s">
        <v>5</v>
      </c>
      <c r="F333" t="s">
        <v>9466</v>
      </c>
      <c r="G333" t="s">
        <v>5</v>
      </c>
      <c r="H333" t="s">
        <v>5</v>
      </c>
      <c r="I333" t="s">
        <v>9467</v>
      </c>
      <c r="J333" t="s">
        <v>7</v>
      </c>
      <c r="K333" s="3">
        <f t="shared" si="10"/>
        <v>0</v>
      </c>
      <c r="L333" s="3">
        <f>IF(ISERROR(VLOOKUP(J333,Lookups!$A$2:$A$16,1,FALSE)),1,0)</f>
        <v>1</v>
      </c>
      <c r="M333" s="3">
        <f>IF(ISERROR(VLOOKUP(D333,Data!$A$2:$D$223100,2,FALSE)),0,1)</f>
        <v>1</v>
      </c>
      <c r="N333" s="3">
        <f t="shared" si="11"/>
        <v>1</v>
      </c>
      <c r="O333" s="3" t="str">
        <f>IF(ISERROR(VLOOKUP(D333,Data!$A$2:$C$223100,3,FALSE)),"INACTIVE",VLOOKUP(D333,Data!$A$2:$C$223100,3,FALSE))</f>
        <v>90+</v>
      </c>
    </row>
    <row r="334" spans="1:15" x14ac:dyDescent="0.25">
      <c r="A334" t="s">
        <v>9405</v>
      </c>
      <c r="B334" t="s">
        <v>9406</v>
      </c>
      <c r="C334" t="s">
        <v>9407</v>
      </c>
      <c r="D334" t="s">
        <v>9408</v>
      </c>
      <c r="E334" t="s">
        <v>9409</v>
      </c>
      <c r="F334" t="s">
        <v>5</v>
      </c>
      <c r="G334" t="s">
        <v>5</v>
      </c>
      <c r="H334" t="s">
        <v>5</v>
      </c>
      <c r="I334" t="s">
        <v>9410</v>
      </c>
      <c r="J334" t="s">
        <v>14</v>
      </c>
      <c r="K334" s="3">
        <f t="shared" si="10"/>
        <v>0</v>
      </c>
      <c r="L334" s="3">
        <f>IF(ISERROR(VLOOKUP(J334,Lookups!$A$2:$A$16,1,FALSE)),1,0)</f>
        <v>1</v>
      </c>
      <c r="M334" s="3">
        <f>IF(ISERROR(VLOOKUP(D334,Data!$A$2:$D$223100,2,FALSE)),0,1)</f>
        <v>1</v>
      </c>
      <c r="N334" s="3">
        <f t="shared" si="11"/>
        <v>1</v>
      </c>
      <c r="O334" s="3" t="str">
        <f>IF(ISERROR(VLOOKUP(D334,Data!$A$2:$C$223100,3,FALSE)),"INACTIVE",VLOOKUP(D334,Data!$A$2:$C$223100,3,FALSE))</f>
        <v>30+</v>
      </c>
    </row>
    <row r="335" spans="1:15" x14ac:dyDescent="0.25">
      <c r="A335" t="s">
        <v>9417</v>
      </c>
      <c r="B335" t="s">
        <v>9418</v>
      </c>
      <c r="C335" t="s">
        <v>9419</v>
      </c>
      <c r="D335" t="s">
        <v>9420</v>
      </c>
      <c r="E335" t="s">
        <v>9421</v>
      </c>
      <c r="F335" t="s">
        <v>5</v>
      </c>
      <c r="G335" t="s">
        <v>5</v>
      </c>
      <c r="H335" t="s">
        <v>5</v>
      </c>
      <c r="I335" t="s">
        <v>9422</v>
      </c>
      <c r="J335" t="s">
        <v>90</v>
      </c>
      <c r="K335" s="3">
        <f t="shared" si="10"/>
        <v>0</v>
      </c>
      <c r="L335" s="3">
        <f>IF(ISERROR(VLOOKUP(J335,Lookups!$A$2:$A$16,1,FALSE)),1,0)</f>
        <v>0</v>
      </c>
      <c r="M335" s="3">
        <f>IF(ISERROR(VLOOKUP(D335,Data!$A$2:$D$223100,2,FALSE)),0,1)</f>
        <v>0</v>
      </c>
      <c r="N335" s="3">
        <f t="shared" si="11"/>
        <v>0</v>
      </c>
      <c r="O335" s="3" t="str">
        <f>IF(ISERROR(VLOOKUP(D335,Data!$A$2:$C$223100,3,FALSE)),"INACTIVE",VLOOKUP(D335,Data!$A$2:$C$223100,3,FALSE))</f>
        <v>INACTIVE</v>
      </c>
    </row>
    <row r="336" spans="1:15" x14ac:dyDescent="0.25">
      <c r="A336" t="s">
        <v>9468</v>
      </c>
      <c r="B336" t="s">
        <v>9469</v>
      </c>
      <c r="C336" t="s">
        <v>9470</v>
      </c>
      <c r="D336" t="s">
        <v>9471</v>
      </c>
      <c r="E336" t="s">
        <v>5</v>
      </c>
      <c r="F336" t="s">
        <v>5</v>
      </c>
      <c r="G336" t="s">
        <v>9472</v>
      </c>
      <c r="H336" t="s">
        <v>5</v>
      </c>
      <c r="I336" t="s">
        <v>9422</v>
      </c>
      <c r="J336" t="s">
        <v>90</v>
      </c>
      <c r="K336" s="3">
        <f t="shared" si="10"/>
        <v>0</v>
      </c>
      <c r="L336" s="3">
        <f>IF(ISERROR(VLOOKUP(J336,Lookups!$A$2:$A$16,1,FALSE)),1,0)</f>
        <v>0</v>
      </c>
      <c r="M336" s="3">
        <f>IF(ISERROR(VLOOKUP(D336,Data!$A$2:$D$223100,2,FALSE)),0,1)</f>
        <v>1</v>
      </c>
      <c r="N336" s="3">
        <f t="shared" si="11"/>
        <v>0</v>
      </c>
      <c r="O336" s="3" t="str">
        <f>IF(ISERROR(VLOOKUP(D336,Data!$A$2:$C$223100,3,FALSE)),"INACTIVE",VLOOKUP(D336,Data!$A$2:$C$223100,3,FALSE))</f>
        <v>120+</v>
      </c>
    </row>
    <row r="337" spans="1:15" x14ac:dyDescent="0.25">
      <c r="A337" t="s">
        <v>5285</v>
      </c>
      <c r="B337" t="s">
        <v>5286</v>
      </c>
      <c r="C337" t="s">
        <v>5238</v>
      </c>
      <c r="D337" t="s">
        <v>5239</v>
      </c>
      <c r="E337" t="s">
        <v>9473</v>
      </c>
      <c r="F337" t="s">
        <v>5</v>
      </c>
      <c r="G337" t="s">
        <v>5</v>
      </c>
      <c r="H337" t="s">
        <v>5</v>
      </c>
      <c r="I337" t="s">
        <v>9474</v>
      </c>
      <c r="J337" t="s">
        <v>7</v>
      </c>
      <c r="K337" s="3">
        <f t="shared" si="10"/>
        <v>0</v>
      </c>
      <c r="L337" s="3">
        <f>IF(ISERROR(VLOOKUP(J337,Lookups!$A$2:$A$16,1,FALSE)),1,0)</f>
        <v>1</v>
      </c>
      <c r="M337" s="3">
        <f>IF(ISERROR(VLOOKUP(D337,Data!$A$2:$D$223100,2,FALSE)),0,1)</f>
        <v>1</v>
      </c>
      <c r="N337" s="3">
        <f t="shared" si="11"/>
        <v>1</v>
      </c>
      <c r="O337" s="3" t="str">
        <f>IF(ISERROR(VLOOKUP(D337,Data!$A$2:$C$223100,3,FALSE)),"INACTIVE",VLOOKUP(D337,Data!$A$2:$C$223100,3,FALSE))</f>
        <v>Current</v>
      </c>
    </row>
    <row r="338" spans="1:15" x14ac:dyDescent="0.25">
      <c r="A338" t="s">
        <v>9445</v>
      </c>
      <c r="B338" t="s">
        <v>9446</v>
      </c>
      <c r="C338" t="s">
        <v>9447</v>
      </c>
      <c r="D338" t="s">
        <v>9448</v>
      </c>
      <c r="E338" t="s">
        <v>9449</v>
      </c>
      <c r="F338" t="s">
        <v>9449</v>
      </c>
      <c r="G338" t="s">
        <v>9449</v>
      </c>
      <c r="H338" t="s">
        <v>9450</v>
      </c>
      <c r="I338" t="s">
        <v>9451</v>
      </c>
      <c r="J338" t="s">
        <v>96</v>
      </c>
      <c r="K338" s="3">
        <f t="shared" si="10"/>
        <v>0</v>
      </c>
      <c r="L338" s="3">
        <f>IF(ISERROR(VLOOKUP(J338,Lookups!$A$2:$A$16,1,FALSE)),1,0)</f>
        <v>0</v>
      </c>
      <c r="M338" s="3">
        <f>IF(ISERROR(VLOOKUP(D338,Data!$A$2:$D$223100,2,FALSE)),0,1)</f>
        <v>1</v>
      </c>
      <c r="N338" s="3">
        <f t="shared" si="11"/>
        <v>0</v>
      </c>
      <c r="O338" s="3" t="str">
        <f>IF(ISERROR(VLOOKUP(D338,Data!$A$2:$C$223100,3,FALSE)),"INACTIVE",VLOOKUP(D338,Data!$A$2:$C$223100,3,FALSE))</f>
        <v>Current</v>
      </c>
    </row>
    <row r="339" spans="1:15" x14ac:dyDescent="0.25">
      <c r="A339" t="s">
        <v>9445</v>
      </c>
      <c r="B339" t="s">
        <v>9446</v>
      </c>
      <c r="C339" t="s">
        <v>9447</v>
      </c>
      <c r="D339" t="s">
        <v>9448</v>
      </c>
      <c r="E339" t="s">
        <v>9449</v>
      </c>
      <c r="F339" t="s">
        <v>9449</v>
      </c>
      <c r="G339" t="s">
        <v>9449</v>
      </c>
      <c r="H339" t="s">
        <v>9450</v>
      </c>
      <c r="I339" t="s">
        <v>9451</v>
      </c>
      <c r="J339" t="s">
        <v>96</v>
      </c>
      <c r="K339" s="3">
        <f t="shared" si="10"/>
        <v>0</v>
      </c>
      <c r="L339" s="3">
        <f>IF(ISERROR(VLOOKUP(J339,Lookups!$A$2:$A$16,1,FALSE)),1,0)</f>
        <v>0</v>
      </c>
      <c r="M339" s="3">
        <f>IF(ISERROR(VLOOKUP(D339,Data!$A$2:$D$223100,2,FALSE)),0,1)</f>
        <v>1</v>
      </c>
      <c r="N339" s="3">
        <f t="shared" si="11"/>
        <v>0</v>
      </c>
      <c r="O339" s="3" t="str">
        <f>IF(ISERROR(VLOOKUP(D339,Data!$A$2:$C$223100,3,FALSE)),"INACTIVE",VLOOKUP(D339,Data!$A$2:$C$223100,3,FALSE))</f>
        <v>Current</v>
      </c>
    </row>
    <row r="340" spans="1:15" x14ac:dyDescent="0.25">
      <c r="A340" t="s">
        <v>9445</v>
      </c>
      <c r="B340" t="s">
        <v>9446</v>
      </c>
      <c r="C340" t="s">
        <v>9447</v>
      </c>
      <c r="D340" t="s">
        <v>9448</v>
      </c>
      <c r="E340" t="s">
        <v>9449</v>
      </c>
      <c r="F340" t="s">
        <v>9449</v>
      </c>
      <c r="G340" t="s">
        <v>9449</v>
      </c>
      <c r="H340" t="s">
        <v>9450</v>
      </c>
      <c r="I340" t="s">
        <v>9451</v>
      </c>
      <c r="J340" t="s">
        <v>96</v>
      </c>
      <c r="K340" s="3">
        <f t="shared" si="10"/>
        <v>0</v>
      </c>
      <c r="L340" s="3">
        <f>IF(ISERROR(VLOOKUP(J340,Lookups!$A$2:$A$16,1,FALSE)),1,0)</f>
        <v>0</v>
      </c>
      <c r="M340" s="3">
        <f>IF(ISERROR(VLOOKUP(D340,Data!$A$2:$D$223100,2,FALSE)),0,1)</f>
        <v>1</v>
      </c>
      <c r="N340" s="3">
        <f t="shared" si="11"/>
        <v>0</v>
      </c>
      <c r="O340" s="3" t="str">
        <f>IF(ISERROR(VLOOKUP(D340,Data!$A$2:$C$223100,3,FALSE)),"INACTIVE",VLOOKUP(D340,Data!$A$2:$C$223100,3,FALSE))</f>
        <v>Current</v>
      </c>
    </row>
    <row r="341" spans="1:15" x14ac:dyDescent="0.25">
      <c r="A341" t="s">
        <v>9445</v>
      </c>
      <c r="B341" t="s">
        <v>9446</v>
      </c>
      <c r="C341" t="s">
        <v>9452</v>
      </c>
      <c r="D341" t="s">
        <v>9453</v>
      </c>
      <c r="E341" t="s">
        <v>5</v>
      </c>
      <c r="F341" t="s">
        <v>9454</v>
      </c>
      <c r="G341" t="s">
        <v>9449</v>
      </c>
      <c r="H341" t="s">
        <v>9450</v>
      </c>
      <c r="I341" t="s">
        <v>9451</v>
      </c>
      <c r="J341" t="s">
        <v>96</v>
      </c>
      <c r="K341" s="3">
        <f t="shared" si="10"/>
        <v>0</v>
      </c>
      <c r="L341" s="3">
        <f>IF(ISERROR(VLOOKUP(J341,Lookups!$A$2:$A$16,1,FALSE)),1,0)</f>
        <v>0</v>
      </c>
      <c r="M341" s="3">
        <f>IF(ISERROR(VLOOKUP(D341,Data!$A$2:$D$223100,2,FALSE)),0,1)</f>
        <v>1</v>
      </c>
      <c r="N341" s="3">
        <f t="shared" si="11"/>
        <v>0</v>
      </c>
      <c r="O341" s="3" t="str">
        <f>IF(ISERROR(VLOOKUP(D341,Data!$A$2:$C$223100,3,FALSE)),"INACTIVE",VLOOKUP(D341,Data!$A$2:$C$223100,3,FALSE))</f>
        <v>Current</v>
      </c>
    </row>
    <row r="342" spans="1:15" x14ac:dyDescent="0.25">
      <c r="A342" t="s">
        <v>9445</v>
      </c>
      <c r="B342" t="s">
        <v>9446</v>
      </c>
      <c r="C342" t="s">
        <v>9452</v>
      </c>
      <c r="D342" t="s">
        <v>9453</v>
      </c>
      <c r="E342" t="s">
        <v>5</v>
      </c>
      <c r="F342" t="s">
        <v>9455</v>
      </c>
      <c r="G342" t="s">
        <v>9449</v>
      </c>
      <c r="H342" t="s">
        <v>9450</v>
      </c>
      <c r="I342" t="s">
        <v>9451</v>
      </c>
      <c r="J342" t="s">
        <v>96</v>
      </c>
      <c r="K342" s="3">
        <f t="shared" si="10"/>
        <v>0</v>
      </c>
      <c r="L342" s="3">
        <f>IF(ISERROR(VLOOKUP(J342,Lookups!$A$2:$A$16,1,FALSE)),1,0)</f>
        <v>0</v>
      </c>
      <c r="M342" s="3">
        <f>IF(ISERROR(VLOOKUP(D342,Data!$A$2:$D$223100,2,FALSE)),0,1)</f>
        <v>1</v>
      </c>
      <c r="N342" s="3">
        <f t="shared" si="11"/>
        <v>0</v>
      </c>
      <c r="O342" s="3" t="str">
        <f>IF(ISERROR(VLOOKUP(D342,Data!$A$2:$C$223100,3,FALSE)),"INACTIVE",VLOOKUP(D342,Data!$A$2:$C$223100,3,FALSE))</f>
        <v>Current</v>
      </c>
    </row>
    <row r="343" spans="1:15" x14ac:dyDescent="0.25">
      <c r="A343" t="s">
        <v>9445</v>
      </c>
      <c r="B343" t="s">
        <v>9446</v>
      </c>
      <c r="C343" t="s">
        <v>9452</v>
      </c>
      <c r="D343" t="s">
        <v>9453</v>
      </c>
      <c r="E343" t="s">
        <v>9449</v>
      </c>
      <c r="F343" t="s">
        <v>9449</v>
      </c>
      <c r="G343" t="s">
        <v>9449</v>
      </c>
      <c r="H343" t="s">
        <v>9450</v>
      </c>
      <c r="I343" t="s">
        <v>9451</v>
      </c>
      <c r="J343" t="s">
        <v>96</v>
      </c>
      <c r="K343" s="3">
        <f t="shared" si="10"/>
        <v>0</v>
      </c>
      <c r="L343" s="3">
        <f>IF(ISERROR(VLOOKUP(J343,Lookups!$A$2:$A$16,1,FALSE)),1,0)</f>
        <v>0</v>
      </c>
      <c r="M343" s="3">
        <f>IF(ISERROR(VLOOKUP(D343,Data!$A$2:$D$223100,2,FALSE)),0,1)</f>
        <v>1</v>
      </c>
      <c r="N343" s="3">
        <f t="shared" si="11"/>
        <v>0</v>
      </c>
      <c r="O343" s="3" t="str">
        <f>IF(ISERROR(VLOOKUP(D343,Data!$A$2:$C$223100,3,FALSE)),"INACTIVE",VLOOKUP(D343,Data!$A$2:$C$223100,3,FALSE))</f>
        <v>Current</v>
      </c>
    </row>
    <row r="344" spans="1:15" x14ac:dyDescent="0.25">
      <c r="A344" t="s">
        <v>9445</v>
      </c>
      <c r="B344" t="s">
        <v>9446</v>
      </c>
      <c r="C344" t="s">
        <v>9456</v>
      </c>
      <c r="D344" t="s">
        <v>9457</v>
      </c>
      <c r="E344" t="s">
        <v>9458</v>
      </c>
      <c r="F344" t="s">
        <v>9449</v>
      </c>
      <c r="G344" t="s">
        <v>9449</v>
      </c>
      <c r="H344" t="s">
        <v>9450</v>
      </c>
      <c r="I344" t="s">
        <v>9451</v>
      </c>
      <c r="J344" t="s">
        <v>96</v>
      </c>
      <c r="K344" s="3">
        <f t="shared" si="10"/>
        <v>0</v>
      </c>
      <c r="L344" s="3">
        <f>IF(ISERROR(VLOOKUP(J344,Lookups!$A$2:$A$16,1,FALSE)),1,0)</f>
        <v>0</v>
      </c>
      <c r="M344" s="3">
        <f>IF(ISERROR(VLOOKUP(D344,Data!$A$2:$D$223100,2,FALSE)),0,1)</f>
        <v>1</v>
      </c>
      <c r="N344" s="3">
        <f t="shared" si="11"/>
        <v>0</v>
      </c>
      <c r="O344" s="3" t="str">
        <f>IF(ISERROR(VLOOKUP(D344,Data!$A$2:$C$223100,3,FALSE)),"INACTIVE",VLOOKUP(D344,Data!$A$2:$C$223100,3,FALSE))</f>
        <v>Current</v>
      </c>
    </row>
    <row r="345" spans="1:15" x14ac:dyDescent="0.25">
      <c r="A345" t="s">
        <v>9445</v>
      </c>
      <c r="B345" t="s">
        <v>9446</v>
      </c>
      <c r="C345" t="s">
        <v>9456</v>
      </c>
      <c r="D345" t="s">
        <v>9457</v>
      </c>
      <c r="E345" t="s">
        <v>9449</v>
      </c>
      <c r="F345" t="s">
        <v>9449</v>
      </c>
      <c r="G345" t="s">
        <v>9449</v>
      </c>
      <c r="H345" t="s">
        <v>9450</v>
      </c>
      <c r="I345" t="s">
        <v>9451</v>
      </c>
      <c r="J345" t="s">
        <v>96</v>
      </c>
      <c r="K345" s="3">
        <f t="shared" si="10"/>
        <v>0</v>
      </c>
      <c r="L345" s="3">
        <f>IF(ISERROR(VLOOKUP(J345,Lookups!$A$2:$A$16,1,FALSE)),1,0)</f>
        <v>0</v>
      </c>
      <c r="M345" s="3">
        <f>IF(ISERROR(VLOOKUP(D345,Data!$A$2:$D$223100,2,FALSE)),0,1)</f>
        <v>1</v>
      </c>
      <c r="N345" s="3">
        <f t="shared" si="11"/>
        <v>0</v>
      </c>
      <c r="O345" s="3" t="str">
        <f>IF(ISERROR(VLOOKUP(D345,Data!$A$2:$C$223100,3,FALSE)),"INACTIVE",VLOOKUP(D345,Data!$A$2:$C$223100,3,FALSE))</f>
        <v>Current</v>
      </c>
    </row>
    <row r="346" spans="1:15" x14ac:dyDescent="0.25">
      <c r="A346" t="s">
        <v>9445</v>
      </c>
      <c r="B346" t="s">
        <v>9446</v>
      </c>
      <c r="C346" t="s">
        <v>9456</v>
      </c>
      <c r="D346" t="s">
        <v>9457</v>
      </c>
      <c r="E346" t="s">
        <v>9449</v>
      </c>
      <c r="F346" t="s">
        <v>9449</v>
      </c>
      <c r="G346" t="s">
        <v>9449</v>
      </c>
      <c r="H346" t="s">
        <v>9450</v>
      </c>
      <c r="I346" t="s">
        <v>9451</v>
      </c>
      <c r="J346" t="s">
        <v>96</v>
      </c>
      <c r="K346" s="3">
        <f t="shared" si="10"/>
        <v>0</v>
      </c>
      <c r="L346" s="3">
        <f>IF(ISERROR(VLOOKUP(J346,Lookups!$A$2:$A$16,1,FALSE)),1,0)</f>
        <v>0</v>
      </c>
      <c r="M346" s="3">
        <f>IF(ISERROR(VLOOKUP(D346,Data!$A$2:$D$223100,2,FALSE)),0,1)</f>
        <v>1</v>
      </c>
      <c r="N346" s="3">
        <f t="shared" si="11"/>
        <v>0</v>
      </c>
      <c r="O346" s="3" t="str">
        <f>IF(ISERROR(VLOOKUP(D346,Data!$A$2:$C$223100,3,FALSE)),"INACTIVE",VLOOKUP(D346,Data!$A$2:$C$223100,3,FALSE))</f>
        <v>Current</v>
      </c>
    </row>
    <row r="347" spans="1:15" x14ac:dyDescent="0.25">
      <c r="A347" t="s">
        <v>9445</v>
      </c>
      <c r="B347" t="s">
        <v>9446</v>
      </c>
      <c r="C347" t="s">
        <v>9459</v>
      </c>
      <c r="D347" t="s">
        <v>9460</v>
      </c>
      <c r="E347" t="s">
        <v>5</v>
      </c>
      <c r="F347" t="s">
        <v>5</v>
      </c>
      <c r="G347" t="s">
        <v>5</v>
      </c>
      <c r="H347" t="s">
        <v>9461</v>
      </c>
      <c r="I347" t="s">
        <v>9451</v>
      </c>
      <c r="J347" t="s">
        <v>96</v>
      </c>
      <c r="K347" s="3">
        <f t="shared" si="10"/>
        <v>0</v>
      </c>
      <c r="L347" s="3">
        <f>IF(ISERROR(VLOOKUP(J347,Lookups!$A$2:$A$16,1,FALSE)),1,0)</f>
        <v>0</v>
      </c>
      <c r="M347" s="3">
        <f>IF(ISERROR(VLOOKUP(D347,Data!$A$2:$D$223100,2,FALSE)),0,1)</f>
        <v>1</v>
      </c>
      <c r="N347" s="3">
        <f t="shared" si="11"/>
        <v>0</v>
      </c>
      <c r="O347" s="3" t="str">
        <f>IF(ISERROR(VLOOKUP(D347,Data!$A$2:$C$223100,3,FALSE)),"INACTIVE",VLOOKUP(D347,Data!$A$2:$C$223100,3,FALSE))</f>
        <v>90+</v>
      </c>
    </row>
    <row r="348" spans="1:15" x14ac:dyDescent="0.25">
      <c r="A348" t="s">
        <v>9445</v>
      </c>
      <c r="B348" t="s">
        <v>9446</v>
      </c>
      <c r="C348" t="s">
        <v>9459</v>
      </c>
      <c r="D348" t="s">
        <v>9460</v>
      </c>
      <c r="E348" t="s">
        <v>9449</v>
      </c>
      <c r="F348" t="s">
        <v>9449</v>
      </c>
      <c r="G348" t="s">
        <v>9449</v>
      </c>
      <c r="H348" t="s">
        <v>9450</v>
      </c>
      <c r="I348" t="s">
        <v>9451</v>
      </c>
      <c r="J348" t="s">
        <v>96</v>
      </c>
      <c r="K348" s="3">
        <f t="shared" si="10"/>
        <v>0</v>
      </c>
      <c r="L348" s="3">
        <f>IF(ISERROR(VLOOKUP(J348,Lookups!$A$2:$A$16,1,FALSE)),1,0)</f>
        <v>0</v>
      </c>
      <c r="M348" s="3">
        <f>IF(ISERROR(VLOOKUP(D348,Data!$A$2:$D$223100,2,FALSE)),0,1)</f>
        <v>1</v>
      </c>
      <c r="N348" s="3">
        <f t="shared" si="11"/>
        <v>0</v>
      </c>
      <c r="O348" s="3" t="str">
        <f>IF(ISERROR(VLOOKUP(D348,Data!$A$2:$C$223100,3,FALSE)),"INACTIVE",VLOOKUP(D348,Data!$A$2:$C$223100,3,FALSE))</f>
        <v>90+</v>
      </c>
    </row>
    <row r="349" spans="1:15" x14ac:dyDescent="0.25">
      <c r="A349" t="s">
        <v>9445</v>
      </c>
      <c r="B349" t="s">
        <v>9446</v>
      </c>
      <c r="C349" t="s">
        <v>9459</v>
      </c>
      <c r="D349" t="s">
        <v>9460</v>
      </c>
      <c r="E349" t="s">
        <v>9449</v>
      </c>
      <c r="F349" t="s">
        <v>9449</v>
      </c>
      <c r="G349" t="s">
        <v>9449</v>
      </c>
      <c r="H349" t="s">
        <v>9450</v>
      </c>
      <c r="I349" t="s">
        <v>9451</v>
      </c>
      <c r="J349" t="s">
        <v>96</v>
      </c>
      <c r="K349" s="3">
        <f t="shared" si="10"/>
        <v>0</v>
      </c>
      <c r="L349" s="3">
        <f>IF(ISERROR(VLOOKUP(J349,Lookups!$A$2:$A$16,1,FALSE)),1,0)</f>
        <v>0</v>
      </c>
      <c r="M349" s="3">
        <f>IF(ISERROR(VLOOKUP(D349,Data!$A$2:$D$223100,2,FALSE)),0,1)</f>
        <v>1</v>
      </c>
      <c r="N349" s="3">
        <f t="shared" si="11"/>
        <v>0</v>
      </c>
      <c r="O349" s="3" t="str">
        <f>IF(ISERROR(VLOOKUP(D349,Data!$A$2:$C$223100,3,FALSE)),"INACTIVE",VLOOKUP(D349,Data!$A$2:$C$223100,3,FALSE))</f>
        <v>90+</v>
      </c>
    </row>
    <row r="350" spans="1:15" x14ac:dyDescent="0.25">
      <c r="A350" t="s">
        <v>1440</v>
      </c>
      <c r="B350" t="s">
        <v>1441</v>
      </c>
      <c r="C350" t="s">
        <v>9360</v>
      </c>
      <c r="D350" t="s">
        <v>9361</v>
      </c>
      <c r="E350" t="s">
        <v>5</v>
      </c>
      <c r="F350" t="s">
        <v>9362</v>
      </c>
      <c r="G350" t="s">
        <v>5</v>
      </c>
      <c r="H350" t="s">
        <v>5</v>
      </c>
      <c r="I350" t="s">
        <v>9363</v>
      </c>
      <c r="J350" t="s">
        <v>573</v>
      </c>
      <c r="K350" s="3">
        <f t="shared" si="10"/>
        <v>0</v>
      </c>
      <c r="L350" s="3">
        <f>IF(ISERROR(VLOOKUP(J350,Lookups!$A$2:$A$16,1,FALSE)),1,0)</f>
        <v>1</v>
      </c>
      <c r="M350" s="3">
        <f>IF(ISERROR(VLOOKUP(D350,Data!$A$2:$D$223100,2,FALSE)),0,1)</f>
        <v>1</v>
      </c>
      <c r="N350" s="3">
        <f t="shared" si="11"/>
        <v>1</v>
      </c>
      <c r="O350" s="3" t="str">
        <f>IF(ISERROR(VLOOKUP(D350,Data!$A$2:$C$223100,3,FALSE)),"INACTIVE",VLOOKUP(D350,Data!$A$2:$C$223100,3,FALSE))</f>
        <v>Current</v>
      </c>
    </row>
    <row r="351" spans="1:15" x14ac:dyDescent="0.25">
      <c r="A351" t="s">
        <v>1440</v>
      </c>
      <c r="B351" t="s">
        <v>1441</v>
      </c>
      <c r="C351" t="s">
        <v>9364</v>
      </c>
      <c r="D351" t="s">
        <v>9365</v>
      </c>
      <c r="E351" t="s">
        <v>5</v>
      </c>
      <c r="F351" t="s">
        <v>9366</v>
      </c>
      <c r="G351" t="s">
        <v>5</v>
      </c>
      <c r="H351" t="s">
        <v>5</v>
      </c>
      <c r="I351" t="s">
        <v>9363</v>
      </c>
      <c r="J351" t="s">
        <v>573</v>
      </c>
      <c r="K351" s="3">
        <f t="shared" si="10"/>
        <v>0</v>
      </c>
      <c r="L351" s="3">
        <f>IF(ISERROR(VLOOKUP(J351,Lookups!$A$2:$A$16,1,FALSE)),1,0)</f>
        <v>1</v>
      </c>
      <c r="M351" s="3">
        <f>IF(ISERROR(VLOOKUP(D351,Data!$A$2:$D$223100,2,FALSE)),0,1)</f>
        <v>0</v>
      </c>
      <c r="N351" s="3">
        <f t="shared" si="11"/>
        <v>0</v>
      </c>
      <c r="O351" s="3" t="str">
        <f>IF(ISERROR(VLOOKUP(D351,Data!$A$2:$C$223100,3,FALSE)),"INACTIVE",VLOOKUP(D351,Data!$A$2:$C$223100,3,FALSE))</f>
        <v>INACTIVE</v>
      </c>
    </row>
    <row r="352" spans="1:15" x14ac:dyDescent="0.25">
      <c r="A352" t="s">
        <v>9384</v>
      </c>
      <c r="B352" t="s">
        <v>9385</v>
      </c>
      <c r="C352" t="s">
        <v>9386</v>
      </c>
      <c r="D352" t="s">
        <v>9387</v>
      </c>
      <c r="E352" t="s">
        <v>9388</v>
      </c>
      <c r="F352" t="s">
        <v>5</v>
      </c>
      <c r="G352" t="s">
        <v>5</v>
      </c>
      <c r="H352" t="s">
        <v>5</v>
      </c>
      <c r="I352" t="s">
        <v>9389</v>
      </c>
      <c r="J352" t="s">
        <v>90</v>
      </c>
      <c r="K352" s="3">
        <f t="shared" si="10"/>
        <v>0</v>
      </c>
      <c r="L352" s="3">
        <f>IF(ISERROR(VLOOKUP(J352,Lookups!$A$2:$A$16,1,FALSE)),1,0)</f>
        <v>0</v>
      </c>
      <c r="M352" s="3">
        <f>IF(ISERROR(VLOOKUP(D352,Data!$A$2:$D$223100,2,FALSE)),0,1)</f>
        <v>1</v>
      </c>
      <c r="N352" s="3">
        <f t="shared" si="11"/>
        <v>0</v>
      </c>
      <c r="O352" s="3" t="str">
        <f>IF(ISERROR(VLOOKUP(D352,Data!$A$2:$C$223100,3,FALSE)),"INACTIVE",VLOOKUP(D352,Data!$A$2:$C$223100,3,FALSE))</f>
        <v>FC</v>
      </c>
    </row>
    <row r="353" spans="1:15" x14ac:dyDescent="0.25">
      <c r="A353" t="s">
        <v>3026</v>
      </c>
      <c r="B353" t="s">
        <v>3027</v>
      </c>
      <c r="C353" t="s">
        <v>9342</v>
      </c>
      <c r="D353" t="s">
        <v>9343</v>
      </c>
      <c r="E353" t="s">
        <v>5</v>
      </c>
      <c r="F353" t="s">
        <v>9344</v>
      </c>
      <c r="G353" t="s">
        <v>5</v>
      </c>
      <c r="H353" t="s">
        <v>5</v>
      </c>
      <c r="I353" t="s">
        <v>9345</v>
      </c>
      <c r="J353" t="s">
        <v>573</v>
      </c>
      <c r="K353" s="3">
        <f t="shared" si="10"/>
        <v>0</v>
      </c>
      <c r="L353" s="3">
        <f>IF(ISERROR(VLOOKUP(J353,Lookups!$A$2:$A$16,1,FALSE)),1,0)</f>
        <v>1</v>
      </c>
      <c r="M353" s="3">
        <f>IF(ISERROR(VLOOKUP(D353,Data!$A$2:$D$223100,2,FALSE)),0,1)</f>
        <v>1</v>
      </c>
      <c r="N353" s="3">
        <f t="shared" si="11"/>
        <v>1</v>
      </c>
      <c r="O353" s="3" t="str">
        <f>IF(ISERROR(VLOOKUP(D353,Data!$A$2:$C$223100,3,FALSE)),"INACTIVE",VLOOKUP(D353,Data!$A$2:$C$223100,3,FALSE))</f>
        <v>FBA</v>
      </c>
    </row>
    <row r="354" spans="1:15" x14ac:dyDescent="0.25">
      <c r="A354" t="s">
        <v>3026</v>
      </c>
      <c r="B354" t="s">
        <v>3027</v>
      </c>
      <c r="C354" t="s">
        <v>9346</v>
      </c>
      <c r="D354" t="s">
        <v>9347</v>
      </c>
      <c r="E354" t="s">
        <v>5</v>
      </c>
      <c r="F354" t="s">
        <v>9348</v>
      </c>
      <c r="G354" t="s">
        <v>5</v>
      </c>
      <c r="H354" t="s">
        <v>5</v>
      </c>
      <c r="I354" t="s">
        <v>9345</v>
      </c>
      <c r="J354" t="s">
        <v>573</v>
      </c>
      <c r="K354" s="3">
        <f t="shared" si="10"/>
        <v>0</v>
      </c>
      <c r="L354" s="3">
        <f>IF(ISERROR(VLOOKUP(J354,Lookups!$A$2:$A$16,1,FALSE)),1,0)</f>
        <v>1</v>
      </c>
      <c r="M354" s="3">
        <f>IF(ISERROR(VLOOKUP(D354,Data!$A$2:$D$223100,2,FALSE)),0,1)</f>
        <v>1</v>
      </c>
      <c r="N354" s="3">
        <f t="shared" si="11"/>
        <v>1</v>
      </c>
      <c r="O354" s="3" t="str">
        <f>IF(ISERROR(VLOOKUP(D354,Data!$A$2:$C$223100,3,FALSE)),"INACTIVE",VLOOKUP(D354,Data!$A$2:$C$223100,3,FALSE))</f>
        <v>60+</v>
      </c>
    </row>
    <row r="355" spans="1:15" x14ac:dyDescent="0.25">
      <c r="A355" t="s">
        <v>297</v>
      </c>
      <c r="B355" t="s">
        <v>298</v>
      </c>
      <c r="C355" t="s">
        <v>299</v>
      </c>
      <c r="D355" t="s">
        <v>300</v>
      </c>
      <c r="E355" t="s">
        <v>301</v>
      </c>
      <c r="F355" t="s">
        <v>5</v>
      </c>
      <c r="G355" t="s">
        <v>5</v>
      </c>
      <c r="H355" t="s">
        <v>5</v>
      </c>
      <c r="I355" t="s">
        <v>9345</v>
      </c>
      <c r="J355" t="s">
        <v>7</v>
      </c>
      <c r="K355" s="3">
        <f t="shared" si="10"/>
        <v>0</v>
      </c>
      <c r="L355" s="3">
        <f>IF(ISERROR(VLOOKUP(J355,Lookups!$A$2:$A$16,1,FALSE)),1,0)</f>
        <v>1</v>
      </c>
      <c r="M355" s="3">
        <f>IF(ISERROR(VLOOKUP(D355,Data!$A$2:$D$223100,2,FALSE)),0,1)</f>
        <v>1</v>
      </c>
      <c r="N355" s="3">
        <f t="shared" si="11"/>
        <v>1</v>
      </c>
      <c r="O355" s="3" t="str">
        <f>IF(ISERROR(VLOOKUP(D355,Data!$A$2:$C$223100,3,FALSE)),"INACTIVE",VLOOKUP(D355,Data!$A$2:$C$223100,3,FALSE))</f>
        <v>FBA</v>
      </c>
    </row>
    <row r="356" spans="1:15" x14ac:dyDescent="0.25">
      <c r="A356" t="s">
        <v>9188</v>
      </c>
      <c r="B356" t="s">
        <v>9189</v>
      </c>
      <c r="C356" t="s">
        <v>9190</v>
      </c>
      <c r="D356" t="s">
        <v>9191</v>
      </c>
      <c r="E356" t="s">
        <v>9192</v>
      </c>
      <c r="F356" t="s">
        <v>5</v>
      </c>
      <c r="G356" t="s">
        <v>5</v>
      </c>
      <c r="H356" t="s">
        <v>5</v>
      </c>
      <c r="I356" t="s">
        <v>9193</v>
      </c>
      <c r="J356" t="s">
        <v>90</v>
      </c>
      <c r="K356" s="3">
        <f t="shared" si="10"/>
        <v>0</v>
      </c>
      <c r="L356" s="3">
        <f>IF(ISERROR(VLOOKUP(J356,Lookups!$A$2:$A$16,1,FALSE)),1,0)</f>
        <v>0</v>
      </c>
      <c r="M356" s="3">
        <f>IF(ISERROR(VLOOKUP(D356,Data!$A$2:$D$223100,2,FALSE)),0,1)</f>
        <v>1</v>
      </c>
      <c r="N356" s="3">
        <f t="shared" si="11"/>
        <v>0</v>
      </c>
      <c r="O356" s="3" t="str">
        <f>IF(ISERROR(VLOOKUP(D356,Data!$A$2:$C$223100,3,FALSE)),"INACTIVE",VLOOKUP(D356,Data!$A$2:$C$223100,3,FALSE))</f>
        <v>90+</v>
      </c>
    </row>
    <row r="357" spans="1:15" x14ac:dyDescent="0.25">
      <c r="A357" t="s">
        <v>1248</v>
      </c>
      <c r="B357" t="s">
        <v>1249</v>
      </c>
      <c r="C357" t="s">
        <v>1250</v>
      </c>
      <c r="D357" t="s">
        <v>1251</v>
      </c>
      <c r="E357" t="s">
        <v>1252</v>
      </c>
      <c r="F357" t="s">
        <v>1252</v>
      </c>
      <c r="G357" t="s">
        <v>5</v>
      </c>
      <c r="H357" t="s">
        <v>5</v>
      </c>
      <c r="I357" t="s">
        <v>9382</v>
      </c>
      <c r="J357" t="s">
        <v>90</v>
      </c>
      <c r="K357" s="3">
        <f t="shared" si="10"/>
        <v>0</v>
      </c>
      <c r="L357" s="3">
        <f>IF(ISERROR(VLOOKUP(J357,Lookups!$A$2:$A$16,1,FALSE)),1,0)</f>
        <v>0</v>
      </c>
      <c r="M357" s="3">
        <f>IF(ISERROR(VLOOKUP(D357,Data!$A$2:$D$223100,2,FALSE)),0,1)</f>
        <v>1</v>
      </c>
      <c r="N357" s="3">
        <f t="shared" si="11"/>
        <v>0</v>
      </c>
      <c r="O357" s="3" t="str">
        <f>IF(ISERROR(VLOOKUP(D357,Data!$A$2:$C$223100,3,FALSE)),"INACTIVE",VLOOKUP(D357,Data!$A$2:$C$223100,3,FALSE))</f>
        <v>Current</v>
      </c>
    </row>
    <row r="358" spans="1:15" x14ac:dyDescent="0.25">
      <c r="A358" t="s">
        <v>1248</v>
      </c>
      <c r="B358" t="s">
        <v>1249</v>
      </c>
      <c r="C358" t="s">
        <v>1250</v>
      </c>
      <c r="D358" t="s">
        <v>1251</v>
      </c>
      <c r="E358" t="s">
        <v>1254</v>
      </c>
      <c r="F358" t="s">
        <v>1254</v>
      </c>
      <c r="G358" t="s">
        <v>5</v>
      </c>
      <c r="H358" t="s">
        <v>5</v>
      </c>
      <c r="I358" t="s">
        <v>9382</v>
      </c>
      <c r="J358" t="s">
        <v>90</v>
      </c>
      <c r="K358" s="3">
        <f t="shared" si="10"/>
        <v>0</v>
      </c>
      <c r="L358" s="3">
        <f>IF(ISERROR(VLOOKUP(J358,Lookups!$A$2:$A$16,1,FALSE)),1,0)</f>
        <v>0</v>
      </c>
      <c r="M358" s="3">
        <f>IF(ISERROR(VLOOKUP(D358,Data!$A$2:$D$223100,2,FALSE)),0,1)</f>
        <v>1</v>
      </c>
      <c r="N358" s="3">
        <f t="shared" si="11"/>
        <v>0</v>
      </c>
      <c r="O358" s="3" t="str">
        <f>IF(ISERROR(VLOOKUP(D358,Data!$A$2:$C$223100,3,FALSE)),"INACTIVE",VLOOKUP(D358,Data!$A$2:$C$223100,3,FALSE))</f>
        <v>Current</v>
      </c>
    </row>
    <row r="359" spans="1:15" x14ac:dyDescent="0.25">
      <c r="A359" t="s">
        <v>1248</v>
      </c>
      <c r="B359" t="s">
        <v>1249</v>
      </c>
      <c r="C359" t="s">
        <v>1250</v>
      </c>
      <c r="D359" t="s">
        <v>1251</v>
      </c>
      <c r="E359" t="s">
        <v>1255</v>
      </c>
      <c r="F359" t="s">
        <v>1255</v>
      </c>
      <c r="G359" t="s">
        <v>5</v>
      </c>
      <c r="H359" t="s">
        <v>5</v>
      </c>
      <c r="I359" t="s">
        <v>9382</v>
      </c>
      <c r="J359" t="s">
        <v>90</v>
      </c>
      <c r="K359" s="3">
        <f t="shared" si="10"/>
        <v>0</v>
      </c>
      <c r="L359" s="3">
        <f>IF(ISERROR(VLOOKUP(J359,Lookups!$A$2:$A$16,1,FALSE)),1,0)</f>
        <v>0</v>
      </c>
      <c r="M359" s="3">
        <f>IF(ISERROR(VLOOKUP(D359,Data!$A$2:$D$223100,2,FALSE)),0,1)</f>
        <v>1</v>
      </c>
      <c r="N359" s="3">
        <f t="shared" si="11"/>
        <v>0</v>
      </c>
      <c r="O359" s="3" t="str">
        <f>IF(ISERROR(VLOOKUP(D359,Data!$A$2:$C$223100,3,FALSE)),"INACTIVE",VLOOKUP(D359,Data!$A$2:$C$223100,3,FALSE))</f>
        <v>Current</v>
      </c>
    </row>
    <row r="360" spans="1:15" x14ac:dyDescent="0.25">
      <c r="A360" t="s">
        <v>1248</v>
      </c>
      <c r="B360" t="s">
        <v>1249</v>
      </c>
      <c r="C360" t="s">
        <v>1256</v>
      </c>
      <c r="D360" t="s">
        <v>1257</v>
      </c>
      <c r="E360" t="s">
        <v>1258</v>
      </c>
      <c r="F360" t="s">
        <v>1258</v>
      </c>
      <c r="G360" t="s">
        <v>5</v>
      </c>
      <c r="H360" t="s">
        <v>5</v>
      </c>
      <c r="I360" t="s">
        <v>9382</v>
      </c>
      <c r="J360" t="s">
        <v>96</v>
      </c>
      <c r="K360" s="3">
        <f t="shared" si="10"/>
        <v>0</v>
      </c>
      <c r="L360" s="3">
        <f>IF(ISERROR(VLOOKUP(J360,Lookups!$A$2:$A$16,1,FALSE)),1,0)</f>
        <v>0</v>
      </c>
      <c r="M360" s="3">
        <f>IF(ISERROR(VLOOKUP(D360,Data!$A$2:$D$223100,2,FALSE)),0,1)</f>
        <v>1</v>
      </c>
      <c r="N360" s="3">
        <f t="shared" si="11"/>
        <v>0</v>
      </c>
      <c r="O360" s="3" t="str">
        <f>IF(ISERROR(VLOOKUP(D360,Data!$A$2:$C$223100,3,FALSE)),"INACTIVE",VLOOKUP(D360,Data!$A$2:$C$223100,3,FALSE))</f>
        <v>BK13</v>
      </c>
    </row>
    <row r="361" spans="1:15" x14ac:dyDescent="0.25">
      <c r="A361" t="s">
        <v>1248</v>
      </c>
      <c r="B361" t="s">
        <v>1249</v>
      </c>
      <c r="C361" t="s">
        <v>1256</v>
      </c>
      <c r="D361" t="s">
        <v>1257</v>
      </c>
      <c r="E361" t="s">
        <v>1259</v>
      </c>
      <c r="F361" t="s">
        <v>1259</v>
      </c>
      <c r="G361" t="s">
        <v>5</v>
      </c>
      <c r="H361" t="s">
        <v>5</v>
      </c>
      <c r="I361" t="s">
        <v>9382</v>
      </c>
      <c r="J361" t="s">
        <v>96</v>
      </c>
      <c r="K361" s="3">
        <f t="shared" si="10"/>
        <v>0</v>
      </c>
      <c r="L361" s="3">
        <f>IF(ISERROR(VLOOKUP(J361,Lookups!$A$2:$A$16,1,FALSE)),1,0)</f>
        <v>0</v>
      </c>
      <c r="M361" s="3">
        <f>IF(ISERROR(VLOOKUP(D361,Data!$A$2:$D$223100,2,FALSE)),0,1)</f>
        <v>1</v>
      </c>
      <c r="N361" s="3">
        <f t="shared" si="11"/>
        <v>0</v>
      </c>
      <c r="O361" s="3" t="str">
        <f>IF(ISERROR(VLOOKUP(D361,Data!$A$2:$C$223100,3,FALSE)),"INACTIVE",VLOOKUP(D361,Data!$A$2:$C$223100,3,FALSE))</f>
        <v>BK13</v>
      </c>
    </row>
    <row r="362" spans="1:15" x14ac:dyDescent="0.25">
      <c r="A362" t="s">
        <v>9323</v>
      </c>
      <c r="B362" t="s">
        <v>9324</v>
      </c>
      <c r="C362" t="s">
        <v>9325</v>
      </c>
      <c r="D362" t="s">
        <v>9326</v>
      </c>
      <c r="E362" t="s">
        <v>9327</v>
      </c>
      <c r="F362" t="s">
        <v>5</v>
      </c>
      <c r="G362" t="s">
        <v>5</v>
      </c>
      <c r="H362" t="s">
        <v>5</v>
      </c>
      <c r="I362" t="s">
        <v>9328</v>
      </c>
      <c r="J362" t="s">
        <v>90</v>
      </c>
      <c r="K362" s="3">
        <f t="shared" si="10"/>
        <v>0</v>
      </c>
      <c r="L362" s="3">
        <f>IF(ISERROR(VLOOKUP(J362,Lookups!$A$2:$A$16,1,FALSE)),1,0)</f>
        <v>0</v>
      </c>
      <c r="M362" s="3">
        <f>IF(ISERROR(VLOOKUP(D362,Data!$A$2:$D$223100,2,FALSE)),0,1)</f>
        <v>0</v>
      </c>
      <c r="N362" s="3">
        <f t="shared" si="11"/>
        <v>0</v>
      </c>
      <c r="O362" s="3" t="str">
        <f>IF(ISERROR(VLOOKUP(D362,Data!$A$2:$C$223100,3,FALSE)),"INACTIVE",VLOOKUP(D362,Data!$A$2:$C$223100,3,FALSE))</f>
        <v>INACTIVE</v>
      </c>
    </row>
    <row r="363" spans="1:15" x14ac:dyDescent="0.25">
      <c r="A363" t="s">
        <v>9323</v>
      </c>
      <c r="B363" t="s">
        <v>9324</v>
      </c>
      <c r="C363" t="s">
        <v>9329</v>
      </c>
      <c r="D363" t="s">
        <v>9330</v>
      </c>
      <c r="E363" t="s">
        <v>9331</v>
      </c>
      <c r="F363" t="s">
        <v>5</v>
      </c>
      <c r="G363" t="s">
        <v>5</v>
      </c>
      <c r="H363" t="s">
        <v>5</v>
      </c>
      <c r="I363" t="s">
        <v>9328</v>
      </c>
      <c r="J363" t="s">
        <v>90</v>
      </c>
      <c r="K363" s="3">
        <f t="shared" si="10"/>
        <v>0</v>
      </c>
      <c r="L363" s="3">
        <f>IF(ISERROR(VLOOKUP(J363,Lookups!$A$2:$A$16,1,FALSE)),1,0)</f>
        <v>0</v>
      </c>
      <c r="M363" s="3">
        <f>IF(ISERROR(VLOOKUP(D363,Data!$A$2:$D$223100,2,FALSE)),0,1)</f>
        <v>0</v>
      </c>
      <c r="N363" s="3">
        <f t="shared" si="11"/>
        <v>0</v>
      </c>
      <c r="O363" s="3" t="str">
        <f>IF(ISERROR(VLOOKUP(D363,Data!$A$2:$C$223100,3,FALSE)),"INACTIVE",VLOOKUP(D363,Data!$A$2:$C$223100,3,FALSE))</f>
        <v>INACTIVE</v>
      </c>
    </row>
    <row r="364" spans="1:15" x14ac:dyDescent="0.25">
      <c r="A364" t="s">
        <v>2009</v>
      </c>
      <c r="B364" t="s">
        <v>2010</v>
      </c>
      <c r="C364" t="s">
        <v>9332</v>
      </c>
      <c r="D364" t="s">
        <v>9333</v>
      </c>
      <c r="E364" t="s">
        <v>5</v>
      </c>
      <c r="F364" t="s">
        <v>9334</v>
      </c>
      <c r="G364" t="s">
        <v>5</v>
      </c>
      <c r="H364" t="s">
        <v>5</v>
      </c>
      <c r="I364" t="s">
        <v>9328</v>
      </c>
      <c r="J364" t="s">
        <v>573</v>
      </c>
      <c r="K364" s="3">
        <f t="shared" si="10"/>
        <v>0</v>
      </c>
      <c r="L364" s="3">
        <f>IF(ISERROR(VLOOKUP(J364,Lookups!$A$2:$A$16,1,FALSE)),1,0)</f>
        <v>1</v>
      </c>
      <c r="M364" s="3">
        <f>IF(ISERROR(VLOOKUP(D364,Data!$A$2:$D$223100,2,FALSE)),0,1)</f>
        <v>1</v>
      </c>
      <c r="N364" s="3">
        <f t="shared" si="11"/>
        <v>1</v>
      </c>
      <c r="O364" s="3" t="str">
        <f>IF(ISERROR(VLOOKUP(D364,Data!$A$2:$C$223100,3,FALSE)),"INACTIVE",VLOOKUP(D364,Data!$A$2:$C$223100,3,FALSE))</f>
        <v>150+</v>
      </c>
    </row>
    <row r="365" spans="1:15" x14ac:dyDescent="0.25">
      <c r="A365" t="s">
        <v>2009</v>
      </c>
      <c r="B365" t="s">
        <v>2010</v>
      </c>
      <c r="C365" t="s">
        <v>2011</v>
      </c>
      <c r="D365" t="s">
        <v>2012</v>
      </c>
      <c r="E365" t="s">
        <v>2013</v>
      </c>
      <c r="F365" t="s">
        <v>5</v>
      </c>
      <c r="G365" t="s">
        <v>5</v>
      </c>
      <c r="H365" t="s">
        <v>5</v>
      </c>
      <c r="I365" t="s">
        <v>9328</v>
      </c>
      <c r="J365" t="s">
        <v>36</v>
      </c>
      <c r="K365" s="3">
        <f t="shared" si="10"/>
        <v>0</v>
      </c>
      <c r="L365" s="3">
        <f>IF(ISERROR(VLOOKUP(J365,Lookups!$A$2:$A$16,1,FALSE)),1,0)</f>
        <v>1</v>
      </c>
      <c r="M365" s="3">
        <f>IF(ISERROR(VLOOKUP(D365,Data!$A$2:$D$223100,2,FALSE)),0,1)</f>
        <v>1</v>
      </c>
      <c r="N365" s="3">
        <f t="shared" si="11"/>
        <v>1</v>
      </c>
      <c r="O365" s="3" t="str">
        <f>IF(ISERROR(VLOOKUP(D365,Data!$A$2:$C$223100,3,FALSE)),"INACTIVE",VLOOKUP(D365,Data!$A$2:$C$223100,3,FALSE))</f>
        <v>Current</v>
      </c>
    </row>
    <row r="366" spans="1:15" x14ac:dyDescent="0.25">
      <c r="A366" t="s">
        <v>2009</v>
      </c>
      <c r="B366" t="s">
        <v>2010</v>
      </c>
      <c r="C366" t="s">
        <v>2011</v>
      </c>
      <c r="D366" t="s">
        <v>2012</v>
      </c>
      <c r="E366" t="s">
        <v>5</v>
      </c>
      <c r="F366" t="s">
        <v>2014</v>
      </c>
      <c r="G366" t="s">
        <v>5</v>
      </c>
      <c r="H366" t="s">
        <v>5</v>
      </c>
      <c r="I366" t="s">
        <v>9328</v>
      </c>
      <c r="J366" t="s">
        <v>36</v>
      </c>
      <c r="K366" s="3">
        <f t="shared" si="10"/>
        <v>0</v>
      </c>
      <c r="L366" s="3">
        <f>IF(ISERROR(VLOOKUP(J366,Lookups!$A$2:$A$16,1,FALSE)),1,0)</f>
        <v>1</v>
      </c>
      <c r="M366" s="3">
        <f>IF(ISERROR(VLOOKUP(D366,Data!$A$2:$D$223100,2,FALSE)),0,1)</f>
        <v>1</v>
      </c>
      <c r="N366" s="3">
        <f t="shared" si="11"/>
        <v>1</v>
      </c>
      <c r="O366" s="3" t="str">
        <f>IF(ISERROR(VLOOKUP(D366,Data!$A$2:$C$223100,3,FALSE)),"INACTIVE",VLOOKUP(D366,Data!$A$2:$C$223100,3,FALSE))</f>
        <v>Current</v>
      </c>
    </row>
    <row r="367" spans="1:15" x14ac:dyDescent="0.25">
      <c r="A367" t="s">
        <v>2009</v>
      </c>
      <c r="B367" t="s">
        <v>2010</v>
      </c>
      <c r="C367" t="s">
        <v>2015</v>
      </c>
      <c r="D367" t="s">
        <v>2016</v>
      </c>
      <c r="E367" t="s">
        <v>5</v>
      </c>
      <c r="F367" t="s">
        <v>2017</v>
      </c>
      <c r="G367" t="s">
        <v>5</v>
      </c>
      <c r="H367" t="s">
        <v>5</v>
      </c>
      <c r="I367" t="s">
        <v>9328</v>
      </c>
      <c r="J367" t="s">
        <v>36</v>
      </c>
      <c r="K367" s="3">
        <f t="shared" si="10"/>
        <v>0</v>
      </c>
      <c r="L367" s="3">
        <f>IF(ISERROR(VLOOKUP(J367,Lookups!$A$2:$A$16,1,FALSE)),1,0)</f>
        <v>1</v>
      </c>
      <c r="M367" s="3">
        <f>IF(ISERROR(VLOOKUP(D367,Data!$A$2:$D$223100,2,FALSE)),0,1)</f>
        <v>1</v>
      </c>
      <c r="N367" s="3">
        <f t="shared" si="11"/>
        <v>1</v>
      </c>
      <c r="O367" s="3" t="str">
        <f>IF(ISERROR(VLOOKUP(D367,Data!$A$2:$C$223100,3,FALSE)),"INACTIVE",VLOOKUP(D367,Data!$A$2:$C$223100,3,FALSE))</f>
        <v>Current</v>
      </c>
    </row>
    <row r="368" spans="1:15" x14ac:dyDescent="0.25">
      <c r="A368" t="s">
        <v>2009</v>
      </c>
      <c r="B368" t="s">
        <v>2010</v>
      </c>
      <c r="C368" t="s">
        <v>2051</v>
      </c>
      <c r="D368" t="s">
        <v>2052</v>
      </c>
      <c r="E368" t="s">
        <v>5</v>
      </c>
      <c r="F368" t="s">
        <v>9335</v>
      </c>
      <c r="G368" t="s">
        <v>5</v>
      </c>
      <c r="H368" t="s">
        <v>5</v>
      </c>
      <c r="I368" t="s">
        <v>9328</v>
      </c>
      <c r="J368" t="s">
        <v>36</v>
      </c>
      <c r="K368" s="3">
        <f t="shared" si="10"/>
        <v>0</v>
      </c>
      <c r="L368" s="3">
        <f>IF(ISERROR(VLOOKUP(J368,Lookups!$A$2:$A$16,1,FALSE)),1,0)</f>
        <v>1</v>
      </c>
      <c r="M368" s="3">
        <f>IF(ISERROR(VLOOKUP(D368,Data!$A$2:$D$223100,2,FALSE)),0,1)</f>
        <v>1</v>
      </c>
      <c r="N368" s="3">
        <f t="shared" si="11"/>
        <v>1</v>
      </c>
      <c r="O368" s="3" t="str">
        <f>IF(ISERROR(VLOOKUP(D368,Data!$A$2:$C$223100,3,FALSE)),"INACTIVE",VLOOKUP(D368,Data!$A$2:$C$223100,3,FALSE))</f>
        <v>60+</v>
      </c>
    </row>
    <row r="369" spans="1:15" x14ac:dyDescent="0.25">
      <c r="A369" t="s">
        <v>2009</v>
      </c>
      <c r="B369" t="s">
        <v>2010</v>
      </c>
      <c r="C369" t="s">
        <v>2018</v>
      </c>
      <c r="D369" t="s">
        <v>2019</v>
      </c>
      <c r="E369" t="s">
        <v>5</v>
      </c>
      <c r="F369" t="s">
        <v>2020</v>
      </c>
      <c r="G369" t="s">
        <v>5</v>
      </c>
      <c r="H369" t="s">
        <v>5</v>
      </c>
      <c r="I369" t="s">
        <v>9328</v>
      </c>
      <c r="J369" t="s">
        <v>573</v>
      </c>
      <c r="K369" s="3">
        <f t="shared" si="10"/>
        <v>0</v>
      </c>
      <c r="L369" s="3">
        <f>IF(ISERROR(VLOOKUP(J369,Lookups!$A$2:$A$16,1,FALSE)),1,0)</f>
        <v>1</v>
      </c>
      <c r="M369" s="3">
        <f>IF(ISERROR(VLOOKUP(D369,Data!$A$2:$D$223100,2,FALSE)),0,1)</f>
        <v>1</v>
      </c>
      <c r="N369" s="3">
        <f t="shared" si="11"/>
        <v>1</v>
      </c>
      <c r="O369" s="3" t="str">
        <f>IF(ISERROR(VLOOKUP(D369,Data!$A$2:$C$223100,3,FALSE)),"INACTIVE",VLOOKUP(D369,Data!$A$2:$C$223100,3,FALSE))</f>
        <v>Demand Letter</v>
      </c>
    </row>
    <row r="370" spans="1:15" x14ac:dyDescent="0.25">
      <c r="A370" t="s">
        <v>2009</v>
      </c>
      <c r="B370" t="s">
        <v>2010</v>
      </c>
      <c r="C370" t="s">
        <v>2021</v>
      </c>
      <c r="D370" t="s">
        <v>2022</v>
      </c>
      <c r="E370" t="s">
        <v>2023</v>
      </c>
      <c r="F370" t="s">
        <v>5</v>
      </c>
      <c r="G370" t="s">
        <v>5</v>
      </c>
      <c r="H370" t="s">
        <v>5</v>
      </c>
      <c r="I370" t="s">
        <v>9328</v>
      </c>
      <c r="J370" t="s">
        <v>36</v>
      </c>
      <c r="K370" s="3">
        <f t="shared" si="10"/>
        <v>0</v>
      </c>
      <c r="L370" s="3">
        <f>IF(ISERROR(VLOOKUP(J370,Lookups!$A$2:$A$16,1,FALSE)),1,0)</f>
        <v>1</v>
      </c>
      <c r="M370" s="3">
        <f>IF(ISERROR(VLOOKUP(D370,Data!$A$2:$D$223100,2,FALSE)),0,1)</f>
        <v>1</v>
      </c>
      <c r="N370" s="3">
        <f t="shared" si="11"/>
        <v>1</v>
      </c>
      <c r="O370" s="3" t="str">
        <f>IF(ISERROR(VLOOKUP(D370,Data!$A$2:$C$223100,3,FALSE)),"INACTIVE",VLOOKUP(D370,Data!$A$2:$C$223100,3,FALSE))</f>
        <v>FBA</v>
      </c>
    </row>
    <row r="371" spans="1:15" x14ac:dyDescent="0.25">
      <c r="A371" t="s">
        <v>2009</v>
      </c>
      <c r="B371" t="s">
        <v>2010</v>
      </c>
      <c r="C371" t="s">
        <v>2021</v>
      </c>
      <c r="D371" t="s">
        <v>2022</v>
      </c>
      <c r="E371" t="s">
        <v>2024</v>
      </c>
      <c r="F371" t="s">
        <v>5</v>
      </c>
      <c r="G371" t="s">
        <v>5</v>
      </c>
      <c r="H371" t="s">
        <v>5</v>
      </c>
      <c r="I371" t="s">
        <v>9328</v>
      </c>
      <c r="J371" t="s">
        <v>36</v>
      </c>
      <c r="K371" s="3">
        <f t="shared" si="10"/>
        <v>0</v>
      </c>
      <c r="L371" s="3">
        <f>IF(ISERROR(VLOOKUP(J371,Lookups!$A$2:$A$16,1,FALSE)),1,0)</f>
        <v>1</v>
      </c>
      <c r="M371" s="3">
        <f>IF(ISERROR(VLOOKUP(D371,Data!$A$2:$D$223100,2,FALSE)),0,1)</f>
        <v>1</v>
      </c>
      <c r="N371" s="3">
        <f t="shared" si="11"/>
        <v>1</v>
      </c>
      <c r="O371" s="3" t="str">
        <f>IF(ISERROR(VLOOKUP(D371,Data!$A$2:$C$223100,3,FALSE)),"INACTIVE",VLOOKUP(D371,Data!$A$2:$C$223100,3,FALSE))</f>
        <v>FBA</v>
      </c>
    </row>
    <row r="372" spans="1:15" x14ac:dyDescent="0.25">
      <c r="A372" t="s">
        <v>2009</v>
      </c>
      <c r="B372" t="s">
        <v>2010</v>
      </c>
      <c r="C372" t="s">
        <v>9336</v>
      </c>
      <c r="D372" t="s">
        <v>9337</v>
      </c>
      <c r="E372" t="s">
        <v>5</v>
      </c>
      <c r="F372" t="s">
        <v>9338</v>
      </c>
      <c r="G372" t="s">
        <v>5</v>
      </c>
      <c r="H372" t="s">
        <v>5</v>
      </c>
      <c r="I372" t="s">
        <v>9328</v>
      </c>
      <c r="J372" t="s">
        <v>573</v>
      </c>
      <c r="K372" s="3">
        <f t="shared" si="10"/>
        <v>0</v>
      </c>
      <c r="L372" s="3">
        <f>IF(ISERROR(VLOOKUP(J372,Lookups!$A$2:$A$16,1,FALSE)),1,0)</f>
        <v>1</v>
      </c>
      <c r="M372" s="3">
        <f>IF(ISERROR(VLOOKUP(D372,Data!$A$2:$D$223100,2,FALSE)),0,1)</f>
        <v>1</v>
      </c>
      <c r="N372" s="3">
        <f t="shared" si="11"/>
        <v>1</v>
      </c>
      <c r="O372" s="3" t="str">
        <f>IF(ISERROR(VLOOKUP(D372,Data!$A$2:$C$223100,3,FALSE)),"INACTIVE",VLOOKUP(D372,Data!$A$2:$C$223100,3,FALSE))</f>
        <v>120+</v>
      </c>
    </row>
    <row r="373" spans="1:15" x14ac:dyDescent="0.25">
      <c r="A373" t="s">
        <v>2009</v>
      </c>
      <c r="B373" t="s">
        <v>2010</v>
      </c>
      <c r="C373" t="s">
        <v>9339</v>
      </c>
      <c r="D373" t="s">
        <v>9340</v>
      </c>
      <c r="E373" t="s">
        <v>9341</v>
      </c>
      <c r="F373" t="s">
        <v>5</v>
      </c>
      <c r="G373" t="s">
        <v>5</v>
      </c>
      <c r="H373" t="s">
        <v>5</v>
      </c>
      <c r="I373" t="s">
        <v>9328</v>
      </c>
      <c r="J373" t="s">
        <v>573</v>
      </c>
      <c r="K373" s="3">
        <f t="shared" si="10"/>
        <v>0</v>
      </c>
      <c r="L373" s="3">
        <f>IF(ISERROR(VLOOKUP(J373,Lookups!$A$2:$A$16,1,FALSE)),1,0)</f>
        <v>1</v>
      </c>
      <c r="M373" s="3">
        <f>IF(ISERROR(VLOOKUP(D373,Data!$A$2:$D$223100,2,FALSE)),0,1)</f>
        <v>1</v>
      </c>
      <c r="N373" s="3">
        <f t="shared" si="11"/>
        <v>1</v>
      </c>
      <c r="O373" s="3" t="str">
        <f>IF(ISERROR(VLOOKUP(D373,Data!$A$2:$C$223100,3,FALSE)),"INACTIVE",VLOOKUP(D373,Data!$A$2:$C$223100,3,FALSE))</f>
        <v>60+</v>
      </c>
    </row>
    <row r="374" spans="1:15" x14ac:dyDescent="0.25">
      <c r="A374" t="s">
        <v>1272</v>
      </c>
      <c r="B374" t="s">
        <v>1273</v>
      </c>
      <c r="C374" t="s">
        <v>1311</v>
      </c>
      <c r="D374" t="s">
        <v>1312</v>
      </c>
      <c r="E374" t="s">
        <v>1344</v>
      </c>
      <c r="F374" t="s">
        <v>5</v>
      </c>
      <c r="G374" t="s">
        <v>5</v>
      </c>
      <c r="H374" t="s">
        <v>5</v>
      </c>
      <c r="I374" t="s">
        <v>9383</v>
      </c>
      <c r="J374" t="s">
        <v>573</v>
      </c>
      <c r="K374" s="3">
        <f t="shared" si="10"/>
        <v>0</v>
      </c>
      <c r="L374" s="3">
        <f>IF(ISERROR(VLOOKUP(J374,Lookups!$A$2:$A$16,1,FALSE)),1,0)</f>
        <v>1</v>
      </c>
      <c r="M374" s="3">
        <f>IF(ISERROR(VLOOKUP(D374,Data!$A$2:$D$223100,2,FALSE)),0,1)</f>
        <v>1</v>
      </c>
      <c r="N374" s="3">
        <f t="shared" si="11"/>
        <v>1</v>
      </c>
      <c r="O374" s="3" t="str">
        <f>IF(ISERROR(VLOOKUP(D374,Data!$A$2:$C$223100,3,FALSE)),"INACTIVE",VLOOKUP(D374,Data!$A$2:$C$223100,3,FALSE))</f>
        <v>FBA</v>
      </c>
    </row>
    <row r="375" spans="1:15" x14ac:dyDescent="0.25">
      <c r="A375" t="s">
        <v>1272</v>
      </c>
      <c r="B375" t="s">
        <v>1273</v>
      </c>
      <c r="C375" t="s">
        <v>1341</v>
      </c>
      <c r="D375" t="s">
        <v>1342</v>
      </c>
      <c r="E375" t="s">
        <v>1345</v>
      </c>
      <c r="F375" t="s">
        <v>5</v>
      </c>
      <c r="G375" t="s">
        <v>5</v>
      </c>
      <c r="H375" t="s">
        <v>5</v>
      </c>
      <c r="I375" t="s">
        <v>9383</v>
      </c>
      <c r="J375" t="s">
        <v>573</v>
      </c>
      <c r="K375" s="3">
        <f t="shared" si="10"/>
        <v>0</v>
      </c>
      <c r="L375" s="3">
        <f>IF(ISERROR(VLOOKUP(J375,Lookups!$A$2:$A$16,1,FALSE)),1,0)</f>
        <v>1</v>
      </c>
      <c r="M375" s="3">
        <f>IF(ISERROR(VLOOKUP(D375,Data!$A$2:$D$223100,2,FALSE)),0,1)</f>
        <v>1</v>
      </c>
      <c r="N375" s="3">
        <f t="shared" si="11"/>
        <v>1</v>
      </c>
      <c r="O375" s="3" t="str">
        <f>IF(ISERROR(VLOOKUP(D375,Data!$A$2:$C$223100,3,FALSE)),"INACTIVE",VLOOKUP(D375,Data!$A$2:$C$223100,3,FALSE))</f>
        <v>Demand Letter</v>
      </c>
    </row>
    <row r="376" spans="1:15" x14ac:dyDescent="0.25">
      <c r="A376" t="s">
        <v>9390</v>
      </c>
      <c r="B376" t="s">
        <v>9391</v>
      </c>
      <c r="C376" t="s">
        <v>443</v>
      </c>
      <c r="D376" t="s">
        <v>444</v>
      </c>
      <c r="E376" t="s">
        <v>9392</v>
      </c>
      <c r="F376" t="s">
        <v>5</v>
      </c>
      <c r="G376" t="s">
        <v>5</v>
      </c>
      <c r="H376" t="s">
        <v>5</v>
      </c>
      <c r="I376" t="s">
        <v>9393</v>
      </c>
      <c r="J376" t="s">
        <v>96</v>
      </c>
      <c r="K376" s="3">
        <f t="shared" si="10"/>
        <v>0</v>
      </c>
      <c r="L376" s="3">
        <f>IF(ISERROR(VLOOKUP(J376,Lookups!$A$2:$A$16,1,FALSE)),1,0)</f>
        <v>0</v>
      </c>
      <c r="M376" s="3">
        <f>IF(ISERROR(VLOOKUP(D376,Data!$A$2:$D$223100,2,FALSE)),0,1)</f>
        <v>1</v>
      </c>
      <c r="N376" s="3">
        <f t="shared" si="11"/>
        <v>0</v>
      </c>
      <c r="O376" s="3" t="str">
        <f>IF(ISERROR(VLOOKUP(D376,Data!$A$2:$C$223100,3,FALSE)),"INACTIVE",VLOOKUP(D376,Data!$A$2:$C$223100,3,FALSE))</f>
        <v>Current</v>
      </c>
    </row>
    <row r="377" spans="1:15" x14ac:dyDescent="0.25">
      <c r="A377" t="s">
        <v>9390</v>
      </c>
      <c r="B377" t="s">
        <v>9391</v>
      </c>
      <c r="C377" t="s">
        <v>443</v>
      </c>
      <c r="D377" t="s">
        <v>444</v>
      </c>
      <c r="E377" t="s">
        <v>9394</v>
      </c>
      <c r="F377" t="s">
        <v>5</v>
      </c>
      <c r="G377" t="s">
        <v>5</v>
      </c>
      <c r="H377" t="s">
        <v>5</v>
      </c>
      <c r="I377" t="s">
        <v>9393</v>
      </c>
      <c r="J377" t="s">
        <v>96</v>
      </c>
      <c r="K377" s="3">
        <f t="shared" si="10"/>
        <v>0</v>
      </c>
      <c r="L377" s="3">
        <f>IF(ISERROR(VLOOKUP(J377,Lookups!$A$2:$A$16,1,FALSE)),1,0)</f>
        <v>0</v>
      </c>
      <c r="M377" s="3">
        <f>IF(ISERROR(VLOOKUP(D377,Data!$A$2:$D$223100,2,FALSE)),0,1)</f>
        <v>1</v>
      </c>
      <c r="N377" s="3">
        <f t="shared" si="11"/>
        <v>0</v>
      </c>
      <c r="O377" s="3" t="str">
        <f>IF(ISERROR(VLOOKUP(D377,Data!$A$2:$C$223100,3,FALSE)),"INACTIVE",VLOOKUP(D377,Data!$A$2:$C$223100,3,FALSE))</f>
        <v>Current</v>
      </c>
    </row>
    <row r="378" spans="1:15" x14ac:dyDescent="0.25">
      <c r="A378" t="s">
        <v>9390</v>
      </c>
      <c r="B378" t="s">
        <v>9391</v>
      </c>
      <c r="C378" t="s">
        <v>9395</v>
      </c>
      <c r="D378" t="s">
        <v>9396</v>
      </c>
      <c r="E378" t="s">
        <v>9397</v>
      </c>
      <c r="F378" t="s">
        <v>5</v>
      </c>
      <c r="G378" t="s">
        <v>5</v>
      </c>
      <c r="H378" t="s">
        <v>5</v>
      </c>
      <c r="I378" t="s">
        <v>9393</v>
      </c>
      <c r="J378" t="s">
        <v>7</v>
      </c>
      <c r="K378" s="3">
        <f t="shared" si="10"/>
        <v>0</v>
      </c>
      <c r="L378" s="3">
        <f>IF(ISERROR(VLOOKUP(J378,Lookups!$A$2:$A$16,1,FALSE)),1,0)</f>
        <v>1</v>
      </c>
      <c r="M378" s="3">
        <f>IF(ISERROR(VLOOKUP(D378,Data!$A$2:$D$223100,2,FALSE)),0,1)</f>
        <v>1</v>
      </c>
      <c r="N378" s="3">
        <f t="shared" si="11"/>
        <v>1</v>
      </c>
      <c r="O378" s="3" t="str">
        <f>IF(ISERROR(VLOOKUP(D378,Data!$A$2:$C$223100,3,FALSE)),"INACTIVE",VLOOKUP(D378,Data!$A$2:$C$223100,3,FALSE))</f>
        <v>180+</v>
      </c>
    </row>
    <row r="379" spans="1:15" x14ac:dyDescent="0.25">
      <c r="A379" t="s">
        <v>9390</v>
      </c>
      <c r="B379" t="s">
        <v>9391</v>
      </c>
      <c r="C379" t="s">
        <v>9398</v>
      </c>
      <c r="D379" t="s">
        <v>9399</v>
      </c>
      <c r="E379" t="s">
        <v>9400</v>
      </c>
      <c r="F379" t="s">
        <v>5</v>
      </c>
      <c r="G379" t="s">
        <v>5</v>
      </c>
      <c r="H379" t="s">
        <v>5</v>
      </c>
      <c r="I379" t="s">
        <v>9393</v>
      </c>
      <c r="J379" t="s">
        <v>7</v>
      </c>
      <c r="K379" s="3">
        <f t="shared" si="10"/>
        <v>0</v>
      </c>
      <c r="L379" s="3">
        <f>IF(ISERROR(VLOOKUP(J379,Lookups!$A$2:$A$16,1,FALSE)),1,0)</f>
        <v>1</v>
      </c>
      <c r="M379" s="3">
        <f>IF(ISERROR(VLOOKUP(D379,Data!$A$2:$D$223100,2,FALSE)),0,1)</f>
        <v>1</v>
      </c>
      <c r="N379" s="3">
        <f t="shared" si="11"/>
        <v>1</v>
      </c>
      <c r="O379" s="3" t="str">
        <f>IF(ISERROR(VLOOKUP(D379,Data!$A$2:$C$223100,3,FALSE)),"INACTIVE",VLOOKUP(D379,Data!$A$2:$C$223100,3,FALSE))</f>
        <v>FC</v>
      </c>
    </row>
    <row r="380" spans="1:15" x14ac:dyDescent="0.25">
      <c r="A380" t="s">
        <v>9390</v>
      </c>
      <c r="B380" t="s">
        <v>9391</v>
      </c>
      <c r="C380" t="s">
        <v>9401</v>
      </c>
      <c r="D380" t="s">
        <v>9402</v>
      </c>
      <c r="E380" t="s">
        <v>9403</v>
      </c>
      <c r="F380" t="s">
        <v>5</v>
      </c>
      <c r="G380" t="s">
        <v>5</v>
      </c>
      <c r="H380" t="s">
        <v>5</v>
      </c>
      <c r="I380" t="s">
        <v>9393</v>
      </c>
      <c r="J380" t="s">
        <v>7</v>
      </c>
      <c r="K380" s="3">
        <f t="shared" si="10"/>
        <v>0</v>
      </c>
      <c r="L380" s="3">
        <f>IF(ISERROR(VLOOKUP(J380,Lookups!$A$2:$A$16,1,FALSE)),1,0)</f>
        <v>1</v>
      </c>
      <c r="M380" s="3">
        <f>IF(ISERROR(VLOOKUP(D380,Data!$A$2:$D$223100,2,FALSE)),0,1)</f>
        <v>1</v>
      </c>
      <c r="N380" s="3">
        <f t="shared" si="11"/>
        <v>1</v>
      </c>
      <c r="O380" s="3" t="str">
        <f>IF(ISERROR(VLOOKUP(D380,Data!$A$2:$C$223100,3,FALSE)),"INACTIVE",VLOOKUP(D380,Data!$A$2:$C$223100,3,FALSE))</f>
        <v>FC</v>
      </c>
    </row>
    <row r="381" spans="1:15" x14ac:dyDescent="0.25">
      <c r="A381" t="s">
        <v>9390</v>
      </c>
      <c r="B381" t="s">
        <v>9391</v>
      </c>
      <c r="C381" t="s">
        <v>8878</v>
      </c>
      <c r="D381" t="s">
        <v>8879</v>
      </c>
      <c r="E381" t="s">
        <v>9404</v>
      </c>
      <c r="F381" t="s">
        <v>5</v>
      </c>
      <c r="G381" t="s">
        <v>5</v>
      </c>
      <c r="H381" t="s">
        <v>5</v>
      </c>
      <c r="I381" t="s">
        <v>9393</v>
      </c>
      <c r="J381" t="s">
        <v>7</v>
      </c>
      <c r="K381" s="3">
        <f t="shared" si="10"/>
        <v>0</v>
      </c>
      <c r="L381" s="3">
        <f>IF(ISERROR(VLOOKUP(J381,Lookups!$A$2:$A$16,1,FALSE)),1,0)</f>
        <v>1</v>
      </c>
      <c r="M381" s="3">
        <f>IF(ISERROR(VLOOKUP(D381,Data!$A$2:$D$223100,2,FALSE)),0,1)</f>
        <v>1</v>
      </c>
      <c r="N381" s="3">
        <f t="shared" si="11"/>
        <v>1</v>
      </c>
      <c r="O381" s="3" t="str">
        <f>IF(ISERROR(VLOOKUP(D381,Data!$A$2:$C$223100,3,FALSE)),"INACTIVE",VLOOKUP(D381,Data!$A$2:$C$223100,3,FALSE))</f>
        <v>180+</v>
      </c>
    </row>
    <row r="382" spans="1:15" x14ac:dyDescent="0.25">
      <c r="A382" t="s">
        <v>9411</v>
      </c>
      <c r="B382" t="s">
        <v>9412</v>
      </c>
      <c r="C382" t="s">
        <v>9413</v>
      </c>
      <c r="D382" t="s">
        <v>9414</v>
      </c>
      <c r="E382" t="s">
        <v>9415</v>
      </c>
      <c r="F382" t="s">
        <v>5</v>
      </c>
      <c r="G382" t="s">
        <v>5</v>
      </c>
      <c r="H382" t="s">
        <v>5</v>
      </c>
      <c r="I382" t="s">
        <v>9416</v>
      </c>
      <c r="J382" t="s">
        <v>14</v>
      </c>
      <c r="K382" s="3">
        <f t="shared" si="10"/>
        <v>0</v>
      </c>
      <c r="L382" s="3">
        <f>IF(ISERROR(VLOOKUP(J382,Lookups!$A$2:$A$16,1,FALSE)),1,0)</f>
        <v>1</v>
      </c>
      <c r="M382" s="3">
        <f>IF(ISERROR(VLOOKUP(D382,Data!$A$2:$D$223100,2,FALSE)),0,1)</f>
        <v>1</v>
      </c>
      <c r="N382" s="3">
        <f t="shared" si="11"/>
        <v>1</v>
      </c>
      <c r="O382" s="3" t="str">
        <f>IF(ISERROR(VLOOKUP(D382,Data!$A$2:$C$223100,3,FALSE)),"INACTIVE",VLOOKUP(D382,Data!$A$2:$C$223100,3,FALSE))</f>
        <v>180+</v>
      </c>
    </row>
    <row r="383" spans="1:15" x14ac:dyDescent="0.25">
      <c r="A383" t="s">
        <v>4117</v>
      </c>
      <c r="B383" t="s">
        <v>9164</v>
      </c>
      <c r="C383" t="s">
        <v>9165</v>
      </c>
      <c r="D383" t="s">
        <v>9166</v>
      </c>
      <c r="E383" t="s">
        <v>9167</v>
      </c>
      <c r="F383" t="s">
        <v>5</v>
      </c>
      <c r="G383" t="s">
        <v>5</v>
      </c>
      <c r="H383" t="s">
        <v>5</v>
      </c>
      <c r="I383" t="s">
        <v>9168</v>
      </c>
      <c r="J383" t="s">
        <v>7</v>
      </c>
      <c r="K383" s="3">
        <f t="shared" si="10"/>
        <v>0</v>
      </c>
      <c r="L383" s="3">
        <f>IF(ISERROR(VLOOKUP(J383,Lookups!$A$2:$A$16,1,FALSE)),1,0)</f>
        <v>1</v>
      </c>
      <c r="M383" s="3">
        <f>IF(ISERROR(VLOOKUP(D383,Data!$A$2:$D$223100,2,FALSE)),0,1)</f>
        <v>1</v>
      </c>
      <c r="N383" s="3">
        <f t="shared" si="11"/>
        <v>1</v>
      </c>
      <c r="O383" s="3" t="str">
        <f>IF(ISERROR(VLOOKUP(D383,Data!$A$2:$C$223100,3,FALSE)),"INACTIVE",VLOOKUP(D383,Data!$A$2:$C$223100,3,FALSE))</f>
        <v>180+</v>
      </c>
    </row>
    <row r="384" spans="1:15" x14ac:dyDescent="0.25">
      <c r="A384" t="s">
        <v>567</v>
      </c>
      <c r="B384" t="s">
        <v>568</v>
      </c>
      <c r="C384" t="s">
        <v>569</v>
      </c>
      <c r="D384" t="s">
        <v>570</v>
      </c>
      <c r="E384" t="s">
        <v>5</v>
      </c>
      <c r="F384" t="s">
        <v>571</v>
      </c>
      <c r="G384" t="s">
        <v>5</v>
      </c>
      <c r="H384" t="s">
        <v>5</v>
      </c>
      <c r="I384" t="s">
        <v>9349</v>
      </c>
      <c r="J384" t="s">
        <v>573</v>
      </c>
      <c r="K384" s="3">
        <f t="shared" si="10"/>
        <v>0</v>
      </c>
      <c r="L384" s="3">
        <f>IF(ISERROR(VLOOKUP(J384,Lookups!$A$2:$A$16,1,FALSE)),1,0)</f>
        <v>1</v>
      </c>
      <c r="M384" s="3">
        <f>IF(ISERROR(VLOOKUP(D384,Data!$A$2:$D$223100,2,FALSE)),0,1)</f>
        <v>1</v>
      </c>
      <c r="N384" s="3">
        <f t="shared" si="11"/>
        <v>1</v>
      </c>
      <c r="O384" s="3" t="str">
        <f>IF(ISERROR(VLOOKUP(D384,Data!$A$2:$C$223100,3,FALSE)),"INACTIVE",VLOOKUP(D384,Data!$A$2:$C$223100,3,FALSE))</f>
        <v>Demand Letter</v>
      </c>
    </row>
    <row r="385" spans="1:15" x14ac:dyDescent="0.25">
      <c r="A385" t="s">
        <v>567</v>
      </c>
      <c r="B385" t="s">
        <v>568</v>
      </c>
      <c r="C385" t="s">
        <v>574</v>
      </c>
      <c r="D385" t="s">
        <v>575</v>
      </c>
      <c r="E385" t="s">
        <v>576</v>
      </c>
      <c r="F385" t="s">
        <v>576</v>
      </c>
      <c r="G385" t="s">
        <v>5</v>
      </c>
      <c r="H385" t="s">
        <v>5</v>
      </c>
      <c r="I385" t="s">
        <v>9349</v>
      </c>
      <c r="J385" t="s">
        <v>7</v>
      </c>
      <c r="K385" s="3">
        <f t="shared" si="10"/>
        <v>0</v>
      </c>
      <c r="L385" s="3">
        <f>IF(ISERROR(VLOOKUP(J385,Lookups!$A$2:$A$16,1,FALSE)),1,0)</f>
        <v>1</v>
      </c>
      <c r="M385" s="3">
        <f>IF(ISERROR(VLOOKUP(D385,Data!$A$2:$D$223100,2,FALSE)),0,1)</f>
        <v>1</v>
      </c>
      <c r="N385" s="3">
        <f t="shared" si="11"/>
        <v>1</v>
      </c>
      <c r="O385" s="3" t="str">
        <f>IF(ISERROR(VLOOKUP(D385,Data!$A$2:$C$223100,3,FALSE)),"INACTIVE",VLOOKUP(D385,Data!$A$2:$C$223100,3,FALSE))</f>
        <v>60+</v>
      </c>
    </row>
    <row r="386" spans="1:15" x14ac:dyDescent="0.25">
      <c r="A386" t="s">
        <v>567</v>
      </c>
      <c r="B386" t="s">
        <v>568</v>
      </c>
      <c r="C386" t="s">
        <v>574</v>
      </c>
      <c r="D386" t="s">
        <v>575</v>
      </c>
      <c r="E386" t="s">
        <v>577</v>
      </c>
      <c r="F386" t="s">
        <v>577</v>
      </c>
      <c r="G386" t="s">
        <v>5</v>
      </c>
      <c r="H386" t="s">
        <v>5</v>
      </c>
      <c r="I386" t="s">
        <v>9349</v>
      </c>
      <c r="J386" t="s">
        <v>7</v>
      </c>
      <c r="K386" s="3">
        <f t="shared" si="10"/>
        <v>0</v>
      </c>
      <c r="L386" s="3">
        <f>IF(ISERROR(VLOOKUP(J386,Lookups!$A$2:$A$16,1,FALSE)),1,0)</f>
        <v>1</v>
      </c>
      <c r="M386" s="3">
        <f>IF(ISERROR(VLOOKUP(D386,Data!$A$2:$D$223100,2,FALSE)),0,1)</f>
        <v>1</v>
      </c>
      <c r="N386" s="3">
        <f t="shared" si="11"/>
        <v>1</v>
      </c>
      <c r="O386" s="3" t="str">
        <f>IF(ISERROR(VLOOKUP(D386,Data!$A$2:$C$223100,3,FALSE)),"INACTIVE",VLOOKUP(D386,Data!$A$2:$C$223100,3,FALSE))</f>
        <v>60+</v>
      </c>
    </row>
    <row r="387" spans="1:15" x14ac:dyDescent="0.25">
      <c r="A387" t="s">
        <v>567</v>
      </c>
      <c r="B387" t="s">
        <v>568</v>
      </c>
      <c r="C387" t="s">
        <v>574</v>
      </c>
      <c r="D387" t="s">
        <v>575</v>
      </c>
      <c r="E387" t="s">
        <v>578</v>
      </c>
      <c r="F387" t="s">
        <v>578</v>
      </c>
      <c r="G387" t="s">
        <v>5</v>
      </c>
      <c r="H387" t="s">
        <v>5</v>
      </c>
      <c r="I387" t="s">
        <v>9349</v>
      </c>
      <c r="J387" t="s">
        <v>7</v>
      </c>
      <c r="K387" s="3">
        <f t="shared" ref="K387:K450" si="12">IF(ISERROR(FIND("LIEN",A387,1)),0,1)</f>
        <v>0</v>
      </c>
      <c r="L387" s="3">
        <f>IF(ISERROR(VLOOKUP(J387,Lookups!$A$2:$A$16,1,FALSE)),1,0)</f>
        <v>1</v>
      </c>
      <c r="M387" s="3">
        <f>IF(ISERROR(VLOOKUP(D387,Data!$A$2:$D$223100,2,FALSE)),0,1)</f>
        <v>1</v>
      </c>
      <c r="N387" s="3">
        <f t="shared" ref="N387:N450" si="13">IF(M387=0,0,IF(SUM(K387:L387)&gt;0,1,0))</f>
        <v>1</v>
      </c>
      <c r="O387" s="3" t="str">
        <f>IF(ISERROR(VLOOKUP(D387,Data!$A$2:$C$223100,3,FALSE)),"INACTIVE",VLOOKUP(D387,Data!$A$2:$C$223100,3,FALSE))</f>
        <v>60+</v>
      </c>
    </row>
    <row r="388" spans="1:15" x14ac:dyDescent="0.25">
      <c r="A388" t="s">
        <v>567</v>
      </c>
      <c r="B388" t="s">
        <v>568</v>
      </c>
      <c r="C388" t="s">
        <v>574</v>
      </c>
      <c r="D388" t="s">
        <v>575</v>
      </c>
      <c r="E388" t="s">
        <v>579</v>
      </c>
      <c r="F388" t="s">
        <v>579</v>
      </c>
      <c r="G388" t="s">
        <v>5</v>
      </c>
      <c r="H388" t="s">
        <v>5</v>
      </c>
      <c r="I388" t="s">
        <v>9349</v>
      </c>
      <c r="J388" t="s">
        <v>7</v>
      </c>
      <c r="K388" s="3">
        <f t="shared" si="12"/>
        <v>0</v>
      </c>
      <c r="L388" s="3">
        <f>IF(ISERROR(VLOOKUP(J388,Lookups!$A$2:$A$16,1,FALSE)),1,0)</f>
        <v>1</v>
      </c>
      <c r="M388" s="3">
        <f>IF(ISERROR(VLOOKUP(D388,Data!$A$2:$D$223100,2,FALSE)),0,1)</f>
        <v>1</v>
      </c>
      <c r="N388" s="3">
        <f t="shared" si="13"/>
        <v>1</v>
      </c>
      <c r="O388" s="3" t="str">
        <f>IF(ISERROR(VLOOKUP(D388,Data!$A$2:$C$223100,3,FALSE)),"INACTIVE",VLOOKUP(D388,Data!$A$2:$C$223100,3,FALSE))</f>
        <v>60+</v>
      </c>
    </row>
    <row r="389" spans="1:15" x14ac:dyDescent="0.25">
      <c r="A389" t="s">
        <v>567</v>
      </c>
      <c r="B389" t="s">
        <v>568</v>
      </c>
      <c r="C389" t="s">
        <v>9350</v>
      </c>
      <c r="D389" t="s">
        <v>9351</v>
      </c>
      <c r="E389" t="s">
        <v>5</v>
      </c>
      <c r="F389" t="s">
        <v>9352</v>
      </c>
      <c r="G389" t="s">
        <v>5</v>
      </c>
      <c r="H389" t="s">
        <v>5</v>
      </c>
      <c r="I389" t="s">
        <v>9349</v>
      </c>
      <c r="J389" t="s">
        <v>573</v>
      </c>
      <c r="K389" s="3">
        <f t="shared" si="12"/>
        <v>0</v>
      </c>
      <c r="L389" s="3">
        <f>IF(ISERROR(VLOOKUP(J389,Lookups!$A$2:$A$16,1,FALSE)),1,0)</f>
        <v>1</v>
      </c>
      <c r="M389" s="3">
        <f>IF(ISERROR(VLOOKUP(D389,Data!$A$2:$D$223100,2,FALSE)),0,1)</f>
        <v>1</v>
      </c>
      <c r="N389" s="3">
        <f t="shared" si="13"/>
        <v>1</v>
      </c>
      <c r="O389" s="3" t="str">
        <f>IF(ISERROR(VLOOKUP(D389,Data!$A$2:$C$223100,3,FALSE)),"INACTIVE",VLOOKUP(D389,Data!$A$2:$C$223100,3,FALSE))</f>
        <v>Demand Letter</v>
      </c>
    </row>
    <row r="390" spans="1:15" x14ac:dyDescent="0.25">
      <c r="A390" t="s">
        <v>567</v>
      </c>
      <c r="B390" t="s">
        <v>568</v>
      </c>
      <c r="C390" t="s">
        <v>9353</v>
      </c>
      <c r="D390" t="s">
        <v>9354</v>
      </c>
      <c r="E390" t="s">
        <v>5</v>
      </c>
      <c r="F390" t="s">
        <v>9355</v>
      </c>
      <c r="G390" t="s">
        <v>5</v>
      </c>
      <c r="H390" t="s">
        <v>5</v>
      </c>
      <c r="I390" t="s">
        <v>9349</v>
      </c>
      <c r="J390" t="s">
        <v>573</v>
      </c>
      <c r="K390" s="3">
        <f t="shared" si="12"/>
        <v>0</v>
      </c>
      <c r="L390" s="3">
        <f>IF(ISERROR(VLOOKUP(J390,Lookups!$A$2:$A$16,1,FALSE)),1,0)</f>
        <v>1</v>
      </c>
      <c r="M390" s="3">
        <f>IF(ISERROR(VLOOKUP(D390,Data!$A$2:$D$223100,2,FALSE)),0,1)</f>
        <v>1</v>
      </c>
      <c r="N390" s="3">
        <f t="shared" si="13"/>
        <v>1</v>
      </c>
      <c r="O390" s="3" t="str">
        <f>IF(ISERROR(VLOOKUP(D390,Data!$A$2:$C$223100,3,FALSE)),"INACTIVE",VLOOKUP(D390,Data!$A$2:$C$223100,3,FALSE))</f>
        <v>FBA</v>
      </c>
    </row>
    <row r="391" spans="1:15" x14ac:dyDescent="0.25">
      <c r="A391" t="s">
        <v>567</v>
      </c>
      <c r="B391" t="s">
        <v>568</v>
      </c>
      <c r="C391" t="s">
        <v>9356</v>
      </c>
      <c r="D391" t="s">
        <v>9357</v>
      </c>
      <c r="E391" t="s">
        <v>5</v>
      </c>
      <c r="F391" t="s">
        <v>9358</v>
      </c>
      <c r="G391" t="s">
        <v>5</v>
      </c>
      <c r="H391" t="s">
        <v>5</v>
      </c>
      <c r="I391" t="s">
        <v>9349</v>
      </c>
      <c r="J391" t="s">
        <v>573</v>
      </c>
      <c r="K391" s="3">
        <f t="shared" si="12"/>
        <v>0</v>
      </c>
      <c r="L391" s="3">
        <f>IF(ISERROR(VLOOKUP(J391,Lookups!$A$2:$A$16,1,FALSE)),1,0)</f>
        <v>1</v>
      </c>
      <c r="M391" s="3">
        <f>IF(ISERROR(VLOOKUP(D391,Data!$A$2:$D$223100,2,FALSE)),0,1)</f>
        <v>1</v>
      </c>
      <c r="N391" s="3">
        <f t="shared" si="13"/>
        <v>1</v>
      </c>
      <c r="O391" s="3" t="str">
        <f>IF(ISERROR(VLOOKUP(D391,Data!$A$2:$C$223100,3,FALSE)),"INACTIVE",VLOOKUP(D391,Data!$A$2:$C$223100,3,FALSE))</f>
        <v>FC</v>
      </c>
    </row>
    <row r="392" spans="1:15" x14ac:dyDescent="0.25">
      <c r="A392" t="s">
        <v>567</v>
      </c>
      <c r="B392" t="s">
        <v>568</v>
      </c>
      <c r="C392" t="s">
        <v>658</v>
      </c>
      <c r="D392" t="s">
        <v>659</v>
      </c>
      <c r="E392" t="s">
        <v>5</v>
      </c>
      <c r="F392" t="s">
        <v>9359</v>
      </c>
      <c r="G392" t="s">
        <v>5</v>
      </c>
      <c r="H392" t="s">
        <v>5</v>
      </c>
      <c r="I392" t="s">
        <v>9349</v>
      </c>
      <c r="J392" t="s">
        <v>573</v>
      </c>
      <c r="K392" s="3">
        <f t="shared" si="12"/>
        <v>0</v>
      </c>
      <c r="L392" s="3">
        <f>IF(ISERROR(VLOOKUP(J392,Lookups!$A$2:$A$16,1,FALSE)),1,0)</f>
        <v>1</v>
      </c>
      <c r="M392" s="3">
        <f>IF(ISERROR(VLOOKUP(D392,Data!$A$2:$D$223100,2,FALSE)),0,1)</f>
        <v>1</v>
      </c>
      <c r="N392" s="3">
        <f t="shared" si="13"/>
        <v>1</v>
      </c>
      <c r="O392" s="3" t="str">
        <f>IF(ISERROR(VLOOKUP(D392,Data!$A$2:$C$223100,3,FALSE)),"INACTIVE",VLOOKUP(D392,Data!$A$2:$C$223100,3,FALSE))</f>
        <v>BK13</v>
      </c>
    </row>
    <row r="393" spans="1:15" x14ac:dyDescent="0.25">
      <c r="A393" t="s">
        <v>567</v>
      </c>
      <c r="B393" t="s">
        <v>568</v>
      </c>
      <c r="C393" t="s">
        <v>580</v>
      </c>
      <c r="D393" t="s">
        <v>581</v>
      </c>
      <c r="E393" t="s">
        <v>582</v>
      </c>
      <c r="F393" t="s">
        <v>583</v>
      </c>
      <c r="G393" t="s">
        <v>5</v>
      </c>
      <c r="H393" t="s">
        <v>5</v>
      </c>
      <c r="I393" t="s">
        <v>9349</v>
      </c>
      <c r="J393" t="s">
        <v>573</v>
      </c>
      <c r="K393" s="3">
        <f t="shared" si="12"/>
        <v>0</v>
      </c>
      <c r="L393" s="3">
        <f>IF(ISERROR(VLOOKUP(J393,Lookups!$A$2:$A$16,1,FALSE)),1,0)</f>
        <v>1</v>
      </c>
      <c r="M393" s="3">
        <f>IF(ISERROR(VLOOKUP(D393,Data!$A$2:$D$223100,2,FALSE)),0,1)</f>
        <v>1</v>
      </c>
      <c r="N393" s="3">
        <f t="shared" si="13"/>
        <v>1</v>
      </c>
      <c r="O393" s="3" t="str">
        <f>IF(ISERROR(VLOOKUP(D393,Data!$A$2:$C$223100,3,FALSE)),"INACTIVE",VLOOKUP(D393,Data!$A$2:$C$223100,3,FALSE))</f>
        <v>180+</v>
      </c>
    </row>
    <row r="394" spans="1:15" x14ac:dyDescent="0.25">
      <c r="A394" t="s">
        <v>9106</v>
      </c>
      <c r="B394" t="s">
        <v>9107</v>
      </c>
      <c r="C394" t="s">
        <v>9108</v>
      </c>
      <c r="D394" t="s">
        <v>9109</v>
      </c>
      <c r="E394" t="s">
        <v>5</v>
      </c>
      <c r="F394" t="s">
        <v>9110</v>
      </c>
      <c r="G394" t="s">
        <v>5</v>
      </c>
      <c r="H394" t="s">
        <v>5</v>
      </c>
      <c r="I394" t="s">
        <v>9111</v>
      </c>
      <c r="J394" t="s">
        <v>7</v>
      </c>
      <c r="K394" s="3">
        <f t="shared" si="12"/>
        <v>0</v>
      </c>
      <c r="L394" s="3">
        <f>IF(ISERROR(VLOOKUP(J394,Lookups!$A$2:$A$16,1,FALSE)),1,0)</f>
        <v>1</v>
      </c>
      <c r="M394" s="3">
        <f>IF(ISERROR(VLOOKUP(D394,Data!$A$2:$D$223100,2,FALSE)),0,1)</f>
        <v>1</v>
      </c>
      <c r="N394" s="3">
        <f t="shared" si="13"/>
        <v>1</v>
      </c>
      <c r="O394" s="3" t="str">
        <f>IF(ISERROR(VLOOKUP(D394,Data!$A$2:$C$223100,3,FALSE)),"INACTIVE",VLOOKUP(D394,Data!$A$2:$C$223100,3,FALSE))</f>
        <v>150+</v>
      </c>
    </row>
    <row r="395" spans="1:15" x14ac:dyDescent="0.25">
      <c r="A395" t="s">
        <v>9106</v>
      </c>
      <c r="B395" t="s">
        <v>9107</v>
      </c>
      <c r="C395" t="s">
        <v>9112</v>
      </c>
      <c r="D395" t="s">
        <v>9113</v>
      </c>
      <c r="E395" t="s">
        <v>5</v>
      </c>
      <c r="F395" t="s">
        <v>9114</v>
      </c>
      <c r="G395" t="s">
        <v>5</v>
      </c>
      <c r="H395" t="s">
        <v>5</v>
      </c>
      <c r="I395" t="s">
        <v>9111</v>
      </c>
      <c r="J395" t="s">
        <v>7</v>
      </c>
      <c r="K395" s="3">
        <f t="shared" si="12"/>
        <v>0</v>
      </c>
      <c r="L395" s="3">
        <f>IF(ISERROR(VLOOKUP(J395,Lookups!$A$2:$A$16,1,FALSE)),1,0)</f>
        <v>1</v>
      </c>
      <c r="M395" s="3">
        <f>IF(ISERROR(VLOOKUP(D395,Data!$A$2:$D$223100,2,FALSE)),0,1)</f>
        <v>0</v>
      </c>
      <c r="N395" s="3">
        <f t="shared" si="13"/>
        <v>0</v>
      </c>
      <c r="O395" s="3" t="str">
        <f>IF(ISERROR(VLOOKUP(D395,Data!$A$2:$C$223100,3,FALSE)),"INACTIVE",VLOOKUP(D395,Data!$A$2:$C$223100,3,FALSE))</f>
        <v>INACTIVE</v>
      </c>
    </row>
    <row r="396" spans="1:15" x14ac:dyDescent="0.25">
      <c r="A396" t="s">
        <v>6138</v>
      </c>
      <c r="B396" t="s">
        <v>6139</v>
      </c>
      <c r="C396" t="s">
        <v>6147</v>
      </c>
      <c r="D396" t="s">
        <v>6148</v>
      </c>
      <c r="E396" t="s">
        <v>6149</v>
      </c>
      <c r="F396" t="s">
        <v>5</v>
      </c>
      <c r="G396" t="s">
        <v>5</v>
      </c>
      <c r="H396" t="s">
        <v>5</v>
      </c>
      <c r="I396" t="s">
        <v>9111</v>
      </c>
      <c r="J396" t="s">
        <v>7</v>
      </c>
      <c r="K396" s="3">
        <f t="shared" si="12"/>
        <v>0</v>
      </c>
      <c r="L396" s="3">
        <f>IF(ISERROR(VLOOKUP(J396,Lookups!$A$2:$A$16,1,FALSE)),1,0)</f>
        <v>1</v>
      </c>
      <c r="M396" s="3">
        <f>IF(ISERROR(VLOOKUP(D396,Data!$A$2:$D$223100,2,FALSE)),0,1)</f>
        <v>1</v>
      </c>
      <c r="N396" s="3">
        <f t="shared" si="13"/>
        <v>1</v>
      </c>
      <c r="O396" s="3" t="str">
        <f>IF(ISERROR(VLOOKUP(D396,Data!$A$2:$C$223100,3,FALSE)),"INACTIVE",VLOOKUP(D396,Data!$A$2:$C$223100,3,FALSE))</f>
        <v>FC</v>
      </c>
    </row>
    <row r="397" spans="1:15" x14ac:dyDescent="0.25">
      <c r="A397" t="s">
        <v>6138</v>
      </c>
      <c r="B397" t="s">
        <v>6139</v>
      </c>
      <c r="C397" t="s">
        <v>6147</v>
      </c>
      <c r="D397" t="s">
        <v>6148</v>
      </c>
      <c r="E397" t="s">
        <v>6150</v>
      </c>
      <c r="F397" t="s">
        <v>5</v>
      </c>
      <c r="G397" t="s">
        <v>5</v>
      </c>
      <c r="H397" t="s">
        <v>5</v>
      </c>
      <c r="I397" t="s">
        <v>9111</v>
      </c>
      <c r="J397" t="s">
        <v>7</v>
      </c>
      <c r="K397" s="3">
        <f t="shared" si="12"/>
        <v>0</v>
      </c>
      <c r="L397" s="3">
        <f>IF(ISERROR(VLOOKUP(J397,Lookups!$A$2:$A$16,1,FALSE)),1,0)</f>
        <v>1</v>
      </c>
      <c r="M397" s="3">
        <f>IF(ISERROR(VLOOKUP(D397,Data!$A$2:$D$223100,2,FALSE)),0,1)</f>
        <v>1</v>
      </c>
      <c r="N397" s="3">
        <f t="shared" si="13"/>
        <v>1</v>
      </c>
      <c r="O397" s="3" t="str">
        <f>IF(ISERROR(VLOOKUP(D397,Data!$A$2:$C$223100,3,FALSE)),"INACTIVE",VLOOKUP(D397,Data!$A$2:$C$223100,3,FALSE))</f>
        <v>FC</v>
      </c>
    </row>
    <row r="398" spans="1:15" x14ac:dyDescent="0.25">
      <c r="A398" t="s">
        <v>9058</v>
      </c>
      <c r="B398" t="s">
        <v>9059</v>
      </c>
      <c r="C398" t="s">
        <v>9060</v>
      </c>
      <c r="D398" t="s">
        <v>9061</v>
      </c>
      <c r="E398" t="s">
        <v>9062</v>
      </c>
      <c r="F398" t="s">
        <v>5</v>
      </c>
      <c r="G398" t="s">
        <v>5</v>
      </c>
      <c r="H398" t="s">
        <v>5</v>
      </c>
      <c r="I398" t="s">
        <v>9063</v>
      </c>
      <c r="J398" t="s">
        <v>90</v>
      </c>
      <c r="K398" s="3">
        <f t="shared" si="12"/>
        <v>0</v>
      </c>
      <c r="L398" s="3">
        <f>IF(ISERROR(VLOOKUP(J398,Lookups!$A$2:$A$16,1,FALSE)),1,0)</f>
        <v>0</v>
      </c>
      <c r="M398" s="3">
        <f>IF(ISERROR(VLOOKUP(D398,Data!$A$2:$D$223100,2,FALSE)),0,1)</f>
        <v>1</v>
      </c>
      <c r="N398" s="3">
        <f t="shared" si="13"/>
        <v>0</v>
      </c>
      <c r="O398" s="3" t="str">
        <f>IF(ISERROR(VLOOKUP(D398,Data!$A$2:$C$223100,3,FALSE)),"INACTIVE",VLOOKUP(D398,Data!$A$2:$C$223100,3,FALSE))</f>
        <v>Demand Letter</v>
      </c>
    </row>
    <row r="399" spans="1:15" x14ac:dyDescent="0.25">
      <c r="A399" t="s">
        <v>9058</v>
      </c>
      <c r="B399" t="s">
        <v>9059</v>
      </c>
      <c r="C399" t="s">
        <v>9064</v>
      </c>
      <c r="D399" t="s">
        <v>9065</v>
      </c>
      <c r="E399" t="s">
        <v>9066</v>
      </c>
      <c r="F399" t="s">
        <v>5</v>
      </c>
      <c r="G399" t="s">
        <v>5</v>
      </c>
      <c r="H399" t="s">
        <v>5</v>
      </c>
      <c r="I399" t="s">
        <v>9063</v>
      </c>
      <c r="J399" t="s">
        <v>90</v>
      </c>
      <c r="K399" s="3">
        <f t="shared" si="12"/>
        <v>0</v>
      </c>
      <c r="L399" s="3">
        <f>IF(ISERROR(VLOOKUP(J399,Lookups!$A$2:$A$16,1,FALSE)),1,0)</f>
        <v>0</v>
      </c>
      <c r="M399" s="3">
        <f>IF(ISERROR(VLOOKUP(D399,Data!$A$2:$D$223100,2,FALSE)),0,1)</f>
        <v>1</v>
      </c>
      <c r="N399" s="3">
        <f t="shared" si="13"/>
        <v>0</v>
      </c>
      <c r="O399" s="3" t="str">
        <f>IF(ISERROR(VLOOKUP(D399,Data!$A$2:$C$223100,3,FALSE)),"INACTIVE",VLOOKUP(D399,Data!$A$2:$C$223100,3,FALSE))</f>
        <v>FC</v>
      </c>
    </row>
    <row r="400" spans="1:15" x14ac:dyDescent="0.25">
      <c r="A400" t="s">
        <v>9115</v>
      </c>
      <c r="B400" t="s">
        <v>9116</v>
      </c>
      <c r="C400" t="s">
        <v>9117</v>
      </c>
      <c r="D400" t="s">
        <v>9118</v>
      </c>
      <c r="E400" t="s">
        <v>9119</v>
      </c>
      <c r="F400" t="s">
        <v>5</v>
      </c>
      <c r="G400" t="s">
        <v>5</v>
      </c>
      <c r="H400" t="s">
        <v>5</v>
      </c>
      <c r="I400" t="s">
        <v>9063</v>
      </c>
      <c r="J400" t="s">
        <v>7</v>
      </c>
      <c r="K400" s="3">
        <f t="shared" si="12"/>
        <v>0</v>
      </c>
      <c r="L400" s="3">
        <f>IF(ISERROR(VLOOKUP(J400,Lookups!$A$2:$A$16,1,FALSE)),1,0)</f>
        <v>1</v>
      </c>
      <c r="M400" s="3">
        <f>IF(ISERROR(VLOOKUP(D400,Data!$A$2:$D$223100,2,FALSE)),0,1)</f>
        <v>1</v>
      </c>
      <c r="N400" s="3">
        <f t="shared" si="13"/>
        <v>1</v>
      </c>
      <c r="O400" s="3" t="str">
        <f>IF(ISERROR(VLOOKUP(D400,Data!$A$2:$C$223100,3,FALSE)),"INACTIVE",VLOOKUP(D400,Data!$A$2:$C$223100,3,FALSE))</f>
        <v>90+</v>
      </c>
    </row>
    <row r="401" spans="1:15" x14ac:dyDescent="0.25">
      <c r="A401" t="s">
        <v>9115</v>
      </c>
      <c r="B401" t="s">
        <v>9116</v>
      </c>
      <c r="C401" t="s">
        <v>9120</v>
      </c>
      <c r="D401" t="s">
        <v>9121</v>
      </c>
      <c r="E401" t="s">
        <v>9122</v>
      </c>
      <c r="F401" t="s">
        <v>5</v>
      </c>
      <c r="G401" t="s">
        <v>5</v>
      </c>
      <c r="H401" t="s">
        <v>5</v>
      </c>
      <c r="I401" t="s">
        <v>9063</v>
      </c>
      <c r="J401" t="s">
        <v>7</v>
      </c>
      <c r="K401" s="3">
        <f t="shared" si="12"/>
        <v>0</v>
      </c>
      <c r="L401" s="3">
        <f>IF(ISERROR(VLOOKUP(J401,Lookups!$A$2:$A$16,1,FALSE)),1,0)</f>
        <v>1</v>
      </c>
      <c r="M401" s="3">
        <f>IF(ISERROR(VLOOKUP(D401,Data!$A$2:$D$223100,2,FALSE)),0,1)</f>
        <v>1</v>
      </c>
      <c r="N401" s="3">
        <f t="shared" si="13"/>
        <v>1</v>
      </c>
      <c r="O401" s="3" t="str">
        <f>IF(ISERROR(VLOOKUP(D401,Data!$A$2:$C$223100,3,FALSE)),"INACTIVE",VLOOKUP(D401,Data!$A$2:$C$223100,3,FALSE))</f>
        <v>Current</v>
      </c>
    </row>
    <row r="402" spans="1:15" x14ac:dyDescent="0.25">
      <c r="A402" t="s">
        <v>9115</v>
      </c>
      <c r="B402" t="s">
        <v>9116</v>
      </c>
      <c r="C402" t="s">
        <v>9123</v>
      </c>
      <c r="D402" t="s">
        <v>9124</v>
      </c>
      <c r="E402" t="s">
        <v>9125</v>
      </c>
      <c r="F402" t="s">
        <v>5</v>
      </c>
      <c r="G402" t="s">
        <v>5</v>
      </c>
      <c r="H402" t="s">
        <v>5</v>
      </c>
      <c r="I402" t="s">
        <v>9063</v>
      </c>
      <c r="J402" t="s">
        <v>7</v>
      </c>
      <c r="K402" s="3">
        <f t="shared" si="12"/>
        <v>0</v>
      </c>
      <c r="L402" s="3">
        <f>IF(ISERROR(VLOOKUP(J402,Lookups!$A$2:$A$16,1,FALSE)),1,0)</f>
        <v>1</v>
      </c>
      <c r="M402" s="3">
        <f>IF(ISERROR(VLOOKUP(D402,Data!$A$2:$D$223100,2,FALSE)),0,1)</f>
        <v>1</v>
      </c>
      <c r="N402" s="3">
        <f t="shared" si="13"/>
        <v>1</v>
      </c>
      <c r="O402" s="3" t="str">
        <f>IF(ISERROR(VLOOKUP(D402,Data!$A$2:$C$223100,3,FALSE)),"INACTIVE",VLOOKUP(D402,Data!$A$2:$C$223100,3,FALSE))</f>
        <v>180+</v>
      </c>
    </row>
    <row r="403" spans="1:15" x14ac:dyDescent="0.25">
      <c r="A403" t="s">
        <v>9126</v>
      </c>
      <c r="B403" t="s">
        <v>9127</v>
      </c>
      <c r="C403" t="s">
        <v>9128</v>
      </c>
      <c r="D403" t="s">
        <v>9129</v>
      </c>
      <c r="E403" t="s">
        <v>9130</v>
      </c>
      <c r="F403" t="s">
        <v>5</v>
      </c>
      <c r="G403" t="s">
        <v>5</v>
      </c>
      <c r="H403" t="s">
        <v>5</v>
      </c>
      <c r="I403" t="s">
        <v>9131</v>
      </c>
      <c r="J403" t="s">
        <v>96</v>
      </c>
      <c r="K403" s="3">
        <f t="shared" si="12"/>
        <v>0</v>
      </c>
      <c r="L403" s="3">
        <f>IF(ISERROR(VLOOKUP(J403,Lookups!$A$2:$A$16,1,FALSE)),1,0)</f>
        <v>0</v>
      </c>
      <c r="M403" s="3">
        <f>IF(ISERROR(VLOOKUP(D403,Data!$A$2:$D$223100,2,FALSE)),0,1)</f>
        <v>1</v>
      </c>
      <c r="N403" s="3">
        <f t="shared" si="13"/>
        <v>0</v>
      </c>
      <c r="O403" s="3" t="str">
        <f>IF(ISERROR(VLOOKUP(D403,Data!$A$2:$C$223100,3,FALSE)),"INACTIVE",VLOOKUP(D403,Data!$A$2:$C$223100,3,FALSE))</f>
        <v>60+</v>
      </c>
    </row>
    <row r="404" spans="1:15" x14ac:dyDescent="0.25">
      <c r="A404" t="s">
        <v>1778</v>
      </c>
      <c r="B404" t="s">
        <v>1779</v>
      </c>
      <c r="C404" t="s">
        <v>1876</v>
      </c>
      <c r="D404" t="s">
        <v>1877</v>
      </c>
      <c r="E404" t="s">
        <v>1878</v>
      </c>
      <c r="F404" t="s">
        <v>5</v>
      </c>
      <c r="G404" t="s">
        <v>5</v>
      </c>
      <c r="H404" t="s">
        <v>5</v>
      </c>
      <c r="I404" t="s">
        <v>9194</v>
      </c>
      <c r="J404" t="s">
        <v>96</v>
      </c>
      <c r="K404" s="3">
        <f t="shared" si="12"/>
        <v>0</v>
      </c>
      <c r="L404" s="3">
        <f>IF(ISERROR(VLOOKUP(J404,Lookups!$A$2:$A$16,1,FALSE)),1,0)</f>
        <v>0</v>
      </c>
      <c r="M404" s="3">
        <f>IF(ISERROR(VLOOKUP(D404,Data!$A$2:$D$223100,2,FALSE)),0,1)</f>
        <v>1</v>
      </c>
      <c r="N404" s="3">
        <f t="shared" si="13"/>
        <v>0</v>
      </c>
      <c r="O404" s="3" t="str">
        <f>IF(ISERROR(VLOOKUP(D404,Data!$A$2:$C$223100,3,FALSE)),"INACTIVE",VLOOKUP(D404,Data!$A$2:$C$223100,3,FALSE))</f>
        <v>120+</v>
      </c>
    </row>
    <row r="405" spans="1:15" x14ac:dyDescent="0.25">
      <c r="A405" t="s">
        <v>1778</v>
      </c>
      <c r="B405" t="s">
        <v>1779</v>
      </c>
      <c r="C405" t="s">
        <v>1876</v>
      </c>
      <c r="D405" t="s">
        <v>1877</v>
      </c>
      <c r="E405" t="s">
        <v>1879</v>
      </c>
      <c r="F405" t="s">
        <v>5</v>
      </c>
      <c r="G405" t="s">
        <v>5</v>
      </c>
      <c r="H405" t="s">
        <v>5</v>
      </c>
      <c r="I405" t="s">
        <v>9194</v>
      </c>
      <c r="J405" t="s">
        <v>96</v>
      </c>
      <c r="K405" s="3">
        <f t="shared" si="12"/>
        <v>0</v>
      </c>
      <c r="L405" s="3">
        <f>IF(ISERROR(VLOOKUP(J405,Lookups!$A$2:$A$16,1,FALSE)),1,0)</f>
        <v>0</v>
      </c>
      <c r="M405" s="3">
        <f>IF(ISERROR(VLOOKUP(D405,Data!$A$2:$D$223100,2,FALSE)),0,1)</f>
        <v>1</v>
      </c>
      <c r="N405" s="3">
        <f t="shared" si="13"/>
        <v>0</v>
      </c>
      <c r="O405" s="3" t="str">
        <f>IF(ISERROR(VLOOKUP(D405,Data!$A$2:$C$223100,3,FALSE)),"INACTIVE",VLOOKUP(D405,Data!$A$2:$C$223100,3,FALSE))</f>
        <v>120+</v>
      </c>
    </row>
    <row r="406" spans="1:15" x14ac:dyDescent="0.25">
      <c r="A406" t="s">
        <v>1778</v>
      </c>
      <c r="B406" t="s">
        <v>1779</v>
      </c>
      <c r="C406" t="s">
        <v>1876</v>
      </c>
      <c r="D406" t="s">
        <v>1877</v>
      </c>
      <c r="E406" t="s">
        <v>1880</v>
      </c>
      <c r="F406" t="s">
        <v>5</v>
      </c>
      <c r="G406" t="s">
        <v>5</v>
      </c>
      <c r="H406" t="s">
        <v>5</v>
      </c>
      <c r="I406" t="s">
        <v>9194</v>
      </c>
      <c r="J406" t="s">
        <v>96</v>
      </c>
      <c r="K406" s="3">
        <f t="shared" si="12"/>
        <v>0</v>
      </c>
      <c r="L406" s="3">
        <f>IF(ISERROR(VLOOKUP(J406,Lookups!$A$2:$A$16,1,FALSE)),1,0)</f>
        <v>0</v>
      </c>
      <c r="M406" s="3">
        <f>IF(ISERROR(VLOOKUP(D406,Data!$A$2:$D$223100,2,FALSE)),0,1)</f>
        <v>1</v>
      </c>
      <c r="N406" s="3">
        <f t="shared" si="13"/>
        <v>0</v>
      </c>
      <c r="O406" s="3" t="str">
        <f>IF(ISERROR(VLOOKUP(D406,Data!$A$2:$C$223100,3,FALSE)),"INACTIVE",VLOOKUP(D406,Data!$A$2:$C$223100,3,FALSE))</f>
        <v>120+</v>
      </c>
    </row>
    <row r="407" spans="1:15" x14ac:dyDescent="0.25">
      <c r="A407" t="s">
        <v>1778</v>
      </c>
      <c r="B407" t="s">
        <v>1779</v>
      </c>
      <c r="C407" t="s">
        <v>1876</v>
      </c>
      <c r="D407" t="s">
        <v>1877</v>
      </c>
      <c r="E407" t="s">
        <v>1881</v>
      </c>
      <c r="F407" t="s">
        <v>5</v>
      </c>
      <c r="G407" t="s">
        <v>5</v>
      </c>
      <c r="H407" t="s">
        <v>5</v>
      </c>
      <c r="I407" t="s">
        <v>9194</v>
      </c>
      <c r="J407" t="s">
        <v>96</v>
      </c>
      <c r="K407" s="3">
        <f t="shared" si="12"/>
        <v>0</v>
      </c>
      <c r="L407" s="3">
        <f>IF(ISERROR(VLOOKUP(J407,Lookups!$A$2:$A$16,1,FALSE)),1,0)</f>
        <v>0</v>
      </c>
      <c r="M407" s="3">
        <f>IF(ISERROR(VLOOKUP(D407,Data!$A$2:$D$223100,2,FALSE)),0,1)</f>
        <v>1</v>
      </c>
      <c r="N407" s="3">
        <f t="shared" si="13"/>
        <v>0</v>
      </c>
      <c r="O407" s="3" t="str">
        <f>IF(ISERROR(VLOOKUP(D407,Data!$A$2:$C$223100,3,FALSE)),"INACTIVE",VLOOKUP(D407,Data!$A$2:$C$223100,3,FALSE))</f>
        <v>120+</v>
      </c>
    </row>
    <row r="408" spans="1:15" x14ac:dyDescent="0.25">
      <c r="A408" t="s">
        <v>1778</v>
      </c>
      <c r="B408" t="s">
        <v>1779</v>
      </c>
      <c r="C408" t="s">
        <v>1876</v>
      </c>
      <c r="D408" t="s">
        <v>1877</v>
      </c>
      <c r="E408" t="s">
        <v>1882</v>
      </c>
      <c r="F408" t="s">
        <v>5</v>
      </c>
      <c r="G408" t="s">
        <v>5</v>
      </c>
      <c r="H408" t="s">
        <v>5</v>
      </c>
      <c r="I408" t="s">
        <v>9194</v>
      </c>
      <c r="J408" t="s">
        <v>96</v>
      </c>
      <c r="K408" s="3">
        <f t="shared" si="12"/>
        <v>0</v>
      </c>
      <c r="L408" s="3">
        <f>IF(ISERROR(VLOOKUP(J408,Lookups!$A$2:$A$16,1,FALSE)),1,0)</f>
        <v>0</v>
      </c>
      <c r="M408" s="3">
        <f>IF(ISERROR(VLOOKUP(D408,Data!$A$2:$D$223100,2,FALSE)),0,1)</f>
        <v>1</v>
      </c>
      <c r="N408" s="3">
        <f t="shared" si="13"/>
        <v>0</v>
      </c>
      <c r="O408" s="3" t="str">
        <f>IF(ISERROR(VLOOKUP(D408,Data!$A$2:$C$223100,3,FALSE)),"INACTIVE",VLOOKUP(D408,Data!$A$2:$C$223100,3,FALSE))</f>
        <v>120+</v>
      </c>
    </row>
    <row r="409" spans="1:15" x14ac:dyDescent="0.25">
      <c r="A409" t="s">
        <v>1778</v>
      </c>
      <c r="B409" t="s">
        <v>1779</v>
      </c>
      <c r="C409" t="s">
        <v>1876</v>
      </c>
      <c r="D409" t="s">
        <v>1877</v>
      </c>
      <c r="E409" t="s">
        <v>1883</v>
      </c>
      <c r="F409" t="s">
        <v>5</v>
      </c>
      <c r="G409" t="s">
        <v>5</v>
      </c>
      <c r="H409" t="s">
        <v>5</v>
      </c>
      <c r="I409" t="s">
        <v>9194</v>
      </c>
      <c r="J409" t="s">
        <v>96</v>
      </c>
      <c r="K409" s="3">
        <f t="shared" si="12"/>
        <v>0</v>
      </c>
      <c r="L409" s="3">
        <f>IF(ISERROR(VLOOKUP(J409,Lookups!$A$2:$A$16,1,FALSE)),1,0)</f>
        <v>0</v>
      </c>
      <c r="M409" s="3">
        <f>IF(ISERROR(VLOOKUP(D409,Data!$A$2:$D$223100,2,FALSE)),0,1)</f>
        <v>1</v>
      </c>
      <c r="N409" s="3">
        <f t="shared" si="13"/>
        <v>0</v>
      </c>
      <c r="O409" s="3" t="str">
        <f>IF(ISERROR(VLOOKUP(D409,Data!$A$2:$C$223100,3,FALSE)),"INACTIVE",VLOOKUP(D409,Data!$A$2:$C$223100,3,FALSE))</f>
        <v>120+</v>
      </c>
    </row>
    <row r="410" spans="1:15" x14ac:dyDescent="0.25">
      <c r="A410" t="s">
        <v>1778</v>
      </c>
      <c r="B410" t="s">
        <v>1779</v>
      </c>
      <c r="C410" t="s">
        <v>1876</v>
      </c>
      <c r="D410" t="s">
        <v>1877</v>
      </c>
      <c r="E410" t="s">
        <v>1884</v>
      </c>
      <c r="F410" t="s">
        <v>5</v>
      </c>
      <c r="G410" t="s">
        <v>5</v>
      </c>
      <c r="H410" t="s">
        <v>5</v>
      </c>
      <c r="I410" t="s">
        <v>9194</v>
      </c>
      <c r="J410" t="s">
        <v>96</v>
      </c>
      <c r="K410" s="3">
        <f t="shared" si="12"/>
        <v>0</v>
      </c>
      <c r="L410" s="3">
        <f>IF(ISERROR(VLOOKUP(J410,Lookups!$A$2:$A$16,1,FALSE)),1,0)</f>
        <v>0</v>
      </c>
      <c r="M410" s="3">
        <f>IF(ISERROR(VLOOKUP(D410,Data!$A$2:$D$223100,2,FALSE)),0,1)</f>
        <v>1</v>
      </c>
      <c r="N410" s="3">
        <f t="shared" si="13"/>
        <v>0</v>
      </c>
      <c r="O410" s="3" t="str">
        <f>IF(ISERROR(VLOOKUP(D410,Data!$A$2:$C$223100,3,FALSE)),"INACTIVE",VLOOKUP(D410,Data!$A$2:$C$223100,3,FALSE))</f>
        <v>120+</v>
      </c>
    </row>
    <row r="411" spans="1:15" x14ac:dyDescent="0.25">
      <c r="A411" t="s">
        <v>1778</v>
      </c>
      <c r="B411" t="s">
        <v>1779</v>
      </c>
      <c r="C411" t="s">
        <v>1876</v>
      </c>
      <c r="D411" t="s">
        <v>1877</v>
      </c>
      <c r="E411" t="s">
        <v>1885</v>
      </c>
      <c r="F411" t="s">
        <v>5</v>
      </c>
      <c r="G411" t="s">
        <v>5</v>
      </c>
      <c r="H411" t="s">
        <v>5</v>
      </c>
      <c r="I411" t="s">
        <v>9194</v>
      </c>
      <c r="J411" t="s">
        <v>96</v>
      </c>
      <c r="K411" s="3">
        <f t="shared" si="12"/>
        <v>0</v>
      </c>
      <c r="L411" s="3">
        <f>IF(ISERROR(VLOOKUP(J411,Lookups!$A$2:$A$16,1,FALSE)),1,0)</f>
        <v>0</v>
      </c>
      <c r="M411" s="3">
        <f>IF(ISERROR(VLOOKUP(D411,Data!$A$2:$D$223100,2,FALSE)),0,1)</f>
        <v>1</v>
      </c>
      <c r="N411" s="3">
        <f t="shared" si="13"/>
        <v>0</v>
      </c>
      <c r="O411" s="3" t="str">
        <f>IF(ISERROR(VLOOKUP(D411,Data!$A$2:$C$223100,3,FALSE)),"INACTIVE",VLOOKUP(D411,Data!$A$2:$C$223100,3,FALSE))</f>
        <v>120+</v>
      </c>
    </row>
    <row r="412" spans="1:15" x14ac:dyDescent="0.25">
      <c r="A412" t="s">
        <v>1778</v>
      </c>
      <c r="B412" t="s">
        <v>1779</v>
      </c>
      <c r="C412" t="s">
        <v>1876</v>
      </c>
      <c r="D412" t="s">
        <v>1877</v>
      </c>
      <c r="E412" t="s">
        <v>1886</v>
      </c>
      <c r="F412" t="s">
        <v>5</v>
      </c>
      <c r="G412" t="s">
        <v>5</v>
      </c>
      <c r="H412" t="s">
        <v>5</v>
      </c>
      <c r="I412" t="s">
        <v>9194</v>
      </c>
      <c r="J412" t="s">
        <v>96</v>
      </c>
      <c r="K412" s="3">
        <f t="shared" si="12"/>
        <v>0</v>
      </c>
      <c r="L412" s="3">
        <f>IF(ISERROR(VLOOKUP(J412,Lookups!$A$2:$A$16,1,FALSE)),1,0)</f>
        <v>0</v>
      </c>
      <c r="M412" s="3">
        <f>IF(ISERROR(VLOOKUP(D412,Data!$A$2:$D$223100,2,FALSE)),0,1)</f>
        <v>1</v>
      </c>
      <c r="N412" s="3">
        <f t="shared" si="13"/>
        <v>0</v>
      </c>
      <c r="O412" s="3" t="str">
        <f>IF(ISERROR(VLOOKUP(D412,Data!$A$2:$C$223100,3,FALSE)),"INACTIVE",VLOOKUP(D412,Data!$A$2:$C$223100,3,FALSE))</f>
        <v>120+</v>
      </c>
    </row>
    <row r="413" spans="1:15" x14ac:dyDescent="0.25">
      <c r="A413" t="s">
        <v>1778</v>
      </c>
      <c r="B413" t="s">
        <v>1779</v>
      </c>
      <c r="C413" t="s">
        <v>1876</v>
      </c>
      <c r="D413" t="s">
        <v>1877</v>
      </c>
      <c r="E413" t="s">
        <v>1887</v>
      </c>
      <c r="F413" t="s">
        <v>5</v>
      </c>
      <c r="G413" t="s">
        <v>5</v>
      </c>
      <c r="H413" t="s">
        <v>5</v>
      </c>
      <c r="I413" t="s">
        <v>9194</v>
      </c>
      <c r="J413" t="s">
        <v>96</v>
      </c>
      <c r="K413" s="3">
        <f t="shared" si="12"/>
        <v>0</v>
      </c>
      <c r="L413" s="3">
        <f>IF(ISERROR(VLOOKUP(J413,Lookups!$A$2:$A$16,1,FALSE)),1,0)</f>
        <v>0</v>
      </c>
      <c r="M413" s="3">
        <f>IF(ISERROR(VLOOKUP(D413,Data!$A$2:$D$223100,2,FALSE)),0,1)</f>
        <v>1</v>
      </c>
      <c r="N413" s="3">
        <f t="shared" si="13"/>
        <v>0</v>
      </c>
      <c r="O413" s="3" t="str">
        <f>IF(ISERROR(VLOOKUP(D413,Data!$A$2:$C$223100,3,FALSE)),"INACTIVE",VLOOKUP(D413,Data!$A$2:$C$223100,3,FALSE))</f>
        <v>120+</v>
      </c>
    </row>
    <row r="414" spans="1:15" x14ac:dyDescent="0.25">
      <c r="A414" t="s">
        <v>1778</v>
      </c>
      <c r="B414" t="s">
        <v>1779</v>
      </c>
      <c r="C414" t="s">
        <v>1841</v>
      </c>
      <c r="D414" t="s">
        <v>1842</v>
      </c>
      <c r="E414" t="s">
        <v>5</v>
      </c>
      <c r="F414" t="s">
        <v>1888</v>
      </c>
      <c r="G414" t="s">
        <v>5</v>
      </c>
      <c r="H414" t="s">
        <v>5</v>
      </c>
      <c r="I414" t="s">
        <v>9194</v>
      </c>
      <c r="J414" t="s">
        <v>573</v>
      </c>
      <c r="K414" s="3">
        <f t="shared" si="12"/>
        <v>0</v>
      </c>
      <c r="L414" s="3">
        <f>IF(ISERROR(VLOOKUP(J414,Lookups!$A$2:$A$16,1,FALSE)),1,0)</f>
        <v>1</v>
      </c>
      <c r="M414" s="3">
        <f>IF(ISERROR(VLOOKUP(D414,Data!$A$2:$D$223100,2,FALSE)),0,1)</f>
        <v>1</v>
      </c>
      <c r="N414" s="3">
        <f t="shared" si="13"/>
        <v>1</v>
      </c>
      <c r="O414" s="3" t="str">
        <f>IF(ISERROR(VLOOKUP(D414,Data!$A$2:$C$223100,3,FALSE)),"INACTIVE",VLOOKUP(D414,Data!$A$2:$C$223100,3,FALSE))</f>
        <v>Demand Letter</v>
      </c>
    </row>
    <row r="415" spans="1:15" x14ac:dyDescent="0.25">
      <c r="A415" t="s">
        <v>1778</v>
      </c>
      <c r="B415" t="s">
        <v>1779</v>
      </c>
      <c r="C415" t="s">
        <v>1870</v>
      </c>
      <c r="D415" t="s">
        <v>1871</v>
      </c>
      <c r="E415" t="s">
        <v>9195</v>
      </c>
      <c r="F415" t="s">
        <v>5</v>
      </c>
      <c r="G415" t="s">
        <v>5</v>
      </c>
      <c r="H415" t="s">
        <v>5</v>
      </c>
      <c r="I415" t="s">
        <v>9194</v>
      </c>
      <c r="J415" t="s">
        <v>36</v>
      </c>
      <c r="K415" s="3">
        <f t="shared" si="12"/>
        <v>0</v>
      </c>
      <c r="L415" s="3">
        <f>IF(ISERROR(VLOOKUP(J415,Lookups!$A$2:$A$16,1,FALSE)),1,0)</f>
        <v>1</v>
      </c>
      <c r="M415" s="3">
        <f>IF(ISERROR(VLOOKUP(D415,Data!$A$2:$D$223100,2,FALSE)),0,1)</f>
        <v>1</v>
      </c>
      <c r="N415" s="3">
        <f t="shared" si="13"/>
        <v>1</v>
      </c>
      <c r="O415" s="3" t="str">
        <f>IF(ISERROR(VLOOKUP(D415,Data!$A$2:$C$223100,3,FALSE)),"INACTIVE",VLOOKUP(D415,Data!$A$2:$C$223100,3,FALSE))</f>
        <v>Current</v>
      </c>
    </row>
    <row r="416" spans="1:15" x14ac:dyDescent="0.25">
      <c r="A416" t="s">
        <v>1778</v>
      </c>
      <c r="B416" t="s">
        <v>1779</v>
      </c>
      <c r="C416" t="s">
        <v>1870</v>
      </c>
      <c r="D416" t="s">
        <v>1871</v>
      </c>
      <c r="E416" t="s">
        <v>5</v>
      </c>
      <c r="F416" t="s">
        <v>9196</v>
      </c>
      <c r="G416" t="s">
        <v>5</v>
      </c>
      <c r="H416" t="s">
        <v>5</v>
      </c>
      <c r="I416" t="s">
        <v>9194</v>
      </c>
      <c r="J416" t="s">
        <v>36</v>
      </c>
      <c r="K416" s="3">
        <f t="shared" si="12"/>
        <v>0</v>
      </c>
      <c r="L416" s="3">
        <f>IF(ISERROR(VLOOKUP(J416,Lookups!$A$2:$A$16,1,FALSE)),1,0)</f>
        <v>1</v>
      </c>
      <c r="M416" s="3">
        <f>IF(ISERROR(VLOOKUP(D416,Data!$A$2:$D$223100,2,FALSE)),0,1)</f>
        <v>1</v>
      </c>
      <c r="N416" s="3">
        <f t="shared" si="13"/>
        <v>1</v>
      </c>
      <c r="O416" s="3" t="str">
        <f>IF(ISERROR(VLOOKUP(D416,Data!$A$2:$C$223100,3,FALSE)),"INACTIVE",VLOOKUP(D416,Data!$A$2:$C$223100,3,FALSE))</f>
        <v>Current</v>
      </c>
    </row>
    <row r="417" spans="1:15" x14ac:dyDescent="0.25">
      <c r="A417" t="s">
        <v>1778</v>
      </c>
      <c r="B417" t="s">
        <v>1779</v>
      </c>
      <c r="C417" t="s">
        <v>9197</v>
      </c>
      <c r="D417" t="s">
        <v>9198</v>
      </c>
      <c r="E417" t="s">
        <v>5</v>
      </c>
      <c r="F417" t="s">
        <v>9199</v>
      </c>
      <c r="G417" t="s">
        <v>5</v>
      </c>
      <c r="H417" t="s">
        <v>5</v>
      </c>
      <c r="I417" t="s">
        <v>9194</v>
      </c>
      <c r="J417" t="s">
        <v>573</v>
      </c>
      <c r="K417" s="3">
        <f t="shared" si="12"/>
        <v>0</v>
      </c>
      <c r="L417" s="3">
        <f>IF(ISERROR(VLOOKUP(J417,Lookups!$A$2:$A$16,1,FALSE)),1,0)</f>
        <v>1</v>
      </c>
      <c r="M417" s="3">
        <f>IF(ISERROR(VLOOKUP(D417,Data!$A$2:$D$223100,2,FALSE)),0,1)</f>
        <v>1</v>
      </c>
      <c r="N417" s="3">
        <f t="shared" si="13"/>
        <v>1</v>
      </c>
      <c r="O417" s="3" t="str">
        <f>IF(ISERROR(VLOOKUP(D417,Data!$A$2:$C$223100,3,FALSE)),"INACTIVE",VLOOKUP(D417,Data!$A$2:$C$223100,3,FALSE))</f>
        <v>Current</v>
      </c>
    </row>
    <row r="418" spans="1:15" x14ac:dyDescent="0.25">
      <c r="A418" t="s">
        <v>3064</v>
      </c>
      <c r="B418" t="s">
        <v>3065</v>
      </c>
      <c r="C418" t="s">
        <v>9367</v>
      </c>
      <c r="D418" t="s">
        <v>9368</v>
      </c>
      <c r="E418" t="s">
        <v>5</v>
      </c>
      <c r="F418" t="s">
        <v>9369</v>
      </c>
      <c r="G418" t="s">
        <v>5</v>
      </c>
      <c r="H418" t="s">
        <v>5</v>
      </c>
      <c r="I418" t="s">
        <v>9370</v>
      </c>
      <c r="J418" t="s">
        <v>573</v>
      </c>
      <c r="K418" s="3">
        <f t="shared" si="12"/>
        <v>0</v>
      </c>
      <c r="L418" s="3">
        <f>IF(ISERROR(VLOOKUP(J418,Lookups!$A$2:$A$16,1,FALSE)),1,0)</f>
        <v>1</v>
      </c>
      <c r="M418" s="3">
        <f>IF(ISERROR(VLOOKUP(D418,Data!$A$2:$D$223100,2,FALSE)),0,1)</f>
        <v>1</v>
      </c>
      <c r="N418" s="3">
        <f t="shared" si="13"/>
        <v>1</v>
      </c>
      <c r="O418" s="3" t="str">
        <f>IF(ISERROR(VLOOKUP(D418,Data!$A$2:$C$223100,3,FALSE)),"INACTIVE",VLOOKUP(D418,Data!$A$2:$C$223100,3,FALSE))</f>
        <v>60+</v>
      </c>
    </row>
    <row r="419" spans="1:15" x14ac:dyDescent="0.25">
      <c r="A419" t="s">
        <v>3069</v>
      </c>
      <c r="B419" t="s">
        <v>3070</v>
      </c>
      <c r="C419" t="s">
        <v>3071</v>
      </c>
      <c r="D419" t="s">
        <v>3072</v>
      </c>
      <c r="E419" t="s">
        <v>5</v>
      </c>
      <c r="F419" t="s">
        <v>9285</v>
      </c>
      <c r="G419" t="s">
        <v>5</v>
      </c>
      <c r="H419" t="s">
        <v>5</v>
      </c>
      <c r="I419" t="s">
        <v>9286</v>
      </c>
      <c r="J419" t="s">
        <v>36</v>
      </c>
      <c r="K419" s="3">
        <f t="shared" si="12"/>
        <v>0</v>
      </c>
      <c r="L419" s="3">
        <f>IF(ISERROR(VLOOKUP(J419,Lookups!$A$2:$A$16,1,FALSE)),1,0)</f>
        <v>1</v>
      </c>
      <c r="M419" s="3">
        <f>IF(ISERROR(VLOOKUP(D419,Data!$A$2:$D$223100,2,FALSE)),0,1)</f>
        <v>1</v>
      </c>
      <c r="N419" s="3">
        <f t="shared" si="13"/>
        <v>1</v>
      </c>
      <c r="O419" s="3" t="str">
        <f>IF(ISERROR(VLOOKUP(D419,Data!$A$2:$C$223100,3,FALSE)),"INACTIVE",VLOOKUP(D419,Data!$A$2:$C$223100,3,FALSE))</f>
        <v>Current</v>
      </c>
    </row>
    <row r="420" spans="1:15" x14ac:dyDescent="0.25">
      <c r="A420" t="s">
        <v>3069</v>
      </c>
      <c r="B420" t="s">
        <v>3070</v>
      </c>
      <c r="C420" t="s">
        <v>3208</v>
      </c>
      <c r="D420" t="s">
        <v>3209</v>
      </c>
      <c r="E420" t="s">
        <v>5</v>
      </c>
      <c r="F420" t="s">
        <v>3210</v>
      </c>
      <c r="G420" t="s">
        <v>5</v>
      </c>
      <c r="H420" t="s">
        <v>5</v>
      </c>
      <c r="I420" t="s">
        <v>9286</v>
      </c>
      <c r="J420" t="s">
        <v>573</v>
      </c>
      <c r="K420" s="3">
        <f t="shared" si="12"/>
        <v>0</v>
      </c>
      <c r="L420" s="3">
        <f>IF(ISERROR(VLOOKUP(J420,Lookups!$A$2:$A$16,1,FALSE)),1,0)</f>
        <v>1</v>
      </c>
      <c r="M420" s="3">
        <f>IF(ISERROR(VLOOKUP(D420,Data!$A$2:$D$223100,2,FALSE)),0,1)</f>
        <v>1</v>
      </c>
      <c r="N420" s="3">
        <f t="shared" si="13"/>
        <v>1</v>
      </c>
      <c r="O420" s="3" t="str">
        <f>IF(ISERROR(VLOOKUP(D420,Data!$A$2:$C$223100,3,FALSE)),"INACTIVE",VLOOKUP(D420,Data!$A$2:$C$223100,3,FALSE))</f>
        <v>BK13</v>
      </c>
    </row>
    <row r="421" spans="1:15" x14ac:dyDescent="0.25">
      <c r="A421" t="s">
        <v>3069</v>
      </c>
      <c r="B421" t="s">
        <v>3070</v>
      </c>
      <c r="C421" t="s">
        <v>3107</v>
      </c>
      <c r="D421" t="s">
        <v>3108</v>
      </c>
      <c r="E421" t="s">
        <v>3211</v>
      </c>
      <c r="F421" t="s">
        <v>3212</v>
      </c>
      <c r="G421" t="s">
        <v>5</v>
      </c>
      <c r="H421" t="s">
        <v>5</v>
      </c>
      <c r="I421" t="s">
        <v>9286</v>
      </c>
      <c r="J421" t="s">
        <v>573</v>
      </c>
      <c r="K421" s="3">
        <f t="shared" si="12"/>
        <v>0</v>
      </c>
      <c r="L421" s="3">
        <f>IF(ISERROR(VLOOKUP(J421,Lookups!$A$2:$A$16,1,FALSE)),1,0)</f>
        <v>1</v>
      </c>
      <c r="M421" s="3">
        <f>IF(ISERROR(VLOOKUP(D421,Data!$A$2:$D$223100,2,FALSE)),0,1)</f>
        <v>1</v>
      </c>
      <c r="N421" s="3">
        <f t="shared" si="13"/>
        <v>1</v>
      </c>
      <c r="O421" s="3" t="str">
        <f>IF(ISERROR(VLOOKUP(D421,Data!$A$2:$C$223100,3,FALSE)),"INACTIVE",VLOOKUP(D421,Data!$A$2:$C$223100,3,FALSE))</f>
        <v>30+</v>
      </c>
    </row>
    <row r="422" spans="1:15" x14ac:dyDescent="0.25">
      <c r="A422" t="s">
        <v>3069</v>
      </c>
      <c r="B422" t="s">
        <v>3070</v>
      </c>
      <c r="C422" t="s">
        <v>3111</v>
      </c>
      <c r="D422" t="s">
        <v>3112</v>
      </c>
      <c r="E422" t="s">
        <v>5</v>
      </c>
      <c r="F422" t="s">
        <v>3213</v>
      </c>
      <c r="G422" t="s">
        <v>5</v>
      </c>
      <c r="H422" t="s">
        <v>5</v>
      </c>
      <c r="I422" t="s">
        <v>9286</v>
      </c>
      <c r="J422" t="s">
        <v>573</v>
      </c>
      <c r="K422" s="3">
        <f t="shared" si="12"/>
        <v>0</v>
      </c>
      <c r="L422" s="3">
        <f>IF(ISERROR(VLOOKUP(J422,Lookups!$A$2:$A$16,1,FALSE)),1,0)</f>
        <v>1</v>
      </c>
      <c r="M422" s="3">
        <f>IF(ISERROR(VLOOKUP(D422,Data!$A$2:$D$223100,2,FALSE)),0,1)</f>
        <v>1</v>
      </c>
      <c r="N422" s="3">
        <f t="shared" si="13"/>
        <v>1</v>
      </c>
      <c r="O422" s="3" t="str">
        <f>IF(ISERROR(VLOOKUP(D422,Data!$A$2:$C$223100,3,FALSE)),"INACTIVE",VLOOKUP(D422,Data!$A$2:$C$223100,3,FALSE))</f>
        <v>Current</v>
      </c>
    </row>
    <row r="423" spans="1:15" x14ac:dyDescent="0.25">
      <c r="A423" t="s">
        <v>3069</v>
      </c>
      <c r="B423" t="s">
        <v>3070</v>
      </c>
      <c r="C423" t="s">
        <v>9287</v>
      </c>
      <c r="D423" t="s">
        <v>9288</v>
      </c>
      <c r="E423" t="s">
        <v>9289</v>
      </c>
      <c r="F423" t="s">
        <v>9289</v>
      </c>
      <c r="G423" t="s">
        <v>5</v>
      </c>
      <c r="H423" t="s">
        <v>5</v>
      </c>
      <c r="I423" t="s">
        <v>9286</v>
      </c>
      <c r="J423" t="s">
        <v>573</v>
      </c>
      <c r="K423" s="3">
        <f t="shared" si="12"/>
        <v>0</v>
      </c>
      <c r="L423" s="3">
        <f>IF(ISERROR(VLOOKUP(J423,Lookups!$A$2:$A$16,1,FALSE)),1,0)</f>
        <v>1</v>
      </c>
      <c r="M423" s="3">
        <f>IF(ISERROR(VLOOKUP(D423,Data!$A$2:$D$223100,2,FALSE)),0,1)</f>
        <v>1</v>
      </c>
      <c r="N423" s="3">
        <f t="shared" si="13"/>
        <v>1</v>
      </c>
      <c r="O423" s="3" t="str">
        <f>IF(ISERROR(VLOOKUP(D423,Data!$A$2:$C$223100,3,FALSE)),"INACTIVE",VLOOKUP(D423,Data!$A$2:$C$223100,3,FALSE))</f>
        <v>Current</v>
      </c>
    </row>
    <row r="424" spans="1:15" x14ac:dyDescent="0.25">
      <c r="A424" t="s">
        <v>3069</v>
      </c>
      <c r="B424" t="s">
        <v>3070</v>
      </c>
      <c r="C424" t="s">
        <v>9290</v>
      </c>
      <c r="D424" t="s">
        <v>9291</v>
      </c>
      <c r="E424" t="s">
        <v>9292</v>
      </c>
      <c r="F424" t="s">
        <v>9293</v>
      </c>
      <c r="G424" t="s">
        <v>5</v>
      </c>
      <c r="H424" t="s">
        <v>5</v>
      </c>
      <c r="I424" t="s">
        <v>9286</v>
      </c>
      <c r="J424" t="s">
        <v>573</v>
      </c>
      <c r="K424" s="3">
        <f t="shared" si="12"/>
        <v>0</v>
      </c>
      <c r="L424" s="3">
        <f>IF(ISERROR(VLOOKUP(J424,Lookups!$A$2:$A$16,1,FALSE)),1,0)</f>
        <v>1</v>
      </c>
      <c r="M424" s="3">
        <f>IF(ISERROR(VLOOKUP(D424,Data!$A$2:$D$223100,2,FALSE)),0,1)</f>
        <v>1</v>
      </c>
      <c r="N424" s="3">
        <f t="shared" si="13"/>
        <v>1</v>
      </c>
      <c r="O424" s="3" t="str">
        <f>IF(ISERROR(VLOOKUP(D424,Data!$A$2:$C$223100,3,FALSE)),"INACTIVE",VLOOKUP(D424,Data!$A$2:$C$223100,3,FALSE))</f>
        <v>Demand Letter</v>
      </c>
    </row>
    <row r="425" spans="1:15" x14ac:dyDescent="0.25">
      <c r="A425" t="s">
        <v>3069</v>
      </c>
      <c r="B425" t="s">
        <v>3070</v>
      </c>
      <c r="C425" t="s">
        <v>3119</v>
      </c>
      <c r="D425" t="s">
        <v>3120</v>
      </c>
      <c r="E425" t="s">
        <v>5</v>
      </c>
      <c r="F425" t="s">
        <v>3214</v>
      </c>
      <c r="G425" t="s">
        <v>5</v>
      </c>
      <c r="H425" t="s">
        <v>5</v>
      </c>
      <c r="I425" t="s">
        <v>9286</v>
      </c>
      <c r="J425" t="s">
        <v>573</v>
      </c>
      <c r="K425" s="3">
        <f t="shared" si="12"/>
        <v>0</v>
      </c>
      <c r="L425" s="3">
        <f>IF(ISERROR(VLOOKUP(J425,Lookups!$A$2:$A$16,1,FALSE)),1,0)</f>
        <v>1</v>
      </c>
      <c r="M425" s="3">
        <f>IF(ISERROR(VLOOKUP(D425,Data!$A$2:$D$223100,2,FALSE)),0,1)</f>
        <v>1</v>
      </c>
      <c r="N425" s="3">
        <f t="shared" si="13"/>
        <v>1</v>
      </c>
      <c r="O425" s="3" t="str">
        <f>IF(ISERROR(VLOOKUP(D425,Data!$A$2:$C$223100,3,FALSE)),"INACTIVE",VLOOKUP(D425,Data!$A$2:$C$223100,3,FALSE))</f>
        <v>Demand Letter</v>
      </c>
    </row>
    <row r="426" spans="1:15" x14ac:dyDescent="0.25">
      <c r="A426" t="s">
        <v>3069</v>
      </c>
      <c r="B426" t="s">
        <v>3070</v>
      </c>
      <c r="C426" t="s">
        <v>3131</v>
      </c>
      <c r="D426" t="s">
        <v>3132</v>
      </c>
      <c r="E426" t="s">
        <v>5</v>
      </c>
      <c r="F426" t="s">
        <v>9294</v>
      </c>
      <c r="G426" t="s">
        <v>5</v>
      </c>
      <c r="H426" t="s">
        <v>5</v>
      </c>
      <c r="I426" t="s">
        <v>9286</v>
      </c>
      <c r="J426" t="s">
        <v>573</v>
      </c>
      <c r="K426" s="3">
        <f t="shared" si="12"/>
        <v>0</v>
      </c>
      <c r="L426" s="3">
        <f>IF(ISERROR(VLOOKUP(J426,Lookups!$A$2:$A$16,1,FALSE)),1,0)</f>
        <v>1</v>
      </c>
      <c r="M426" s="3">
        <f>IF(ISERROR(VLOOKUP(D426,Data!$A$2:$D$223100,2,FALSE)),0,1)</f>
        <v>1</v>
      </c>
      <c r="N426" s="3">
        <f t="shared" si="13"/>
        <v>1</v>
      </c>
      <c r="O426" s="3" t="str">
        <f>IF(ISERROR(VLOOKUP(D426,Data!$A$2:$C$223100,3,FALSE)),"INACTIVE",VLOOKUP(D426,Data!$A$2:$C$223100,3,FALSE))</f>
        <v>90+</v>
      </c>
    </row>
    <row r="427" spans="1:15" x14ac:dyDescent="0.25">
      <c r="A427" t="s">
        <v>3069</v>
      </c>
      <c r="B427" t="s">
        <v>3070</v>
      </c>
      <c r="C427" t="s">
        <v>3215</v>
      </c>
      <c r="D427" t="s">
        <v>3216</v>
      </c>
      <c r="E427" t="s">
        <v>5</v>
      </c>
      <c r="F427" t="s">
        <v>3217</v>
      </c>
      <c r="G427" t="s">
        <v>5</v>
      </c>
      <c r="H427" t="s">
        <v>5</v>
      </c>
      <c r="I427" t="s">
        <v>9286</v>
      </c>
      <c r="J427" t="s">
        <v>573</v>
      </c>
      <c r="K427" s="3">
        <f t="shared" si="12"/>
        <v>0</v>
      </c>
      <c r="L427" s="3">
        <f>IF(ISERROR(VLOOKUP(J427,Lookups!$A$2:$A$16,1,FALSE)),1,0)</f>
        <v>1</v>
      </c>
      <c r="M427" s="3">
        <f>IF(ISERROR(VLOOKUP(D427,Data!$A$2:$D$223100,2,FALSE)),0,1)</f>
        <v>1</v>
      </c>
      <c r="N427" s="3">
        <f t="shared" si="13"/>
        <v>1</v>
      </c>
      <c r="O427" s="3" t="str">
        <f>IF(ISERROR(VLOOKUP(D427,Data!$A$2:$C$223100,3,FALSE)),"INACTIVE",VLOOKUP(D427,Data!$A$2:$C$223100,3,FALSE))</f>
        <v>Demand Letter</v>
      </c>
    </row>
    <row r="428" spans="1:15" x14ac:dyDescent="0.25">
      <c r="A428" t="s">
        <v>3069</v>
      </c>
      <c r="B428" t="s">
        <v>3070</v>
      </c>
      <c r="C428" t="s">
        <v>3138</v>
      </c>
      <c r="D428" t="s">
        <v>3139</v>
      </c>
      <c r="E428" t="s">
        <v>5</v>
      </c>
      <c r="F428" t="s">
        <v>9295</v>
      </c>
      <c r="G428" t="s">
        <v>5</v>
      </c>
      <c r="H428" t="s">
        <v>5</v>
      </c>
      <c r="I428" t="s">
        <v>9286</v>
      </c>
      <c r="J428" t="s">
        <v>573</v>
      </c>
      <c r="K428" s="3">
        <f t="shared" si="12"/>
        <v>0</v>
      </c>
      <c r="L428" s="3">
        <f>IF(ISERROR(VLOOKUP(J428,Lookups!$A$2:$A$16,1,FALSE)),1,0)</f>
        <v>1</v>
      </c>
      <c r="M428" s="3">
        <f>IF(ISERROR(VLOOKUP(D428,Data!$A$2:$D$223100,2,FALSE)),0,1)</f>
        <v>1</v>
      </c>
      <c r="N428" s="3">
        <f t="shared" si="13"/>
        <v>1</v>
      </c>
      <c r="O428" s="3" t="str">
        <f>IF(ISERROR(VLOOKUP(D428,Data!$A$2:$C$223100,3,FALSE)),"INACTIVE",VLOOKUP(D428,Data!$A$2:$C$223100,3,FALSE))</f>
        <v>Current</v>
      </c>
    </row>
    <row r="429" spans="1:15" x14ac:dyDescent="0.25">
      <c r="A429" t="s">
        <v>3069</v>
      </c>
      <c r="B429" t="s">
        <v>3070</v>
      </c>
      <c r="C429" t="s">
        <v>9296</v>
      </c>
      <c r="D429" t="s">
        <v>9297</v>
      </c>
      <c r="E429" t="s">
        <v>5</v>
      </c>
      <c r="F429" t="s">
        <v>9298</v>
      </c>
      <c r="G429" t="s">
        <v>5</v>
      </c>
      <c r="H429" t="s">
        <v>5</v>
      </c>
      <c r="I429" t="s">
        <v>9286</v>
      </c>
      <c r="J429" t="s">
        <v>573</v>
      </c>
      <c r="K429" s="3">
        <f t="shared" si="12"/>
        <v>0</v>
      </c>
      <c r="L429" s="3">
        <f>IF(ISERROR(VLOOKUP(J429,Lookups!$A$2:$A$16,1,FALSE)),1,0)</f>
        <v>1</v>
      </c>
      <c r="M429" s="3">
        <f>IF(ISERROR(VLOOKUP(D429,Data!$A$2:$D$223100,2,FALSE)),0,1)</f>
        <v>1</v>
      </c>
      <c r="N429" s="3">
        <f t="shared" si="13"/>
        <v>1</v>
      </c>
      <c r="O429" s="3" t="str">
        <f>IF(ISERROR(VLOOKUP(D429,Data!$A$2:$C$223100,3,FALSE)),"INACTIVE",VLOOKUP(D429,Data!$A$2:$C$223100,3,FALSE))</f>
        <v>FBA</v>
      </c>
    </row>
    <row r="430" spans="1:15" x14ac:dyDescent="0.25">
      <c r="A430" t="s">
        <v>3069</v>
      </c>
      <c r="B430" t="s">
        <v>3070</v>
      </c>
      <c r="C430" t="s">
        <v>3150</v>
      </c>
      <c r="D430" t="s">
        <v>3151</v>
      </c>
      <c r="E430" t="s">
        <v>3218</v>
      </c>
      <c r="F430" t="s">
        <v>3219</v>
      </c>
      <c r="G430" t="s">
        <v>5</v>
      </c>
      <c r="H430" t="s">
        <v>5</v>
      </c>
      <c r="I430" t="s">
        <v>9286</v>
      </c>
      <c r="J430" t="s">
        <v>36</v>
      </c>
      <c r="K430" s="3">
        <f t="shared" si="12"/>
        <v>0</v>
      </c>
      <c r="L430" s="3">
        <f>IF(ISERROR(VLOOKUP(J430,Lookups!$A$2:$A$16,1,FALSE)),1,0)</f>
        <v>1</v>
      </c>
      <c r="M430" s="3">
        <f>IF(ISERROR(VLOOKUP(D430,Data!$A$2:$D$223100,2,FALSE)),0,1)</f>
        <v>1</v>
      </c>
      <c r="N430" s="3">
        <f t="shared" si="13"/>
        <v>1</v>
      </c>
      <c r="O430" s="3" t="str">
        <f>IF(ISERROR(VLOOKUP(D430,Data!$A$2:$C$223100,3,FALSE)),"INACTIVE",VLOOKUP(D430,Data!$A$2:$C$223100,3,FALSE))</f>
        <v>Current</v>
      </c>
    </row>
    <row r="431" spans="1:15" x14ac:dyDescent="0.25">
      <c r="A431" t="s">
        <v>3069</v>
      </c>
      <c r="B431" t="s">
        <v>3070</v>
      </c>
      <c r="C431" t="s">
        <v>3150</v>
      </c>
      <c r="D431" t="s">
        <v>3151</v>
      </c>
      <c r="E431" t="s">
        <v>5</v>
      </c>
      <c r="F431" t="s">
        <v>3220</v>
      </c>
      <c r="G431" t="s">
        <v>5</v>
      </c>
      <c r="H431" t="s">
        <v>5</v>
      </c>
      <c r="I431" t="s">
        <v>9286</v>
      </c>
      <c r="J431" t="s">
        <v>36</v>
      </c>
      <c r="K431" s="3">
        <f t="shared" si="12"/>
        <v>0</v>
      </c>
      <c r="L431" s="3">
        <f>IF(ISERROR(VLOOKUP(J431,Lookups!$A$2:$A$16,1,FALSE)),1,0)</f>
        <v>1</v>
      </c>
      <c r="M431" s="3">
        <f>IF(ISERROR(VLOOKUP(D431,Data!$A$2:$D$223100,2,FALSE)),0,1)</f>
        <v>1</v>
      </c>
      <c r="N431" s="3">
        <f t="shared" si="13"/>
        <v>1</v>
      </c>
      <c r="O431" s="3" t="str">
        <f>IF(ISERROR(VLOOKUP(D431,Data!$A$2:$C$223100,3,FALSE)),"INACTIVE",VLOOKUP(D431,Data!$A$2:$C$223100,3,FALSE))</f>
        <v>Current</v>
      </c>
    </row>
    <row r="432" spans="1:15" x14ac:dyDescent="0.25">
      <c r="A432" t="s">
        <v>3069</v>
      </c>
      <c r="B432" t="s">
        <v>3070</v>
      </c>
      <c r="C432" t="s">
        <v>9299</v>
      </c>
      <c r="D432" t="s">
        <v>9300</v>
      </c>
      <c r="E432" t="s">
        <v>5</v>
      </c>
      <c r="F432" t="s">
        <v>9301</v>
      </c>
      <c r="G432" t="s">
        <v>5</v>
      </c>
      <c r="H432" t="s">
        <v>5</v>
      </c>
      <c r="I432" t="s">
        <v>9286</v>
      </c>
      <c r="J432" t="s">
        <v>573</v>
      </c>
      <c r="K432" s="3">
        <f t="shared" si="12"/>
        <v>0</v>
      </c>
      <c r="L432" s="3">
        <f>IF(ISERROR(VLOOKUP(J432,Lookups!$A$2:$A$16,1,FALSE)),1,0)</f>
        <v>1</v>
      </c>
      <c r="M432" s="3">
        <f>IF(ISERROR(VLOOKUP(D432,Data!$A$2:$D$223100,2,FALSE)),0,1)</f>
        <v>1</v>
      </c>
      <c r="N432" s="3">
        <f t="shared" si="13"/>
        <v>1</v>
      </c>
      <c r="O432" s="3" t="str">
        <f>IF(ISERROR(VLOOKUP(D432,Data!$A$2:$C$223100,3,FALSE)),"INACTIVE",VLOOKUP(D432,Data!$A$2:$C$223100,3,FALSE))</f>
        <v>Current</v>
      </c>
    </row>
    <row r="433" spans="1:15" x14ac:dyDescent="0.25">
      <c r="A433" t="s">
        <v>9052</v>
      </c>
      <c r="B433" t="s">
        <v>9053</v>
      </c>
      <c r="C433" t="s">
        <v>9054</v>
      </c>
      <c r="D433" t="s">
        <v>9055</v>
      </c>
      <c r="E433" t="s">
        <v>9056</v>
      </c>
      <c r="F433" t="s">
        <v>9056</v>
      </c>
      <c r="G433" t="s">
        <v>5</v>
      </c>
      <c r="H433" t="s">
        <v>5</v>
      </c>
      <c r="I433" t="s">
        <v>9057</v>
      </c>
      <c r="J433" t="s">
        <v>7</v>
      </c>
      <c r="K433" s="3">
        <f t="shared" si="12"/>
        <v>0</v>
      </c>
      <c r="L433" s="3">
        <f>IF(ISERROR(VLOOKUP(J433,Lookups!$A$2:$A$16,1,FALSE)),1,0)</f>
        <v>1</v>
      </c>
      <c r="M433" s="3">
        <f>IF(ISERROR(VLOOKUP(D433,Data!$A$2:$D$223100,2,FALSE)),0,1)</f>
        <v>1</v>
      </c>
      <c r="N433" s="3">
        <f t="shared" si="13"/>
        <v>1</v>
      </c>
      <c r="O433" s="3" t="str">
        <f>IF(ISERROR(VLOOKUP(D433,Data!$A$2:$C$223100,3,FALSE)),"INACTIVE",VLOOKUP(D433,Data!$A$2:$C$223100,3,FALSE))</f>
        <v>Demand Letter</v>
      </c>
    </row>
    <row r="434" spans="1:15" x14ac:dyDescent="0.25">
      <c r="A434" t="s">
        <v>3434</v>
      </c>
      <c r="B434" t="s">
        <v>3435</v>
      </c>
      <c r="C434" t="s">
        <v>3460</v>
      </c>
      <c r="D434" t="s">
        <v>3461</v>
      </c>
      <c r="E434" t="s">
        <v>9307</v>
      </c>
      <c r="F434" t="s">
        <v>5</v>
      </c>
      <c r="G434" t="s">
        <v>5</v>
      </c>
      <c r="H434" t="s">
        <v>5</v>
      </c>
      <c r="I434" t="s">
        <v>9057</v>
      </c>
      <c r="J434" t="s">
        <v>573</v>
      </c>
      <c r="K434" s="3">
        <f t="shared" si="12"/>
        <v>0</v>
      </c>
      <c r="L434" s="3">
        <f>IF(ISERROR(VLOOKUP(J434,Lookups!$A$2:$A$16,1,FALSE)),1,0)</f>
        <v>1</v>
      </c>
      <c r="M434" s="3">
        <f>IF(ISERROR(VLOOKUP(D434,Data!$A$2:$D$223100,2,FALSE)),0,1)</f>
        <v>1</v>
      </c>
      <c r="N434" s="3">
        <f t="shared" si="13"/>
        <v>1</v>
      </c>
      <c r="O434" s="3" t="str">
        <f>IF(ISERROR(VLOOKUP(D434,Data!$A$2:$C$223100,3,FALSE)),"INACTIVE",VLOOKUP(D434,Data!$A$2:$C$223100,3,FALSE))</f>
        <v>180+</v>
      </c>
    </row>
    <row r="435" spans="1:15" x14ac:dyDescent="0.25">
      <c r="A435" t="s">
        <v>3434</v>
      </c>
      <c r="B435" t="s">
        <v>3435</v>
      </c>
      <c r="C435" t="s">
        <v>9308</v>
      </c>
      <c r="D435" t="s">
        <v>9309</v>
      </c>
      <c r="E435" t="s">
        <v>5</v>
      </c>
      <c r="F435" t="s">
        <v>9310</v>
      </c>
      <c r="G435" t="s">
        <v>5</v>
      </c>
      <c r="H435" t="s">
        <v>5</v>
      </c>
      <c r="I435" t="s">
        <v>9057</v>
      </c>
      <c r="J435" t="s">
        <v>96</v>
      </c>
      <c r="K435" s="3">
        <f t="shared" si="12"/>
        <v>0</v>
      </c>
      <c r="L435" s="3">
        <f>IF(ISERROR(VLOOKUP(J435,Lookups!$A$2:$A$16,1,FALSE)),1,0)</f>
        <v>0</v>
      </c>
      <c r="M435" s="3">
        <f>IF(ISERROR(VLOOKUP(D435,Data!$A$2:$D$223100,2,FALSE)),0,1)</f>
        <v>1</v>
      </c>
      <c r="N435" s="3">
        <f t="shared" si="13"/>
        <v>0</v>
      </c>
      <c r="O435" s="3" t="str">
        <f>IF(ISERROR(VLOOKUP(D435,Data!$A$2:$C$223100,3,FALSE)),"INACTIVE",VLOOKUP(D435,Data!$A$2:$C$223100,3,FALSE))</f>
        <v>FBA</v>
      </c>
    </row>
    <row r="436" spans="1:15" x14ac:dyDescent="0.25">
      <c r="A436" t="s">
        <v>3434</v>
      </c>
      <c r="B436" t="s">
        <v>3435</v>
      </c>
      <c r="C436" t="s">
        <v>3490</v>
      </c>
      <c r="D436" t="s">
        <v>3491</v>
      </c>
      <c r="E436" t="s">
        <v>5</v>
      </c>
      <c r="F436" t="s">
        <v>3493</v>
      </c>
      <c r="G436" t="s">
        <v>5</v>
      </c>
      <c r="H436" t="s">
        <v>5</v>
      </c>
      <c r="I436" t="s">
        <v>9057</v>
      </c>
      <c r="J436" t="s">
        <v>96</v>
      </c>
      <c r="K436" s="3">
        <f t="shared" si="12"/>
        <v>0</v>
      </c>
      <c r="L436" s="3">
        <f>IF(ISERROR(VLOOKUP(J436,Lookups!$A$2:$A$16,1,FALSE)),1,0)</f>
        <v>0</v>
      </c>
      <c r="M436" s="3">
        <f>IF(ISERROR(VLOOKUP(D436,Data!$A$2:$D$223100,2,FALSE)),0,1)</f>
        <v>1</v>
      </c>
      <c r="N436" s="3">
        <f t="shared" si="13"/>
        <v>0</v>
      </c>
      <c r="O436" s="3" t="str">
        <f>IF(ISERROR(VLOOKUP(D436,Data!$A$2:$C$223100,3,FALSE)),"INACTIVE",VLOOKUP(D436,Data!$A$2:$C$223100,3,FALSE))</f>
        <v>FC</v>
      </c>
    </row>
    <row r="437" spans="1:15" x14ac:dyDescent="0.25">
      <c r="A437" t="s">
        <v>3494</v>
      </c>
      <c r="B437" t="s">
        <v>3495</v>
      </c>
      <c r="C437" t="s">
        <v>9311</v>
      </c>
      <c r="D437" t="s">
        <v>9312</v>
      </c>
      <c r="E437" t="s">
        <v>5</v>
      </c>
      <c r="F437" t="s">
        <v>9313</v>
      </c>
      <c r="G437" t="s">
        <v>5</v>
      </c>
      <c r="H437" t="s">
        <v>5</v>
      </c>
      <c r="I437" t="s">
        <v>9057</v>
      </c>
      <c r="J437" t="s">
        <v>573</v>
      </c>
      <c r="K437" s="3">
        <f t="shared" si="12"/>
        <v>0</v>
      </c>
      <c r="L437" s="3">
        <f>IF(ISERROR(VLOOKUP(J437,Lookups!$A$2:$A$16,1,FALSE)),1,0)</f>
        <v>1</v>
      </c>
      <c r="M437" s="3">
        <f>IF(ISERROR(VLOOKUP(D437,Data!$A$2:$D$223100,2,FALSE)),0,1)</f>
        <v>1</v>
      </c>
      <c r="N437" s="3">
        <f t="shared" si="13"/>
        <v>1</v>
      </c>
      <c r="O437" s="3" t="str">
        <f>IF(ISERROR(VLOOKUP(D437,Data!$A$2:$C$223100,3,FALSE)),"INACTIVE",VLOOKUP(D437,Data!$A$2:$C$223100,3,FALSE))</f>
        <v>Current</v>
      </c>
    </row>
    <row r="438" spans="1:15" x14ac:dyDescent="0.25">
      <c r="A438" t="s">
        <v>701</v>
      </c>
      <c r="B438" t="s">
        <v>702</v>
      </c>
      <c r="C438" t="s">
        <v>703</v>
      </c>
      <c r="D438" t="s">
        <v>704</v>
      </c>
      <c r="E438" t="s">
        <v>705</v>
      </c>
      <c r="F438" t="s">
        <v>5</v>
      </c>
      <c r="G438" t="s">
        <v>5</v>
      </c>
      <c r="H438" t="s">
        <v>5</v>
      </c>
      <c r="I438" t="s">
        <v>9057</v>
      </c>
      <c r="J438" t="s">
        <v>14</v>
      </c>
      <c r="K438" s="3">
        <f t="shared" si="12"/>
        <v>0</v>
      </c>
      <c r="L438" s="3">
        <f>IF(ISERROR(VLOOKUP(J438,Lookups!$A$2:$A$16,1,FALSE)),1,0)</f>
        <v>1</v>
      </c>
      <c r="M438" s="3">
        <f>IF(ISERROR(VLOOKUP(D438,Data!$A$2:$D$223100,2,FALSE)),0,1)</f>
        <v>1</v>
      </c>
      <c r="N438" s="3">
        <f t="shared" si="13"/>
        <v>1</v>
      </c>
      <c r="O438" s="3" t="str">
        <f>IF(ISERROR(VLOOKUP(D438,Data!$A$2:$C$223100,3,FALSE)),"INACTIVE",VLOOKUP(D438,Data!$A$2:$C$223100,3,FALSE))</f>
        <v>120+</v>
      </c>
    </row>
    <row r="439" spans="1:15" x14ac:dyDescent="0.25">
      <c r="A439" t="s">
        <v>701</v>
      </c>
      <c r="B439" t="s">
        <v>702</v>
      </c>
      <c r="C439" t="s">
        <v>703</v>
      </c>
      <c r="D439" t="s">
        <v>704</v>
      </c>
      <c r="E439" t="s">
        <v>706</v>
      </c>
      <c r="F439" t="s">
        <v>5</v>
      </c>
      <c r="G439" t="s">
        <v>5</v>
      </c>
      <c r="H439" t="s">
        <v>5</v>
      </c>
      <c r="I439" t="s">
        <v>9057</v>
      </c>
      <c r="J439" t="s">
        <v>14</v>
      </c>
      <c r="K439" s="3">
        <f t="shared" si="12"/>
        <v>0</v>
      </c>
      <c r="L439" s="3">
        <f>IF(ISERROR(VLOOKUP(J439,Lookups!$A$2:$A$16,1,FALSE)),1,0)</f>
        <v>1</v>
      </c>
      <c r="M439" s="3">
        <f>IF(ISERROR(VLOOKUP(D439,Data!$A$2:$D$223100,2,FALSE)),0,1)</f>
        <v>1</v>
      </c>
      <c r="N439" s="3">
        <f t="shared" si="13"/>
        <v>1</v>
      </c>
      <c r="O439" s="3" t="str">
        <f>IF(ISERROR(VLOOKUP(D439,Data!$A$2:$C$223100,3,FALSE)),"INACTIVE",VLOOKUP(D439,Data!$A$2:$C$223100,3,FALSE))</f>
        <v>120+</v>
      </c>
    </row>
    <row r="440" spans="1:15" x14ac:dyDescent="0.25">
      <c r="A440" t="s">
        <v>701</v>
      </c>
      <c r="B440" t="s">
        <v>702</v>
      </c>
      <c r="C440" t="s">
        <v>707</v>
      </c>
      <c r="D440" t="s">
        <v>708</v>
      </c>
      <c r="E440" t="s">
        <v>5</v>
      </c>
      <c r="F440" t="s">
        <v>709</v>
      </c>
      <c r="G440" t="s">
        <v>5</v>
      </c>
      <c r="H440" t="s">
        <v>5</v>
      </c>
      <c r="I440" t="s">
        <v>9057</v>
      </c>
      <c r="J440" t="s">
        <v>573</v>
      </c>
      <c r="K440" s="3">
        <f t="shared" si="12"/>
        <v>0</v>
      </c>
      <c r="L440" s="3">
        <f>IF(ISERROR(VLOOKUP(J440,Lookups!$A$2:$A$16,1,FALSE)),1,0)</f>
        <v>1</v>
      </c>
      <c r="M440" s="3">
        <f>IF(ISERROR(VLOOKUP(D440,Data!$A$2:$D$223100,2,FALSE)),0,1)</f>
        <v>1</v>
      </c>
      <c r="N440" s="3">
        <f t="shared" si="13"/>
        <v>1</v>
      </c>
      <c r="O440" s="3" t="str">
        <f>IF(ISERROR(VLOOKUP(D440,Data!$A$2:$C$223100,3,FALSE)),"INACTIVE",VLOOKUP(D440,Data!$A$2:$C$223100,3,FALSE))</f>
        <v>Demand Letter</v>
      </c>
    </row>
    <row r="441" spans="1:15" x14ac:dyDescent="0.25">
      <c r="A441" t="s">
        <v>701</v>
      </c>
      <c r="B441" t="s">
        <v>702</v>
      </c>
      <c r="C441" t="s">
        <v>9371</v>
      </c>
      <c r="D441" t="s">
        <v>9372</v>
      </c>
      <c r="E441" t="s">
        <v>9373</v>
      </c>
      <c r="F441" t="s">
        <v>5</v>
      </c>
      <c r="G441" t="s">
        <v>5</v>
      </c>
      <c r="H441" t="s">
        <v>5</v>
      </c>
      <c r="I441" t="s">
        <v>9057</v>
      </c>
      <c r="J441" t="s">
        <v>573</v>
      </c>
      <c r="K441" s="3">
        <f t="shared" si="12"/>
        <v>0</v>
      </c>
      <c r="L441" s="3">
        <f>IF(ISERROR(VLOOKUP(J441,Lookups!$A$2:$A$16,1,FALSE)),1,0)</f>
        <v>1</v>
      </c>
      <c r="M441" s="3">
        <f>IF(ISERROR(VLOOKUP(D441,Data!$A$2:$D$223100,2,FALSE)),0,1)</f>
        <v>0</v>
      </c>
      <c r="N441" s="3">
        <f t="shared" si="13"/>
        <v>0</v>
      </c>
      <c r="O441" s="3" t="str">
        <f>IF(ISERROR(VLOOKUP(D441,Data!$A$2:$C$223100,3,FALSE)),"INACTIVE",VLOOKUP(D441,Data!$A$2:$C$223100,3,FALSE))</f>
        <v>INACTIVE</v>
      </c>
    </row>
    <row r="442" spans="1:15" x14ac:dyDescent="0.25">
      <c r="A442" t="s">
        <v>701</v>
      </c>
      <c r="B442" t="s">
        <v>702</v>
      </c>
      <c r="C442" t="s">
        <v>9374</v>
      </c>
      <c r="D442" t="s">
        <v>9375</v>
      </c>
      <c r="E442" t="s">
        <v>5</v>
      </c>
      <c r="F442" t="s">
        <v>9376</v>
      </c>
      <c r="G442" t="s">
        <v>5</v>
      </c>
      <c r="H442" t="s">
        <v>5</v>
      </c>
      <c r="I442" t="s">
        <v>9057</v>
      </c>
      <c r="J442" t="s">
        <v>573</v>
      </c>
      <c r="K442" s="3">
        <f t="shared" si="12"/>
        <v>0</v>
      </c>
      <c r="L442" s="3">
        <f>IF(ISERROR(VLOOKUP(J442,Lookups!$A$2:$A$16,1,FALSE)),1,0)</f>
        <v>1</v>
      </c>
      <c r="M442" s="3">
        <f>IF(ISERROR(VLOOKUP(D442,Data!$A$2:$D$223100,2,FALSE)),0,1)</f>
        <v>0</v>
      </c>
      <c r="N442" s="3">
        <f t="shared" si="13"/>
        <v>0</v>
      </c>
      <c r="O442" s="3" t="str">
        <f>IF(ISERROR(VLOOKUP(D442,Data!$A$2:$C$223100,3,FALSE)),"INACTIVE",VLOOKUP(D442,Data!$A$2:$C$223100,3,FALSE))</f>
        <v>INACTIVE</v>
      </c>
    </row>
    <row r="443" spans="1:15" x14ac:dyDescent="0.25">
      <c r="A443" t="s">
        <v>701</v>
      </c>
      <c r="B443" t="s">
        <v>702</v>
      </c>
      <c r="C443" t="s">
        <v>767</v>
      </c>
      <c r="D443" t="s">
        <v>768</v>
      </c>
      <c r="E443" t="s">
        <v>9377</v>
      </c>
      <c r="F443" t="s">
        <v>5</v>
      </c>
      <c r="G443" t="s">
        <v>5</v>
      </c>
      <c r="H443" t="s">
        <v>5</v>
      </c>
      <c r="I443" t="s">
        <v>9057</v>
      </c>
      <c r="J443" t="s">
        <v>573</v>
      </c>
      <c r="K443" s="3">
        <f t="shared" si="12"/>
        <v>0</v>
      </c>
      <c r="L443" s="3">
        <f>IF(ISERROR(VLOOKUP(J443,Lookups!$A$2:$A$16,1,FALSE)),1,0)</f>
        <v>1</v>
      </c>
      <c r="M443" s="3">
        <f>IF(ISERROR(VLOOKUP(D443,Data!$A$2:$D$223100,2,FALSE)),0,1)</f>
        <v>1</v>
      </c>
      <c r="N443" s="3">
        <f t="shared" si="13"/>
        <v>1</v>
      </c>
      <c r="O443" s="3" t="str">
        <f>IF(ISERROR(VLOOKUP(D443,Data!$A$2:$C$223100,3,FALSE)),"INACTIVE",VLOOKUP(D443,Data!$A$2:$C$223100,3,FALSE))</f>
        <v>Demand Letter</v>
      </c>
    </row>
    <row r="444" spans="1:15" x14ac:dyDescent="0.25">
      <c r="A444" t="s">
        <v>701</v>
      </c>
      <c r="B444" t="s">
        <v>702</v>
      </c>
      <c r="C444" t="s">
        <v>9378</v>
      </c>
      <c r="D444" t="s">
        <v>9379</v>
      </c>
      <c r="E444" t="s">
        <v>5</v>
      </c>
      <c r="F444" t="s">
        <v>9380</v>
      </c>
      <c r="G444" t="s">
        <v>5</v>
      </c>
      <c r="H444" t="s">
        <v>5</v>
      </c>
      <c r="I444" t="s">
        <v>9057</v>
      </c>
      <c r="J444" t="s">
        <v>573</v>
      </c>
      <c r="K444" s="3">
        <f t="shared" si="12"/>
        <v>0</v>
      </c>
      <c r="L444" s="3">
        <f>IF(ISERROR(VLOOKUP(J444,Lookups!$A$2:$A$16,1,FALSE)),1,0)</f>
        <v>1</v>
      </c>
      <c r="M444" s="3">
        <f>IF(ISERROR(VLOOKUP(D444,Data!$A$2:$D$223100,2,FALSE)),0,1)</f>
        <v>1</v>
      </c>
      <c r="N444" s="3">
        <f t="shared" si="13"/>
        <v>1</v>
      </c>
      <c r="O444" s="3" t="str">
        <f>IF(ISERROR(VLOOKUP(D444,Data!$A$2:$C$223100,3,FALSE)),"INACTIVE",VLOOKUP(D444,Data!$A$2:$C$223100,3,FALSE))</f>
        <v>Current</v>
      </c>
    </row>
    <row r="445" spans="1:15" x14ac:dyDescent="0.25">
      <c r="A445" t="s">
        <v>701</v>
      </c>
      <c r="B445" t="s">
        <v>702</v>
      </c>
      <c r="C445" t="s">
        <v>827</v>
      </c>
      <c r="D445" t="s">
        <v>828</v>
      </c>
      <c r="E445" t="s">
        <v>5</v>
      </c>
      <c r="F445" t="s">
        <v>9381</v>
      </c>
      <c r="G445" t="s">
        <v>5</v>
      </c>
      <c r="H445" t="s">
        <v>5</v>
      </c>
      <c r="I445" t="s">
        <v>9057</v>
      </c>
      <c r="J445" t="s">
        <v>573</v>
      </c>
      <c r="K445" s="3">
        <f t="shared" si="12"/>
        <v>0</v>
      </c>
      <c r="L445" s="3">
        <f>IF(ISERROR(VLOOKUP(J445,Lookups!$A$2:$A$16,1,FALSE)),1,0)</f>
        <v>1</v>
      </c>
      <c r="M445" s="3">
        <f>IF(ISERROR(VLOOKUP(D445,Data!$A$2:$D$223100,2,FALSE)),0,1)</f>
        <v>1</v>
      </c>
      <c r="N445" s="3">
        <f t="shared" si="13"/>
        <v>1</v>
      </c>
      <c r="O445" s="3" t="str">
        <f>IF(ISERROR(VLOOKUP(D445,Data!$A$2:$C$223100,3,FALSE)),"INACTIVE",VLOOKUP(D445,Data!$A$2:$C$223100,3,FALSE))</f>
        <v>30+</v>
      </c>
    </row>
    <row r="446" spans="1:15" x14ac:dyDescent="0.25">
      <c r="A446" t="s">
        <v>3523</v>
      </c>
      <c r="B446" t="s">
        <v>3524</v>
      </c>
      <c r="C446" t="s">
        <v>3525</v>
      </c>
      <c r="D446" t="s">
        <v>3526</v>
      </c>
      <c r="E446" t="s">
        <v>5</v>
      </c>
      <c r="F446" t="s">
        <v>3527</v>
      </c>
      <c r="G446" t="s">
        <v>5</v>
      </c>
      <c r="H446" t="s">
        <v>5</v>
      </c>
      <c r="I446" t="s">
        <v>9057</v>
      </c>
      <c r="J446" t="s">
        <v>14</v>
      </c>
      <c r="K446" s="3">
        <f t="shared" si="12"/>
        <v>0</v>
      </c>
      <c r="L446" s="3">
        <f>IF(ISERROR(VLOOKUP(J446,Lookups!$A$2:$A$16,1,FALSE)),1,0)</f>
        <v>1</v>
      </c>
      <c r="M446" s="3">
        <f>IF(ISERROR(VLOOKUP(D446,Data!$A$2:$D$223100,2,FALSE)),0,1)</f>
        <v>1</v>
      </c>
      <c r="N446" s="3">
        <f t="shared" si="13"/>
        <v>1</v>
      </c>
      <c r="O446" s="3" t="str">
        <f>IF(ISERROR(VLOOKUP(D446,Data!$A$2:$C$223100,3,FALSE)),"INACTIVE",VLOOKUP(D446,Data!$A$2:$C$223100,3,FALSE))</f>
        <v>BK13</v>
      </c>
    </row>
    <row r="447" spans="1:15" x14ac:dyDescent="0.25">
      <c r="A447" t="s">
        <v>3523</v>
      </c>
      <c r="B447" t="s">
        <v>3524</v>
      </c>
      <c r="C447" t="s">
        <v>3525</v>
      </c>
      <c r="D447" t="s">
        <v>3526</v>
      </c>
      <c r="E447" t="s">
        <v>5</v>
      </c>
      <c r="F447" t="s">
        <v>3528</v>
      </c>
      <c r="G447" t="s">
        <v>5</v>
      </c>
      <c r="H447" t="s">
        <v>5</v>
      </c>
      <c r="I447" t="s">
        <v>9057</v>
      </c>
      <c r="J447" t="s">
        <v>14</v>
      </c>
      <c r="K447" s="3">
        <f t="shared" si="12"/>
        <v>0</v>
      </c>
      <c r="L447" s="3">
        <f>IF(ISERROR(VLOOKUP(J447,Lookups!$A$2:$A$16,1,FALSE)),1,0)</f>
        <v>1</v>
      </c>
      <c r="M447" s="3">
        <f>IF(ISERROR(VLOOKUP(D447,Data!$A$2:$D$223100,2,FALSE)),0,1)</f>
        <v>1</v>
      </c>
      <c r="N447" s="3">
        <f t="shared" si="13"/>
        <v>1</v>
      </c>
      <c r="O447" s="3" t="str">
        <f>IF(ISERROR(VLOOKUP(D447,Data!$A$2:$C$223100,3,FALSE)),"INACTIVE",VLOOKUP(D447,Data!$A$2:$C$223100,3,FALSE))</f>
        <v>BK13</v>
      </c>
    </row>
    <row r="448" spans="1:15" x14ac:dyDescent="0.25">
      <c r="A448" t="s">
        <v>9073</v>
      </c>
      <c r="B448" t="s">
        <v>9074</v>
      </c>
      <c r="C448" t="s">
        <v>9075</v>
      </c>
      <c r="D448" t="s">
        <v>9076</v>
      </c>
      <c r="E448" t="s">
        <v>9077</v>
      </c>
      <c r="F448" t="s">
        <v>9077</v>
      </c>
      <c r="G448" t="s">
        <v>5</v>
      </c>
      <c r="H448" t="s">
        <v>5</v>
      </c>
      <c r="I448" t="s">
        <v>9078</v>
      </c>
      <c r="J448" t="s">
        <v>14</v>
      </c>
      <c r="K448" s="3">
        <f t="shared" si="12"/>
        <v>0</v>
      </c>
      <c r="L448" s="3">
        <f>IF(ISERROR(VLOOKUP(J448,Lookups!$A$2:$A$16,1,FALSE)),1,0)</f>
        <v>1</v>
      </c>
      <c r="M448" s="3">
        <f>IF(ISERROR(VLOOKUP(D448,Data!$A$2:$D$223100,2,FALSE)),0,1)</f>
        <v>1</v>
      </c>
      <c r="N448" s="3">
        <f t="shared" si="13"/>
        <v>1</v>
      </c>
      <c r="O448" s="3" t="str">
        <f>IF(ISERROR(VLOOKUP(D448,Data!$A$2:$C$223100,3,FALSE)),"INACTIVE",VLOOKUP(D448,Data!$A$2:$C$223100,3,FALSE))</f>
        <v>Current</v>
      </c>
    </row>
    <row r="449" spans="1:15" x14ac:dyDescent="0.25">
      <c r="A449" t="s">
        <v>9073</v>
      </c>
      <c r="B449" t="s">
        <v>9074</v>
      </c>
      <c r="C449" t="s">
        <v>9075</v>
      </c>
      <c r="D449" t="s">
        <v>9076</v>
      </c>
      <c r="E449" t="s">
        <v>9079</v>
      </c>
      <c r="F449" t="s">
        <v>9079</v>
      </c>
      <c r="G449" t="s">
        <v>5</v>
      </c>
      <c r="H449" t="s">
        <v>5</v>
      </c>
      <c r="I449" t="s">
        <v>9078</v>
      </c>
      <c r="J449" t="s">
        <v>14</v>
      </c>
      <c r="K449" s="3">
        <f t="shared" si="12"/>
        <v>0</v>
      </c>
      <c r="L449" s="3">
        <f>IF(ISERROR(VLOOKUP(J449,Lookups!$A$2:$A$16,1,FALSE)),1,0)</f>
        <v>1</v>
      </c>
      <c r="M449" s="3">
        <f>IF(ISERROR(VLOOKUP(D449,Data!$A$2:$D$223100,2,FALSE)),0,1)</f>
        <v>1</v>
      </c>
      <c r="N449" s="3">
        <f t="shared" si="13"/>
        <v>1</v>
      </c>
      <c r="O449" s="3" t="str">
        <f>IF(ISERROR(VLOOKUP(D449,Data!$A$2:$C$223100,3,FALSE)),"INACTIVE",VLOOKUP(D449,Data!$A$2:$C$223100,3,FALSE))</f>
        <v>Current</v>
      </c>
    </row>
    <row r="450" spans="1:15" x14ac:dyDescent="0.25">
      <c r="A450" t="s">
        <v>9073</v>
      </c>
      <c r="B450" t="s">
        <v>9074</v>
      </c>
      <c r="C450" t="s">
        <v>9075</v>
      </c>
      <c r="D450" t="s">
        <v>9076</v>
      </c>
      <c r="E450" t="s">
        <v>9080</v>
      </c>
      <c r="F450" t="s">
        <v>9080</v>
      </c>
      <c r="G450" t="s">
        <v>5</v>
      </c>
      <c r="H450" t="s">
        <v>5</v>
      </c>
      <c r="I450" t="s">
        <v>9078</v>
      </c>
      <c r="J450" t="s">
        <v>14</v>
      </c>
      <c r="K450" s="3">
        <f t="shared" si="12"/>
        <v>0</v>
      </c>
      <c r="L450" s="3">
        <f>IF(ISERROR(VLOOKUP(J450,Lookups!$A$2:$A$16,1,FALSE)),1,0)</f>
        <v>1</v>
      </c>
      <c r="M450" s="3">
        <f>IF(ISERROR(VLOOKUP(D450,Data!$A$2:$D$223100,2,FALSE)),0,1)</f>
        <v>1</v>
      </c>
      <c r="N450" s="3">
        <f t="shared" si="13"/>
        <v>1</v>
      </c>
      <c r="O450" s="3" t="str">
        <f>IF(ISERROR(VLOOKUP(D450,Data!$A$2:$C$223100,3,FALSE)),"INACTIVE",VLOOKUP(D450,Data!$A$2:$C$223100,3,FALSE))</f>
        <v>Current</v>
      </c>
    </row>
    <row r="451" spans="1:15" x14ac:dyDescent="0.25">
      <c r="A451" t="s">
        <v>9073</v>
      </c>
      <c r="B451" t="s">
        <v>9074</v>
      </c>
      <c r="C451" t="s">
        <v>9081</v>
      </c>
      <c r="D451" t="s">
        <v>9082</v>
      </c>
      <c r="E451" t="s">
        <v>9083</v>
      </c>
      <c r="F451" t="s">
        <v>9083</v>
      </c>
      <c r="G451" t="s">
        <v>5</v>
      </c>
      <c r="H451" t="s">
        <v>5</v>
      </c>
      <c r="I451" t="s">
        <v>9078</v>
      </c>
      <c r="J451" t="s">
        <v>573</v>
      </c>
      <c r="K451" s="3">
        <f t="shared" ref="K451:K514" si="14">IF(ISERROR(FIND("LIEN",A451,1)),0,1)</f>
        <v>0</v>
      </c>
      <c r="L451" s="3">
        <f>IF(ISERROR(VLOOKUP(J451,Lookups!$A$2:$A$16,1,FALSE)),1,0)</f>
        <v>1</v>
      </c>
      <c r="M451" s="3">
        <f>IF(ISERROR(VLOOKUP(D451,Data!$A$2:$D$223100,2,FALSE)),0,1)</f>
        <v>1</v>
      </c>
      <c r="N451" s="3">
        <f t="shared" ref="N451:N514" si="15">IF(M451=0,0,IF(SUM(K451:L451)&gt;0,1,0))</f>
        <v>1</v>
      </c>
      <c r="O451" s="3" t="str">
        <f>IF(ISERROR(VLOOKUP(D451,Data!$A$2:$C$223100,3,FALSE)),"INACTIVE",VLOOKUP(D451,Data!$A$2:$C$223100,3,FALSE))</f>
        <v>Current</v>
      </c>
    </row>
    <row r="452" spans="1:15" x14ac:dyDescent="0.25">
      <c r="A452" t="s">
        <v>9073</v>
      </c>
      <c r="B452" t="s">
        <v>9074</v>
      </c>
      <c r="C452" t="s">
        <v>9084</v>
      </c>
      <c r="D452" t="s">
        <v>9085</v>
      </c>
      <c r="E452" t="s">
        <v>9086</v>
      </c>
      <c r="F452" t="s">
        <v>9086</v>
      </c>
      <c r="G452" t="s">
        <v>5</v>
      </c>
      <c r="H452" t="s">
        <v>5</v>
      </c>
      <c r="I452" t="s">
        <v>9078</v>
      </c>
      <c r="J452" t="s">
        <v>14</v>
      </c>
      <c r="K452" s="3">
        <f t="shared" si="14"/>
        <v>0</v>
      </c>
      <c r="L452" s="3">
        <f>IF(ISERROR(VLOOKUP(J452,Lookups!$A$2:$A$16,1,FALSE)),1,0)</f>
        <v>1</v>
      </c>
      <c r="M452" s="3">
        <f>IF(ISERROR(VLOOKUP(D452,Data!$A$2:$D$223100,2,FALSE)),0,1)</f>
        <v>1</v>
      </c>
      <c r="N452" s="3">
        <f t="shared" si="15"/>
        <v>1</v>
      </c>
      <c r="O452" s="3" t="str">
        <f>IF(ISERROR(VLOOKUP(D452,Data!$A$2:$C$223100,3,FALSE)),"INACTIVE",VLOOKUP(D452,Data!$A$2:$C$223100,3,FALSE))</f>
        <v>Current</v>
      </c>
    </row>
    <row r="453" spans="1:15" x14ac:dyDescent="0.25">
      <c r="A453" t="s">
        <v>9073</v>
      </c>
      <c r="B453" t="s">
        <v>9074</v>
      </c>
      <c r="C453" t="s">
        <v>9084</v>
      </c>
      <c r="D453" t="s">
        <v>9085</v>
      </c>
      <c r="E453" t="s">
        <v>9087</v>
      </c>
      <c r="F453" t="s">
        <v>9087</v>
      </c>
      <c r="G453" t="s">
        <v>5</v>
      </c>
      <c r="H453" t="s">
        <v>5</v>
      </c>
      <c r="I453" t="s">
        <v>9078</v>
      </c>
      <c r="J453" t="s">
        <v>14</v>
      </c>
      <c r="K453" s="3">
        <f t="shared" si="14"/>
        <v>0</v>
      </c>
      <c r="L453" s="3">
        <f>IF(ISERROR(VLOOKUP(J453,Lookups!$A$2:$A$16,1,FALSE)),1,0)</f>
        <v>1</v>
      </c>
      <c r="M453" s="3">
        <f>IF(ISERROR(VLOOKUP(D453,Data!$A$2:$D$223100,2,FALSE)),0,1)</f>
        <v>1</v>
      </c>
      <c r="N453" s="3">
        <f t="shared" si="15"/>
        <v>1</v>
      </c>
      <c r="O453" s="3" t="str">
        <f>IF(ISERROR(VLOOKUP(D453,Data!$A$2:$C$223100,3,FALSE)),"INACTIVE",VLOOKUP(D453,Data!$A$2:$C$223100,3,FALSE))</f>
        <v>Current</v>
      </c>
    </row>
    <row r="454" spans="1:15" x14ac:dyDescent="0.25">
      <c r="A454" t="s">
        <v>9073</v>
      </c>
      <c r="B454" t="s">
        <v>9074</v>
      </c>
      <c r="C454" t="s">
        <v>9084</v>
      </c>
      <c r="D454" t="s">
        <v>9085</v>
      </c>
      <c r="E454" t="s">
        <v>9088</v>
      </c>
      <c r="F454" t="s">
        <v>9088</v>
      </c>
      <c r="G454" t="s">
        <v>5</v>
      </c>
      <c r="H454" t="s">
        <v>5</v>
      </c>
      <c r="I454" t="s">
        <v>9078</v>
      </c>
      <c r="J454" t="s">
        <v>14</v>
      </c>
      <c r="K454" s="3">
        <f t="shared" si="14"/>
        <v>0</v>
      </c>
      <c r="L454" s="3">
        <f>IF(ISERROR(VLOOKUP(J454,Lookups!$A$2:$A$16,1,FALSE)),1,0)</f>
        <v>1</v>
      </c>
      <c r="M454" s="3">
        <f>IF(ISERROR(VLOOKUP(D454,Data!$A$2:$D$223100,2,FALSE)),0,1)</f>
        <v>1</v>
      </c>
      <c r="N454" s="3">
        <f t="shared" si="15"/>
        <v>1</v>
      </c>
      <c r="O454" s="3" t="str">
        <f>IF(ISERROR(VLOOKUP(D454,Data!$A$2:$C$223100,3,FALSE)),"INACTIVE",VLOOKUP(D454,Data!$A$2:$C$223100,3,FALSE))</f>
        <v>Current</v>
      </c>
    </row>
    <row r="455" spans="1:15" x14ac:dyDescent="0.25">
      <c r="A455" t="s">
        <v>9073</v>
      </c>
      <c r="B455" t="s">
        <v>9074</v>
      </c>
      <c r="C455" t="s">
        <v>9089</v>
      </c>
      <c r="D455" t="s">
        <v>9090</v>
      </c>
      <c r="E455" t="s">
        <v>9091</v>
      </c>
      <c r="F455" t="s">
        <v>9091</v>
      </c>
      <c r="G455" t="s">
        <v>5</v>
      </c>
      <c r="H455" t="s">
        <v>5</v>
      </c>
      <c r="I455" t="s">
        <v>9078</v>
      </c>
      <c r="J455" t="s">
        <v>36</v>
      </c>
      <c r="K455" s="3">
        <f t="shared" si="14"/>
        <v>0</v>
      </c>
      <c r="L455" s="3">
        <f>IF(ISERROR(VLOOKUP(J455,Lookups!$A$2:$A$16,1,FALSE)),1,0)</f>
        <v>1</v>
      </c>
      <c r="M455" s="3">
        <f>IF(ISERROR(VLOOKUP(D455,Data!$A$2:$D$223100,2,FALSE)),0,1)</f>
        <v>1</v>
      </c>
      <c r="N455" s="3">
        <f t="shared" si="15"/>
        <v>1</v>
      </c>
      <c r="O455" s="3" t="str">
        <f>IF(ISERROR(VLOOKUP(D455,Data!$A$2:$C$223100,3,FALSE)),"INACTIVE",VLOOKUP(D455,Data!$A$2:$C$223100,3,FALSE))</f>
        <v>60+</v>
      </c>
    </row>
    <row r="456" spans="1:15" x14ac:dyDescent="0.25">
      <c r="A456" t="s">
        <v>9073</v>
      </c>
      <c r="B456" t="s">
        <v>9074</v>
      </c>
      <c r="C456" t="s">
        <v>9092</v>
      </c>
      <c r="D456" t="s">
        <v>9093</v>
      </c>
      <c r="E456" t="s">
        <v>9094</v>
      </c>
      <c r="F456" t="s">
        <v>9094</v>
      </c>
      <c r="G456" t="s">
        <v>5</v>
      </c>
      <c r="H456" t="s">
        <v>5</v>
      </c>
      <c r="I456" t="s">
        <v>9078</v>
      </c>
      <c r="J456" t="s">
        <v>573</v>
      </c>
      <c r="K456" s="3">
        <f t="shared" si="14"/>
        <v>0</v>
      </c>
      <c r="L456" s="3">
        <f>IF(ISERROR(VLOOKUP(J456,Lookups!$A$2:$A$16,1,FALSE)),1,0)</f>
        <v>1</v>
      </c>
      <c r="M456" s="3">
        <f>IF(ISERROR(VLOOKUP(D456,Data!$A$2:$D$223100,2,FALSE)),0,1)</f>
        <v>1</v>
      </c>
      <c r="N456" s="3">
        <f t="shared" si="15"/>
        <v>1</v>
      </c>
      <c r="O456" s="3" t="str">
        <f>IF(ISERROR(VLOOKUP(D456,Data!$A$2:$C$223100,3,FALSE)),"INACTIVE",VLOOKUP(D456,Data!$A$2:$C$223100,3,FALSE))</f>
        <v>Current</v>
      </c>
    </row>
    <row r="457" spans="1:15" x14ac:dyDescent="0.25">
      <c r="A457" t="s">
        <v>9073</v>
      </c>
      <c r="B457" t="s">
        <v>9074</v>
      </c>
      <c r="C457" t="s">
        <v>9095</v>
      </c>
      <c r="D457" t="s">
        <v>9096</v>
      </c>
      <c r="E457" t="s">
        <v>9097</v>
      </c>
      <c r="F457" t="s">
        <v>9097</v>
      </c>
      <c r="G457" t="s">
        <v>5</v>
      </c>
      <c r="H457" t="s">
        <v>5</v>
      </c>
      <c r="I457" t="s">
        <v>9078</v>
      </c>
      <c r="J457" t="s">
        <v>573</v>
      </c>
      <c r="K457" s="3">
        <f t="shared" si="14"/>
        <v>0</v>
      </c>
      <c r="L457" s="3">
        <f>IF(ISERROR(VLOOKUP(J457,Lookups!$A$2:$A$16,1,FALSE)),1,0)</f>
        <v>1</v>
      </c>
      <c r="M457" s="3">
        <f>IF(ISERROR(VLOOKUP(D457,Data!$A$2:$D$223100,2,FALSE)),0,1)</f>
        <v>0</v>
      </c>
      <c r="N457" s="3">
        <f t="shared" si="15"/>
        <v>0</v>
      </c>
      <c r="O457" s="3" t="str">
        <f>IF(ISERROR(VLOOKUP(D457,Data!$A$2:$C$223100,3,FALSE)),"INACTIVE",VLOOKUP(D457,Data!$A$2:$C$223100,3,FALSE))</f>
        <v>INACTIVE</v>
      </c>
    </row>
    <row r="458" spans="1:15" x14ac:dyDescent="0.25">
      <c r="A458" t="s">
        <v>9073</v>
      </c>
      <c r="B458" t="s">
        <v>9074</v>
      </c>
      <c r="C458" t="s">
        <v>9098</v>
      </c>
      <c r="D458" t="s">
        <v>9099</v>
      </c>
      <c r="E458" t="s">
        <v>9100</v>
      </c>
      <c r="F458" t="s">
        <v>9100</v>
      </c>
      <c r="G458" t="s">
        <v>5</v>
      </c>
      <c r="H458" t="s">
        <v>5</v>
      </c>
      <c r="I458" t="s">
        <v>9078</v>
      </c>
      <c r="J458" t="s">
        <v>36</v>
      </c>
      <c r="K458" s="3">
        <f t="shared" si="14"/>
        <v>0</v>
      </c>
      <c r="L458" s="3">
        <f>IF(ISERROR(VLOOKUP(J458,Lookups!$A$2:$A$16,1,FALSE)),1,0)</f>
        <v>1</v>
      </c>
      <c r="M458" s="3">
        <f>IF(ISERROR(VLOOKUP(D458,Data!$A$2:$D$223100,2,FALSE)),0,1)</f>
        <v>1</v>
      </c>
      <c r="N458" s="3">
        <f t="shared" si="15"/>
        <v>1</v>
      </c>
      <c r="O458" s="3" t="str">
        <f>IF(ISERROR(VLOOKUP(D458,Data!$A$2:$C$223100,3,FALSE)),"INACTIVE",VLOOKUP(D458,Data!$A$2:$C$223100,3,FALSE))</f>
        <v>Current</v>
      </c>
    </row>
    <row r="459" spans="1:15" x14ac:dyDescent="0.25">
      <c r="A459" t="s">
        <v>9073</v>
      </c>
      <c r="B459" t="s">
        <v>9074</v>
      </c>
      <c r="C459" t="s">
        <v>9101</v>
      </c>
      <c r="D459" t="s">
        <v>9102</v>
      </c>
      <c r="E459" t="s">
        <v>9103</v>
      </c>
      <c r="F459" t="s">
        <v>9103</v>
      </c>
      <c r="G459" t="s">
        <v>5</v>
      </c>
      <c r="H459" t="s">
        <v>5</v>
      </c>
      <c r="I459" t="s">
        <v>9078</v>
      </c>
      <c r="J459" t="s">
        <v>14</v>
      </c>
      <c r="K459" s="3">
        <f t="shared" si="14"/>
        <v>0</v>
      </c>
      <c r="L459" s="3">
        <f>IF(ISERROR(VLOOKUP(J459,Lookups!$A$2:$A$16,1,FALSE)),1,0)</f>
        <v>1</v>
      </c>
      <c r="M459" s="3">
        <f>IF(ISERROR(VLOOKUP(D459,Data!$A$2:$D$223100,2,FALSE)),0,1)</f>
        <v>1</v>
      </c>
      <c r="N459" s="3">
        <f t="shared" si="15"/>
        <v>1</v>
      </c>
      <c r="O459" s="3" t="str">
        <f>IF(ISERROR(VLOOKUP(D459,Data!$A$2:$C$223100,3,FALSE)),"INACTIVE",VLOOKUP(D459,Data!$A$2:$C$223100,3,FALSE))</f>
        <v>FBA</v>
      </c>
    </row>
    <row r="460" spans="1:15" x14ac:dyDescent="0.25">
      <c r="A460" t="s">
        <v>9073</v>
      </c>
      <c r="B460" t="s">
        <v>9074</v>
      </c>
      <c r="C460" t="s">
        <v>9101</v>
      </c>
      <c r="D460" t="s">
        <v>9102</v>
      </c>
      <c r="E460" t="s">
        <v>9104</v>
      </c>
      <c r="F460" t="s">
        <v>9104</v>
      </c>
      <c r="G460" t="s">
        <v>5</v>
      </c>
      <c r="H460" t="s">
        <v>5</v>
      </c>
      <c r="I460" t="s">
        <v>9078</v>
      </c>
      <c r="J460" t="s">
        <v>14</v>
      </c>
      <c r="K460" s="3">
        <f t="shared" si="14"/>
        <v>0</v>
      </c>
      <c r="L460" s="3">
        <f>IF(ISERROR(VLOOKUP(J460,Lookups!$A$2:$A$16,1,FALSE)),1,0)</f>
        <v>1</v>
      </c>
      <c r="M460" s="3">
        <f>IF(ISERROR(VLOOKUP(D460,Data!$A$2:$D$223100,2,FALSE)),0,1)</f>
        <v>1</v>
      </c>
      <c r="N460" s="3">
        <f t="shared" si="15"/>
        <v>1</v>
      </c>
      <c r="O460" s="3" t="str">
        <f>IF(ISERROR(VLOOKUP(D460,Data!$A$2:$C$223100,3,FALSE)),"INACTIVE",VLOOKUP(D460,Data!$A$2:$C$223100,3,FALSE))</f>
        <v>FBA</v>
      </c>
    </row>
    <row r="461" spans="1:15" x14ac:dyDescent="0.25">
      <c r="A461" t="s">
        <v>9073</v>
      </c>
      <c r="B461" t="s">
        <v>9074</v>
      </c>
      <c r="C461" t="s">
        <v>9101</v>
      </c>
      <c r="D461" t="s">
        <v>9102</v>
      </c>
      <c r="E461" t="s">
        <v>9105</v>
      </c>
      <c r="F461" t="s">
        <v>9105</v>
      </c>
      <c r="G461" t="s">
        <v>5</v>
      </c>
      <c r="H461" t="s">
        <v>5</v>
      </c>
      <c r="I461" t="s">
        <v>9078</v>
      </c>
      <c r="J461" t="s">
        <v>14</v>
      </c>
      <c r="K461" s="3">
        <f t="shared" si="14"/>
        <v>0</v>
      </c>
      <c r="L461" s="3">
        <f>IF(ISERROR(VLOOKUP(J461,Lookups!$A$2:$A$16,1,FALSE)),1,0)</f>
        <v>1</v>
      </c>
      <c r="M461" s="3">
        <f>IF(ISERROR(VLOOKUP(D461,Data!$A$2:$D$223100,2,FALSE)),0,1)</f>
        <v>1</v>
      </c>
      <c r="N461" s="3">
        <f t="shared" si="15"/>
        <v>1</v>
      </c>
      <c r="O461" s="3" t="str">
        <f>IF(ISERROR(VLOOKUP(D461,Data!$A$2:$C$223100,3,FALSE)),"INACTIVE",VLOOKUP(D461,Data!$A$2:$C$223100,3,FALSE))</f>
        <v>FBA</v>
      </c>
    </row>
    <row r="462" spans="1:15" x14ac:dyDescent="0.25">
      <c r="A462" t="s">
        <v>9159</v>
      </c>
      <c r="B462" t="s">
        <v>9160</v>
      </c>
      <c r="C462" t="s">
        <v>9161</v>
      </c>
      <c r="D462" t="s">
        <v>9162</v>
      </c>
      <c r="E462" t="s">
        <v>5</v>
      </c>
      <c r="F462" t="s">
        <v>9163</v>
      </c>
      <c r="G462" t="s">
        <v>5</v>
      </c>
      <c r="H462" t="s">
        <v>5</v>
      </c>
      <c r="I462" t="s">
        <v>9078</v>
      </c>
      <c r="J462" t="s">
        <v>7</v>
      </c>
      <c r="K462" s="3">
        <f t="shared" si="14"/>
        <v>0</v>
      </c>
      <c r="L462" s="3">
        <f>IF(ISERROR(VLOOKUP(J462,Lookups!$A$2:$A$16,1,FALSE)),1,0)</f>
        <v>1</v>
      </c>
      <c r="M462" s="3">
        <f>IF(ISERROR(VLOOKUP(D462,Data!$A$2:$D$223100,2,FALSE)),0,1)</f>
        <v>0</v>
      </c>
      <c r="N462" s="3">
        <f t="shared" si="15"/>
        <v>0</v>
      </c>
      <c r="O462" s="3" t="str">
        <f>IF(ISERROR(VLOOKUP(D462,Data!$A$2:$C$223100,3,FALSE)),"INACTIVE",VLOOKUP(D462,Data!$A$2:$C$223100,3,FALSE))</f>
        <v>INACTIVE</v>
      </c>
    </row>
    <row r="463" spans="1:15" x14ac:dyDescent="0.25">
      <c r="A463" t="s">
        <v>2117</v>
      </c>
      <c r="B463" t="s">
        <v>2118</v>
      </c>
      <c r="C463" t="s">
        <v>9204</v>
      </c>
      <c r="D463" t="s">
        <v>9205</v>
      </c>
      <c r="E463" t="s">
        <v>9206</v>
      </c>
      <c r="F463" t="s">
        <v>5</v>
      </c>
      <c r="G463" t="s">
        <v>5</v>
      </c>
      <c r="H463" t="s">
        <v>5</v>
      </c>
      <c r="I463" t="s">
        <v>9078</v>
      </c>
      <c r="J463" t="s">
        <v>573</v>
      </c>
      <c r="K463" s="3">
        <f t="shared" si="14"/>
        <v>0</v>
      </c>
      <c r="L463" s="3">
        <f>IF(ISERROR(VLOOKUP(J463,Lookups!$A$2:$A$16,1,FALSE)),1,0)</f>
        <v>1</v>
      </c>
      <c r="M463" s="3">
        <f>IF(ISERROR(VLOOKUP(D463,Data!$A$2:$D$223100,2,FALSE)),0,1)</f>
        <v>1</v>
      </c>
      <c r="N463" s="3">
        <f t="shared" si="15"/>
        <v>1</v>
      </c>
      <c r="O463" s="3" t="str">
        <f>IF(ISERROR(VLOOKUP(D463,Data!$A$2:$C$223100,3,FALSE)),"INACTIVE",VLOOKUP(D463,Data!$A$2:$C$223100,3,FALSE))</f>
        <v>60+</v>
      </c>
    </row>
    <row r="464" spans="1:15" x14ac:dyDescent="0.25">
      <c r="A464" t="s">
        <v>2117</v>
      </c>
      <c r="B464" t="s">
        <v>2118</v>
      </c>
      <c r="C464" t="s">
        <v>2123</v>
      </c>
      <c r="D464" t="s">
        <v>2124</v>
      </c>
      <c r="E464" t="s">
        <v>2125</v>
      </c>
      <c r="F464" t="s">
        <v>5</v>
      </c>
      <c r="G464" t="s">
        <v>5</v>
      </c>
      <c r="H464" t="s">
        <v>5</v>
      </c>
      <c r="I464" t="s">
        <v>9078</v>
      </c>
      <c r="J464" t="s">
        <v>573</v>
      </c>
      <c r="K464" s="3">
        <f t="shared" si="14"/>
        <v>0</v>
      </c>
      <c r="L464" s="3">
        <f>IF(ISERROR(VLOOKUP(J464,Lookups!$A$2:$A$16,1,FALSE)),1,0)</f>
        <v>1</v>
      </c>
      <c r="M464" s="3">
        <f>IF(ISERROR(VLOOKUP(D464,Data!$A$2:$D$223100,2,FALSE)),0,1)</f>
        <v>1</v>
      </c>
      <c r="N464" s="3">
        <f t="shared" si="15"/>
        <v>1</v>
      </c>
      <c r="O464" s="3" t="str">
        <f>IF(ISERROR(VLOOKUP(D464,Data!$A$2:$C$223100,3,FALSE)),"INACTIVE",VLOOKUP(D464,Data!$A$2:$C$223100,3,FALSE))</f>
        <v>Current</v>
      </c>
    </row>
    <row r="465" spans="1:15" x14ac:dyDescent="0.25">
      <c r="A465" t="s">
        <v>2117</v>
      </c>
      <c r="B465" t="s">
        <v>2118</v>
      </c>
      <c r="C465" t="s">
        <v>9207</v>
      </c>
      <c r="D465" t="s">
        <v>9208</v>
      </c>
      <c r="E465" t="s">
        <v>9209</v>
      </c>
      <c r="F465" t="s">
        <v>5</v>
      </c>
      <c r="G465" t="s">
        <v>5</v>
      </c>
      <c r="H465" t="s">
        <v>5</v>
      </c>
      <c r="I465" t="s">
        <v>9078</v>
      </c>
      <c r="J465" t="s">
        <v>573</v>
      </c>
      <c r="K465" s="3">
        <f t="shared" si="14"/>
        <v>0</v>
      </c>
      <c r="L465" s="3">
        <f>IF(ISERROR(VLOOKUP(J465,Lookups!$A$2:$A$16,1,FALSE)),1,0)</f>
        <v>1</v>
      </c>
      <c r="M465" s="3">
        <f>IF(ISERROR(VLOOKUP(D465,Data!$A$2:$D$223100,2,FALSE)),0,1)</f>
        <v>0</v>
      </c>
      <c r="N465" s="3">
        <f t="shared" si="15"/>
        <v>0</v>
      </c>
      <c r="O465" s="3" t="str">
        <f>IF(ISERROR(VLOOKUP(D465,Data!$A$2:$C$223100,3,FALSE)),"INACTIVE",VLOOKUP(D465,Data!$A$2:$C$223100,3,FALSE))</f>
        <v>INACTIVE</v>
      </c>
    </row>
    <row r="466" spans="1:15" x14ac:dyDescent="0.25">
      <c r="A466" t="s">
        <v>2117</v>
      </c>
      <c r="B466" t="s">
        <v>2118</v>
      </c>
      <c r="C466" t="s">
        <v>2237</v>
      </c>
      <c r="D466" t="s">
        <v>2238</v>
      </c>
      <c r="E466" t="s">
        <v>9210</v>
      </c>
      <c r="F466" t="s">
        <v>5</v>
      </c>
      <c r="G466" t="s">
        <v>5</v>
      </c>
      <c r="H466" t="s">
        <v>5</v>
      </c>
      <c r="I466" t="s">
        <v>9078</v>
      </c>
      <c r="J466" t="s">
        <v>573</v>
      </c>
      <c r="K466" s="3">
        <f t="shared" si="14"/>
        <v>0</v>
      </c>
      <c r="L466" s="3">
        <f>IF(ISERROR(VLOOKUP(J466,Lookups!$A$2:$A$16,1,FALSE)),1,0)</f>
        <v>1</v>
      </c>
      <c r="M466" s="3">
        <f>IF(ISERROR(VLOOKUP(D466,Data!$A$2:$D$223100,2,FALSE)),0,1)</f>
        <v>1</v>
      </c>
      <c r="N466" s="3">
        <f t="shared" si="15"/>
        <v>1</v>
      </c>
      <c r="O466" s="3" t="str">
        <f>IF(ISERROR(VLOOKUP(D466,Data!$A$2:$C$223100,3,FALSE)),"INACTIVE",VLOOKUP(D466,Data!$A$2:$C$223100,3,FALSE))</f>
        <v>Current</v>
      </c>
    </row>
    <row r="467" spans="1:15" x14ac:dyDescent="0.25">
      <c r="A467" t="s">
        <v>2117</v>
      </c>
      <c r="B467" t="s">
        <v>2118</v>
      </c>
      <c r="C467" t="s">
        <v>2126</v>
      </c>
      <c r="D467" t="s">
        <v>2127</v>
      </c>
      <c r="E467" t="s">
        <v>2128</v>
      </c>
      <c r="F467" t="s">
        <v>5</v>
      </c>
      <c r="G467" t="s">
        <v>5</v>
      </c>
      <c r="H467" t="s">
        <v>5</v>
      </c>
      <c r="I467" t="s">
        <v>9078</v>
      </c>
      <c r="J467" t="s">
        <v>573</v>
      </c>
      <c r="K467" s="3">
        <f t="shared" si="14"/>
        <v>0</v>
      </c>
      <c r="L467" s="3">
        <f>IF(ISERROR(VLOOKUP(J467,Lookups!$A$2:$A$16,1,FALSE)),1,0)</f>
        <v>1</v>
      </c>
      <c r="M467" s="3">
        <f>IF(ISERROR(VLOOKUP(D467,Data!$A$2:$D$223100,2,FALSE)),0,1)</f>
        <v>1</v>
      </c>
      <c r="N467" s="3">
        <f t="shared" si="15"/>
        <v>1</v>
      </c>
      <c r="O467" s="3" t="str">
        <f>IF(ISERROR(VLOOKUP(D467,Data!$A$2:$C$223100,3,FALSE)),"INACTIVE",VLOOKUP(D467,Data!$A$2:$C$223100,3,FALSE))</f>
        <v>FBA</v>
      </c>
    </row>
    <row r="468" spans="1:15" x14ac:dyDescent="0.25">
      <c r="A468" t="s">
        <v>2117</v>
      </c>
      <c r="B468" t="s">
        <v>2118</v>
      </c>
      <c r="C468" t="s">
        <v>9211</v>
      </c>
      <c r="D468" t="s">
        <v>9212</v>
      </c>
      <c r="E468" t="s">
        <v>9213</v>
      </c>
      <c r="F468" t="s">
        <v>5</v>
      </c>
      <c r="G468" t="s">
        <v>5</v>
      </c>
      <c r="H468" t="s">
        <v>5</v>
      </c>
      <c r="I468" t="s">
        <v>9078</v>
      </c>
      <c r="J468" t="s">
        <v>573</v>
      </c>
      <c r="K468" s="3">
        <f t="shared" si="14"/>
        <v>0</v>
      </c>
      <c r="L468" s="3">
        <f>IF(ISERROR(VLOOKUP(J468,Lookups!$A$2:$A$16,1,FALSE)),1,0)</f>
        <v>1</v>
      </c>
      <c r="M468" s="3">
        <f>IF(ISERROR(VLOOKUP(D468,Data!$A$2:$D$223100,2,FALSE)),0,1)</f>
        <v>0</v>
      </c>
      <c r="N468" s="3">
        <f t="shared" si="15"/>
        <v>0</v>
      </c>
      <c r="O468" s="3" t="str">
        <f>IF(ISERROR(VLOOKUP(D468,Data!$A$2:$C$223100,3,FALSE)),"INACTIVE",VLOOKUP(D468,Data!$A$2:$C$223100,3,FALSE))</f>
        <v>INACTIVE</v>
      </c>
    </row>
    <row r="469" spans="1:15" x14ac:dyDescent="0.25">
      <c r="A469" t="s">
        <v>2117</v>
      </c>
      <c r="B469" t="s">
        <v>2118</v>
      </c>
      <c r="C469" t="s">
        <v>2129</v>
      </c>
      <c r="D469" t="s">
        <v>9214</v>
      </c>
      <c r="E469" t="s">
        <v>2131</v>
      </c>
      <c r="F469" t="s">
        <v>5</v>
      </c>
      <c r="G469" t="s">
        <v>5</v>
      </c>
      <c r="H469" t="s">
        <v>5</v>
      </c>
      <c r="I469" t="s">
        <v>9078</v>
      </c>
      <c r="J469" t="s">
        <v>36</v>
      </c>
      <c r="K469" s="3">
        <f t="shared" si="14"/>
        <v>0</v>
      </c>
      <c r="L469" s="3">
        <f>IF(ISERROR(VLOOKUP(J469,Lookups!$A$2:$A$16,1,FALSE)),1,0)</f>
        <v>1</v>
      </c>
      <c r="M469" s="3">
        <f>IF(ISERROR(VLOOKUP(D469,Data!$A$2:$D$223100,2,FALSE)),0,1)</f>
        <v>0</v>
      </c>
      <c r="N469" s="3">
        <f t="shared" si="15"/>
        <v>0</v>
      </c>
      <c r="O469" s="3" t="str">
        <f>IF(ISERROR(VLOOKUP(D469,Data!$A$2:$C$223100,3,FALSE)),"INACTIVE",VLOOKUP(D469,Data!$A$2:$C$223100,3,FALSE))</f>
        <v>INACTIVE</v>
      </c>
    </row>
    <row r="470" spans="1:15" x14ac:dyDescent="0.25">
      <c r="A470" t="s">
        <v>2117</v>
      </c>
      <c r="B470" t="s">
        <v>2118</v>
      </c>
      <c r="C470" t="s">
        <v>2132</v>
      </c>
      <c r="D470" t="s">
        <v>2133</v>
      </c>
      <c r="E470" t="s">
        <v>2134</v>
      </c>
      <c r="F470" t="s">
        <v>5</v>
      </c>
      <c r="G470" t="s">
        <v>5</v>
      </c>
      <c r="H470" t="s">
        <v>5</v>
      </c>
      <c r="I470" t="s">
        <v>9078</v>
      </c>
      <c r="J470" t="s">
        <v>14</v>
      </c>
      <c r="K470" s="3">
        <f t="shared" si="14"/>
        <v>0</v>
      </c>
      <c r="L470" s="3">
        <f>IF(ISERROR(VLOOKUP(J470,Lookups!$A$2:$A$16,1,FALSE)),1,0)</f>
        <v>1</v>
      </c>
      <c r="M470" s="3">
        <f>IF(ISERROR(VLOOKUP(D470,Data!$A$2:$D$223100,2,FALSE)),0,1)</f>
        <v>1</v>
      </c>
      <c r="N470" s="3">
        <f t="shared" si="15"/>
        <v>1</v>
      </c>
      <c r="O470" s="3" t="str">
        <f>IF(ISERROR(VLOOKUP(D470,Data!$A$2:$C$223100,3,FALSE)),"INACTIVE",VLOOKUP(D470,Data!$A$2:$C$223100,3,FALSE))</f>
        <v>BK13</v>
      </c>
    </row>
    <row r="471" spans="1:15" x14ac:dyDescent="0.25">
      <c r="A471" t="s">
        <v>2117</v>
      </c>
      <c r="B471" t="s">
        <v>2118</v>
      </c>
      <c r="C471" t="s">
        <v>9215</v>
      </c>
      <c r="D471" t="s">
        <v>9216</v>
      </c>
      <c r="E471" t="s">
        <v>9217</v>
      </c>
      <c r="F471" t="s">
        <v>5</v>
      </c>
      <c r="G471" t="s">
        <v>5</v>
      </c>
      <c r="H471" t="s">
        <v>5</v>
      </c>
      <c r="I471" t="s">
        <v>9078</v>
      </c>
      <c r="J471" t="s">
        <v>573</v>
      </c>
      <c r="K471" s="3">
        <f t="shared" si="14"/>
        <v>0</v>
      </c>
      <c r="L471" s="3">
        <f>IF(ISERROR(VLOOKUP(J471,Lookups!$A$2:$A$16,1,FALSE)),1,0)</f>
        <v>1</v>
      </c>
      <c r="M471" s="3">
        <f>IF(ISERROR(VLOOKUP(D471,Data!$A$2:$D$223100,2,FALSE)),0,1)</f>
        <v>1</v>
      </c>
      <c r="N471" s="3">
        <f t="shared" si="15"/>
        <v>1</v>
      </c>
      <c r="O471" s="3" t="str">
        <f>IF(ISERROR(VLOOKUP(D471,Data!$A$2:$C$223100,3,FALSE)),"INACTIVE",VLOOKUP(D471,Data!$A$2:$C$223100,3,FALSE))</f>
        <v>30+</v>
      </c>
    </row>
    <row r="472" spans="1:15" x14ac:dyDescent="0.25">
      <c r="A472" t="s">
        <v>2117</v>
      </c>
      <c r="B472" t="s">
        <v>2118</v>
      </c>
      <c r="C472" t="s">
        <v>2135</v>
      </c>
      <c r="D472" t="s">
        <v>2136</v>
      </c>
      <c r="E472" t="s">
        <v>2137</v>
      </c>
      <c r="F472" t="s">
        <v>5</v>
      </c>
      <c r="G472" t="s">
        <v>5</v>
      </c>
      <c r="H472" t="s">
        <v>5</v>
      </c>
      <c r="I472" t="s">
        <v>9078</v>
      </c>
      <c r="J472" t="s">
        <v>573</v>
      </c>
      <c r="K472" s="3">
        <f t="shared" si="14"/>
        <v>0</v>
      </c>
      <c r="L472" s="3">
        <f>IF(ISERROR(VLOOKUP(J472,Lookups!$A$2:$A$16,1,FALSE)),1,0)</f>
        <v>1</v>
      </c>
      <c r="M472" s="3">
        <f>IF(ISERROR(VLOOKUP(D472,Data!$A$2:$D$223100,2,FALSE)),0,1)</f>
        <v>1</v>
      </c>
      <c r="N472" s="3">
        <f t="shared" si="15"/>
        <v>1</v>
      </c>
      <c r="O472" s="3" t="str">
        <f>IF(ISERROR(VLOOKUP(D472,Data!$A$2:$C$223100,3,FALSE)),"INACTIVE",VLOOKUP(D472,Data!$A$2:$C$223100,3,FALSE))</f>
        <v>BK13</v>
      </c>
    </row>
    <row r="473" spans="1:15" x14ac:dyDescent="0.25">
      <c r="A473" t="s">
        <v>2117</v>
      </c>
      <c r="B473" t="s">
        <v>2118</v>
      </c>
      <c r="C473" t="s">
        <v>2325</v>
      </c>
      <c r="D473" t="s">
        <v>2326</v>
      </c>
      <c r="E473" t="s">
        <v>9218</v>
      </c>
      <c r="F473" t="s">
        <v>5</v>
      </c>
      <c r="G473" t="s">
        <v>5</v>
      </c>
      <c r="H473" t="s">
        <v>5</v>
      </c>
      <c r="I473" t="s">
        <v>9078</v>
      </c>
      <c r="J473" t="s">
        <v>573</v>
      </c>
      <c r="K473" s="3">
        <f t="shared" si="14"/>
        <v>0</v>
      </c>
      <c r="L473" s="3">
        <f>IF(ISERROR(VLOOKUP(J473,Lookups!$A$2:$A$16,1,FALSE)),1,0)</f>
        <v>1</v>
      </c>
      <c r="M473" s="3">
        <f>IF(ISERROR(VLOOKUP(D473,Data!$A$2:$D$223100,2,FALSE)),0,1)</f>
        <v>1</v>
      </c>
      <c r="N473" s="3">
        <f t="shared" si="15"/>
        <v>1</v>
      </c>
      <c r="O473" s="3" t="str">
        <f>IF(ISERROR(VLOOKUP(D473,Data!$A$2:$C$223100,3,FALSE)),"INACTIVE",VLOOKUP(D473,Data!$A$2:$C$223100,3,FALSE))</f>
        <v>180+</v>
      </c>
    </row>
    <row r="474" spans="1:15" x14ac:dyDescent="0.25">
      <c r="A474" t="s">
        <v>2117</v>
      </c>
      <c r="B474" t="s">
        <v>2118</v>
      </c>
      <c r="C474" t="s">
        <v>2138</v>
      </c>
      <c r="D474" t="s">
        <v>2139</v>
      </c>
      <c r="E474" t="s">
        <v>2140</v>
      </c>
      <c r="F474" t="s">
        <v>5</v>
      </c>
      <c r="G474" t="s">
        <v>5</v>
      </c>
      <c r="H474" t="s">
        <v>5</v>
      </c>
      <c r="I474" t="s">
        <v>9078</v>
      </c>
      <c r="J474" t="s">
        <v>36</v>
      </c>
      <c r="K474" s="3">
        <f t="shared" si="14"/>
        <v>0</v>
      </c>
      <c r="L474" s="3">
        <f>IF(ISERROR(VLOOKUP(J474,Lookups!$A$2:$A$16,1,FALSE)),1,0)</f>
        <v>1</v>
      </c>
      <c r="M474" s="3">
        <f>IF(ISERROR(VLOOKUP(D474,Data!$A$2:$D$223100,2,FALSE)),0,1)</f>
        <v>1</v>
      </c>
      <c r="N474" s="3">
        <f t="shared" si="15"/>
        <v>1</v>
      </c>
      <c r="O474" s="3" t="str">
        <f>IF(ISERROR(VLOOKUP(D474,Data!$A$2:$C$223100,3,FALSE)),"INACTIVE",VLOOKUP(D474,Data!$A$2:$C$223100,3,FALSE))</f>
        <v>Current</v>
      </c>
    </row>
    <row r="475" spans="1:15" x14ac:dyDescent="0.25">
      <c r="A475" t="s">
        <v>2117</v>
      </c>
      <c r="B475" t="s">
        <v>2118</v>
      </c>
      <c r="C475" t="s">
        <v>2141</v>
      </c>
      <c r="D475" t="s">
        <v>2142</v>
      </c>
      <c r="E475" t="s">
        <v>2143</v>
      </c>
      <c r="F475" t="s">
        <v>5</v>
      </c>
      <c r="G475" t="s">
        <v>5</v>
      </c>
      <c r="H475" t="s">
        <v>5</v>
      </c>
      <c r="I475" t="s">
        <v>9078</v>
      </c>
      <c r="J475" t="s">
        <v>96</v>
      </c>
      <c r="K475" s="3">
        <f t="shared" si="14"/>
        <v>0</v>
      </c>
      <c r="L475" s="3">
        <f>IF(ISERROR(VLOOKUP(J475,Lookups!$A$2:$A$16,1,FALSE)),1,0)</f>
        <v>0</v>
      </c>
      <c r="M475" s="3">
        <f>IF(ISERROR(VLOOKUP(D475,Data!$A$2:$D$223100,2,FALSE)),0,1)</f>
        <v>1</v>
      </c>
      <c r="N475" s="3">
        <f t="shared" si="15"/>
        <v>0</v>
      </c>
      <c r="O475" s="3" t="str">
        <f>IF(ISERROR(VLOOKUP(D475,Data!$A$2:$C$223100,3,FALSE)),"INACTIVE",VLOOKUP(D475,Data!$A$2:$C$223100,3,FALSE))</f>
        <v>60+</v>
      </c>
    </row>
    <row r="476" spans="1:15" x14ac:dyDescent="0.25">
      <c r="A476" t="s">
        <v>2117</v>
      </c>
      <c r="B476" t="s">
        <v>2118</v>
      </c>
      <c r="C476" t="s">
        <v>2141</v>
      </c>
      <c r="D476" t="s">
        <v>2142</v>
      </c>
      <c r="E476" t="s">
        <v>2144</v>
      </c>
      <c r="F476" t="s">
        <v>5</v>
      </c>
      <c r="G476" t="s">
        <v>5</v>
      </c>
      <c r="H476" t="s">
        <v>5</v>
      </c>
      <c r="I476" t="s">
        <v>9078</v>
      </c>
      <c r="J476" t="s">
        <v>96</v>
      </c>
      <c r="K476" s="3">
        <f t="shared" si="14"/>
        <v>0</v>
      </c>
      <c r="L476" s="3">
        <f>IF(ISERROR(VLOOKUP(J476,Lookups!$A$2:$A$16,1,FALSE)),1,0)</f>
        <v>0</v>
      </c>
      <c r="M476" s="3">
        <f>IF(ISERROR(VLOOKUP(D476,Data!$A$2:$D$223100,2,FALSE)),0,1)</f>
        <v>1</v>
      </c>
      <c r="N476" s="3">
        <f t="shared" si="15"/>
        <v>0</v>
      </c>
      <c r="O476" s="3" t="str">
        <f>IF(ISERROR(VLOOKUP(D476,Data!$A$2:$C$223100,3,FALSE)),"INACTIVE",VLOOKUP(D476,Data!$A$2:$C$223100,3,FALSE))</f>
        <v>60+</v>
      </c>
    </row>
    <row r="477" spans="1:15" x14ac:dyDescent="0.25">
      <c r="A477" t="s">
        <v>2117</v>
      </c>
      <c r="B477" t="s">
        <v>2118</v>
      </c>
      <c r="C477" t="s">
        <v>2435</v>
      </c>
      <c r="D477" t="s">
        <v>2436</v>
      </c>
      <c r="E477" t="s">
        <v>9219</v>
      </c>
      <c r="F477" t="s">
        <v>5</v>
      </c>
      <c r="G477" t="s">
        <v>5</v>
      </c>
      <c r="H477" t="s">
        <v>5</v>
      </c>
      <c r="I477" t="s">
        <v>9078</v>
      </c>
      <c r="J477" t="s">
        <v>573</v>
      </c>
      <c r="K477" s="3">
        <f t="shared" si="14"/>
        <v>0</v>
      </c>
      <c r="L477" s="3">
        <f>IF(ISERROR(VLOOKUP(J477,Lookups!$A$2:$A$16,1,FALSE)),1,0)</f>
        <v>1</v>
      </c>
      <c r="M477" s="3">
        <f>IF(ISERROR(VLOOKUP(D477,Data!$A$2:$D$223100,2,FALSE)),0,1)</f>
        <v>1</v>
      </c>
      <c r="N477" s="3">
        <f t="shared" si="15"/>
        <v>1</v>
      </c>
      <c r="O477" s="3" t="str">
        <f>IF(ISERROR(VLOOKUP(D477,Data!$A$2:$C$223100,3,FALSE)),"INACTIVE",VLOOKUP(D477,Data!$A$2:$C$223100,3,FALSE))</f>
        <v>FBA</v>
      </c>
    </row>
    <row r="478" spans="1:15" x14ac:dyDescent="0.25">
      <c r="A478" t="s">
        <v>2117</v>
      </c>
      <c r="B478" t="s">
        <v>2118</v>
      </c>
      <c r="C478" t="s">
        <v>2439</v>
      </c>
      <c r="D478" t="s">
        <v>2440</v>
      </c>
      <c r="E478" t="s">
        <v>9220</v>
      </c>
      <c r="F478" t="s">
        <v>5</v>
      </c>
      <c r="G478" t="s">
        <v>5</v>
      </c>
      <c r="H478" t="s">
        <v>5</v>
      </c>
      <c r="I478" t="s">
        <v>9078</v>
      </c>
      <c r="J478" t="s">
        <v>573</v>
      </c>
      <c r="K478" s="3">
        <f t="shared" si="14"/>
        <v>0</v>
      </c>
      <c r="L478" s="3">
        <f>IF(ISERROR(VLOOKUP(J478,Lookups!$A$2:$A$16,1,FALSE)),1,0)</f>
        <v>1</v>
      </c>
      <c r="M478" s="3">
        <f>IF(ISERROR(VLOOKUP(D478,Data!$A$2:$D$223100,2,FALSE)),0,1)</f>
        <v>1</v>
      </c>
      <c r="N478" s="3">
        <f t="shared" si="15"/>
        <v>1</v>
      </c>
      <c r="O478" s="3" t="str">
        <f>IF(ISERROR(VLOOKUP(D478,Data!$A$2:$C$223100,3,FALSE)),"INACTIVE",VLOOKUP(D478,Data!$A$2:$C$223100,3,FALSE))</f>
        <v>Demand Letter</v>
      </c>
    </row>
    <row r="479" spans="1:15" x14ac:dyDescent="0.25">
      <c r="A479" t="s">
        <v>2117</v>
      </c>
      <c r="B479" t="s">
        <v>2118</v>
      </c>
      <c r="C479" t="s">
        <v>2445</v>
      </c>
      <c r="D479" t="s">
        <v>2446</v>
      </c>
      <c r="E479" t="s">
        <v>9221</v>
      </c>
      <c r="F479" t="s">
        <v>5</v>
      </c>
      <c r="G479" t="s">
        <v>5</v>
      </c>
      <c r="H479" t="s">
        <v>5</v>
      </c>
      <c r="I479" t="s">
        <v>9078</v>
      </c>
      <c r="J479" t="s">
        <v>573</v>
      </c>
      <c r="K479" s="3">
        <f t="shared" si="14"/>
        <v>0</v>
      </c>
      <c r="L479" s="3">
        <f>IF(ISERROR(VLOOKUP(J479,Lookups!$A$2:$A$16,1,FALSE)),1,0)</f>
        <v>1</v>
      </c>
      <c r="M479" s="3">
        <f>IF(ISERROR(VLOOKUP(D479,Data!$A$2:$D$223100,2,FALSE)),0,1)</f>
        <v>0</v>
      </c>
      <c r="N479" s="3">
        <f t="shared" si="15"/>
        <v>0</v>
      </c>
      <c r="O479" s="3" t="str">
        <f>IF(ISERROR(VLOOKUP(D479,Data!$A$2:$C$223100,3,FALSE)),"INACTIVE",VLOOKUP(D479,Data!$A$2:$C$223100,3,FALSE))</f>
        <v>INACTIVE</v>
      </c>
    </row>
    <row r="480" spans="1:15" x14ac:dyDescent="0.25">
      <c r="A480" t="s">
        <v>2117</v>
      </c>
      <c r="B480" t="s">
        <v>2118</v>
      </c>
      <c r="C480" t="s">
        <v>2145</v>
      </c>
      <c r="D480" t="s">
        <v>2146</v>
      </c>
      <c r="E480" t="s">
        <v>2147</v>
      </c>
      <c r="F480" t="s">
        <v>5</v>
      </c>
      <c r="G480" t="s">
        <v>5</v>
      </c>
      <c r="H480" t="s">
        <v>5</v>
      </c>
      <c r="I480" t="s">
        <v>9078</v>
      </c>
      <c r="J480" t="s">
        <v>36</v>
      </c>
      <c r="K480" s="3">
        <f t="shared" si="14"/>
        <v>0</v>
      </c>
      <c r="L480" s="3">
        <f>IF(ISERROR(VLOOKUP(J480,Lookups!$A$2:$A$16,1,FALSE)),1,0)</f>
        <v>1</v>
      </c>
      <c r="M480" s="3">
        <f>IF(ISERROR(VLOOKUP(D480,Data!$A$2:$D$223100,2,FALSE)),0,1)</f>
        <v>1</v>
      </c>
      <c r="N480" s="3">
        <f t="shared" si="15"/>
        <v>1</v>
      </c>
      <c r="O480" s="3" t="str">
        <f>IF(ISERROR(VLOOKUP(D480,Data!$A$2:$C$223100,3,FALSE)),"INACTIVE",VLOOKUP(D480,Data!$A$2:$C$223100,3,FALSE))</f>
        <v>60+</v>
      </c>
    </row>
    <row r="481" spans="1:15" x14ac:dyDescent="0.25">
      <c r="A481" t="s">
        <v>2117</v>
      </c>
      <c r="B481" t="s">
        <v>2118</v>
      </c>
      <c r="C481" t="s">
        <v>2145</v>
      </c>
      <c r="D481" t="s">
        <v>2146</v>
      </c>
      <c r="E481" t="s">
        <v>2148</v>
      </c>
      <c r="F481" t="s">
        <v>5</v>
      </c>
      <c r="G481" t="s">
        <v>5</v>
      </c>
      <c r="H481" t="s">
        <v>5</v>
      </c>
      <c r="I481" t="s">
        <v>9078</v>
      </c>
      <c r="J481" t="s">
        <v>36</v>
      </c>
      <c r="K481" s="3">
        <f t="shared" si="14"/>
        <v>0</v>
      </c>
      <c r="L481" s="3">
        <f>IF(ISERROR(VLOOKUP(J481,Lookups!$A$2:$A$16,1,FALSE)),1,0)</f>
        <v>1</v>
      </c>
      <c r="M481" s="3">
        <f>IF(ISERROR(VLOOKUP(D481,Data!$A$2:$D$223100,2,FALSE)),0,1)</f>
        <v>1</v>
      </c>
      <c r="N481" s="3">
        <f t="shared" si="15"/>
        <v>1</v>
      </c>
      <c r="O481" s="3" t="str">
        <f>IF(ISERROR(VLOOKUP(D481,Data!$A$2:$C$223100,3,FALSE)),"INACTIVE",VLOOKUP(D481,Data!$A$2:$C$223100,3,FALSE))</f>
        <v>60+</v>
      </c>
    </row>
    <row r="482" spans="1:15" x14ac:dyDescent="0.25">
      <c r="A482" t="s">
        <v>2117</v>
      </c>
      <c r="B482" t="s">
        <v>2118</v>
      </c>
      <c r="C482" t="s">
        <v>9222</v>
      </c>
      <c r="D482" t="s">
        <v>9223</v>
      </c>
      <c r="E482" t="s">
        <v>9224</v>
      </c>
      <c r="F482" t="s">
        <v>5</v>
      </c>
      <c r="G482" t="s">
        <v>5</v>
      </c>
      <c r="H482" t="s">
        <v>5</v>
      </c>
      <c r="I482" t="s">
        <v>9078</v>
      </c>
      <c r="J482" t="s">
        <v>573</v>
      </c>
      <c r="K482" s="3">
        <f t="shared" si="14"/>
        <v>0</v>
      </c>
      <c r="L482" s="3">
        <f>IF(ISERROR(VLOOKUP(J482,Lookups!$A$2:$A$16,1,FALSE)),1,0)</f>
        <v>1</v>
      </c>
      <c r="M482" s="3">
        <f>IF(ISERROR(VLOOKUP(D482,Data!$A$2:$D$223100,2,FALSE)),0,1)</f>
        <v>1</v>
      </c>
      <c r="N482" s="3">
        <f t="shared" si="15"/>
        <v>1</v>
      </c>
      <c r="O482" s="3" t="str">
        <f>IF(ISERROR(VLOOKUP(D482,Data!$A$2:$C$223100,3,FALSE)),"INACTIVE",VLOOKUP(D482,Data!$A$2:$C$223100,3,FALSE))</f>
        <v>Current</v>
      </c>
    </row>
    <row r="483" spans="1:15" x14ac:dyDescent="0.25">
      <c r="A483" t="s">
        <v>2117</v>
      </c>
      <c r="B483" t="s">
        <v>2118</v>
      </c>
      <c r="C483" t="s">
        <v>2149</v>
      </c>
      <c r="D483" t="s">
        <v>2150</v>
      </c>
      <c r="E483" t="s">
        <v>2151</v>
      </c>
      <c r="F483" t="s">
        <v>5</v>
      </c>
      <c r="G483" t="s">
        <v>5</v>
      </c>
      <c r="H483" t="s">
        <v>5</v>
      </c>
      <c r="I483" t="s">
        <v>9078</v>
      </c>
      <c r="J483" t="s">
        <v>573</v>
      </c>
      <c r="K483" s="3">
        <f t="shared" si="14"/>
        <v>0</v>
      </c>
      <c r="L483" s="3">
        <f>IF(ISERROR(VLOOKUP(J483,Lookups!$A$2:$A$16,1,FALSE)),1,0)</f>
        <v>1</v>
      </c>
      <c r="M483" s="3">
        <f>IF(ISERROR(VLOOKUP(D483,Data!$A$2:$D$223100,2,FALSE)),0,1)</f>
        <v>1</v>
      </c>
      <c r="N483" s="3">
        <f t="shared" si="15"/>
        <v>1</v>
      </c>
      <c r="O483" s="3" t="str">
        <f>IF(ISERROR(VLOOKUP(D483,Data!$A$2:$C$223100,3,FALSE)),"INACTIVE",VLOOKUP(D483,Data!$A$2:$C$223100,3,FALSE))</f>
        <v>BK13</v>
      </c>
    </row>
    <row r="484" spans="1:15" x14ac:dyDescent="0.25">
      <c r="A484" t="s">
        <v>2117</v>
      </c>
      <c r="B484" t="s">
        <v>2118</v>
      </c>
      <c r="C484" t="s">
        <v>2497</v>
      </c>
      <c r="D484" t="s">
        <v>2498</v>
      </c>
      <c r="E484" t="s">
        <v>9225</v>
      </c>
      <c r="F484" t="s">
        <v>5</v>
      </c>
      <c r="G484" t="s">
        <v>5</v>
      </c>
      <c r="H484" t="s">
        <v>5</v>
      </c>
      <c r="I484" t="s">
        <v>9078</v>
      </c>
      <c r="J484" t="s">
        <v>573</v>
      </c>
      <c r="K484" s="3">
        <f t="shared" si="14"/>
        <v>0</v>
      </c>
      <c r="L484" s="3">
        <f>IF(ISERROR(VLOOKUP(J484,Lookups!$A$2:$A$16,1,FALSE)),1,0)</f>
        <v>1</v>
      </c>
      <c r="M484" s="3">
        <f>IF(ISERROR(VLOOKUP(D484,Data!$A$2:$D$223100,2,FALSE)),0,1)</f>
        <v>1</v>
      </c>
      <c r="N484" s="3">
        <f t="shared" si="15"/>
        <v>1</v>
      </c>
      <c r="O484" s="3" t="str">
        <f>IF(ISERROR(VLOOKUP(D484,Data!$A$2:$C$223100,3,FALSE)),"INACTIVE",VLOOKUP(D484,Data!$A$2:$C$223100,3,FALSE))</f>
        <v>Demand Letter</v>
      </c>
    </row>
    <row r="485" spans="1:15" x14ac:dyDescent="0.25">
      <c r="A485" t="s">
        <v>2117</v>
      </c>
      <c r="B485" t="s">
        <v>2118</v>
      </c>
      <c r="C485" t="s">
        <v>2152</v>
      </c>
      <c r="D485" t="s">
        <v>2153</v>
      </c>
      <c r="E485" t="s">
        <v>2154</v>
      </c>
      <c r="F485" t="s">
        <v>5</v>
      </c>
      <c r="G485" t="s">
        <v>5</v>
      </c>
      <c r="H485" t="s">
        <v>5</v>
      </c>
      <c r="I485" t="s">
        <v>9078</v>
      </c>
      <c r="J485" t="s">
        <v>7</v>
      </c>
      <c r="K485" s="3">
        <f t="shared" si="14"/>
        <v>0</v>
      </c>
      <c r="L485" s="3">
        <f>IF(ISERROR(VLOOKUP(J485,Lookups!$A$2:$A$16,1,FALSE)),1,0)</f>
        <v>1</v>
      </c>
      <c r="M485" s="3">
        <f>IF(ISERROR(VLOOKUP(D485,Data!$A$2:$D$223100,2,FALSE)),0,1)</f>
        <v>1</v>
      </c>
      <c r="N485" s="3">
        <f t="shared" si="15"/>
        <v>1</v>
      </c>
      <c r="O485" s="3" t="str">
        <f>IF(ISERROR(VLOOKUP(D485,Data!$A$2:$C$223100,3,FALSE)),"INACTIVE",VLOOKUP(D485,Data!$A$2:$C$223100,3,FALSE))</f>
        <v>FC</v>
      </c>
    </row>
    <row r="486" spans="1:15" x14ac:dyDescent="0.25">
      <c r="A486" t="s">
        <v>2117</v>
      </c>
      <c r="B486" t="s">
        <v>2118</v>
      </c>
      <c r="C486" t="s">
        <v>2152</v>
      </c>
      <c r="D486" t="s">
        <v>2153</v>
      </c>
      <c r="E486" t="s">
        <v>2155</v>
      </c>
      <c r="F486" t="s">
        <v>5</v>
      </c>
      <c r="G486" t="s">
        <v>5</v>
      </c>
      <c r="H486" t="s">
        <v>5</v>
      </c>
      <c r="I486" t="s">
        <v>9078</v>
      </c>
      <c r="J486" t="s">
        <v>7</v>
      </c>
      <c r="K486" s="3">
        <f t="shared" si="14"/>
        <v>0</v>
      </c>
      <c r="L486" s="3">
        <f>IF(ISERROR(VLOOKUP(J486,Lookups!$A$2:$A$16,1,FALSE)),1,0)</f>
        <v>1</v>
      </c>
      <c r="M486" s="3">
        <f>IF(ISERROR(VLOOKUP(D486,Data!$A$2:$D$223100,2,FALSE)),0,1)</f>
        <v>1</v>
      </c>
      <c r="N486" s="3">
        <f t="shared" si="15"/>
        <v>1</v>
      </c>
      <c r="O486" s="3" t="str">
        <f>IF(ISERROR(VLOOKUP(D486,Data!$A$2:$C$223100,3,FALSE)),"INACTIVE",VLOOKUP(D486,Data!$A$2:$C$223100,3,FALSE))</f>
        <v>FC</v>
      </c>
    </row>
    <row r="487" spans="1:15" x14ac:dyDescent="0.25">
      <c r="A487" t="s">
        <v>2117</v>
      </c>
      <c r="B487" t="s">
        <v>2118</v>
      </c>
      <c r="C487" t="s">
        <v>2152</v>
      </c>
      <c r="D487" t="s">
        <v>2153</v>
      </c>
      <c r="E487" t="s">
        <v>2156</v>
      </c>
      <c r="F487" t="s">
        <v>5</v>
      </c>
      <c r="G487" t="s">
        <v>5</v>
      </c>
      <c r="H487" t="s">
        <v>5</v>
      </c>
      <c r="I487" t="s">
        <v>9078</v>
      </c>
      <c r="J487" t="s">
        <v>7</v>
      </c>
      <c r="K487" s="3">
        <f t="shared" si="14"/>
        <v>0</v>
      </c>
      <c r="L487" s="3">
        <f>IF(ISERROR(VLOOKUP(J487,Lookups!$A$2:$A$16,1,FALSE)),1,0)</f>
        <v>1</v>
      </c>
      <c r="M487" s="3">
        <f>IF(ISERROR(VLOOKUP(D487,Data!$A$2:$D$223100,2,FALSE)),0,1)</f>
        <v>1</v>
      </c>
      <c r="N487" s="3">
        <f t="shared" si="15"/>
        <v>1</v>
      </c>
      <c r="O487" s="3" t="str">
        <f>IF(ISERROR(VLOOKUP(D487,Data!$A$2:$C$223100,3,FALSE)),"INACTIVE",VLOOKUP(D487,Data!$A$2:$C$223100,3,FALSE))</f>
        <v>FC</v>
      </c>
    </row>
    <row r="488" spans="1:15" x14ac:dyDescent="0.25">
      <c r="A488" t="s">
        <v>2117</v>
      </c>
      <c r="B488" t="s">
        <v>2118</v>
      </c>
      <c r="C488" t="s">
        <v>2152</v>
      </c>
      <c r="D488" t="s">
        <v>2153</v>
      </c>
      <c r="E488" t="s">
        <v>2157</v>
      </c>
      <c r="F488" t="s">
        <v>5</v>
      </c>
      <c r="G488" t="s">
        <v>5</v>
      </c>
      <c r="H488" t="s">
        <v>5</v>
      </c>
      <c r="I488" t="s">
        <v>9078</v>
      </c>
      <c r="J488" t="s">
        <v>7</v>
      </c>
      <c r="K488" s="3">
        <f t="shared" si="14"/>
        <v>0</v>
      </c>
      <c r="L488" s="3">
        <f>IF(ISERROR(VLOOKUP(J488,Lookups!$A$2:$A$16,1,FALSE)),1,0)</f>
        <v>1</v>
      </c>
      <c r="M488" s="3">
        <f>IF(ISERROR(VLOOKUP(D488,Data!$A$2:$D$223100,2,FALSE)),0,1)</f>
        <v>1</v>
      </c>
      <c r="N488" s="3">
        <f t="shared" si="15"/>
        <v>1</v>
      </c>
      <c r="O488" s="3" t="str">
        <f>IF(ISERROR(VLOOKUP(D488,Data!$A$2:$C$223100,3,FALSE)),"INACTIVE",VLOOKUP(D488,Data!$A$2:$C$223100,3,FALSE))</f>
        <v>FC</v>
      </c>
    </row>
    <row r="489" spans="1:15" x14ac:dyDescent="0.25">
      <c r="A489" t="s">
        <v>2117</v>
      </c>
      <c r="B489" t="s">
        <v>2118</v>
      </c>
      <c r="C489" t="s">
        <v>2541</v>
      </c>
      <c r="D489" t="s">
        <v>2542</v>
      </c>
      <c r="E489" t="s">
        <v>9226</v>
      </c>
      <c r="F489" t="s">
        <v>5</v>
      </c>
      <c r="G489" t="s">
        <v>5</v>
      </c>
      <c r="H489" t="s">
        <v>5</v>
      </c>
      <c r="I489" t="s">
        <v>9078</v>
      </c>
      <c r="J489" t="s">
        <v>573</v>
      </c>
      <c r="K489" s="3">
        <f t="shared" si="14"/>
        <v>0</v>
      </c>
      <c r="L489" s="3">
        <f>IF(ISERROR(VLOOKUP(J489,Lookups!$A$2:$A$16,1,FALSE)),1,0)</f>
        <v>1</v>
      </c>
      <c r="M489" s="3">
        <f>IF(ISERROR(VLOOKUP(D489,Data!$A$2:$D$223100,2,FALSE)),0,1)</f>
        <v>1</v>
      </c>
      <c r="N489" s="3">
        <f t="shared" si="15"/>
        <v>1</v>
      </c>
      <c r="O489" s="3" t="str">
        <f>IF(ISERROR(VLOOKUP(D489,Data!$A$2:$C$223100,3,FALSE)),"INACTIVE",VLOOKUP(D489,Data!$A$2:$C$223100,3,FALSE))</f>
        <v>180+</v>
      </c>
    </row>
    <row r="490" spans="1:15" x14ac:dyDescent="0.25">
      <c r="A490" t="s">
        <v>2117</v>
      </c>
      <c r="B490" t="s">
        <v>2118</v>
      </c>
      <c r="C490" t="s">
        <v>2158</v>
      </c>
      <c r="D490" t="s">
        <v>2159</v>
      </c>
      <c r="E490" t="s">
        <v>2160</v>
      </c>
      <c r="F490" t="s">
        <v>5</v>
      </c>
      <c r="G490" t="s">
        <v>5</v>
      </c>
      <c r="H490" t="s">
        <v>5</v>
      </c>
      <c r="I490" t="s">
        <v>9078</v>
      </c>
      <c r="J490" t="s">
        <v>14</v>
      </c>
      <c r="K490" s="3">
        <f t="shared" si="14"/>
        <v>0</v>
      </c>
      <c r="L490" s="3">
        <f>IF(ISERROR(VLOOKUP(J490,Lookups!$A$2:$A$16,1,FALSE)),1,0)</f>
        <v>1</v>
      </c>
      <c r="M490" s="3">
        <f>IF(ISERROR(VLOOKUP(D490,Data!$A$2:$D$223100,2,FALSE)),0,1)</f>
        <v>1</v>
      </c>
      <c r="N490" s="3">
        <f t="shared" si="15"/>
        <v>1</v>
      </c>
      <c r="O490" s="3" t="str">
        <f>IF(ISERROR(VLOOKUP(D490,Data!$A$2:$C$223100,3,FALSE)),"INACTIVE",VLOOKUP(D490,Data!$A$2:$C$223100,3,FALSE))</f>
        <v>BK13</v>
      </c>
    </row>
    <row r="491" spans="1:15" x14ac:dyDescent="0.25">
      <c r="A491" t="s">
        <v>2117</v>
      </c>
      <c r="B491" t="s">
        <v>2118</v>
      </c>
      <c r="C491" t="s">
        <v>2158</v>
      </c>
      <c r="D491" t="s">
        <v>2159</v>
      </c>
      <c r="E491" t="s">
        <v>2161</v>
      </c>
      <c r="F491" t="s">
        <v>5</v>
      </c>
      <c r="G491" t="s">
        <v>5</v>
      </c>
      <c r="H491" t="s">
        <v>5</v>
      </c>
      <c r="I491" t="s">
        <v>9078</v>
      </c>
      <c r="J491" t="s">
        <v>14</v>
      </c>
      <c r="K491" s="3">
        <f t="shared" si="14"/>
        <v>0</v>
      </c>
      <c r="L491" s="3">
        <f>IF(ISERROR(VLOOKUP(J491,Lookups!$A$2:$A$16,1,FALSE)),1,0)</f>
        <v>1</v>
      </c>
      <c r="M491" s="3">
        <f>IF(ISERROR(VLOOKUP(D491,Data!$A$2:$D$223100,2,FALSE)),0,1)</f>
        <v>1</v>
      </c>
      <c r="N491" s="3">
        <f t="shared" si="15"/>
        <v>1</v>
      </c>
      <c r="O491" s="3" t="str">
        <f>IF(ISERROR(VLOOKUP(D491,Data!$A$2:$C$223100,3,FALSE)),"INACTIVE",VLOOKUP(D491,Data!$A$2:$C$223100,3,FALSE))</f>
        <v>BK13</v>
      </c>
    </row>
    <row r="492" spans="1:15" x14ac:dyDescent="0.25">
      <c r="A492" t="s">
        <v>2117</v>
      </c>
      <c r="B492" t="s">
        <v>2118</v>
      </c>
      <c r="C492" t="s">
        <v>2158</v>
      </c>
      <c r="D492" t="s">
        <v>2159</v>
      </c>
      <c r="E492" t="s">
        <v>2162</v>
      </c>
      <c r="F492" t="s">
        <v>5</v>
      </c>
      <c r="G492" t="s">
        <v>5</v>
      </c>
      <c r="H492" t="s">
        <v>5</v>
      </c>
      <c r="I492" t="s">
        <v>9078</v>
      </c>
      <c r="J492" t="s">
        <v>14</v>
      </c>
      <c r="K492" s="3">
        <f t="shared" si="14"/>
        <v>0</v>
      </c>
      <c r="L492" s="3">
        <f>IF(ISERROR(VLOOKUP(J492,Lookups!$A$2:$A$16,1,FALSE)),1,0)</f>
        <v>1</v>
      </c>
      <c r="M492" s="3">
        <f>IF(ISERROR(VLOOKUP(D492,Data!$A$2:$D$223100,2,FALSE)),0,1)</f>
        <v>1</v>
      </c>
      <c r="N492" s="3">
        <f t="shared" si="15"/>
        <v>1</v>
      </c>
      <c r="O492" s="3" t="str">
        <f>IF(ISERROR(VLOOKUP(D492,Data!$A$2:$C$223100,3,FALSE)),"INACTIVE",VLOOKUP(D492,Data!$A$2:$C$223100,3,FALSE))</f>
        <v>BK13</v>
      </c>
    </row>
    <row r="493" spans="1:15" x14ac:dyDescent="0.25">
      <c r="A493" t="s">
        <v>2117</v>
      </c>
      <c r="B493" t="s">
        <v>2118</v>
      </c>
      <c r="C493" t="s">
        <v>2163</v>
      </c>
      <c r="D493" t="s">
        <v>2164</v>
      </c>
      <c r="E493" t="s">
        <v>2165</v>
      </c>
      <c r="F493" t="s">
        <v>5</v>
      </c>
      <c r="G493" t="s">
        <v>5</v>
      </c>
      <c r="H493" t="s">
        <v>5</v>
      </c>
      <c r="I493" t="s">
        <v>9078</v>
      </c>
      <c r="J493" t="s">
        <v>36</v>
      </c>
      <c r="K493" s="3">
        <f t="shared" si="14"/>
        <v>0</v>
      </c>
      <c r="L493" s="3">
        <f>IF(ISERROR(VLOOKUP(J493,Lookups!$A$2:$A$16,1,FALSE)),1,0)</f>
        <v>1</v>
      </c>
      <c r="M493" s="3">
        <f>IF(ISERROR(VLOOKUP(D493,Data!$A$2:$D$223100,2,FALSE)),0,1)</f>
        <v>1</v>
      </c>
      <c r="N493" s="3">
        <f t="shared" si="15"/>
        <v>1</v>
      </c>
      <c r="O493" s="3" t="str">
        <f>IF(ISERROR(VLOOKUP(D493,Data!$A$2:$C$223100,3,FALSE)),"INACTIVE",VLOOKUP(D493,Data!$A$2:$C$223100,3,FALSE))</f>
        <v>Current</v>
      </c>
    </row>
    <row r="494" spans="1:15" x14ac:dyDescent="0.25">
      <c r="A494" t="s">
        <v>2117</v>
      </c>
      <c r="B494" t="s">
        <v>2118</v>
      </c>
      <c r="C494" t="s">
        <v>9227</v>
      </c>
      <c r="D494" t="s">
        <v>9228</v>
      </c>
      <c r="E494" t="s">
        <v>9229</v>
      </c>
      <c r="F494" t="s">
        <v>5</v>
      </c>
      <c r="G494" t="s">
        <v>5</v>
      </c>
      <c r="H494" t="s">
        <v>5</v>
      </c>
      <c r="I494" t="s">
        <v>9078</v>
      </c>
      <c r="J494" t="s">
        <v>573</v>
      </c>
      <c r="K494" s="3">
        <f t="shared" si="14"/>
        <v>0</v>
      </c>
      <c r="L494" s="3">
        <f>IF(ISERROR(VLOOKUP(J494,Lookups!$A$2:$A$16,1,FALSE)),1,0)</f>
        <v>1</v>
      </c>
      <c r="M494" s="3">
        <f>IF(ISERROR(VLOOKUP(D494,Data!$A$2:$D$223100,2,FALSE)),0,1)</f>
        <v>1</v>
      </c>
      <c r="N494" s="3">
        <f t="shared" si="15"/>
        <v>1</v>
      </c>
      <c r="O494" s="3" t="str">
        <f>IF(ISERROR(VLOOKUP(D494,Data!$A$2:$C$223100,3,FALSE)),"INACTIVE",VLOOKUP(D494,Data!$A$2:$C$223100,3,FALSE))</f>
        <v>60+</v>
      </c>
    </row>
    <row r="495" spans="1:15" x14ac:dyDescent="0.25">
      <c r="A495" t="s">
        <v>2117</v>
      </c>
      <c r="B495" t="s">
        <v>2118</v>
      </c>
      <c r="C495" t="s">
        <v>2166</v>
      </c>
      <c r="D495" t="s">
        <v>2167</v>
      </c>
      <c r="E495" t="s">
        <v>2168</v>
      </c>
      <c r="F495" t="s">
        <v>5</v>
      </c>
      <c r="G495" t="s">
        <v>5</v>
      </c>
      <c r="H495" t="s">
        <v>5</v>
      </c>
      <c r="I495" t="s">
        <v>9078</v>
      </c>
      <c r="J495" t="s">
        <v>36</v>
      </c>
      <c r="K495" s="3">
        <f t="shared" si="14"/>
        <v>0</v>
      </c>
      <c r="L495" s="3">
        <f>IF(ISERROR(VLOOKUP(J495,Lookups!$A$2:$A$16,1,FALSE)),1,0)</f>
        <v>1</v>
      </c>
      <c r="M495" s="3">
        <f>IF(ISERROR(VLOOKUP(D495,Data!$A$2:$D$223100,2,FALSE)),0,1)</f>
        <v>1</v>
      </c>
      <c r="N495" s="3">
        <f t="shared" si="15"/>
        <v>1</v>
      </c>
      <c r="O495" s="3" t="str">
        <f>IF(ISERROR(VLOOKUP(D495,Data!$A$2:$C$223100,3,FALSE)),"INACTIVE",VLOOKUP(D495,Data!$A$2:$C$223100,3,FALSE))</f>
        <v>30+</v>
      </c>
    </row>
    <row r="496" spans="1:15" x14ac:dyDescent="0.25">
      <c r="A496" t="s">
        <v>2117</v>
      </c>
      <c r="B496" t="s">
        <v>2118</v>
      </c>
      <c r="C496" t="s">
        <v>2551</v>
      </c>
      <c r="D496" t="s">
        <v>2552</v>
      </c>
      <c r="E496" t="s">
        <v>9230</v>
      </c>
      <c r="F496" t="s">
        <v>5</v>
      </c>
      <c r="G496" t="s">
        <v>5</v>
      </c>
      <c r="H496" t="s">
        <v>5</v>
      </c>
      <c r="I496" t="s">
        <v>9078</v>
      </c>
      <c r="J496" t="s">
        <v>573</v>
      </c>
      <c r="K496" s="3">
        <f t="shared" si="14"/>
        <v>0</v>
      </c>
      <c r="L496" s="3">
        <f>IF(ISERROR(VLOOKUP(J496,Lookups!$A$2:$A$16,1,FALSE)),1,0)</f>
        <v>1</v>
      </c>
      <c r="M496" s="3">
        <f>IF(ISERROR(VLOOKUP(D496,Data!$A$2:$D$223100,2,FALSE)),0,1)</f>
        <v>1</v>
      </c>
      <c r="N496" s="3">
        <f t="shared" si="15"/>
        <v>1</v>
      </c>
      <c r="O496" s="3" t="str">
        <f>IF(ISERROR(VLOOKUP(D496,Data!$A$2:$C$223100,3,FALSE)),"INACTIVE",VLOOKUP(D496,Data!$A$2:$C$223100,3,FALSE))</f>
        <v>BK13</v>
      </c>
    </row>
    <row r="497" spans="1:15" x14ac:dyDescent="0.25">
      <c r="A497" t="s">
        <v>2117</v>
      </c>
      <c r="B497" t="s">
        <v>2118</v>
      </c>
      <c r="C497" t="s">
        <v>2169</v>
      </c>
      <c r="D497" t="s">
        <v>2170</v>
      </c>
      <c r="E497" t="s">
        <v>2171</v>
      </c>
      <c r="F497" t="s">
        <v>5</v>
      </c>
      <c r="G497" t="s">
        <v>5</v>
      </c>
      <c r="H497" t="s">
        <v>5</v>
      </c>
      <c r="I497" t="s">
        <v>9078</v>
      </c>
      <c r="J497" t="s">
        <v>573</v>
      </c>
      <c r="K497" s="3">
        <f t="shared" si="14"/>
        <v>0</v>
      </c>
      <c r="L497" s="3">
        <f>IF(ISERROR(VLOOKUP(J497,Lookups!$A$2:$A$16,1,FALSE)),1,0)</f>
        <v>1</v>
      </c>
      <c r="M497" s="3">
        <f>IF(ISERROR(VLOOKUP(D497,Data!$A$2:$D$223100,2,FALSE)),0,1)</f>
        <v>1</v>
      </c>
      <c r="N497" s="3">
        <f t="shared" si="15"/>
        <v>1</v>
      </c>
      <c r="O497" s="3" t="str">
        <f>IF(ISERROR(VLOOKUP(D497,Data!$A$2:$C$223100,3,FALSE)),"INACTIVE",VLOOKUP(D497,Data!$A$2:$C$223100,3,FALSE))</f>
        <v>30+</v>
      </c>
    </row>
    <row r="498" spans="1:15" x14ac:dyDescent="0.25">
      <c r="A498" t="s">
        <v>2117</v>
      </c>
      <c r="B498" t="s">
        <v>2118</v>
      </c>
      <c r="C498" t="s">
        <v>9231</v>
      </c>
      <c r="D498" t="s">
        <v>9232</v>
      </c>
      <c r="E498" t="s">
        <v>9233</v>
      </c>
      <c r="F498" t="s">
        <v>5</v>
      </c>
      <c r="G498" t="s">
        <v>5</v>
      </c>
      <c r="H498" t="s">
        <v>5</v>
      </c>
      <c r="I498" t="s">
        <v>9078</v>
      </c>
      <c r="J498" t="s">
        <v>573</v>
      </c>
      <c r="K498" s="3">
        <f t="shared" si="14"/>
        <v>0</v>
      </c>
      <c r="L498" s="3">
        <f>IF(ISERROR(VLOOKUP(J498,Lookups!$A$2:$A$16,1,FALSE)),1,0)</f>
        <v>1</v>
      </c>
      <c r="M498" s="3">
        <f>IF(ISERROR(VLOOKUP(D498,Data!$A$2:$D$223100,2,FALSE)),0,1)</f>
        <v>1</v>
      </c>
      <c r="N498" s="3">
        <f t="shared" si="15"/>
        <v>1</v>
      </c>
      <c r="O498" s="3" t="str">
        <f>IF(ISERROR(VLOOKUP(D498,Data!$A$2:$C$223100,3,FALSE)),"INACTIVE",VLOOKUP(D498,Data!$A$2:$C$223100,3,FALSE))</f>
        <v>120+</v>
      </c>
    </row>
    <row r="499" spans="1:15" x14ac:dyDescent="0.25">
      <c r="A499" t="s">
        <v>2117</v>
      </c>
      <c r="B499" t="s">
        <v>2118</v>
      </c>
      <c r="C499" t="s">
        <v>2172</v>
      </c>
      <c r="D499" t="s">
        <v>2173</v>
      </c>
      <c r="E499" t="s">
        <v>2174</v>
      </c>
      <c r="F499" t="s">
        <v>5</v>
      </c>
      <c r="G499" t="s">
        <v>5</v>
      </c>
      <c r="H499" t="s">
        <v>5</v>
      </c>
      <c r="I499" t="s">
        <v>9078</v>
      </c>
      <c r="J499" t="s">
        <v>36</v>
      </c>
      <c r="K499" s="3">
        <f t="shared" si="14"/>
        <v>0</v>
      </c>
      <c r="L499" s="3">
        <f>IF(ISERROR(VLOOKUP(J499,Lookups!$A$2:$A$16,1,FALSE)),1,0)</f>
        <v>1</v>
      </c>
      <c r="M499" s="3">
        <f>IF(ISERROR(VLOOKUP(D499,Data!$A$2:$D$223100,2,FALSE)),0,1)</f>
        <v>1</v>
      </c>
      <c r="N499" s="3">
        <f t="shared" si="15"/>
        <v>1</v>
      </c>
      <c r="O499" s="3" t="str">
        <f>IF(ISERROR(VLOOKUP(D499,Data!$A$2:$C$223100,3,FALSE)),"INACTIVE",VLOOKUP(D499,Data!$A$2:$C$223100,3,FALSE))</f>
        <v>Current</v>
      </c>
    </row>
    <row r="500" spans="1:15" x14ac:dyDescent="0.25">
      <c r="A500" t="s">
        <v>2117</v>
      </c>
      <c r="B500" t="s">
        <v>2118</v>
      </c>
      <c r="C500" t="s">
        <v>2172</v>
      </c>
      <c r="D500" t="s">
        <v>2173</v>
      </c>
      <c r="E500" t="s">
        <v>2175</v>
      </c>
      <c r="F500" t="s">
        <v>5</v>
      </c>
      <c r="G500" t="s">
        <v>5</v>
      </c>
      <c r="H500" t="s">
        <v>5</v>
      </c>
      <c r="I500" t="s">
        <v>9078</v>
      </c>
      <c r="J500" t="s">
        <v>36</v>
      </c>
      <c r="K500" s="3">
        <f t="shared" si="14"/>
        <v>0</v>
      </c>
      <c r="L500" s="3">
        <f>IF(ISERROR(VLOOKUP(J500,Lookups!$A$2:$A$16,1,FALSE)),1,0)</f>
        <v>1</v>
      </c>
      <c r="M500" s="3">
        <f>IF(ISERROR(VLOOKUP(D500,Data!$A$2:$D$223100,2,FALSE)),0,1)</f>
        <v>1</v>
      </c>
      <c r="N500" s="3">
        <f t="shared" si="15"/>
        <v>1</v>
      </c>
      <c r="O500" s="3" t="str">
        <f>IF(ISERROR(VLOOKUP(D500,Data!$A$2:$C$223100,3,FALSE)),"INACTIVE",VLOOKUP(D500,Data!$A$2:$C$223100,3,FALSE))</f>
        <v>Current</v>
      </c>
    </row>
    <row r="501" spans="1:15" x14ac:dyDescent="0.25">
      <c r="A501" t="s">
        <v>2117</v>
      </c>
      <c r="B501" t="s">
        <v>2118</v>
      </c>
      <c r="C501" t="s">
        <v>9234</v>
      </c>
      <c r="D501" t="s">
        <v>9235</v>
      </c>
      <c r="E501" t="s">
        <v>9236</v>
      </c>
      <c r="F501" t="s">
        <v>5</v>
      </c>
      <c r="G501" t="s">
        <v>5</v>
      </c>
      <c r="H501" t="s">
        <v>5</v>
      </c>
      <c r="I501" t="s">
        <v>9078</v>
      </c>
      <c r="J501" t="s">
        <v>36</v>
      </c>
      <c r="K501" s="3">
        <f t="shared" si="14"/>
        <v>0</v>
      </c>
      <c r="L501" s="3">
        <f>IF(ISERROR(VLOOKUP(J501,Lookups!$A$2:$A$16,1,FALSE)),1,0)</f>
        <v>1</v>
      </c>
      <c r="M501" s="3">
        <f>IF(ISERROR(VLOOKUP(D501,Data!$A$2:$D$223100,2,FALSE)),0,1)</f>
        <v>1</v>
      </c>
      <c r="N501" s="3">
        <f t="shared" si="15"/>
        <v>1</v>
      </c>
      <c r="O501" s="3" t="str">
        <f>IF(ISERROR(VLOOKUP(D501,Data!$A$2:$C$223100,3,FALSE)),"INACTIVE",VLOOKUP(D501,Data!$A$2:$C$223100,3,FALSE))</f>
        <v>Current</v>
      </c>
    </row>
    <row r="502" spans="1:15" x14ac:dyDescent="0.25">
      <c r="A502" t="s">
        <v>2117</v>
      </c>
      <c r="B502" t="s">
        <v>2118</v>
      </c>
      <c r="C502" t="s">
        <v>9234</v>
      </c>
      <c r="D502" t="s">
        <v>9235</v>
      </c>
      <c r="E502" t="s">
        <v>9237</v>
      </c>
      <c r="F502" t="s">
        <v>5</v>
      </c>
      <c r="G502" t="s">
        <v>5</v>
      </c>
      <c r="H502" t="s">
        <v>5</v>
      </c>
      <c r="I502" t="s">
        <v>9078</v>
      </c>
      <c r="J502" t="s">
        <v>36</v>
      </c>
      <c r="K502" s="3">
        <f t="shared" si="14"/>
        <v>0</v>
      </c>
      <c r="L502" s="3">
        <f>IF(ISERROR(VLOOKUP(J502,Lookups!$A$2:$A$16,1,FALSE)),1,0)</f>
        <v>1</v>
      </c>
      <c r="M502" s="3">
        <f>IF(ISERROR(VLOOKUP(D502,Data!$A$2:$D$223100,2,FALSE)),0,1)</f>
        <v>1</v>
      </c>
      <c r="N502" s="3">
        <f t="shared" si="15"/>
        <v>1</v>
      </c>
      <c r="O502" s="3" t="str">
        <f>IF(ISERROR(VLOOKUP(D502,Data!$A$2:$C$223100,3,FALSE)),"INACTIVE",VLOOKUP(D502,Data!$A$2:$C$223100,3,FALSE))</f>
        <v>Current</v>
      </c>
    </row>
    <row r="503" spans="1:15" x14ac:dyDescent="0.25">
      <c r="A503" t="s">
        <v>2117</v>
      </c>
      <c r="B503" t="s">
        <v>2118</v>
      </c>
      <c r="C503" t="s">
        <v>2604</v>
      </c>
      <c r="D503" t="s">
        <v>2605</v>
      </c>
      <c r="E503" t="s">
        <v>9238</v>
      </c>
      <c r="F503" t="s">
        <v>5</v>
      </c>
      <c r="G503" t="s">
        <v>5</v>
      </c>
      <c r="H503" t="s">
        <v>5</v>
      </c>
      <c r="I503" t="s">
        <v>9078</v>
      </c>
      <c r="J503" t="s">
        <v>573</v>
      </c>
      <c r="K503" s="3">
        <f t="shared" si="14"/>
        <v>0</v>
      </c>
      <c r="L503" s="3">
        <f>IF(ISERROR(VLOOKUP(J503,Lookups!$A$2:$A$16,1,FALSE)),1,0)</f>
        <v>1</v>
      </c>
      <c r="M503" s="3">
        <f>IF(ISERROR(VLOOKUP(D503,Data!$A$2:$D$223100,2,FALSE)),0,1)</f>
        <v>1</v>
      </c>
      <c r="N503" s="3">
        <f t="shared" si="15"/>
        <v>1</v>
      </c>
      <c r="O503" s="3" t="str">
        <f>IF(ISERROR(VLOOKUP(D503,Data!$A$2:$C$223100,3,FALSE)),"INACTIVE",VLOOKUP(D503,Data!$A$2:$C$223100,3,FALSE))</f>
        <v>Current</v>
      </c>
    </row>
    <row r="504" spans="1:15" x14ac:dyDescent="0.25">
      <c r="A504" t="s">
        <v>2117</v>
      </c>
      <c r="B504" t="s">
        <v>2118</v>
      </c>
      <c r="C504" t="s">
        <v>2176</v>
      </c>
      <c r="D504" t="s">
        <v>2177</v>
      </c>
      <c r="E504" t="s">
        <v>2178</v>
      </c>
      <c r="F504" t="s">
        <v>5</v>
      </c>
      <c r="G504" t="s">
        <v>5</v>
      </c>
      <c r="H504" t="s">
        <v>5</v>
      </c>
      <c r="I504" t="s">
        <v>9078</v>
      </c>
      <c r="J504" t="s">
        <v>573</v>
      </c>
      <c r="K504" s="3">
        <f t="shared" si="14"/>
        <v>0</v>
      </c>
      <c r="L504" s="3">
        <f>IF(ISERROR(VLOOKUP(J504,Lookups!$A$2:$A$16,1,FALSE)),1,0)</f>
        <v>1</v>
      </c>
      <c r="M504" s="3">
        <f>IF(ISERROR(VLOOKUP(D504,Data!$A$2:$D$223100,2,FALSE)),0,1)</f>
        <v>1</v>
      </c>
      <c r="N504" s="3">
        <f t="shared" si="15"/>
        <v>1</v>
      </c>
      <c r="O504" s="3" t="str">
        <f>IF(ISERROR(VLOOKUP(D504,Data!$A$2:$C$223100,3,FALSE)),"INACTIVE",VLOOKUP(D504,Data!$A$2:$C$223100,3,FALSE))</f>
        <v>FC</v>
      </c>
    </row>
    <row r="505" spans="1:15" x14ac:dyDescent="0.25">
      <c r="A505" t="s">
        <v>2117</v>
      </c>
      <c r="B505" t="s">
        <v>2118</v>
      </c>
      <c r="C505" t="s">
        <v>2179</v>
      </c>
      <c r="D505" t="s">
        <v>2180</v>
      </c>
      <c r="E505" t="s">
        <v>2181</v>
      </c>
      <c r="F505" t="s">
        <v>5</v>
      </c>
      <c r="G505" t="s">
        <v>5</v>
      </c>
      <c r="H505" t="s">
        <v>5</v>
      </c>
      <c r="I505" t="s">
        <v>9078</v>
      </c>
      <c r="J505" t="s">
        <v>36</v>
      </c>
      <c r="K505" s="3">
        <f t="shared" si="14"/>
        <v>0</v>
      </c>
      <c r="L505" s="3">
        <f>IF(ISERROR(VLOOKUP(J505,Lookups!$A$2:$A$16,1,FALSE)),1,0)</f>
        <v>1</v>
      </c>
      <c r="M505" s="3">
        <f>IF(ISERROR(VLOOKUP(D505,Data!$A$2:$D$223100,2,FALSE)),0,1)</f>
        <v>1</v>
      </c>
      <c r="N505" s="3">
        <f t="shared" si="15"/>
        <v>1</v>
      </c>
      <c r="O505" s="3" t="str">
        <f>IF(ISERROR(VLOOKUP(D505,Data!$A$2:$C$223100,3,FALSE)),"INACTIVE",VLOOKUP(D505,Data!$A$2:$C$223100,3,FALSE))</f>
        <v>Demand Letter</v>
      </c>
    </row>
    <row r="506" spans="1:15" x14ac:dyDescent="0.25">
      <c r="A506" t="s">
        <v>2117</v>
      </c>
      <c r="B506" t="s">
        <v>2118</v>
      </c>
      <c r="C506" t="s">
        <v>2182</v>
      </c>
      <c r="D506" t="s">
        <v>2183</v>
      </c>
      <c r="E506" t="s">
        <v>2184</v>
      </c>
      <c r="F506" t="s">
        <v>5</v>
      </c>
      <c r="G506" t="s">
        <v>5</v>
      </c>
      <c r="H506" t="s">
        <v>5</v>
      </c>
      <c r="I506" t="s">
        <v>9078</v>
      </c>
      <c r="J506" t="s">
        <v>7</v>
      </c>
      <c r="K506" s="3">
        <f t="shared" si="14"/>
        <v>0</v>
      </c>
      <c r="L506" s="3">
        <f>IF(ISERROR(VLOOKUP(J506,Lookups!$A$2:$A$16,1,FALSE)),1,0)</f>
        <v>1</v>
      </c>
      <c r="M506" s="3">
        <f>IF(ISERROR(VLOOKUP(D506,Data!$A$2:$D$223100,2,FALSE)),0,1)</f>
        <v>1</v>
      </c>
      <c r="N506" s="3">
        <f t="shared" si="15"/>
        <v>1</v>
      </c>
      <c r="O506" s="3" t="str">
        <f>IF(ISERROR(VLOOKUP(D506,Data!$A$2:$C$223100,3,FALSE)),"INACTIVE",VLOOKUP(D506,Data!$A$2:$C$223100,3,FALSE))</f>
        <v>Current</v>
      </c>
    </row>
    <row r="507" spans="1:15" x14ac:dyDescent="0.25">
      <c r="A507" t="s">
        <v>2117</v>
      </c>
      <c r="B507" t="s">
        <v>2118</v>
      </c>
      <c r="C507" t="s">
        <v>2182</v>
      </c>
      <c r="D507" t="s">
        <v>2183</v>
      </c>
      <c r="E507" t="s">
        <v>2185</v>
      </c>
      <c r="F507" t="s">
        <v>5</v>
      </c>
      <c r="G507" t="s">
        <v>5</v>
      </c>
      <c r="H507" t="s">
        <v>5</v>
      </c>
      <c r="I507" t="s">
        <v>9078</v>
      </c>
      <c r="J507" t="s">
        <v>7</v>
      </c>
      <c r="K507" s="3">
        <f t="shared" si="14"/>
        <v>0</v>
      </c>
      <c r="L507" s="3">
        <f>IF(ISERROR(VLOOKUP(J507,Lookups!$A$2:$A$16,1,FALSE)),1,0)</f>
        <v>1</v>
      </c>
      <c r="M507" s="3">
        <f>IF(ISERROR(VLOOKUP(D507,Data!$A$2:$D$223100,2,FALSE)),0,1)</f>
        <v>1</v>
      </c>
      <c r="N507" s="3">
        <f t="shared" si="15"/>
        <v>1</v>
      </c>
      <c r="O507" s="3" t="str">
        <f>IF(ISERROR(VLOOKUP(D507,Data!$A$2:$C$223100,3,FALSE)),"INACTIVE",VLOOKUP(D507,Data!$A$2:$C$223100,3,FALSE))</f>
        <v>Current</v>
      </c>
    </row>
    <row r="508" spans="1:15" x14ac:dyDescent="0.25">
      <c r="A508" t="s">
        <v>2117</v>
      </c>
      <c r="B508" t="s">
        <v>2118</v>
      </c>
      <c r="C508" t="s">
        <v>2182</v>
      </c>
      <c r="D508" t="s">
        <v>2183</v>
      </c>
      <c r="E508" t="s">
        <v>2186</v>
      </c>
      <c r="F508" t="s">
        <v>5</v>
      </c>
      <c r="G508" t="s">
        <v>5</v>
      </c>
      <c r="H508" t="s">
        <v>5</v>
      </c>
      <c r="I508" t="s">
        <v>9078</v>
      </c>
      <c r="J508" t="s">
        <v>7</v>
      </c>
      <c r="K508" s="3">
        <f t="shared" si="14"/>
        <v>0</v>
      </c>
      <c r="L508" s="3">
        <f>IF(ISERROR(VLOOKUP(J508,Lookups!$A$2:$A$16,1,FALSE)),1,0)</f>
        <v>1</v>
      </c>
      <c r="M508" s="3">
        <f>IF(ISERROR(VLOOKUP(D508,Data!$A$2:$D$223100,2,FALSE)),0,1)</f>
        <v>1</v>
      </c>
      <c r="N508" s="3">
        <f t="shared" si="15"/>
        <v>1</v>
      </c>
      <c r="O508" s="3" t="str">
        <f>IF(ISERROR(VLOOKUP(D508,Data!$A$2:$C$223100,3,FALSE)),"INACTIVE",VLOOKUP(D508,Data!$A$2:$C$223100,3,FALSE))</f>
        <v>Current</v>
      </c>
    </row>
    <row r="509" spans="1:15" x14ac:dyDescent="0.25">
      <c r="A509" t="s">
        <v>2117</v>
      </c>
      <c r="B509" t="s">
        <v>2118</v>
      </c>
      <c r="C509" t="s">
        <v>2182</v>
      </c>
      <c r="D509" t="s">
        <v>2183</v>
      </c>
      <c r="E509" t="s">
        <v>2187</v>
      </c>
      <c r="F509" t="s">
        <v>5</v>
      </c>
      <c r="G509" t="s">
        <v>5</v>
      </c>
      <c r="H509" t="s">
        <v>5</v>
      </c>
      <c r="I509" t="s">
        <v>9078</v>
      </c>
      <c r="J509" t="s">
        <v>7</v>
      </c>
      <c r="K509" s="3">
        <f t="shared" si="14"/>
        <v>0</v>
      </c>
      <c r="L509" s="3">
        <f>IF(ISERROR(VLOOKUP(J509,Lookups!$A$2:$A$16,1,FALSE)),1,0)</f>
        <v>1</v>
      </c>
      <c r="M509" s="3">
        <f>IF(ISERROR(VLOOKUP(D509,Data!$A$2:$D$223100,2,FALSE)),0,1)</f>
        <v>1</v>
      </c>
      <c r="N509" s="3">
        <f t="shared" si="15"/>
        <v>1</v>
      </c>
      <c r="O509" s="3" t="str">
        <f>IF(ISERROR(VLOOKUP(D509,Data!$A$2:$C$223100,3,FALSE)),"INACTIVE",VLOOKUP(D509,Data!$A$2:$C$223100,3,FALSE))</f>
        <v>Current</v>
      </c>
    </row>
    <row r="510" spans="1:15" x14ac:dyDescent="0.25">
      <c r="A510" t="s">
        <v>2117</v>
      </c>
      <c r="B510" t="s">
        <v>2118</v>
      </c>
      <c r="C510" t="s">
        <v>2656</v>
      </c>
      <c r="D510" t="s">
        <v>2657</v>
      </c>
      <c r="E510" t="s">
        <v>9239</v>
      </c>
      <c r="F510" t="s">
        <v>5</v>
      </c>
      <c r="G510" t="s">
        <v>5</v>
      </c>
      <c r="H510" t="s">
        <v>5</v>
      </c>
      <c r="I510" t="s">
        <v>9078</v>
      </c>
      <c r="J510" t="s">
        <v>573</v>
      </c>
      <c r="K510" s="3">
        <f t="shared" si="14"/>
        <v>0</v>
      </c>
      <c r="L510" s="3">
        <f>IF(ISERROR(VLOOKUP(J510,Lookups!$A$2:$A$16,1,FALSE)),1,0)</f>
        <v>1</v>
      </c>
      <c r="M510" s="3">
        <f>IF(ISERROR(VLOOKUP(D510,Data!$A$2:$D$223100,2,FALSE)),0,1)</f>
        <v>1</v>
      </c>
      <c r="N510" s="3">
        <f t="shared" si="15"/>
        <v>1</v>
      </c>
      <c r="O510" s="3" t="str">
        <f>IF(ISERROR(VLOOKUP(D510,Data!$A$2:$C$223100,3,FALSE)),"INACTIVE",VLOOKUP(D510,Data!$A$2:$C$223100,3,FALSE))</f>
        <v>FBA</v>
      </c>
    </row>
    <row r="511" spans="1:15" x14ac:dyDescent="0.25">
      <c r="A511" t="s">
        <v>2117</v>
      </c>
      <c r="B511" t="s">
        <v>2118</v>
      </c>
      <c r="C511" t="s">
        <v>2188</v>
      </c>
      <c r="D511" t="s">
        <v>2189</v>
      </c>
      <c r="E511" t="s">
        <v>2190</v>
      </c>
      <c r="F511" t="s">
        <v>5</v>
      </c>
      <c r="G511" t="s">
        <v>5</v>
      </c>
      <c r="H511" t="s">
        <v>5</v>
      </c>
      <c r="I511" t="s">
        <v>9078</v>
      </c>
      <c r="J511" t="s">
        <v>36</v>
      </c>
      <c r="K511" s="3">
        <f t="shared" si="14"/>
        <v>0</v>
      </c>
      <c r="L511" s="3">
        <f>IF(ISERROR(VLOOKUP(J511,Lookups!$A$2:$A$16,1,FALSE)),1,0)</f>
        <v>1</v>
      </c>
      <c r="M511" s="3">
        <f>IF(ISERROR(VLOOKUP(D511,Data!$A$2:$D$223100,2,FALSE)),0,1)</f>
        <v>1</v>
      </c>
      <c r="N511" s="3">
        <f t="shared" si="15"/>
        <v>1</v>
      </c>
      <c r="O511" s="3" t="str">
        <f>IF(ISERROR(VLOOKUP(D511,Data!$A$2:$C$223100,3,FALSE)),"INACTIVE",VLOOKUP(D511,Data!$A$2:$C$223100,3,FALSE))</f>
        <v>60+</v>
      </c>
    </row>
    <row r="512" spans="1:15" x14ac:dyDescent="0.25">
      <c r="A512" t="s">
        <v>2117</v>
      </c>
      <c r="B512" t="s">
        <v>2118</v>
      </c>
      <c r="C512" t="s">
        <v>2188</v>
      </c>
      <c r="D512" t="s">
        <v>2189</v>
      </c>
      <c r="E512" t="s">
        <v>2191</v>
      </c>
      <c r="F512" t="s">
        <v>5</v>
      </c>
      <c r="G512" t="s">
        <v>5</v>
      </c>
      <c r="H512" t="s">
        <v>5</v>
      </c>
      <c r="I512" t="s">
        <v>9078</v>
      </c>
      <c r="J512" t="s">
        <v>36</v>
      </c>
      <c r="K512" s="3">
        <f t="shared" si="14"/>
        <v>0</v>
      </c>
      <c r="L512" s="3">
        <f>IF(ISERROR(VLOOKUP(J512,Lookups!$A$2:$A$16,1,FALSE)),1,0)</f>
        <v>1</v>
      </c>
      <c r="M512" s="3">
        <f>IF(ISERROR(VLOOKUP(D512,Data!$A$2:$D$223100,2,FALSE)),0,1)</f>
        <v>1</v>
      </c>
      <c r="N512" s="3">
        <f t="shared" si="15"/>
        <v>1</v>
      </c>
      <c r="O512" s="3" t="str">
        <f>IF(ISERROR(VLOOKUP(D512,Data!$A$2:$C$223100,3,FALSE)),"INACTIVE",VLOOKUP(D512,Data!$A$2:$C$223100,3,FALSE))</f>
        <v>60+</v>
      </c>
    </row>
    <row r="513" spans="1:15" x14ac:dyDescent="0.25">
      <c r="A513" t="s">
        <v>2117</v>
      </c>
      <c r="B513" t="s">
        <v>2118</v>
      </c>
      <c r="C513" t="s">
        <v>9240</v>
      </c>
      <c r="D513" t="s">
        <v>9241</v>
      </c>
      <c r="E513" t="s">
        <v>9242</v>
      </c>
      <c r="F513" t="s">
        <v>5</v>
      </c>
      <c r="G513" t="s">
        <v>5</v>
      </c>
      <c r="H513" t="s">
        <v>5</v>
      </c>
      <c r="I513" t="s">
        <v>9078</v>
      </c>
      <c r="J513" t="s">
        <v>573</v>
      </c>
      <c r="K513" s="3">
        <f t="shared" si="14"/>
        <v>0</v>
      </c>
      <c r="L513" s="3">
        <f>IF(ISERROR(VLOOKUP(J513,Lookups!$A$2:$A$16,1,FALSE)),1,0)</f>
        <v>1</v>
      </c>
      <c r="M513" s="3">
        <f>IF(ISERROR(VLOOKUP(D513,Data!$A$2:$D$223100,2,FALSE)),0,1)</f>
        <v>0</v>
      </c>
      <c r="N513" s="3">
        <f t="shared" si="15"/>
        <v>0</v>
      </c>
      <c r="O513" s="3" t="str">
        <f>IF(ISERROR(VLOOKUP(D513,Data!$A$2:$C$223100,3,FALSE)),"INACTIVE",VLOOKUP(D513,Data!$A$2:$C$223100,3,FALSE))</f>
        <v>INACTIVE</v>
      </c>
    </row>
    <row r="514" spans="1:15" x14ac:dyDescent="0.25">
      <c r="A514" t="s">
        <v>2117</v>
      </c>
      <c r="B514" t="s">
        <v>2118</v>
      </c>
      <c r="C514" t="s">
        <v>2192</v>
      </c>
      <c r="D514" t="s">
        <v>2193</v>
      </c>
      <c r="E514" t="s">
        <v>2194</v>
      </c>
      <c r="F514" t="s">
        <v>5</v>
      </c>
      <c r="G514" t="s">
        <v>5</v>
      </c>
      <c r="H514" t="s">
        <v>5</v>
      </c>
      <c r="I514" t="s">
        <v>9078</v>
      </c>
      <c r="J514" t="s">
        <v>573</v>
      </c>
      <c r="K514" s="3">
        <f t="shared" si="14"/>
        <v>0</v>
      </c>
      <c r="L514" s="3">
        <f>IF(ISERROR(VLOOKUP(J514,Lookups!$A$2:$A$16,1,FALSE)),1,0)</f>
        <v>1</v>
      </c>
      <c r="M514" s="3">
        <f>IF(ISERROR(VLOOKUP(D514,Data!$A$2:$D$223100,2,FALSE)),0,1)</f>
        <v>1</v>
      </c>
      <c r="N514" s="3">
        <f t="shared" si="15"/>
        <v>1</v>
      </c>
      <c r="O514" s="3" t="str">
        <f>IF(ISERROR(VLOOKUP(D514,Data!$A$2:$C$223100,3,FALSE)),"INACTIVE",VLOOKUP(D514,Data!$A$2:$C$223100,3,FALSE))</f>
        <v>FBA</v>
      </c>
    </row>
    <row r="515" spans="1:15" x14ac:dyDescent="0.25">
      <c r="A515" t="s">
        <v>2117</v>
      </c>
      <c r="B515" t="s">
        <v>2118</v>
      </c>
      <c r="C515" t="s">
        <v>2195</v>
      </c>
      <c r="D515" t="s">
        <v>2196</v>
      </c>
      <c r="E515" t="s">
        <v>2197</v>
      </c>
      <c r="F515" t="s">
        <v>5</v>
      </c>
      <c r="G515" t="s">
        <v>5</v>
      </c>
      <c r="H515" t="s">
        <v>5</v>
      </c>
      <c r="I515" t="s">
        <v>9078</v>
      </c>
      <c r="J515" t="s">
        <v>36</v>
      </c>
      <c r="K515" s="3">
        <f t="shared" ref="K515:K578" si="16">IF(ISERROR(FIND("LIEN",A515,1)),0,1)</f>
        <v>0</v>
      </c>
      <c r="L515" s="3">
        <f>IF(ISERROR(VLOOKUP(J515,Lookups!$A$2:$A$16,1,FALSE)),1,0)</f>
        <v>1</v>
      </c>
      <c r="M515" s="3">
        <f>IF(ISERROR(VLOOKUP(D515,Data!$A$2:$D$223100,2,FALSE)),0,1)</f>
        <v>1</v>
      </c>
      <c r="N515" s="3">
        <f t="shared" ref="N515:N578" si="17">IF(M515=0,0,IF(SUM(K515:L515)&gt;0,1,0))</f>
        <v>1</v>
      </c>
      <c r="O515" s="3" t="str">
        <f>IF(ISERROR(VLOOKUP(D515,Data!$A$2:$C$223100,3,FALSE)),"INACTIVE",VLOOKUP(D515,Data!$A$2:$C$223100,3,FALSE))</f>
        <v>Current</v>
      </c>
    </row>
    <row r="516" spans="1:15" x14ac:dyDescent="0.25">
      <c r="A516" t="s">
        <v>2117</v>
      </c>
      <c r="B516" t="s">
        <v>2118</v>
      </c>
      <c r="C516" t="s">
        <v>2198</v>
      </c>
      <c r="D516" t="s">
        <v>2199</v>
      </c>
      <c r="E516" t="s">
        <v>2200</v>
      </c>
      <c r="F516" t="s">
        <v>5</v>
      </c>
      <c r="G516" t="s">
        <v>5</v>
      </c>
      <c r="H516" t="s">
        <v>5</v>
      </c>
      <c r="I516" t="s">
        <v>9078</v>
      </c>
      <c r="J516" t="s">
        <v>573</v>
      </c>
      <c r="K516" s="3">
        <f t="shared" si="16"/>
        <v>0</v>
      </c>
      <c r="L516" s="3">
        <f>IF(ISERROR(VLOOKUP(J516,Lookups!$A$2:$A$16,1,FALSE)),1,0)</f>
        <v>1</v>
      </c>
      <c r="M516" s="3">
        <f>IF(ISERROR(VLOOKUP(D516,Data!$A$2:$D$223100,2,FALSE)),0,1)</f>
        <v>1</v>
      </c>
      <c r="N516" s="3">
        <f t="shared" si="17"/>
        <v>1</v>
      </c>
      <c r="O516" s="3" t="str">
        <f>IF(ISERROR(VLOOKUP(D516,Data!$A$2:$C$223100,3,FALSE)),"INACTIVE",VLOOKUP(D516,Data!$A$2:$C$223100,3,FALSE))</f>
        <v>Current</v>
      </c>
    </row>
    <row r="517" spans="1:15" x14ac:dyDescent="0.25">
      <c r="A517" t="s">
        <v>2117</v>
      </c>
      <c r="B517" t="s">
        <v>2118</v>
      </c>
      <c r="C517" t="s">
        <v>9243</v>
      </c>
      <c r="D517" t="s">
        <v>9244</v>
      </c>
      <c r="E517" t="s">
        <v>9245</v>
      </c>
      <c r="F517" t="s">
        <v>5</v>
      </c>
      <c r="G517" t="s">
        <v>5</v>
      </c>
      <c r="H517" t="s">
        <v>5</v>
      </c>
      <c r="I517" t="s">
        <v>9078</v>
      </c>
      <c r="J517" t="s">
        <v>573</v>
      </c>
      <c r="K517" s="3">
        <f t="shared" si="16"/>
        <v>0</v>
      </c>
      <c r="L517" s="3">
        <f>IF(ISERROR(VLOOKUP(J517,Lookups!$A$2:$A$16,1,FALSE)),1,0)</f>
        <v>1</v>
      </c>
      <c r="M517" s="3">
        <f>IF(ISERROR(VLOOKUP(D517,Data!$A$2:$D$223100,2,FALSE)),0,1)</f>
        <v>0</v>
      </c>
      <c r="N517" s="3">
        <f t="shared" si="17"/>
        <v>0</v>
      </c>
      <c r="O517" s="3" t="str">
        <f>IF(ISERROR(VLOOKUP(D517,Data!$A$2:$C$223100,3,FALSE)),"INACTIVE",VLOOKUP(D517,Data!$A$2:$C$223100,3,FALSE))</f>
        <v>INACTIVE</v>
      </c>
    </row>
    <row r="518" spans="1:15" x14ac:dyDescent="0.25">
      <c r="A518" t="s">
        <v>2117</v>
      </c>
      <c r="B518" t="s">
        <v>2118</v>
      </c>
      <c r="C518" t="s">
        <v>9246</v>
      </c>
      <c r="D518" t="s">
        <v>9247</v>
      </c>
      <c r="E518" t="s">
        <v>9248</v>
      </c>
      <c r="F518" t="s">
        <v>5</v>
      </c>
      <c r="G518" t="s">
        <v>5</v>
      </c>
      <c r="H518" t="s">
        <v>5</v>
      </c>
      <c r="I518" t="s">
        <v>9078</v>
      </c>
      <c r="J518" t="s">
        <v>573</v>
      </c>
      <c r="K518" s="3">
        <f t="shared" si="16"/>
        <v>0</v>
      </c>
      <c r="L518" s="3">
        <f>IF(ISERROR(VLOOKUP(J518,Lookups!$A$2:$A$16,1,FALSE)),1,0)</f>
        <v>1</v>
      </c>
      <c r="M518" s="3">
        <f>IF(ISERROR(VLOOKUP(D518,Data!$A$2:$D$223100,2,FALSE)),0,1)</f>
        <v>0</v>
      </c>
      <c r="N518" s="3">
        <f t="shared" si="17"/>
        <v>0</v>
      </c>
      <c r="O518" s="3" t="str">
        <f>IF(ISERROR(VLOOKUP(D518,Data!$A$2:$C$223100,3,FALSE)),"INACTIVE",VLOOKUP(D518,Data!$A$2:$C$223100,3,FALSE))</f>
        <v>INACTIVE</v>
      </c>
    </row>
    <row r="519" spans="1:15" x14ac:dyDescent="0.25">
      <c r="A519" t="s">
        <v>2117</v>
      </c>
      <c r="B519" t="s">
        <v>2118</v>
      </c>
      <c r="C519" t="s">
        <v>9249</v>
      </c>
      <c r="D519" t="s">
        <v>9250</v>
      </c>
      <c r="E519" t="s">
        <v>9251</v>
      </c>
      <c r="F519" t="s">
        <v>5</v>
      </c>
      <c r="G519" t="s">
        <v>5</v>
      </c>
      <c r="H519" t="s">
        <v>5</v>
      </c>
      <c r="I519" t="s">
        <v>9078</v>
      </c>
      <c r="J519" t="s">
        <v>90</v>
      </c>
      <c r="K519" s="3">
        <f t="shared" si="16"/>
        <v>0</v>
      </c>
      <c r="L519" s="3">
        <f>IF(ISERROR(VLOOKUP(J519,Lookups!$A$2:$A$16,1,FALSE)),1,0)</f>
        <v>0</v>
      </c>
      <c r="M519" s="3">
        <f>IF(ISERROR(VLOOKUP(D519,Data!$A$2:$D$223100,2,FALSE)),0,1)</f>
        <v>1</v>
      </c>
      <c r="N519" s="3">
        <f t="shared" si="17"/>
        <v>0</v>
      </c>
      <c r="O519" s="3" t="str">
        <f>IF(ISERROR(VLOOKUP(D519,Data!$A$2:$C$223100,3,FALSE)),"INACTIVE",VLOOKUP(D519,Data!$A$2:$C$223100,3,FALSE))</f>
        <v>Current</v>
      </c>
    </row>
    <row r="520" spans="1:15" x14ac:dyDescent="0.25">
      <c r="A520" t="s">
        <v>2117</v>
      </c>
      <c r="B520" t="s">
        <v>2118</v>
      </c>
      <c r="C520" t="s">
        <v>9252</v>
      </c>
      <c r="D520" t="s">
        <v>9253</v>
      </c>
      <c r="E520" t="s">
        <v>9254</v>
      </c>
      <c r="F520" t="s">
        <v>5</v>
      </c>
      <c r="G520" t="s">
        <v>5</v>
      </c>
      <c r="H520" t="s">
        <v>5</v>
      </c>
      <c r="I520" t="s">
        <v>9078</v>
      </c>
      <c r="J520" t="s">
        <v>573</v>
      </c>
      <c r="K520" s="3">
        <f t="shared" si="16"/>
        <v>0</v>
      </c>
      <c r="L520" s="3">
        <f>IF(ISERROR(VLOOKUP(J520,Lookups!$A$2:$A$16,1,FALSE)),1,0)</f>
        <v>1</v>
      </c>
      <c r="M520" s="3">
        <f>IF(ISERROR(VLOOKUP(D520,Data!$A$2:$D$223100,2,FALSE)),0,1)</f>
        <v>0</v>
      </c>
      <c r="N520" s="3">
        <f t="shared" si="17"/>
        <v>0</v>
      </c>
      <c r="O520" s="3" t="str">
        <f>IF(ISERROR(VLOOKUP(D520,Data!$A$2:$C$223100,3,FALSE)),"INACTIVE",VLOOKUP(D520,Data!$A$2:$C$223100,3,FALSE))</f>
        <v>INACTIVE</v>
      </c>
    </row>
    <row r="521" spans="1:15" x14ac:dyDescent="0.25">
      <c r="A521" t="s">
        <v>2117</v>
      </c>
      <c r="B521" t="s">
        <v>2118</v>
      </c>
      <c r="C521" t="s">
        <v>9255</v>
      </c>
      <c r="D521" t="s">
        <v>9256</v>
      </c>
      <c r="E521" t="s">
        <v>9257</v>
      </c>
      <c r="F521" t="s">
        <v>5</v>
      </c>
      <c r="G521" t="s">
        <v>5</v>
      </c>
      <c r="H521" t="s">
        <v>5</v>
      </c>
      <c r="I521" t="s">
        <v>9078</v>
      </c>
      <c r="J521" t="s">
        <v>14</v>
      </c>
      <c r="K521" s="3">
        <f t="shared" si="16"/>
        <v>0</v>
      </c>
      <c r="L521" s="3">
        <f>IF(ISERROR(VLOOKUP(J521,Lookups!$A$2:$A$16,1,FALSE)),1,0)</f>
        <v>1</v>
      </c>
      <c r="M521" s="3">
        <f>IF(ISERROR(VLOOKUP(D521,Data!$A$2:$D$223100,2,FALSE)),0,1)</f>
        <v>0</v>
      </c>
      <c r="N521" s="3">
        <f t="shared" si="17"/>
        <v>0</v>
      </c>
      <c r="O521" s="3" t="str">
        <f>IF(ISERROR(VLOOKUP(D521,Data!$A$2:$C$223100,3,FALSE)),"INACTIVE",VLOOKUP(D521,Data!$A$2:$C$223100,3,FALSE))</f>
        <v>INACTIVE</v>
      </c>
    </row>
    <row r="522" spans="1:15" x14ac:dyDescent="0.25">
      <c r="A522" t="s">
        <v>2117</v>
      </c>
      <c r="B522" t="s">
        <v>2118</v>
      </c>
      <c r="C522" t="s">
        <v>9258</v>
      </c>
      <c r="D522" t="s">
        <v>9259</v>
      </c>
      <c r="E522" t="s">
        <v>9260</v>
      </c>
      <c r="F522" t="s">
        <v>5</v>
      </c>
      <c r="G522" t="s">
        <v>5</v>
      </c>
      <c r="H522" t="s">
        <v>5</v>
      </c>
      <c r="I522" t="s">
        <v>9078</v>
      </c>
      <c r="J522" t="s">
        <v>36</v>
      </c>
      <c r="K522" s="3">
        <f t="shared" si="16"/>
        <v>0</v>
      </c>
      <c r="L522" s="3">
        <f>IF(ISERROR(VLOOKUP(J522,Lookups!$A$2:$A$16,1,FALSE)),1,0)</f>
        <v>1</v>
      </c>
      <c r="M522" s="3">
        <f>IF(ISERROR(VLOOKUP(D522,Data!$A$2:$D$223100,2,FALSE)),0,1)</f>
        <v>0</v>
      </c>
      <c r="N522" s="3">
        <f t="shared" si="17"/>
        <v>0</v>
      </c>
      <c r="O522" s="3" t="str">
        <f>IF(ISERROR(VLOOKUP(D522,Data!$A$2:$C$223100,3,FALSE)),"INACTIVE",VLOOKUP(D522,Data!$A$2:$C$223100,3,FALSE))</f>
        <v>INACTIVE</v>
      </c>
    </row>
    <row r="523" spans="1:15" x14ac:dyDescent="0.25">
      <c r="A523" t="s">
        <v>2117</v>
      </c>
      <c r="B523" t="s">
        <v>2118</v>
      </c>
      <c r="C523" t="s">
        <v>9258</v>
      </c>
      <c r="D523" t="s">
        <v>9259</v>
      </c>
      <c r="E523" t="s">
        <v>9261</v>
      </c>
      <c r="F523" t="s">
        <v>5</v>
      </c>
      <c r="G523" t="s">
        <v>5</v>
      </c>
      <c r="H523" t="s">
        <v>5</v>
      </c>
      <c r="I523" t="s">
        <v>9078</v>
      </c>
      <c r="J523" t="s">
        <v>36</v>
      </c>
      <c r="K523" s="3">
        <f t="shared" si="16"/>
        <v>0</v>
      </c>
      <c r="L523" s="3">
        <f>IF(ISERROR(VLOOKUP(J523,Lookups!$A$2:$A$16,1,FALSE)),1,0)</f>
        <v>1</v>
      </c>
      <c r="M523" s="3">
        <f>IF(ISERROR(VLOOKUP(D523,Data!$A$2:$D$223100,2,FALSE)),0,1)</f>
        <v>0</v>
      </c>
      <c r="N523" s="3">
        <f t="shared" si="17"/>
        <v>0</v>
      </c>
      <c r="O523" s="3" t="str">
        <f>IF(ISERROR(VLOOKUP(D523,Data!$A$2:$C$223100,3,FALSE)),"INACTIVE",VLOOKUP(D523,Data!$A$2:$C$223100,3,FALSE))</f>
        <v>INACTIVE</v>
      </c>
    </row>
    <row r="524" spans="1:15" x14ac:dyDescent="0.25">
      <c r="A524" t="s">
        <v>2117</v>
      </c>
      <c r="B524" t="s">
        <v>2118</v>
      </c>
      <c r="C524" t="s">
        <v>9262</v>
      </c>
      <c r="D524" t="s">
        <v>9263</v>
      </c>
      <c r="E524" t="s">
        <v>9264</v>
      </c>
      <c r="F524" t="s">
        <v>5</v>
      </c>
      <c r="G524" t="s">
        <v>5</v>
      </c>
      <c r="H524" t="s">
        <v>5</v>
      </c>
      <c r="I524" t="s">
        <v>9078</v>
      </c>
      <c r="J524" t="s">
        <v>573</v>
      </c>
      <c r="K524" s="3">
        <f t="shared" si="16"/>
        <v>0</v>
      </c>
      <c r="L524" s="3">
        <f>IF(ISERROR(VLOOKUP(J524,Lookups!$A$2:$A$16,1,FALSE)),1,0)</f>
        <v>1</v>
      </c>
      <c r="M524" s="3">
        <f>IF(ISERROR(VLOOKUP(D524,Data!$A$2:$D$223100,2,FALSE)),0,1)</f>
        <v>1</v>
      </c>
      <c r="N524" s="3">
        <f t="shared" si="17"/>
        <v>1</v>
      </c>
      <c r="O524" s="3" t="str">
        <f>IF(ISERROR(VLOOKUP(D524,Data!$A$2:$C$223100,3,FALSE)),"INACTIVE",VLOOKUP(D524,Data!$A$2:$C$223100,3,FALSE))</f>
        <v>60+</v>
      </c>
    </row>
    <row r="525" spans="1:15" x14ac:dyDescent="0.25">
      <c r="A525" t="s">
        <v>2117</v>
      </c>
      <c r="B525" t="s">
        <v>2118</v>
      </c>
      <c r="C525" t="s">
        <v>9265</v>
      </c>
      <c r="D525" t="s">
        <v>9266</v>
      </c>
      <c r="E525" t="s">
        <v>9267</v>
      </c>
      <c r="F525" t="s">
        <v>5</v>
      </c>
      <c r="G525" t="s">
        <v>5</v>
      </c>
      <c r="H525" t="s">
        <v>5</v>
      </c>
      <c r="I525" t="s">
        <v>9078</v>
      </c>
      <c r="J525" t="s">
        <v>573</v>
      </c>
      <c r="K525" s="3">
        <f t="shared" si="16"/>
        <v>0</v>
      </c>
      <c r="L525" s="3">
        <f>IF(ISERROR(VLOOKUP(J525,Lookups!$A$2:$A$16,1,FALSE)),1,0)</f>
        <v>1</v>
      </c>
      <c r="M525" s="3">
        <f>IF(ISERROR(VLOOKUP(D525,Data!$A$2:$D$223100,2,FALSE)),0,1)</f>
        <v>1</v>
      </c>
      <c r="N525" s="3">
        <f t="shared" si="17"/>
        <v>1</v>
      </c>
      <c r="O525" s="3" t="str">
        <f>IF(ISERROR(VLOOKUP(D525,Data!$A$2:$C$223100,3,FALSE)),"INACTIVE",VLOOKUP(D525,Data!$A$2:$C$223100,3,FALSE))</f>
        <v>120+</v>
      </c>
    </row>
    <row r="526" spans="1:15" x14ac:dyDescent="0.25">
      <c r="A526" t="s">
        <v>2117</v>
      </c>
      <c r="B526" t="s">
        <v>2118</v>
      </c>
      <c r="C526" t="s">
        <v>9268</v>
      </c>
      <c r="D526" t="s">
        <v>9269</v>
      </c>
      <c r="E526" t="s">
        <v>9270</v>
      </c>
      <c r="F526" t="s">
        <v>5</v>
      </c>
      <c r="G526" t="s">
        <v>5</v>
      </c>
      <c r="H526" t="s">
        <v>5</v>
      </c>
      <c r="I526" t="s">
        <v>9078</v>
      </c>
      <c r="J526" t="s">
        <v>36</v>
      </c>
      <c r="K526" s="3">
        <f t="shared" si="16"/>
        <v>0</v>
      </c>
      <c r="L526" s="3">
        <f>IF(ISERROR(VLOOKUP(J526,Lookups!$A$2:$A$16,1,FALSE)),1,0)</f>
        <v>1</v>
      </c>
      <c r="M526" s="3">
        <f>IF(ISERROR(VLOOKUP(D526,Data!$A$2:$D$223100,2,FALSE)),0,1)</f>
        <v>0</v>
      </c>
      <c r="N526" s="3">
        <f t="shared" si="17"/>
        <v>0</v>
      </c>
      <c r="O526" s="3" t="str">
        <f>IF(ISERROR(VLOOKUP(D526,Data!$A$2:$C$223100,3,FALSE)),"INACTIVE",VLOOKUP(D526,Data!$A$2:$C$223100,3,FALSE))</f>
        <v>INACTIVE</v>
      </c>
    </row>
    <row r="527" spans="1:15" x14ac:dyDescent="0.25">
      <c r="A527" t="s">
        <v>2117</v>
      </c>
      <c r="B527" t="s">
        <v>2118</v>
      </c>
      <c r="C527" t="s">
        <v>9268</v>
      </c>
      <c r="D527" t="s">
        <v>9269</v>
      </c>
      <c r="E527" t="s">
        <v>9271</v>
      </c>
      <c r="F527" t="s">
        <v>5</v>
      </c>
      <c r="G527" t="s">
        <v>5</v>
      </c>
      <c r="H527" t="s">
        <v>5</v>
      </c>
      <c r="I527" t="s">
        <v>9078</v>
      </c>
      <c r="J527" t="s">
        <v>36</v>
      </c>
      <c r="K527" s="3">
        <f t="shared" si="16"/>
        <v>0</v>
      </c>
      <c r="L527" s="3">
        <f>IF(ISERROR(VLOOKUP(J527,Lookups!$A$2:$A$16,1,FALSE)),1,0)</f>
        <v>1</v>
      </c>
      <c r="M527" s="3">
        <f>IF(ISERROR(VLOOKUP(D527,Data!$A$2:$D$223100,2,FALSE)),0,1)</f>
        <v>0</v>
      </c>
      <c r="N527" s="3">
        <f t="shared" si="17"/>
        <v>0</v>
      </c>
      <c r="O527" s="3" t="str">
        <f>IF(ISERROR(VLOOKUP(D527,Data!$A$2:$C$223100,3,FALSE)),"INACTIVE",VLOOKUP(D527,Data!$A$2:$C$223100,3,FALSE))</f>
        <v>INACTIVE</v>
      </c>
    </row>
    <row r="528" spans="1:15" x14ac:dyDescent="0.25">
      <c r="A528" t="s">
        <v>2117</v>
      </c>
      <c r="B528" t="s">
        <v>2118</v>
      </c>
      <c r="C528" t="s">
        <v>2912</v>
      </c>
      <c r="D528" t="s">
        <v>2913</v>
      </c>
      <c r="E528" t="s">
        <v>9272</v>
      </c>
      <c r="F528" t="s">
        <v>5</v>
      </c>
      <c r="G528" t="s">
        <v>5</v>
      </c>
      <c r="H528" t="s">
        <v>5</v>
      </c>
      <c r="I528" t="s">
        <v>9078</v>
      </c>
      <c r="J528" t="s">
        <v>573</v>
      </c>
      <c r="K528" s="3">
        <f t="shared" si="16"/>
        <v>0</v>
      </c>
      <c r="L528" s="3">
        <f>IF(ISERROR(VLOOKUP(J528,Lookups!$A$2:$A$16,1,FALSE)),1,0)</f>
        <v>1</v>
      </c>
      <c r="M528" s="3">
        <f>IF(ISERROR(VLOOKUP(D528,Data!$A$2:$D$223100,2,FALSE)),0,1)</f>
        <v>1</v>
      </c>
      <c r="N528" s="3">
        <f t="shared" si="17"/>
        <v>1</v>
      </c>
      <c r="O528" s="3" t="str">
        <f>IF(ISERROR(VLOOKUP(D528,Data!$A$2:$C$223100,3,FALSE)),"INACTIVE",VLOOKUP(D528,Data!$A$2:$C$223100,3,FALSE))</f>
        <v>60+</v>
      </c>
    </row>
    <row r="529" spans="1:15" x14ac:dyDescent="0.25">
      <c r="A529" t="s">
        <v>2117</v>
      </c>
      <c r="B529" t="s">
        <v>2118</v>
      </c>
      <c r="C529" t="s">
        <v>2201</v>
      </c>
      <c r="D529" t="s">
        <v>2202</v>
      </c>
      <c r="E529" t="s">
        <v>2203</v>
      </c>
      <c r="F529" t="s">
        <v>5</v>
      </c>
      <c r="G529" t="s">
        <v>5</v>
      </c>
      <c r="H529" t="s">
        <v>5</v>
      </c>
      <c r="I529" t="s">
        <v>9078</v>
      </c>
      <c r="J529" t="s">
        <v>14</v>
      </c>
      <c r="K529" s="3">
        <f t="shared" si="16"/>
        <v>0</v>
      </c>
      <c r="L529" s="3">
        <f>IF(ISERROR(VLOOKUP(J529,Lookups!$A$2:$A$16,1,FALSE)),1,0)</f>
        <v>1</v>
      </c>
      <c r="M529" s="3">
        <f>IF(ISERROR(VLOOKUP(D529,Data!$A$2:$D$223100,2,FALSE)),0,1)</f>
        <v>1</v>
      </c>
      <c r="N529" s="3">
        <f t="shared" si="17"/>
        <v>1</v>
      </c>
      <c r="O529" s="3" t="str">
        <f>IF(ISERROR(VLOOKUP(D529,Data!$A$2:$C$223100,3,FALSE)),"INACTIVE",VLOOKUP(D529,Data!$A$2:$C$223100,3,FALSE))</f>
        <v>Current</v>
      </c>
    </row>
    <row r="530" spans="1:15" x14ac:dyDescent="0.25">
      <c r="A530" t="s">
        <v>2117</v>
      </c>
      <c r="B530" t="s">
        <v>2118</v>
      </c>
      <c r="C530" t="s">
        <v>2201</v>
      </c>
      <c r="D530" t="s">
        <v>2202</v>
      </c>
      <c r="E530" t="s">
        <v>2204</v>
      </c>
      <c r="F530" t="s">
        <v>5</v>
      </c>
      <c r="G530" t="s">
        <v>5</v>
      </c>
      <c r="H530" t="s">
        <v>5</v>
      </c>
      <c r="I530" t="s">
        <v>9078</v>
      </c>
      <c r="J530" t="s">
        <v>14</v>
      </c>
      <c r="K530" s="3">
        <f t="shared" si="16"/>
        <v>0</v>
      </c>
      <c r="L530" s="3">
        <f>IF(ISERROR(VLOOKUP(J530,Lookups!$A$2:$A$16,1,FALSE)),1,0)</f>
        <v>1</v>
      </c>
      <c r="M530" s="3">
        <f>IF(ISERROR(VLOOKUP(D530,Data!$A$2:$D$223100,2,FALSE)),0,1)</f>
        <v>1</v>
      </c>
      <c r="N530" s="3">
        <f t="shared" si="17"/>
        <v>1</v>
      </c>
      <c r="O530" s="3" t="str">
        <f>IF(ISERROR(VLOOKUP(D530,Data!$A$2:$C$223100,3,FALSE)),"INACTIVE",VLOOKUP(D530,Data!$A$2:$C$223100,3,FALSE))</f>
        <v>Current</v>
      </c>
    </row>
    <row r="531" spans="1:15" x14ac:dyDescent="0.25">
      <c r="A531" t="s">
        <v>2117</v>
      </c>
      <c r="B531" t="s">
        <v>2118</v>
      </c>
      <c r="C531" t="s">
        <v>9273</v>
      </c>
      <c r="D531" t="s">
        <v>9274</v>
      </c>
      <c r="E531" t="s">
        <v>9275</v>
      </c>
      <c r="F531" t="s">
        <v>5</v>
      </c>
      <c r="G531" t="s">
        <v>5</v>
      </c>
      <c r="H531" t="s">
        <v>5</v>
      </c>
      <c r="I531" t="s">
        <v>9078</v>
      </c>
      <c r="J531" t="s">
        <v>36</v>
      </c>
      <c r="K531" s="3">
        <f t="shared" si="16"/>
        <v>0</v>
      </c>
      <c r="L531" s="3">
        <f>IF(ISERROR(VLOOKUP(J531,Lookups!$A$2:$A$16,1,FALSE)),1,0)</f>
        <v>1</v>
      </c>
      <c r="M531" s="3">
        <f>IF(ISERROR(VLOOKUP(D531,Data!$A$2:$D$223100,2,FALSE)),0,1)</f>
        <v>1</v>
      </c>
      <c r="N531" s="3">
        <f t="shared" si="17"/>
        <v>1</v>
      </c>
      <c r="O531" s="3" t="str">
        <f>IF(ISERROR(VLOOKUP(D531,Data!$A$2:$C$223100,3,FALSE)),"INACTIVE",VLOOKUP(D531,Data!$A$2:$C$223100,3,FALSE))</f>
        <v>Current</v>
      </c>
    </row>
    <row r="532" spans="1:15" x14ac:dyDescent="0.25">
      <c r="A532" t="s">
        <v>2117</v>
      </c>
      <c r="B532" t="s">
        <v>2118</v>
      </c>
      <c r="C532" t="s">
        <v>2961</v>
      </c>
      <c r="D532" t="s">
        <v>2962</v>
      </c>
      <c r="E532" t="s">
        <v>9276</v>
      </c>
      <c r="F532" t="s">
        <v>5</v>
      </c>
      <c r="G532" t="s">
        <v>5</v>
      </c>
      <c r="H532" t="s">
        <v>5</v>
      </c>
      <c r="I532" t="s">
        <v>9078</v>
      </c>
      <c r="J532" t="s">
        <v>14</v>
      </c>
      <c r="K532" s="3">
        <f t="shared" si="16"/>
        <v>0</v>
      </c>
      <c r="L532" s="3">
        <f>IF(ISERROR(VLOOKUP(J532,Lookups!$A$2:$A$16,1,FALSE)),1,0)</f>
        <v>1</v>
      </c>
      <c r="M532" s="3">
        <f>IF(ISERROR(VLOOKUP(D532,Data!$A$2:$D$223100,2,FALSE)),0,1)</f>
        <v>1</v>
      </c>
      <c r="N532" s="3">
        <f t="shared" si="17"/>
        <v>1</v>
      </c>
      <c r="O532" s="3" t="str">
        <f>IF(ISERROR(VLOOKUP(D532,Data!$A$2:$C$223100,3,FALSE)),"INACTIVE",VLOOKUP(D532,Data!$A$2:$C$223100,3,FALSE))</f>
        <v>Current</v>
      </c>
    </row>
    <row r="533" spans="1:15" x14ac:dyDescent="0.25">
      <c r="A533" t="s">
        <v>2117</v>
      </c>
      <c r="B533" t="s">
        <v>2118</v>
      </c>
      <c r="C533" t="s">
        <v>2961</v>
      </c>
      <c r="D533" t="s">
        <v>2962</v>
      </c>
      <c r="E533" t="s">
        <v>9277</v>
      </c>
      <c r="F533" t="s">
        <v>5</v>
      </c>
      <c r="G533" t="s">
        <v>5</v>
      </c>
      <c r="H533" t="s">
        <v>5</v>
      </c>
      <c r="I533" t="s">
        <v>9078</v>
      </c>
      <c r="J533" t="s">
        <v>14</v>
      </c>
      <c r="K533" s="3">
        <f t="shared" si="16"/>
        <v>0</v>
      </c>
      <c r="L533" s="3">
        <f>IF(ISERROR(VLOOKUP(J533,Lookups!$A$2:$A$16,1,FALSE)),1,0)</f>
        <v>1</v>
      </c>
      <c r="M533" s="3">
        <f>IF(ISERROR(VLOOKUP(D533,Data!$A$2:$D$223100,2,FALSE)),0,1)</f>
        <v>1</v>
      </c>
      <c r="N533" s="3">
        <f t="shared" si="17"/>
        <v>1</v>
      </c>
      <c r="O533" s="3" t="str">
        <f>IF(ISERROR(VLOOKUP(D533,Data!$A$2:$C$223100,3,FALSE)),"INACTIVE",VLOOKUP(D533,Data!$A$2:$C$223100,3,FALSE))</f>
        <v>Current</v>
      </c>
    </row>
    <row r="534" spans="1:15" x14ac:dyDescent="0.25">
      <c r="A534" t="s">
        <v>2117</v>
      </c>
      <c r="B534" t="s">
        <v>2118</v>
      </c>
      <c r="C534" t="s">
        <v>2961</v>
      </c>
      <c r="D534" t="s">
        <v>2962</v>
      </c>
      <c r="E534" t="s">
        <v>9278</v>
      </c>
      <c r="F534" t="s">
        <v>5</v>
      </c>
      <c r="G534" t="s">
        <v>5</v>
      </c>
      <c r="H534" t="s">
        <v>5</v>
      </c>
      <c r="I534" t="s">
        <v>9078</v>
      </c>
      <c r="J534" t="s">
        <v>14</v>
      </c>
      <c r="K534" s="3">
        <f t="shared" si="16"/>
        <v>0</v>
      </c>
      <c r="L534" s="3">
        <f>IF(ISERROR(VLOOKUP(J534,Lookups!$A$2:$A$16,1,FALSE)),1,0)</f>
        <v>1</v>
      </c>
      <c r="M534" s="3">
        <f>IF(ISERROR(VLOOKUP(D534,Data!$A$2:$D$223100,2,FALSE)),0,1)</f>
        <v>1</v>
      </c>
      <c r="N534" s="3">
        <f t="shared" si="17"/>
        <v>1</v>
      </c>
      <c r="O534" s="3" t="str">
        <f>IF(ISERROR(VLOOKUP(D534,Data!$A$2:$C$223100,3,FALSE)),"INACTIVE",VLOOKUP(D534,Data!$A$2:$C$223100,3,FALSE))</f>
        <v>Current</v>
      </c>
    </row>
    <row r="535" spans="1:15" x14ac:dyDescent="0.25">
      <c r="A535" t="s">
        <v>2117</v>
      </c>
      <c r="B535" t="s">
        <v>2118</v>
      </c>
      <c r="C535" t="s">
        <v>9279</v>
      </c>
      <c r="D535" t="s">
        <v>9280</v>
      </c>
      <c r="E535" t="s">
        <v>9281</v>
      </c>
      <c r="F535" t="s">
        <v>5</v>
      </c>
      <c r="G535" t="s">
        <v>5</v>
      </c>
      <c r="H535" t="s">
        <v>5</v>
      </c>
      <c r="I535" t="s">
        <v>9078</v>
      </c>
      <c r="J535" t="s">
        <v>573</v>
      </c>
      <c r="K535" s="3">
        <f t="shared" si="16"/>
        <v>0</v>
      </c>
      <c r="L535" s="3">
        <f>IF(ISERROR(VLOOKUP(J535,Lookups!$A$2:$A$16,1,FALSE)),1,0)</f>
        <v>1</v>
      </c>
      <c r="M535" s="3">
        <f>IF(ISERROR(VLOOKUP(D535,Data!$A$2:$D$223100,2,FALSE)),0,1)</f>
        <v>1</v>
      </c>
      <c r="N535" s="3">
        <f t="shared" si="17"/>
        <v>1</v>
      </c>
      <c r="O535" s="3" t="str">
        <f>IF(ISERROR(VLOOKUP(D535,Data!$A$2:$C$223100,3,FALSE)),"INACTIVE",VLOOKUP(D535,Data!$A$2:$C$223100,3,FALSE))</f>
        <v>150+</v>
      </c>
    </row>
    <row r="536" spans="1:15" x14ac:dyDescent="0.25">
      <c r="A536" t="s">
        <v>2117</v>
      </c>
      <c r="B536" t="s">
        <v>2118</v>
      </c>
      <c r="C536" t="s">
        <v>2205</v>
      </c>
      <c r="D536" t="s">
        <v>2206</v>
      </c>
      <c r="E536" t="s">
        <v>2207</v>
      </c>
      <c r="F536" t="s">
        <v>5</v>
      </c>
      <c r="G536" t="s">
        <v>5</v>
      </c>
      <c r="H536" t="s">
        <v>5</v>
      </c>
      <c r="I536" t="s">
        <v>9078</v>
      </c>
      <c r="J536" t="s">
        <v>573</v>
      </c>
      <c r="K536" s="3">
        <f t="shared" si="16"/>
        <v>0</v>
      </c>
      <c r="L536" s="3">
        <f>IF(ISERROR(VLOOKUP(J536,Lookups!$A$2:$A$16,1,FALSE)),1,0)</f>
        <v>1</v>
      </c>
      <c r="M536" s="3">
        <f>IF(ISERROR(VLOOKUP(D536,Data!$A$2:$D$223100,2,FALSE)),0,1)</f>
        <v>1</v>
      </c>
      <c r="N536" s="3">
        <f t="shared" si="17"/>
        <v>1</v>
      </c>
      <c r="O536" s="3" t="str">
        <f>IF(ISERROR(VLOOKUP(D536,Data!$A$2:$C$223100,3,FALSE)),"INACTIVE",VLOOKUP(D536,Data!$A$2:$C$223100,3,FALSE))</f>
        <v>Demand Letter</v>
      </c>
    </row>
    <row r="537" spans="1:15" x14ac:dyDescent="0.25">
      <c r="A537" t="s">
        <v>2117</v>
      </c>
      <c r="B537" t="s">
        <v>2118</v>
      </c>
      <c r="C537" t="s">
        <v>9282</v>
      </c>
      <c r="D537" t="s">
        <v>9283</v>
      </c>
      <c r="E537" t="s">
        <v>9284</v>
      </c>
      <c r="F537" t="s">
        <v>5</v>
      </c>
      <c r="G537" t="s">
        <v>5</v>
      </c>
      <c r="H537" t="s">
        <v>5</v>
      </c>
      <c r="I537" t="s">
        <v>9078</v>
      </c>
      <c r="J537" t="s">
        <v>36</v>
      </c>
      <c r="K537" s="3">
        <f t="shared" si="16"/>
        <v>0</v>
      </c>
      <c r="L537" s="3">
        <f>IF(ISERROR(VLOOKUP(J537,Lookups!$A$2:$A$16,1,FALSE)),1,0)</f>
        <v>1</v>
      </c>
      <c r="M537" s="3">
        <f>IF(ISERROR(VLOOKUP(D537,Data!$A$2:$D$223100,2,FALSE)),0,1)</f>
        <v>0</v>
      </c>
      <c r="N537" s="3">
        <f t="shared" si="17"/>
        <v>0</v>
      </c>
      <c r="O537" s="3" t="str">
        <f>IF(ISERROR(VLOOKUP(D537,Data!$A$2:$C$223100,3,FALSE)),"INACTIVE",VLOOKUP(D537,Data!$A$2:$C$223100,3,FALSE))</f>
        <v>INACTIVE</v>
      </c>
    </row>
    <row r="538" spans="1:15" x14ac:dyDescent="0.25">
      <c r="A538" t="s">
        <v>2117</v>
      </c>
      <c r="B538" t="s">
        <v>2118</v>
      </c>
      <c r="C538" t="s">
        <v>2208</v>
      </c>
      <c r="D538" t="s">
        <v>2209</v>
      </c>
      <c r="E538" t="s">
        <v>2210</v>
      </c>
      <c r="F538" t="s">
        <v>5</v>
      </c>
      <c r="G538" t="s">
        <v>5</v>
      </c>
      <c r="H538" t="s">
        <v>5</v>
      </c>
      <c r="I538" t="s">
        <v>9078</v>
      </c>
      <c r="J538" t="s">
        <v>7</v>
      </c>
      <c r="K538" s="3">
        <f t="shared" si="16"/>
        <v>0</v>
      </c>
      <c r="L538" s="3">
        <f>IF(ISERROR(VLOOKUP(J538,Lookups!$A$2:$A$16,1,FALSE)),1,0)</f>
        <v>1</v>
      </c>
      <c r="M538" s="3">
        <f>IF(ISERROR(VLOOKUP(D538,Data!$A$2:$D$223100,2,FALSE)),0,1)</f>
        <v>1</v>
      </c>
      <c r="N538" s="3">
        <f t="shared" si="17"/>
        <v>1</v>
      </c>
      <c r="O538" s="3" t="str">
        <f>IF(ISERROR(VLOOKUP(D538,Data!$A$2:$C$223100,3,FALSE)),"INACTIVE",VLOOKUP(D538,Data!$A$2:$C$223100,3,FALSE))</f>
        <v>90+</v>
      </c>
    </row>
    <row r="539" spans="1:15" x14ac:dyDescent="0.25">
      <c r="A539" t="s">
        <v>2117</v>
      </c>
      <c r="B539" t="s">
        <v>2118</v>
      </c>
      <c r="C539" t="s">
        <v>2208</v>
      </c>
      <c r="D539" t="s">
        <v>2209</v>
      </c>
      <c r="E539" t="s">
        <v>2211</v>
      </c>
      <c r="F539" t="s">
        <v>5</v>
      </c>
      <c r="G539" t="s">
        <v>5</v>
      </c>
      <c r="H539" t="s">
        <v>5</v>
      </c>
      <c r="I539" t="s">
        <v>9078</v>
      </c>
      <c r="J539" t="s">
        <v>7</v>
      </c>
      <c r="K539" s="3">
        <f t="shared" si="16"/>
        <v>0</v>
      </c>
      <c r="L539" s="3">
        <f>IF(ISERROR(VLOOKUP(J539,Lookups!$A$2:$A$16,1,FALSE)),1,0)</f>
        <v>1</v>
      </c>
      <c r="M539" s="3">
        <f>IF(ISERROR(VLOOKUP(D539,Data!$A$2:$D$223100,2,FALSE)),0,1)</f>
        <v>1</v>
      </c>
      <c r="N539" s="3">
        <f t="shared" si="17"/>
        <v>1</v>
      </c>
      <c r="O539" s="3" t="str">
        <f>IF(ISERROR(VLOOKUP(D539,Data!$A$2:$C$223100,3,FALSE)),"INACTIVE",VLOOKUP(D539,Data!$A$2:$C$223100,3,FALSE))</f>
        <v>90+</v>
      </c>
    </row>
    <row r="540" spans="1:15" x14ac:dyDescent="0.25">
      <c r="A540" t="s">
        <v>2117</v>
      </c>
      <c r="B540" t="s">
        <v>2118</v>
      </c>
      <c r="C540" t="s">
        <v>2208</v>
      </c>
      <c r="D540" t="s">
        <v>2209</v>
      </c>
      <c r="E540" t="s">
        <v>2212</v>
      </c>
      <c r="F540" t="s">
        <v>5</v>
      </c>
      <c r="G540" t="s">
        <v>5</v>
      </c>
      <c r="H540" t="s">
        <v>5</v>
      </c>
      <c r="I540" t="s">
        <v>9078</v>
      </c>
      <c r="J540" t="s">
        <v>7</v>
      </c>
      <c r="K540" s="3">
        <f t="shared" si="16"/>
        <v>0</v>
      </c>
      <c r="L540" s="3">
        <f>IF(ISERROR(VLOOKUP(J540,Lookups!$A$2:$A$16,1,FALSE)),1,0)</f>
        <v>1</v>
      </c>
      <c r="M540" s="3">
        <f>IF(ISERROR(VLOOKUP(D540,Data!$A$2:$D$223100,2,FALSE)),0,1)</f>
        <v>1</v>
      </c>
      <c r="N540" s="3">
        <f t="shared" si="17"/>
        <v>1</v>
      </c>
      <c r="O540" s="3" t="str">
        <f>IF(ISERROR(VLOOKUP(D540,Data!$A$2:$C$223100,3,FALSE)),"INACTIVE",VLOOKUP(D540,Data!$A$2:$C$223100,3,FALSE))</f>
        <v>90+</v>
      </c>
    </row>
    <row r="541" spans="1:15" x14ac:dyDescent="0.25">
      <c r="A541" t="s">
        <v>2117</v>
      </c>
      <c r="B541" t="s">
        <v>2118</v>
      </c>
      <c r="C541" t="s">
        <v>2208</v>
      </c>
      <c r="D541" t="s">
        <v>2209</v>
      </c>
      <c r="E541" t="s">
        <v>2213</v>
      </c>
      <c r="F541" t="s">
        <v>5</v>
      </c>
      <c r="G541" t="s">
        <v>5</v>
      </c>
      <c r="H541" t="s">
        <v>5</v>
      </c>
      <c r="I541" t="s">
        <v>9078</v>
      </c>
      <c r="J541" t="s">
        <v>7</v>
      </c>
      <c r="K541" s="3">
        <f t="shared" si="16"/>
        <v>0</v>
      </c>
      <c r="L541" s="3">
        <f>IF(ISERROR(VLOOKUP(J541,Lookups!$A$2:$A$16,1,FALSE)),1,0)</f>
        <v>1</v>
      </c>
      <c r="M541" s="3">
        <f>IF(ISERROR(VLOOKUP(D541,Data!$A$2:$D$223100,2,FALSE)),0,1)</f>
        <v>1</v>
      </c>
      <c r="N541" s="3">
        <f t="shared" si="17"/>
        <v>1</v>
      </c>
      <c r="O541" s="3" t="str">
        <f>IF(ISERROR(VLOOKUP(D541,Data!$A$2:$C$223100,3,FALSE)),"INACTIVE",VLOOKUP(D541,Data!$A$2:$C$223100,3,FALSE))</f>
        <v>90+</v>
      </c>
    </row>
    <row r="542" spans="1:15" x14ac:dyDescent="0.25">
      <c r="A542" t="s">
        <v>3221</v>
      </c>
      <c r="B542" t="s">
        <v>3222</v>
      </c>
      <c r="C542" t="s">
        <v>3250</v>
      </c>
      <c r="D542" t="s">
        <v>3251</v>
      </c>
      <c r="E542" t="s">
        <v>5</v>
      </c>
      <c r="F542" t="s">
        <v>9302</v>
      </c>
      <c r="G542" t="s">
        <v>5</v>
      </c>
      <c r="H542" t="s">
        <v>5</v>
      </c>
      <c r="I542" t="s">
        <v>9078</v>
      </c>
      <c r="J542" t="s">
        <v>573</v>
      </c>
      <c r="K542" s="3">
        <f t="shared" si="16"/>
        <v>0</v>
      </c>
      <c r="L542" s="3">
        <f>IF(ISERROR(VLOOKUP(J542,Lookups!$A$2:$A$16,1,FALSE)),1,0)</f>
        <v>1</v>
      </c>
      <c r="M542" s="3">
        <f>IF(ISERROR(VLOOKUP(D542,Data!$A$2:$D$223100,2,FALSE)),0,1)</f>
        <v>1</v>
      </c>
      <c r="N542" s="3">
        <f t="shared" si="17"/>
        <v>1</v>
      </c>
      <c r="O542" s="3" t="str">
        <f>IF(ISERROR(VLOOKUP(D542,Data!$A$2:$C$223100,3,FALSE)),"INACTIVE",VLOOKUP(D542,Data!$A$2:$C$223100,3,FALSE))</f>
        <v>90+</v>
      </c>
    </row>
    <row r="543" spans="1:15" x14ac:dyDescent="0.25">
      <c r="A543" t="s">
        <v>3221</v>
      </c>
      <c r="B543" t="s">
        <v>3222</v>
      </c>
      <c r="C543" t="s">
        <v>3310</v>
      </c>
      <c r="D543" t="s">
        <v>3311</v>
      </c>
      <c r="E543" t="s">
        <v>5</v>
      </c>
      <c r="F543" t="s">
        <v>9303</v>
      </c>
      <c r="G543" t="s">
        <v>5</v>
      </c>
      <c r="H543" t="s">
        <v>5</v>
      </c>
      <c r="I543" t="s">
        <v>9078</v>
      </c>
      <c r="J543" t="s">
        <v>573</v>
      </c>
      <c r="K543" s="3">
        <f t="shared" si="16"/>
        <v>0</v>
      </c>
      <c r="L543" s="3">
        <f>IF(ISERROR(VLOOKUP(J543,Lookups!$A$2:$A$16,1,FALSE)),1,0)</f>
        <v>1</v>
      </c>
      <c r="M543" s="3">
        <f>IF(ISERROR(VLOOKUP(D543,Data!$A$2:$D$223100,2,FALSE)),0,1)</f>
        <v>1</v>
      </c>
      <c r="N543" s="3">
        <f t="shared" si="17"/>
        <v>1</v>
      </c>
      <c r="O543" s="3" t="str">
        <f>IF(ISERROR(VLOOKUP(D543,Data!$A$2:$C$223100,3,FALSE)),"INACTIVE",VLOOKUP(D543,Data!$A$2:$C$223100,3,FALSE))</f>
        <v>60+</v>
      </c>
    </row>
    <row r="544" spans="1:15" x14ac:dyDescent="0.25">
      <c r="A544" t="s">
        <v>9314</v>
      </c>
      <c r="B544" t="s">
        <v>9315</v>
      </c>
      <c r="C544" t="s">
        <v>9316</v>
      </c>
      <c r="D544" t="s">
        <v>9317</v>
      </c>
      <c r="E544" t="s">
        <v>9318</v>
      </c>
      <c r="F544" t="s">
        <v>9318</v>
      </c>
      <c r="G544" t="s">
        <v>5</v>
      </c>
      <c r="H544" t="s">
        <v>5</v>
      </c>
      <c r="I544" t="s">
        <v>9078</v>
      </c>
      <c r="J544" t="s">
        <v>90</v>
      </c>
      <c r="K544" s="3">
        <f t="shared" si="16"/>
        <v>0</v>
      </c>
      <c r="L544" s="3">
        <f>IF(ISERROR(VLOOKUP(J544,Lookups!$A$2:$A$16,1,FALSE)),1,0)</f>
        <v>0</v>
      </c>
      <c r="M544" s="3">
        <f>IF(ISERROR(VLOOKUP(D544,Data!$A$2:$D$223100,2,FALSE)),0,1)</f>
        <v>1</v>
      </c>
      <c r="N544" s="3">
        <f t="shared" si="17"/>
        <v>0</v>
      </c>
      <c r="O544" s="3" t="str">
        <f>IF(ISERROR(VLOOKUP(D544,Data!$A$2:$C$223100,3,FALSE)),"INACTIVE",VLOOKUP(D544,Data!$A$2:$C$223100,3,FALSE))</f>
        <v>60+</v>
      </c>
    </row>
    <row r="545" spans="1:15" x14ac:dyDescent="0.25">
      <c r="A545" t="s">
        <v>9314</v>
      </c>
      <c r="B545" t="s">
        <v>9315</v>
      </c>
      <c r="C545" t="s">
        <v>9316</v>
      </c>
      <c r="D545" t="s">
        <v>9317</v>
      </c>
      <c r="E545" t="s">
        <v>9319</v>
      </c>
      <c r="F545" t="s">
        <v>9319</v>
      </c>
      <c r="G545" t="s">
        <v>5</v>
      </c>
      <c r="H545" t="s">
        <v>5</v>
      </c>
      <c r="I545" t="s">
        <v>9078</v>
      </c>
      <c r="J545" t="s">
        <v>90</v>
      </c>
      <c r="K545" s="3">
        <f t="shared" si="16"/>
        <v>0</v>
      </c>
      <c r="L545" s="3">
        <f>IF(ISERROR(VLOOKUP(J545,Lookups!$A$2:$A$16,1,FALSE)),1,0)</f>
        <v>0</v>
      </c>
      <c r="M545" s="3">
        <f>IF(ISERROR(VLOOKUP(D545,Data!$A$2:$D$223100,2,FALSE)),0,1)</f>
        <v>1</v>
      </c>
      <c r="N545" s="3">
        <f t="shared" si="17"/>
        <v>0</v>
      </c>
      <c r="O545" s="3" t="str">
        <f>IF(ISERROR(VLOOKUP(D545,Data!$A$2:$C$223100,3,FALSE)),"INACTIVE",VLOOKUP(D545,Data!$A$2:$C$223100,3,FALSE))</f>
        <v>60+</v>
      </c>
    </row>
    <row r="546" spans="1:15" x14ac:dyDescent="0.25">
      <c r="A546" t="s">
        <v>9314</v>
      </c>
      <c r="B546" t="s">
        <v>9315</v>
      </c>
      <c r="C546" t="s">
        <v>9320</v>
      </c>
      <c r="D546" t="s">
        <v>9321</v>
      </c>
      <c r="E546" t="s">
        <v>5</v>
      </c>
      <c r="F546" t="s">
        <v>9322</v>
      </c>
      <c r="G546" t="s">
        <v>5</v>
      </c>
      <c r="H546" t="s">
        <v>5</v>
      </c>
      <c r="I546" t="s">
        <v>9078</v>
      </c>
      <c r="J546" t="s">
        <v>7</v>
      </c>
      <c r="K546" s="3">
        <f t="shared" si="16"/>
        <v>0</v>
      </c>
      <c r="L546" s="3">
        <f>IF(ISERROR(VLOOKUP(J546,Lookups!$A$2:$A$16,1,FALSE)),1,0)</f>
        <v>1</v>
      </c>
      <c r="M546" s="3">
        <f>IF(ISERROR(VLOOKUP(D546,Data!$A$2:$D$223100,2,FALSE)),0,1)</f>
        <v>0</v>
      </c>
      <c r="N546" s="3">
        <f t="shared" si="17"/>
        <v>0</v>
      </c>
      <c r="O546" s="3" t="str">
        <f>IF(ISERROR(VLOOKUP(D546,Data!$A$2:$C$223100,3,FALSE)),"INACTIVE",VLOOKUP(D546,Data!$A$2:$C$223100,3,FALSE))</f>
        <v>INACTIVE</v>
      </c>
    </row>
    <row r="547" spans="1:15" x14ac:dyDescent="0.25">
      <c r="A547" t="s">
        <v>9169</v>
      </c>
      <c r="B547" t="s">
        <v>9170</v>
      </c>
      <c r="C547" t="s">
        <v>9171</v>
      </c>
      <c r="D547" t="s">
        <v>9172</v>
      </c>
      <c r="E547" t="s">
        <v>9173</v>
      </c>
      <c r="F547" t="s">
        <v>5</v>
      </c>
      <c r="G547" t="s">
        <v>5</v>
      </c>
      <c r="H547" t="s">
        <v>5</v>
      </c>
      <c r="I547" t="s">
        <v>9174</v>
      </c>
      <c r="J547" t="s">
        <v>90</v>
      </c>
      <c r="K547" s="3">
        <f t="shared" si="16"/>
        <v>0</v>
      </c>
      <c r="L547" s="3">
        <f>IF(ISERROR(VLOOKUP(J547,Lookups!$A$2:$A$16,1,FALSE)),1,0)</f>
        <v>0</v>
      </c>
      <c r="M547" s="3">
        <f>IF(ISERROR(VLOOKUP(D547,Data!$A$2:$D$223100,2,FALSE)),0,1)</f>
        <v>1</v>
      </c>
      <c r="N547" s="3">
        <f t="shared" si="17"/>
        <v>0</v>
      </c>
      <c r="O547" s="3" t="str">
        <f>IF(ISERROR(VLOOKUP(D547,Data!$A$2:$C$223100,3,FALSE)),"INACTIVE",VLOOKUP(D547,Data!$A$2:$C$223100,3,FALSE))</f>
        <v>Current</v>
      </c>
    </row>
    <row r="548" spans="1:15" x14ac:dyDescent="0.25">
      <c r="A548" t="s">
        <v>9169</v>
      </c>
      <c r="B548" t="s">
        <v>9170</v>
      </c>
      <c r="C548" t="s">
        <v>9175</v>
      </c>
      <c r="D548" t="s">
        <v>9176</v>
      </c>
      <c r="E548" t="s">
        <v>9177</v>
      </c>
      <c r="F548" t="s">
        <v>5</v>
      </c>
      <c r="G548" t="s">
        <v>5</v>
      </c>
      <c r="H548" t="s">
        <v>5</v>
      </c>
      <c r="I548" t="s">
        <v>9174</v>
      </c>
      <c r="J548" t="s">
        <v>90</v>
      </c>
      <c r="K548" s="3">
        <f t="shared" si="16"/>
        <v>0</v>
      </c>
      <c r="L548" s="3">
        <f>IF(ISERROR(VLOOKUP(J548,Lookups!$A$2:$A$16,1,FALSE)),1,0)</f>
        <v>0</v>
      </c>
      <c r="M548" s="3">
        <f>IF(ISERROR(VLOOKUP(D548,Data!$A$2:$D$223100,2,FALSE)),0,1)</f>
        <v>1</v>
      </c>
      <c r="N548" s="3">
        <f t="shared" si="17"/>
        <v>0</v>
      </c>
      <c r="O548" s="3" t="str">
        <f>IF(ISERROR(VLOOKUP(D548,Data!$A$2:$C$223100,3,FALSE)),"INACTIVE",VLOOKUP(D548,Data!$A$2:$C$223100,3,FALSE))</f>
        <v>FC</v>
      </c>
    </row>
    <row r="549" spans="1:15" x14ac:dyDescent="0.25">
      <c r="A549" t="s">
        <v>9169</v>
      </c>
      <c r="B549" t="s">
        <v>9170</v>
      </c>
      <c r="C549" t="s">
        <v>9178</v>
      </c>
      <c r="D549" t="s">
        <v>9179</v>
      </c>
      <c r="E549" t="s">
        <v>9180</v>
      </c>
      <c r="F549" t="s">
        <v>5</v>
      </c>
      <c r="G549" t="s">
        <v>5</v>
      </c>
      <c r="H549" t="s">
        <v>5</v>
      </c>
      <c r="I549" t="s">
        <v>9174</v>
      </c>
      <c r="J549" t="s">
        <v>96</v>
      </c>
      <c r="K549" s="3">
        <f t="shared" si="16"/>
        <v>0</v>
      </c>
      <c r="L549" s="3">
        <f>IF(ISERROR(VLOOKUP(J549,Lookups!$A$2:$A$16,1,FALSE)),1,0)</f>
        <v>0</v>
      </c>
      <c r="M549" s="3">
        <f>IF(ISERROR(VLOOKUP(D549,Data!$A$2:$D$223100,2,FALSE)),0,1)</f>
        <v>1</v>
      </c>
      <c r="N549" s="3">
        <f t="shared" si="17"/>
        <v>0</v>
      </c>
      <c r="O549" s="3" t="str">
        <f>IF(ISERROR(VLOOKUP(D549,Data!$A$2:$C$223100,3,FALSE)),"INACTIVE",VLOOKUP(D549,Data!$A$2:$C$223100,3,FALSE))</f>
        <v>FC</v>
      </c>
    </row>
    <row r="550" spans="1:15" x14ac:dyDescent="0.25">
      <c r="A550" t="s">
        <v>9169</v>
      </c>
      <c r="B550" t="s">
        <v>9170</v>
      </c>
      <c r="C550" t="s">
        <v>9178</v>
      </c>
      <c r="D550" t="s">
        <v>9179</v>
      </c>
      <c r="E550" t="s">
        <v>9181</v>
      </c>
      <c r="F550" t="s">
        <v>5</v>
      </c>
      <c r="G550" t="s">
        <v>5</v>
      </c>
      <c r="H550" t="s">
        <v>5</v>
      </c>
      <c r="I550" t="s">
        <v>9174</v>
      </c>
      <c r="J550" t="s">
        <v>96</v>
      </c>
      <c r="K550" s="3">
        <f t="shared" si="16"/>
        <v>0</v>
      </c>
      <c r="L550" s="3">
        <f>IF(ISERROR(VLOOKUP(J550,Lookups!$A$2:$A$16,1,FALSE)),1,0)</f>
        <v>0</v>
      </c>
      <c r="M550" s="3">
        <f>IF(ISERROR(VLOOKUP(D550,Data!$A$2:$D$223100,2,FALSE)),0,1)</f>
        <v>1</v>
      </c>
      <c r="N550" s="3">
        <f t="shared" si="17"/>
        <v>0</v>
      </c>
      <c r="O550" s="3" t="str">
        <f>IF(ISERROR(VLOOKUP(D550,Data!$A$2:$C$223100,3,FALSE)),"INACTIVE",VLOOKUP(D550,Data!$A$2:$C$223100,3,FALSE))</f>
        <v>FC</v>
      </c>
    </row>
    <row r="551" spans="1:15" x14ac:dyDescent="0.25">
      <c r="A551" t="s">
        <v>2078</v>
      </c>
      <c r="B551" t="s">
        <v>2079</v>
      </c>
      <c r="C551" t="s">
        <v>9200</v>
      </c>
      <c r="D551" t="s">
        <v>9201</v>
      </c>
      <c r="E551" t="s">
        <v>5</v>
      </c>
      <c r="F551" t="s">
        <v>9202</v>
      </c>
      <c r="G551" t="s">
        <v>5</v>
      </c>
      <c r="H551" t="s">
        <v>5</v>
      </c>
      <c r="I551" t="s">
        <v>9174</v>
      </c>
      <c r="J551" t="s">
        <v>573</v>
      </c>
      <c r="K551" s="3">
        <f t="shared" si="16"/>
        <v>0</v>
      </c>
      <c r="L551" s="3">
        <f>IF(ISERROR(VLOOKUP(J551,Lookups!$A$2:$A$16,1,FALSE)),1,0)</f>
        <v>1</v>
      </c>
      <c r="M551" s="3">
        <f>IF(ISERROR(VLOOKUP(D551,Data!$A$2:$D$223100,2,FALSE)),0,1)</f>
        <v>1</v>
      </c>
      <c r="N551" s="3">
        <f t="shared" si="17"/>
        <v>1</v>
      </c>
      <c r="O551" s="3" t="str">
        <f>IF(ISERROR(VLOOKUP(D551,Data!$A$2:$C$223100,3,FALSE)),"INACTIVE",VLOOKUP(D551,Data!$A$2:$C$223100,3,FALSE))</f>
        <v>30+</v>
      </c>
    </row>
    <row r="552" spans="1:15" x14ac:dyDescent="0.25">
      <c r="A552" t="s">
        <v>2099</v>
      </c>
      <c r="B552" t="s">
        <v>2100</v>
      </c>
      <c r="C552" t="s">
        <v>2104</v>
      </c>
      <c r="D552" t="s">
        <v>2105</v>
      </c>
      <c r="E552" t="s">
        <v>9203</v>
      </c>
      <c r="F552" t="s">
        <v>9203</v>
      </c>
      <c r="G552" t="s">
        <v>5</v>
      </c>
      <c r="H552" t="s">
        <v>5</v>
      </c>
      <c r="I552" t="s">
        <v>9174</v>
      </c>
      <c r="J552" t="s">
        <v>573</v>
      </c>
      <c r="K552" s="3">
        <f t="shared" si="16"/>
        <v>0</v>
      </c>
      <c r="L552" s="3">
        <f>IF(ISERROR(VLOOKUP(J552,Lookups!$A$2:$A$16,1,FALSE)),1,0)</f>
        <v>1</v>
      </c>
      <c r="M552" s="3">
        <f>IF(ISERROR(VLOOKUP(D552,Data!$A$2:$D$223100,2,FALSE)),0,1)</f>
        <v>0</v>
      </c>
      <c r="N552" s="3">
        <f t="shared" si="17"/>
        <v>0</v>
      </c>
      <c r="O552" s="3" t="str">
        <f>IF(ISERROR(VLOOKUP(D552,Data!$A$2:$C$223100,3,FALSE)),"INACTIVE",VLOOKUP(D552,Data!$A$2:$C$223100,3,FALSE))</f>
        <v>INACTIVE</v>
      </c>
    </row>
    <row r="553" spans="1:15" x14ac:dyDescent="0.25">
      <c r="A553" t="s">
        <v>3424</v>
      </c>
      <c r="B553" t="s">
        <v>3425</v>
      </c>
      <c r="C553" t="s">
        <v>9304</v>
      </c>
      <c r="D553" t="s">
        <v>9305</v>
      </c>
      <c r="E553" t="s">
        <v>5</v>
      </c>
      <c r="F553" t="s">
        <v>9306</v>
      </c>
      <c r="G553" t="s">
        <v>5</v>
      </c>
      <c r="H553" t="s">
        <v>5</v>
      </c>
      <c r="I553" t="s">
        <v>9174</v>
      </c>
      <c r="J553" t="s">
        <v>573</v>
      </c>
      <c r="K553" s="3">
        <f t="shared" si="16"/>
        <v>0</v>
      </c>
      <c r="L553" s="3">
        <f>IF(ISERROR(VLOOKUP(J553,Lookups!$A$2:$A$16,1,FALSE)),1,0)</f>
        <v>1</v>
      </c>
      <c r="M553" s="3">
        <f>IF(ISERROR(VLOOKUP(D553,Data!$A$2:$D$223100,2,FALSE)),0,1)</f>
        <v>1</v>
      </c>
      <c r="N553" s="3">
        <f t="shared" si="17"/>
        <v>1</v>
      </c>
      <c r="O553" s="3" t="str">
        <f>IF(ISERROR(VLOOKUP(D553,Data!$A$2:$C$223100,3,FALSE)),"INACTIVE",VLOOKUP(D553,Data!$A$2:$C$223100,3,FALSE))</f>
        <v>30+</v>
      </c>
    </row>
    <row r="554" spans="1:15" x14ac:dyDescent="0.25">
      <c r="A554" t="s">
        <v>3566</v>
      </c>
      <c r="B554" t="s">
        <v>3567</v>
      </c>
      <c r="C554" t="s">
        <v>3568</v>
      </c>
      <c r="D554" t="s">
        <v>3569</v>
      </c>
      <c r="E554" t="s">
        <v>5</v>
      </c>
      <c r="F554" t="s">
        <v>3574</v>
      </c>
      <c r="G554" t="s">
        <v>5</v>
      </c>
      <c r="H554" t="s">
        <v>5</v>
      </c>
      <c r="I554" t="s">
        <v>9174</v>
      </c>
      <c r="J554" t="s">
        <v>36</v>
      </c>
      <c r="K554" s="3">
        <f t="shared" si="16"/>
        <v>0</v>
      </c>
      <c r="L554" s="3">
        <f>IF(ISERROR(VLOOKUP(J554,Lookups!$A$2:$A$16,1,FALSE)),1,0)</f>
        <v>1</v>
      </c>
      <c r="M554" s="3">
        <f>IF(ISERROR(VLOOKUP(D554,Data!$A$2:$D$223100,2,FALSE)),0,1)</f>
        <v>1</v>
      </c>
      <c r="N554" s="3">
        <f t="shared" si="17"/>
        <v>1</v>
      </c>
      <c r="O554" s="3" t="str">
        <f>IF(ISERROR(VLOOKUP(D554,Data!$A$2:$C$223100,3,FALSE)),"INACTIVE",VLOOKUP(D554,Data!$A$2:$C$223100,3,FALSE))</f>
        <v>60+</v>
      </c>
    </row>
    <row r="555" spans="1:15" x14ac:dyDescent="0.25">
      <c r="A555" t="s">
        <v>3566</v>
      </c>
      <c r="B555" t="s">
        <v>3567</v>
      </c>
      <c r="C555" t="s">
        <v>3568</v>
      </c>
      <c r="D555" t="s">
        <v>3569</v>
      </c>
      <c r="E555" t="s">
        <v>5</v>
      </c>
      <c r="F555" t="s">
        <v>3575</v>
      </c>
      <c r="G555" t="s">
        <v>5</v>
      </c>
      <c r="H555" t="s">
        <v>5</v>
      </c>
      <c r="I555" t="s">
        <v>9174</v>
      </c>
      <c r="J555" t="s">
        <v>36</v>
      </c>
      <c r="K555" s="3">
        <f t="shared" si="16"/>
        <v>0</v>
      </c>
      <c r="L555" s="3">
        <f>IF(ISERROR(VLOOKUP(J555,Lookups!$A$2:$A$16,1,FALSE)),1,0)</f>
        <v>1</v>
      </c>
      <c r="M555" s="3">
        <f>IF(ISERROR(VLOOKUP(D555,Data!$A$2:$D$223100,2,FALSE)),0,1)</f>
        <v>1</v>
      </c>
      <c r="N555" s="3">
        <f t="shared" si="17"/>
        <v>1</v>
      </c>
      <c r="O555" s="3" t="str">
        <f>IF(ISERROR(VLOOKUP(D555,Data!$A$2:$C$223100,3,FALSE)),"INACTIVE",VLOOKUP(D555,Data!$A$2:$C$223100,3,FALSE))</f>
        <v>60+</v>
      </c>
    </row>
    <row r="556" spans="1:15" x14ac:dyDescent="0.25">
      <c r="A556" t="s">
        <v>8972</v>
      </c>
      <c r="B556" t="s">
        <v>8973</v>
      </c>
      <c r="C556" t="s">
        <v>8974</v>
      </c>
      <c r="D556" t="s">
        <v>8975</v>
      </c>
      <c r="E556" t="s">
        <v>8976</v>
      </c>
      <c r="F556" t="s">
        <v>5</v>
      </c>
      <c r="G556" t="s">
        <v>5</v>
      </c>
      <c r="H556" t="s">
        <v>5</v>
      </c>
      <c r="I556" t="s">
        <v>8977</v>
      </c>
      <c r="J556" t="s">
        <v>96</v>
      </c>
      <c r="K556" s="3">
        <f t="shared" si="16"/>
        <v>0</v>
      </c>
      <c r="L556" s="3">
        <f>IF(ISERROR(VLOOKUP(J556,Lookups!$A$2:$A$16,1,FALSE)),1,0)</f>
        <v>0</v>
      </c>
      <c r="M556" s="3">
        <f>IF(ISERROR(VLOOKUP(D556,Data!$A$2:$D$223100,2,FALSE)),0,1)</f>
        <v>1</v>
      </c>
      <c r="N556" s="3">
        <f t="shared" si="17"/>
        <v>0</v>
      </c>
      <c r="O556" s="3" t="str">
        <f>IF(ISERROR(VLOOKUP(D556,Data!$A$2:$C$223100,3,FALSE)),"INACTIVE",VLOOKUP(D556,Data!$A$2:$C$223100,3,FALSE))</f>
        <v>180+</v>
      </c>
    </row>
    <row r="557" spans="1:15" x14ac:dyDescent="0.25">
      <c r="A557" t="s">
        <v>8972</v>
      </c>
      <c r="B557" t="s">
        <v>8973</v>
      </c>
      <c r="C557" t="s">
        <v>8974</v>
      </c>
      <c r="D557" t="s">
        <v>8975</v>
      </c>
      <c r="E557" t="s">
        <v>8978</v>
      </c>
      <c r="F557" t="s">
        <v>5</v>
      </c>
      <c r="G557" t="s">
        <v>5</v>
      </c>
      <c r="H557" t="s">
        <v>5</v>
      </c>
      <c r="I557" t="s">
        <v>8977</v>
      </c>
      <c r="J557" t="s">
        <v>96</v>
      </c>
      <c r="K557" s="3">
        <f t="shared" si="16"/>
        <v>0</v>
      </c>
      <c r="L557" s="3">
        <f>IF(ISERROR(VLOOKUP(J557,Lookups!$A$2:$A$16,1,FALSE)),1,0)</f>
        <v>0</v>
      </c>
      <c r="M557" s="3">
        <f>IF(ISERROR(VLOOKUP(D557,Data!$A$2:$D$223100,2,FALSE)),0,1)</f>
        <v>1</v>
      </c>
      <c r="N557" s="3">
        <f t="shared" si="17"/>
        <v>0</v>
      </c>
      <c r="O557" s="3" t="str">
        <f>IF(ISERROR(VLOOKUP(D557,Data!$A$2:$C$223100,3,FALSE)),"INACTIVE",VLOOKUP(D557,Data!$A$2:$C$223100,3,FALSE))</f>
        <v>180+</v>
      </c>
    </row>
    <row r="558" spans="1:15" x14ac:dyDescent="0.25">
      <c r="A558" t="s">
        <v>8972</v>
      </c>
      <c r="B558" t="s">
        <v>8973</v>
      </c>
      <c r="C558" t="s">
        <v>8974</v>
      </c>
      <c r="D558" t="s">
        <v>8975</v>
      </c>
      <c r="E558" t="s">
        <v>8979</v>
      </c>
      <c r="F558" t="s">
        <v>5</v>
      </c>
      <c r="G558" t="s">
        <v>5</v>
      </c>
      <c r="H558" t="s">
        <v>5</v>
      </c>
      <c r="I558" t="s">
        <v>8977</v>
      </c>
      <c r="J558" t="s">
        <v>96</v>
      </c>
      <c r="K558" s="3">
        <f t="shared" si="16"/>
        <v>0</v>
      </c>
      <c r="L558" s="3">
        <f>IF(ISERROR(VLOOKUP(J558,Lookups!$A$2:$A$16,1,FALSE)),1,0)</f>
        <v>0</v>
      </c>
      <c r="M558" s="3">
        <f>IF(ISERROR(VLOOKUP(D558,Data!$A$2:$D$223100,2,FALSE)),0,1)</f>
        <v>1</v>
      </c>
      <c r="N558" s="3">
        <f t="shared" si="17"/>
        <v>0</v>
      </c>
      <c r="O558" s="3" t="str">
        <f>IF(ISERROR(VLOOKUP(D558,Data!$A$2:$C$223100,3,FALSE)),"INACTIVE",VLOOKUP(D558,Data!$A$2:$C$223100,3,FALSE))</f>
        <v>180+</v>
      </c>
    </row>
    <row r="559" spans="1:15" x14ac:dyDescent="0.25">
      <c r="A559" t="s">
        <v>8987</v>
      </c>
      <c r="B559" t="s">
        <v>8988</v>
      </c>
      <c r="C559" t="s">
        <v>8989</v>
      </c>
      <c r="D559" t="s">
        <v>3676</v>
      </c>
      <c r="E559" t="s">
        <v>8990</v>
      </c>
      <c r="F559" t="s">
        <v>5</v>
      </c>
      <c r="G559" t="s">
        <v>5</v>
      </c>
      <c r="H559" t="s">
        <v>5</v>
      </c>
      <c r="I559" t="s">
        <v>8977</v>
      </c>
      <c r="J559" t="s">
        <v>96</v>
      </c>
      <c r="K559" s="3">
        <f t="shared" si="16"/>
        <v>0</v>
      </c>
      <c r="L559" s="3">
        <f>IF(ISERROR(VLOOKUP(J559,Lookups!$A$2:$A$16,1,FALSE)),1,0)</f>
        <v>0</v>
      </c>
      <c r="M559" s="3">
        <f>IF(ISERROR(VLOOKUP(D559,Data!$A$2:$D$223100,2,FALSE)),0,1)</f>
        <v>1</v>
      </c>
      <c r="N559" s="3">
        <f t="shared" si="17"/>
        <v>0</v>
      </c>
      <c r="O559" s="3" t="str">
        <f>IF(ISERROR(VLOOKUP(D559,Data!$A$2:$C$223100,3,FALSE)),"INACTIVE",VLOOKUP(D559,Data!$A$2:$C$223100,3,FALSE))</f>
        <v>Current</v>
      </c>
    </row>
    <row r="560" spans="1:15" x14ac:dyDescent="0.25">
      <c r="A560" t="s">
        <v>8987</v>
      </c>
      <c r="B560" t="s">
        <v>8988</v>
      </c>
      <c r="C560" t="s">
        <v>8989</v>
      </c>
      <c r="D560" t="s">
        <v>3676</v>
      </c>
      <c r="E560" t="s">
        <v>8990</v>
      </c>
      <c r="F560" t="s">
        <v>5</v>
      </c>
      <c r="G560" t="s">
        <v>5</v>
      </c>
      <c r="H560" t="s">
        <v>5</v>
      </c>
      <c r="I560" t="s">
        <v>8977</v>
      </c>
      <c r="J560" t="s">
        <v>96</v>
      </c>
      <c r="K560" s="3">
        <f t="shared" si="16"/>
        <v>0</v>
      </c>
      <c r="L560" s="3">
        <f>IF(ISERROR(VLOOKUP(J560,Lookups!$A$2:$A$16,1,FALSE)),1,0)</f>
        <v>0</v>
      </c>
      <c r="M560" s="3">
        <f>IF(ISERROR(VLOOKUP(D560,Data!$A$2:$D$223100,2,FALSE)),0,1)</f>
        <v>1</v>
      </c>
      <c r="N560" s="3">
        <f t="shared" si="17"/>
        <v>0</v>
      </c>
      <c r="O560" s="3" t="str">
        <f>IF(ISERROR(VLOOKUP(D560,Data!$A$2:$C$223100,3,FALSE)),"INACTIVE",VLOOKUP(D560,Data!$A$2:$C$223100,3,FALSE))</f>
        <v>Current</v>
      </c>
    </row>
    <row r="561" spans="1:15" x14ac:dyDescent="0.25">
      <c r="A561" t="s">
        <v>8987</v>
      </c>
      <c r="B561" t="s">
        <v>8988</v>
      </c>
      <c r="C561" t="s">
        <v>8989</v>
      </c>
      <c r="D561" t="s">
        <v>3676</v>
      </c>
      <c r="E561" t="s">
        <v>8991</v>
      </c>
      <c r="F561" t="s">
        <v>5</v>
      </c>
      <c r="G561" t="s">
        <v>5</v>
      </c>
      <c r="H561" t="s">
        <v>5</v>
      </c>
      <c r="I561" t="s">
        <v>8977</v>
      </c>
      <c r="J561" t="s">
        <v>96</v>
      </c>
      <c r="K561" s="3">
        <f t="shared" si="16"/>
        <v>0</v>
      </c>
      <c r="L561" s="3">
        <f>IF(ISERROR(VLOOKUP(J561,Lookups!$A$2:$A$16,1,FALSE)),1,0)</f>
        <v>0</v>
      </c>
      <c r="M561" s="3">
        <f>IF(ISERROR(VLOOKUP(D561,Data!$A$2:$D$223100,2,FALSE)),0,1)</f>
        <v>1</v>
      </c>
      <c r="N561" s="3">
        <f t="shared" si="17"/>
        <v>0</v>
      </c>
      <c r="O561" s="3" t="str">
        <f>IF(ISERROR(VLOOKUP(D561,Data!$A$2:$C$223100,3,FALSE)),"INACTIVE",VLOOKUP(D561,Data!$A$2:$C$223100,3,FALSE))</f>
        <v>Current</v>
      </c>
    </row>
    <row r="562" spans="1:15" x14ac:dyDescent="0.25">
      <c r="A562" t="s">
        <v>8987</v>
      </c>
      <c r="B562" t="s">
        <v>8988</v>
      </c>
      <c r="C562" t="s">
        <v>8989</v>
      </c>
      <c r="D562" t="s">
        <v>3676</v>
      </c>
      <c r="E562" t="s">
        <v>8992</v>
      </c>
      <c r="F562" t="s">
        <v>5</v>
      </c>
      <c r="G562" t="s">
        <v>5</v>
      </c>
      <c r="H562" t="s">
        <v>5</v>
      </c>
      <c r="I562" t="s">
        <v>8977</v>
      </c>
      <c r="J562" t="s">
        <v>96</v>
      </c>
      <c r="K562" s="3">
        <f t="shared" si="16"/>
        <v>0</v>
      </c>
      <c r="L562" s="3">
        <f>IF(ISERROR(VLOOKUP(J562,Lookups!$A$2:$A$16,1,FALSE)),1,0)</f>
        <v>0</v>
      </c>
      <c r="M562" s="3">
        <f>IF(ISERROR(VLOOKUP(D562,Data!$A$2:$D$223100,2,FALSE)),0,1)</f>
        <v>1</v>
      </c>
      <c r="N562" s="3">
        <f t="shared" si="17"/>
        <v>0</v>
      </c>
      <c r="O562" s="3" t="str">
        <f>IF(ISERROR(VLOOKUP(D562,Data!$A$2:$C$223100,3,FALSE)),"INACTIVE",VLOOKUP(D562,Data!$A$2:$C$223100,3,FALSE))</f>
        <v>Current</v>
      </c>
    </row>
    <row r="563" spans="1:15" x14ac:dyDescent="0.25">
      <c r="A563" t="s">
        <v>8987</v>
      </c>
      <c r="B563" t="s">
        <v>8988</v>
      </c>
      <c r="C563" t="s">
        <v>8989</v>
      </c>
      <c r="D563" t="s">
        <v>3676</v>
      </c>
      <c r="E563" t="s">
        <v>8993</v>
      </c>
      <c r="F563" t="s">
        <v>5</v>
      </c>
      <c r="G563" t="s">
        <v>5</v>
      </c>
      <c r="H563" t="s">
        <v>5</v>
      </c>
      <c r="I563" t="s">
        <v>8977</v>
      </c>
      <c r="J563" t="s">
        <v>96</v>
      </c>
      <c r="K563" s="3">
        <f t="shared" si="16"/>
        <v>0</v>
      </c>
      <c r="L563" s="3">
        <f>IF(ISERROR(VLOOKUP(J563,Lookups!$A$2:$A$16,1,FALSE)),1,0)</f>
        <v>0</v>
      </c>
      <c r="M563" s="3">
        <f>IF(ISERROR(VLOOKUP(D563,Data!$A$2:$D$223100,2,FALSE)),0,1)</f>
        <v>1</v>
      </c>
      <c r="N563" s="3">
        <f t="shared" si="17"/>
        <v>0</v>
      </c>
      <c r="O563" s="3" t="str">
        <f>IF(ISERROR(VLOOKUP(D563,Data!$A$2:$C$223100,3,FALSE)),"INACTIVE",VLOOKUP(D563,Data!$A$2:$C$223100,3,FALSE))</f>
        <v>Current</v>
      </c>
    </row>
    <row r="564" spans="1:15" x14ac:dyDescent="0.25">
      <c r="A564" t="s">
        <v>8987</v>
      </c>
      <c r="B564" t="s">
        <v>8988</v>
      </c>
      <c r="C564" t="s">
        <v>8994</v>
      </c>
      <c r="D564" t="s">
        <v>3682</v>
      </c>
      <c r="E564" t="s">
        <v>8995</v>
      </c>
      <c r="F564" t="s">
        <v>5</v>
      </c>
      <c r="G564" t="s">
        <v>5</v>
      </c>
      <c r="H564" t="s">
        <v>5</v>
      </c>
      <c r="I564" t="s">
        <v>8977</v>
      </c>
      <c r="J564" t="s">
        <v>96</v>
      </c>
      <c r="K564" s="3">
        <f t="shared" si="16"/>
        <v>0</v>
      </c>
      <c r="L564" s="3">
        <f>IF(ISERROR(VLOOKUP(J564,Lookups!$A$2:$A$16,1,FALSE)),1,0)</f>
        <v>0</v>
      </c>
      <c r="M564" s="3">
        <f>IF(ISERROR(VLOOKUP(D564,Data!$A$2:$D$223100,2,FALSE)),0,1)</f>
        <v>1</v>
      </c>
      <c r="N564" s="3">
        <f t="shared" si="17"/>
        <v>0</v>
      </c>
      <c r="O564" s="3" t="str">
        <f>IF(ISERROR(VLOOKUP(D564,Data!$A$2:$C$223100,3,FALSE)),"INACTIVE",VLOOKUP(D564,Data!$A$2:$C$223100,3,FALSE))</f>
        <v>Current</v>
      </c>
    </row>
    <row r="565" spans="1:15" x14ac:dyDescent="0.25">
      <c r="A565" t="s">
        <v>8987</v>
      </c>
      <c r="B565" t="s">
        <v>8988</v>
      </c>
      <c r="C565" t="s">
        <v>8994</v>
      </c>
      <c r="D565" t="s">
        <v>3682</v>
      </c>
      <c r="E565" t="s">
        <v>8995</v>
      </c>
      <c r="F565" t="s">
        <v>5</v>
      </c>
      <c r="G565" t="s">
        <v>5</v>
      </c>
      <c r="H565" t="s">
        <v>5</v>
      </c>
      <c r="I565" t="s">
        <v>8977</v>
      </c>
      <c r="J565" t="s">
        <v>96</v>
      </c>
      <c r="K565" s="3">
        <f t="shared" si="16"/>
        <v>0</v>
      </c>
      <c r="L565" s="3">
        <f>IF(ISERROR(VLOOKUP(J565,Lookups!$A$2:$A$16,1,FALSE)),1,0)</f>
        <v>0</v>
      </c>
      <c r="M565" s="3">
        <f>IF(ISERROR(VLOOKUP(D565,Data!$A$2:$D$223100,2,FALSE)),0,1)</f>
        <v>1</v>
      </c>
      <c r="N565" s="3">
        <f t="shared" si="17"/>
        <v>0</v>
      </c>
      <c r="O565" s="3" t="str">
        <f>IF(ISERROR(VLOOKUP(D565,Data!$A$2:$C$223100,3,FALSE)),"INACTIVE",VLOOKUP(D565,Data!$A$2:$C$223100,3,FALSE))</f>
        <v>Current</v>
      </c>
    </row>
    <row r="566" spans="1:15" x14ac:dyDescent="0.25">
      <c r="A566" t="s">
        <v>8987</v>
      </c>
      <c r="B566" t="s">
        <v>8988</v>
      </c>
      <c r="C566" t="s">
        <v>8994</v>
      </c>
      <c r="D566" t="s">
        <v>3682</v>
      </c>
      <c r="E566" t="s">
        <v>8996</v>
      </c>
      <c r="F566" t="s">
        <v>5</v>
      </c>
      <c r="G566" t="s">
        <v>5</v>
      </c>
      <c r="H566" t="s">
        <v>5</v>
      </c>
      <c r="I566" t="s">
        <v>8977</v>
      </c>
      <c r="J566" t="s">
        <v>96</v>
      </c>
      <c r="K566" s="3">
        <f t="shared" si="16"/>
        <v>0</v>
      </c>
      <c r="L566" s="3">
        <f>IF(ISERROR(VLOOKUP(J566,Lookups!$A$2:$A$16,1,FALSE)),1,0)</f>
        <v>0</v>
      </c>
      <c r="M566" s="3">
        <f>IF(ISERROR(VLOOKUP(D566,Data!$A$2:$D$223100,2,FALSE)),0,1)</f>
        <v>1</v>
      </c>
      <c r="N566" s="3">
        <f t="shared" si="17"/>
        <v>0</v>
      </c>
      <c r="O566" s="3" t="str">
        <f>IF(ISERROR(VLOOKUP(D566,Data!$A$2:$C$223100,3,FALSE)),"INACTIVE",VLOOKUP(D566,Data!$A$2:$C$223100,3,FALSE))</f>
        <v>Current</v>
      </c>
    </row>
    <row r="567" spans="1:15" x14ac:dyDescent="0.25">
      <c r="A567" t="s">
        <v>8987</v>
      </c>
      <c r="B567" t="s">
        <v>8988</v>
      </c>
      <c r="C567" t="s">
        <v>8994</v>
      </c>
      <c r="D567" t="s">
        <v>3682</v>
      </c>
      <c r="E567" t="s">
        <v>8997</v>
      </c>
      <c r="F567" t="s">
        <v>5</v>
      </c>
      <c r="G567" t="s">
        <v>5</v>
      </c>
      <c r="H567" t="s">
        <v>5</v>
      </c>
      <c r="I567" t="s">
        <v>8977</v>
      </c>
      <c r="J567" t="s">
        <v>96</v>
      </c>
      <c r="K567" s="3">
        <f t="shared" si="16"/>
        <v>0</v>
      </c>
      <c r="L567" s="3">
        <f>IF(ISERROR(VLOOKUP(J567,Lookups!$A$2:$A$16,1,FALSE)),1,0)</f>
        <v>0</v>
      </c>
      <c r="M567" s="3">
        <f>IF(ISERROR(VLOOKUP(D567,Data!$A$2:$D$223100,2,FALSE)),0,1)</f>
        <v>1</v>
      </c>
      <c r="N567" s="3">
        <f t="shared" si="17"/>
        <v>0</v>
      </c>
      <c r="O567" s="3" t="str">
        <f>IF(ISERROR(VLOOKUP(D567,Data!$A$2:$C$223100,3,FALSE)),"INACTIVE",VLOOKUP(D567,Data!$A$2:$C$223100,3,FALSE))</f>
        <v>Current</v>
      </c>
    </row>
    <row r="568" spans="1:15" x14ac:dyDescent="0.25">
      <c r="A568" t="s">
        <v>8987</v>
      </c>
      <c r="B568" t="s">
        <v>8988</v>
      </c>
      <c r="C568" t="s">
        <v>8994</v>
      </c>
      <c r="D568" t="s">
        <v>3682</v>
      </c>
      <c r="E568" t="s">
        <v>8998</v>
      </c>
      <c r="F568" t="s">
        <v>5</v>
      </c>
      <c r="G568" t="s">
        <v>5</v>
      </c>
      <c r="H568" t="s">
        <v>5</v>
      </c>
      <c r="I568" t="s">
        <v>8977</v>
      </c>
      <c r="J568" t="s">
        <v>96</v>
      </c>
      <c r="K568" s="3">
        <f t="shared" si="16"/>
        <v>0</v>
      </c>
      <c r="L568" s="3">
        <f>IF(ISERROR(VLOOKUP(J568,Lookups!$A$2:$A$16,1,FALSE)),1,0)</f>
        <v>0</v>
      </c>
      <c r="M568" s="3">
        <f>IF(ISERROR(VLOOKUP(D568,Data!$A$2:$D$223100,2,FALSE)),0,1)</f>
        <v>1</v>
      </c>
      <c r="N568" s="3">
        <f t="shared" si="17"/>
        <v>0</v>
      </c>
      <c r="O568" s="3" t="str">
        <f>IF(ISERROR(VLOOKUP(D568,Data!$A$2:$C$223100,3,FALSE)),"INACTIVE",VLOOKUP(D568,Data!$A$2:$C$223100,3,FALSE))</f>
        <v>Current</v>
      </c>
    </row>
    <row r="569" spans="1:15" x14ac:dyDescent="0.25">
      <c r="A569" t="s">
        <v>8987</v>
      </c>
      <c r="B569" t="s">
        <v>8988</v>
      </c>
      <c r="C569" t="s">
        <v>8999</v>
      </c>
      <c r="D569" t="s">
        <v>9000</v>
      </c>
      <c r="E569" t="s">
        <v>9001</v>
      </c>
      <c r="F569" t="s">
        <v>5</v>
      </c>
      <c r="G569" t="s">
        <v>5</v>
      </c>
      <c r="H569" t="s">
        <v>5</v>
      </c>
      <c r="I569" t="s">
        <v>8977</v>
      </c>
      <c r="J569" t="s">
        <v>96</v>
      </c>
      <c r="K569" s="3">
        <f t="shared" si="16"/>
        <v>0</v>
      </c>
      <c r="L569" s="3">
        <f>IF(ISERROR(VLOOKUP(J569,Lookups!$A$2:$A$16,1,FALSE)),1,0)</f>
        <v>0</v>
      </c>
      <c r="M569" s="3">
        <f>IF(ISERROR(VLOOKUP(D569,Data!$A$2:$D$223100,2,FALSE)),0,1)</f>
        <v>1</v>
      </c>
      <c r="N569" s="3">
        <f t="shared" si="17"/>
        <v>0</v>
      </c>
      <c r="O569" s="3" t="str">
        <f>IF(ISERROR(VLOOKUP(D569,Data!$A$2:$C$223100,3,FALSE)),"INACTIVE",VLOOKUP(D569,Data!$A$2:$C$223100,3,FALSE))</f>
        <v>BK13</v>
      </c>
    </row>
    <row r="570" spans="1:15" x14ac:dyDescent="0.25">
      <c r="A570" t="s">
        <v>8987</v>
      </c>
      <c r="B570" t="s">
        <v>8988</v>
      </c>
      <c r="C570" t="s">
        <v>8999</v>
      </c>
      <c r="D570" t="s">
        <v>9000</v>
      </c>
      <c r="E570" t="s">
        <v>9001</v>
      </c>
      <c r="F570" t="s">
        <v>5</v>
      </c>
      <c r="G570" t="s">
        <v>5</v>
      </c>
      <c r="H570" t="s">
        <v>5</v>
      </c>
      <c r="I570" t="s">
        <v>8977</v>
      </c>
      <c r="J570" t="s">
        <v>96</v>
      </c>
      <c r="K570" s="3">
        <f t="shared" si="16"/>
        <v>0</v>
      </c>
      <c r="L570" s="3">
        <f>IF(ISERROR(VLOOKUP(J570,Lookups!$A$2:$A$16,1,FALSE)),1,0)</f>
        <v>0</v>
      </c>
      <c r="M570" s="3">
        <f>IF(ISERROR(VLOOKUP(D570,Data!$A$2:$D$223100,2,FALSE)),0,1)</f>
        <v>1</v>
      </c>
      <c r="N570" s="3">
        <f t="shared" si="17"/>
        <v>0</v>
      </c>
      <c r="O570" s="3" t="str">
        <f>IF(ISERROR(VLOOKUP(D570,Data!$A$2:$C$223100,3,FALSE)),"INACTIVE",VLOOKUP(D570,Data!$A$2:$C$223100,3,FALSE))</f>
        <v>BK13</v>
      </c>
    </row>
    <row r="571" spans="1:15" x14ac:dyDescent="0.25">
      <c r="A571" t="s">
        <v>8987</v>
      </c>
      <c r="B571" t="s">
        <v>8988</v>
      </c>
      <c r="C571" t="s">
        <v>8999</v>
      </c>
      <c r="D571" t="s">
        <v>9000</v>
      </c>
      <c r="E571" t="s">
        <v>9002</v>
      </c>
      <c r="F571" t="s">
        <v>5</v>
      </c>
      <c r="G571" t="s">
        <v>5</v>
      </c>
      <c r="H571" t="s">
        <v>5</v>
      </c>
      <c r="I571" t="s">
        <v>8977</v>
      </c>
      <c r="J571" t="s">
        <v>96</v>
      </c>
      <c r="K571" s="3">
        <f t="shared" si="16"/>
        <v>0</v>
      </c>
      <c r="L571" s="3">
        <f>IF(ISERROR(VLOOKUP(J571,Lookups!$A$2:$A$16,1,FALSE)),1,0)</f>
        <v>0</v>
      </c>
      <c r="M571" s="3">
        <f>IF(ISERROR(VLOOKUP(D571,Data!$A$2:$D$223100,2,FALSE)),0,1)</f>
        <v>1</v>
      </c>
      <c r="N571" s="3">
        <f t="shared" si="17"/>
        <v>0</v>
      </c>
      <c r="O571" s="3" t="str">
        <f>IF(ISERROR(VLOOKUP(D571,Data!$A$2:$C$223100,3,FALSE)),"INACTIVE",VLOOKUP(D571,Data!$A$2:$C$223100,3,FALSE))</f>
        <v>BK13</v>
      </c>
    </row>
    <row r="572" spans="1:15" x14ac:dyDescent="0.25">
      <c r="A572" t="s">
        <v>8987</v>
      </c>
      <c r="B572" t="s">
        <v>8988</v>
      </c>
      <c r="C572" t="s">
        <v>8999</v>
      </c>
      <c r="D572" t="s">
        <v>9000</v>
      </c>
      <c r="E572" t="s">
        <v>9003</v>
      </c>
      <c r="F572" t="s">
        <v>5</v>
      </c>
      <c r="G572" t="s">
        <v>5</v>
      </c>
      <c r="H572" t="s">
        <v>5</v>
      </c>
      <c r="I572" t="s">
        <v>8977</v>
      </c>
      <c r="J572" t="s">
        <v>96</v>
      </c>
      <c r="K572" s="3">
        <f t="shared" si="16"/>
        <v>0</v>
      </c>
      <c r="L572" s="3">
        <f>IF(ISERROR(VLOOKUP(J572,Lookups!$A$2:$A$16,1,FALSE)),1,0)</f>
        <v>0</v>
      </c>
      <c r="M572" s="3">
        <f>IF(ISERROR(VLOOKUP(D572,Data!$A$2:$D$223100,2,FALSE)),0,1)</f>
        <v>1</v>
      </c>
      <c r="N572" s="3">
        <f t="shared" si="17"/>
        <v>0</v>
      </c>
      <c r="O572" s="3" t="str">
        <f>IF(ISERROR(VLOOKUP(D572,Data!$A$2:$C$223100,3,FALSE)),"INACTIVE",VLOOKUP(D572,Data!$A$2:$C$223100,3,FALSE))</f>
        <v>BK13</v>
      </c>
    </row>
    <row r="573" spans="1:15" x14ac:dyDescent="0.25">
      <c r="A573" t="s">
        <v>8987</v>
      </c>
      <c r="B573" t="s">
        <v>8988</v>
      </c>
      <c r="C573" t="s">
        <v>8999</v>
      </c>
      <c r="D573" t="s">
        <v>9000</v>
      </c>
      <c r="E573" t="s">
        <v>9004</v>
      </c>
      <c r="F573" t="s">
        <v>5</v>
      </c>
      <c r="G573" t="s">
        <v>5</v>
      </c>
      <c r="H573" t="s">
        <v>5</v>
      </c>
      <c r="I573" t="s">
        <v>8977</v>
      </c>
      <c r="J573" t="s">
        <v>96</v>
      </c>
      <c r="K573" s="3">
        <f t="shared" si="16"/>
        <v>0</v>
      </c>
      <c r="L573" s="3">
        <f>IF(ISERROR(VLOOKUP(J573,Lookups!$A$2:$A$16,1,FALSE)),1,0)</f>
        <v>0</v>
      </c>
      <c r="M573" s="3">
        <f>IF(ISERROR(VLOOKUP(D573,Data!$A$2:$D$223100,2,FALSE)),0,1)</f>
        <v>1</v>
      </c>
      <c r="N573" s="3">
        <f t="shared" si="17"/>
        <v>0</v>
      </c>
      <c r="O573" s="3" t="str">
        <f>IF(ISERROR(VLOOKUP(D573,Data!$A$2:$C$223100,3,FALSE)),"INACTIVE",VLOOKUP(D573,Data!$A$2:$C$223100,3,FALSE))</f>
        <v>BK13</v>
      </c>
    </row>
    <row r="574" spans="1:15" x14ac:dyDescent="0.25">
      <c r="A574" t="s">
        <v>8987</v>
      </c>
      <c r="B574" t="s">
        <v>8988</v>
      </c>
      <c r="C574" t="s">
        <v>9005</v>
      </c>
      <c r="D574" t="s">
        <v>9006</v>
      </c>
      <c r="E574" t="s">
        <v>9007</v>
      </c>
      <c r="F574" t="s">
        <v>5</v>
      </c>
      <c r="G574" t="s">
        <v>5</v>
      </c>
      <c r="H574" t="s">
        <v>5</v>
      </c>
      <c r="I574" t="s">
        <v>8977</v>
      </c>
      <c r="J574" t="s">
        <v>90</v>
      </c>
      <c r="K574" s="3">
        <f t="shared" si="16"/>
        <v>0</v>
      </c>
      <c r="L574" s="3">
        <f>IF(ISERROR(VLOOKUP(J574,Lookups!$A$2:$A$16,1,FALSE)),1,0)</f>
        <v>0</v>
      </c>
      <c r="M574" s="3">
        <f>IF(ISERROR(VLOOKUP(D574,Data!$A$2:$D$223100,2,FALSE)),0,1)</f>
        <v>1</v>
      </c>
      <c r="N574" s="3">
        <f t="shared" si="17"/>
        <v>0</v>
      </c>
      <c r="O574" s="3" t="str">
        <f>IF(ISERROR(VLOOKUP(D574,Data!$A$2:$C$223100,3,FALSE)),"INACTIVE",VLOOKUP(D574,Data!$A$2:$C$223100,3,FALSE))</f>
        <v>Current</v>
      </c>
    </row>
    <row r="575" spans="1:15" x14ac:dyDescent="0.25">
      <c r="A575" t="s">
        <v>8987</v>
      </c>
      <c r="B575" t="s">
        <v>8988</v>
      </c>
      <c r="C575" t="s">
        <v>9005</v>
      </c>
      <c r="D575" t="s">
        <v>9006</v>
      </c>
      <c r="E575" t="s">
        <v>9007</v>
      </c>
      <c r="F575" t="s">
        <v>5</v>
      </c>
      <c r="G575" t="s">
        <v>5</v>
      </c>
      <c r="H575" t="s">
        <v>5</v>
      </c>
      <c r="I575" t="s">
        <v>8977</v>
      </c>
      <c r="J575" t="s">
        <v>90</v>
      </c>
      <c r="K575" s="3">
        <f t="shared" si="16"/>
        <v>0</v>
      </c>
      <c r="L575" s="3">
        <f>IF(ISERROR(VLOOKUP(J575,Lookups!$A$2:$A$16,1,FALSE)),1,0)</f>
        <v>0</v>
      </c>
      <c r="M575" s="3">
        <f>IF(ISERROR(VLOOKUP(D575,Data!$A$2:$D$223100,2,FALSE)),0,1)</f>
        <v>1</v>
      </c>
      <c r="N575" s="3">
        <f t="shared" si="17"/>
        <v>0</v>
      </c>
      <c r="O575" s="3" t="str">
        <f>IF(ISERROR(VLOOKUP(D575,Data!$A$2:$C$223100,3,FALSE)),"INACTIVE",VLOOKUP(D575,Data!$A$2:$C$223100,3,FALSE))</f>
        <v>Current</v>
      </c>
    </row>
    <row r="576" spans="1:15" x14ac:dyDescent="0.25">
      <c r="A576" t="s">
        <v>8987</v>
      </c>
      <c r="B576" t="s">
        <v>8988</v>
      </c>
      <c r="C576" t="s">
        <v>9008</v>
      </c>
      <c r="D576" t="s">
        <v>3694</v>
      </c>
      <c r="E576" t="s">
        <v>9009</v>
      </c>
      <c r="F576" t="s">
        <v>5</v>
      </c>
      <c r="G576" t="s">
        <v>5</v>
      </c>
      <c r="H576" t="s">
        <v>5</v>
      </c>
      <c r="I576" t="s">
        <v>8977</v>
      </c>
      <c r="J576" t="s">
        <v>96</v>
      </c>
      <c r="K576" s="3">
        <f t="shared" si="16"/>
        <v>0</v>
      </c>
      <c r="L576" s="3">
        <f>IF(ISERROR(VLOOKUP(J576,Lookups!$A$2:$A$16,1,FALSE)),1,0)</f>
        <v>0</v>
      </c>
      <c r="M576" s="3">
        <f>IF(ISERROR(VLOOKUP(D576,Data!$A$2:$D$223100,2,FALSE)),0,1)</f>
        <v>1</v>
      </c>
      <c r="N576" s="3">
        <f t="shared" si="17"/>
        <v>0</v>
      </c>
      <c r="O576" s="3" t="str">
        <f>IF(ISERROR(VLOOKUP(D576,Data!$A$2:$C$223100,3,FALSE)),"INACTIVE",VLOOKUP(D576,Data!$A$2:$C$223100,3,FALSE))</f>
        <v>FBA</v>
      </c>
    </row>
    <row r="577" spans="1:15" x14ac:dyDescent="0.25">
      <c r="A577" t="s">
        <v>8987</v>
      </c>
      <c r="B577" t="s">
        <v>8988</v>
      </c>
      <c r="C577" t="s">
        <v>9008</v>
      </c>
      <c r="D577" t="s">
        <v>3694</v>
      </c>
      <c r="E577" t="s">
        <v>9010</v>
      </c>
      <c r="F577" t="s">
        <v>5</v>
      </c>
      <c r="G577" t="s">
        <v>5</v>
      </c>
      <c r="H577" t="s">
        <v>5</v>
      </c>
      <c r="I577" t="s">
        <v>8977</v>
      </c>
      <c r="J577" t="s">
        <v>96</v>
      </c>
      <c r="K577" s="3">
        <f t="shared" si="16"/>
        <v>0</v>
      </c>
      <c r="L577" s="3">
        <f>IF(ISERROR(VLOOKUP(J577,Lookups!$A$2:$A$16,1,FALSE)),1,0)</f>
        <v>0</v>
      </c>
      <c r="M577" s="3">
        <f>IF(ISERROR(VLOOKUP(D577,Data!$A$2:$D$223100,2,FALSE)),0,1)</f>
        <v>1</v>
      </c>
      <c r="N577" s="3">
        <f t="shared" si="17"/>
        <v>0</v>
      </c>
      <c r="O577" s="3" t="str">
        <f>IF(ISERROR(VLOOKUP(D577,Data!$A$2:$C$223100,3,FALSE)),"INACTIVE",VLOOKUP(D577,Data!$A$2:$C$223100,3,FALSE))</f>
        <v>FBA</v>
      </c>
    </row>
    <row r="578" spans="1:15" x14ac:dyDescent="0.25">
      <c r="A578" t="s">
        <v>8987</v>
      </c>
      <c r="B578" t="s">
        <v>8988</v>
      </c>
      <c r="C578" t="s">
        <v>9008</v>
      </c>
      <c r="D578" t="s">
        <v>3694</v>
      </c>
      <c r="E578" t="s">
        <v>9010</v>
      </c>
      <c r="F578" t="s">
        <v>5</v>
      </c>
      <c r="G578" t="s">
        <v>5</v>
      </c>
      <c r="H578" t="s">
        <v>5</v>
      </c>
      <c r="I578" t="s">
        <v>8977</v>
      </c>
      <c r="J578" t="s">
        <v>96</v>
      </c>
      <c r="K578" s="3">
        <f t="shared" si="16"/>
        <v>0</v>
      </c>
      <c r="L578" s="3">
        <f>IF(ISERROR(VLOOKUP(J578,Lookups!$A$2:$A$16,1,FALSE)),1,0)</f>
        <v>0</v>
      </c>
      <c r="M578" s="3">
        <f>IF(ISERROR(VLOOKUP(D578,Data!$A$2:$D$223100,2,FALSE)),0,1)</f>
        <v>1</v>
      </c>
      <c r="N578" s="3">
        <f t="shared" si="17"/>
        <v>0</v>
      </c>
      <c r="O578" s="3" t="str">
        <f>IF(ISERROR(VLOOKUP(D578,Data!$A$2:$C$223100,3,FALSE)),"INACTIVE",VLOOKUP(D578,Data!$A$2:$C$223100,3,FALSE))</f>
        <v>FBA</v>
      </c>
    </row>
    <row r="579" spans="1:15" x14ac:dyDescent="0.25">
      <c r="A579" t="s">
        <v>8987</v>
      </c>
      <c r="B579" t="s">
        <v>8988</v>
      </c>
      <c r="C579" t="s">
        <v>9011</v>
      </c>
      <c r="D579" t="s">
        <v>9012</v>
      </c>
      <c r="E579" t="s">
        <v>9013</v>
      </c>
      <c r="F579" t="s">
        <v>5</v>
      </c>
      <c r="G579" t="s">
        <v>5</v>
      </c>
      <c r="H579" t="s">
        <v>5</v>
      </c>
      <c r="I579" t="s">
        <v>8977</v>
      </c>
      <c r="J579" t="s">
        <v>7</v>
      </c>
      <c r="K579" s="3">
        <f t="shared" ref="K579:K642" si="18">IF(ISERROR(FIND("LIEN",A579,1)),0,1)</f>
        <v>0</v>
      </c>
      <c r="L579" s="3">
        <f>IF(ISERROR(VLOOKUP(J579,Lookups!$A$2:$A$16,1,FALSE)),1,0)</f>
        <v>1</v>
      </c>
      <c r="M579" s="3">
        <f>IF(ISERROR(VLOOKUP(D579,Data!$A$2:$D$223100,2,FALSE)),0,1)</f>
        <v>1</v>
      </c>
      <c r="N579" s="3">
        <f t="shared" ref="N579:N642" si="19">IF(M579=0,0,IF(SUM(K579:L579)&gt;0,1,0))</f>
        <v>1</v>
      </c>
      <c r="O579" s="3" t="str">
        <f>IF(ISERROR(VLOOKUP(D579,Data!$A$2:$C$223100,3,FALSE)),"INACTIVE",VLOOKUP(D579,Data!$A$2:$C$223100,3,FALSE))</f>
        <v>BK13</v>
      </c>
    </row>
    <row r="580" spans="1:15" x14ac:dyDescent="0.25">
      <c r="A580" t="s">
        <v>8987</v>
      </c>
      <c r="B580" t="s">
        <v>8988</v>
      </c>
      <c r="C580" t="s">
        <v>9014</v>
      </c>
      <c r="D580" t="s">
        <v>9015</v>
      </c>
      <c r="E580" t="s">
        <v>9016</v>
      </c>
      <c r="F580" t="s">
        <v>5</v>
      </c>
      <c r="G580" t="s">
        <v>5</v>
      </c>
      <c r="H580" t="s">
        <v>5</v>
      </c>
      <c r="I580" t="s">
        <v>8977</v>
      </c>
      <c r="J580" t="s">
        <v>7</v>
      </c>
      <c r="K580" s="3">
        <f t="shared" si="18"/>
        <v>0</v>
      </c>
      <c r="L580" s="3">
        <f>IF(ISERROR(VLOOKUP(J580,Lookups!$A$2:$A$16,1,FALSE)),1,0)</f>
        <v>1</v>
      </c>
      <c r="M580" s="3">
        <f>IF(ISERROR(VLOOKUP(D580,Data!$A$2:$D$223100,2,FALSE)),0,1)</f>
        <v>1</v>
      </c>
      <c r="N580" s="3">
        <f t="shared" si="19"/>
        <v>1</v>
      </c>
      <c r="O580" s="3" t="str">
        <f>IF(ISERROR(VLOOKUP(D580,Data!$A$2:$C$223100,3,FALSE)),"INACTIVE",VLOOKUP(D580,Data!$A$2:$C$223100,3,FALSE))</f>
        <v>120+</v>
      </c>
    </row>
    <row r="581" spans="1:15" x14ac:dyDescent="0.25">
      <c r="A581" t="s">
        <v>8987</v>
      </c>
      <c r="B581" t="s">
        <v>8988</v>
      </c>
      <c r="C581" t="s">
        <v>9017</v>
      </c>
      <c r="D581" t="s">
        <v>3700</v>
      </c>
      <c r="E581" t="s">
        <v>9018</v>
      </c>
      <c r="F581" t="s">
        <v>5</v>
      </c>
      <c r="G581" t="s">
        <v>5</v>
      </c>
      <c r="H581" t="s">
        <v>5</v>
      </c>
      <c r="I581" t="s">
        <v>8977</v>
      </c>
      <c r="J581" t="s">
        <v>96</v>
      </c>
      <c r="K581" s="3">
        <f t="shared" si="18"/>
        <v>0</v>
      </c>
      <c r="L581" s="3">
        <f>IF(ISERROR(VLOOKUP(J581,Lookups!$A$2:$A$16,1,FALSE)),1,0)</f>
        <v>0</v>
      </c>
      <c r="M581" s="3">
        <f>IF(ISERROR(VLOOKUP(D581,Data!$A$2:$D$223100,2,FALSE)),0,1)</f>
        <v>1</v>
      </c>
      <c r="N581" s="3">
        <f t="shared" si="19"/>
        <v>0</v>
      </c>
      <c r="O581" s="3" t="str">
        <f>IF(ISERROR(VLOOKUP(D581,Data!$A$2:$C$223100,3,FALSE)),"INACTIVE",VLOOKUP(D581,Data!$A$2:$C$223100,3,FALSE))</f>
        <v>FBA</v>
      </c>
    </row>
    <row r="582" spans="1:15" x14ac:dyDescent="0.25">
      <c r="A582" t="s">
        <v>8987</v>
      </c>
      <c r="B582" t="s">
        <v>8988</v>
      </c>
      <c r="C582" t="s">
        <v>9017</v>
      </c>
      <c r="D582" t="s">
        <v>3700</v>
      </c>
      <c r="E582" t="s">
        <v>9018</v>
      </c>
      <c r="F582" t="s">
        <v>5</v>
      </c>
      <c r="G582" t="s">
        <v>5</v>
      </c>
      <c r="H582" t="s">
        <v>5</v>
      </c>
      <c r="I582" t="s">
        <v>8977</v>
      </c>
      <c r="J582" t="s">
        <v>96</v>
      </c>
      <c r="K582" s="3">
        <f t="shared" si="18"/>
        <v>0</v>
      </c>
      <c r="L582" s="3">
        <f>IF(ISERROR(VLOOKUP(J582,Lookups!$A$2:$A$16,1,FALSE)),1,0)</f>
        <v>0</v>
      </c>
      <c r="M582" s="3">
        <f>IF(ISERROR(VLOOKUP(D582,Data!$A$2:$D$223100,2,FALSE)),0,1)</f>
        <v>1</v>
      </c>
      <c r="N582" s="3">
        <f t="shared" si="19"/>
        <v>0</v>
      </c>
      <c r="O582" s="3" t="str">
        <f>IF(ISERROR(VLOOKUP(D582,Data!$A$2:$C$223100,3,FALSE)),"INACTIVE",VLOOKUP(D582,Data!$A$2:$C$223100,3,FALSE))</f>
        <v>FBA</v>
      </c>
    </row>
    <row r="583" spans="1:15" x14ac:dyDescent="0.25">
      <c r="A583" t="s">
        <v>8987</v>
      </c>
      <c r="B583" t="s">
        <v>8988</v>
      </c>
      <c r="C583" t="s">
        <v>9017</v>
      </c>
      <c r="D583" t="s">
        <v>3700</v>
      </c>
      <c r="E583" t="s">
        <v>9019</v>
      </c>
      <c r="F583" t="s">
        <v>5</v>
      </c>
      <c r="G583" t="s">
        <v>5</v>
      </c>
      <c r="H583" t="s">
        <v>5</v>
      </c>
      <c r="I583" t="s">
        <v>8977</v>
      </c>
      <c r="J583" t="s">
        <v>96</v>
      </c>
      <c r="K583" s="3">
        <f t="shared" si="18"/>
        <v>0</v>
      </c>
      <c r="L583" s="3">
        <f>IF(ISERROR(VLOOKUP(J583,Lookups!$A$2:$A$16,1,FALSE)),1,0)</f>
        <v>0</v>
      </c>
      <c r="M583" s="3">
        <f>IF(ISERROR(VLOOKUP(D583,Data!$A$2:$D$223100,2,FALSE)),0,1)</f>
        <v>1</v>
      </c>
      <c r="N583" s="3">
        <f t="shared" si="19"/>
        <v>0</v>
      </c>
      <c r="O583" s="3" t="str">
        <f>IF(ISERROR(VLOOKUP(D583,Data!$A$2:$C$223100,3,FALSE)),"INACTIVE",VLOOKUP(D583,Data!$A$2:$C$223100,3,FALSE))</f>
        <v>FBA</v>
      </c>
    </row>
    <row r="584" spans="1:15" x14ac:dyDescent="0.25">
      <c r="A584" t="s">
        <v>8987</v>
      </c>
      <c r="B584" t="s">
        <v>8988</v>
      </c>
      <c r="C584" t="s">
        <v>9017</v>
      </c>
      <c r="D584" t="s">
        <v>3700</v>
      </c>
      <c r="E584" t="s">
        <v>9020</v>
      </c>
      <c r="F584" t="s">
        <v>5</v>
      </c>
      <c r="G584" t="s">
        <v>5</v>
      </c>
      <c r="H584" t="s">
        <v>5</v>
      </c>
      <c r="I584" t="s">
        <v>8977</v>
      </c>
      <c r="J584" t="s">
        <v>96</v>
      </c>
      <c r="K584" s="3">
        <f t="shared" si="18"/>
        <v>0</v>
      </c>
      <c r="L584" s="3">
        <f>IF(ISERROR(VLOOKUP(J584,Lookups!$A$2:$A$16,1,FALSE)),1,0)</f>
        <v>0</v>
      </c>
      <c r="M584" s="3">
        <f>IF(ISERROR(VLOOKUP(D584,Data!$A$2:$D$223100,2,FALSE)),0,1)</f>
        <v>1</v>
      </c>
      <c r="N584" s="3">
        <f t="shared" si="19"/>
        <v>0</v>
      </c>
      <c r="O584" s="3" t="str">
        <f>IF(ISERROR(VLOOKUP(D584,Data!$A$2:$C$223100,3,FALSE)),"INACTIVE",VLOOKUP(D584,Data!$A$2:$C$223100,3,FALSE))</f>
        <v>FBA</v>
      </c>
    </row>
    <row r="585" spans="1:15" x14ac:dyDescent="0.25">
      <c r="A585" t="s">
        <v>8987</v>
      </c>
      <c r="B585" t="s">
        <v>8988</v>
      </c>
      <c r="C585" t="s">
        <v>9017</v>
      </c>
      <c r="D585" t="s">
        <v>3700</v>
      </c>
      <c r="E585" t="s">
        <v>9021</v>
      </c>
      <c r="F585" t="s">
        <v>5</v>
      </c>
      <c r="G585" t="s">
        <v>5</v>
      </c>
      <c r="H585" t="s">
        <v>5</v>
      </c>
      <c r="I585" t="s">
        <v>8977</v>
      </c>
      <c r="J585" t="s">
        <v>96</v>
      </c>
      <c r="K585" s="3">
        <f t="shared" si="18"/>
        <v>0</v>
      </c>
      <c r="L585" s="3">
        <f>IF(ISERROR(VLOOKUP(J585,Lookups!$A$2:$A$16,1,FALSE)),1,0)</f>
        <v>0</v>
      </c>
      <c r="M585" s="3">
        <f>IF(ISERROR(VLOOKUP(D585,Data!$A$2:$D$223100,2,FALSE)),0,1)</f>
        <v>1</v>
      </c>
      <c r="N585" s="3">
        <f t="shared" si="19"/>
        <v>0</v>
      </c>
      <c r="O585" s="3" t="str">
        <f>IF(ISERROR(VLOOKUP(D585,Data!$A$2:$C$223100,3,FALSE)),"INACTIVE",VLOOKUP(D585,Data!$A$2:$C$223100,3,FALSE))</f>
        <v>FBA</v>
      </c>
    </row>
    <row r="586" spans="1:15" x14ac:dyDescent="0.25">
      <c r="A586" t="s">
        <v>8987</v>
      </c>
      <c r="B586" t="s">
        <v>8988</v>
      </c>
      <c r="C586" t="s">
        <v>9022</v>
      </c>
      <c r="D586" t="s">
        <v>9023</v>
      </c>
      <c r="E586" t="s">
        <v>9024</v>
      </c>
      <c r="F586" t="s">
        <v>5</v>
      </c>
      <c r="G586" t="s">
        <v>5</v>
      </c>
      <c r="H586" t="s">
        <v>5</v>
      </c>
      <c r="I586" t="s">
        <v>8977</v>
      </c>
      <c r="J586" t="s">
        <v>7</v>
      </c>
      <c r="K586" s="3">
        <f t="shared" si="18"/>
        <v>0</v>
      </c>
      <c r="L586" s="3">
        <f>IF(ISERROR(VLOOKUP(J586,Lookups!$A$2:$A$16,1,FALSE)),1,0)</f>
        <v>1</v>
      </c>
      <c r="M586" s="3">
        <f>IF(ISERROR(VLOOKUP(D586,Data!$A$2:$D$223100,2,FALSE)),0,1)</f>
        <v>1</v>
      </c>
      <c r="N586" s="3">
        <f t="shared" si="19"/>
        <v>1</v>
      </c>
      <c r="O586" s="3" t="str">
        <f>IF(ISERROR(VLOOKUP(D586,Data!$A$2:$C$223100,3,FALSE)),"INACTIVE",VLOOKUP(D586,Data!$A$2:$C$223100,3,FALSE))</f>
        <v>Current</v>
      </c>
    </row>
    <row r="587" spans="1:15" x14ac:dyDescent="0.25">
      <c r="A587" t="s">
        <v>6911</v>
      </c>
      <c r="B587" t="s">
        <v>9155</v>
      </c>
      <c r="C587" t="s">
        <v>9156</v>
      </c>
      <c r="D587" t="s">
        <v>9157</v>
      </c>
      <c r="E587" t="s">
        <v>9158</v>
      </c>
      <c r="F587" t="s">
        <v>9158</v>
      </c>
      <c r="G587" t="s">
        <v>5</v>
      </c>
      <c r="H587" t="s">
        <v>5</v>
      </c>
      <c r="I587" t="s">
        <v>8977</v>
      </c>
      <c r="J587" t="s">
        <v>7</v>
      </c>
      <c r="K587" s="3">
        <f t="shared" si="18"/>
        <v>0</v>
      </c>
      <c r="L587" s="3">
        <f>IF(ISERROR(VLOOKUP(J587,Lookups!$A$2:$A$16,1,FALSE)),1,0)</f>
        <v>1</v>
      </c>
      <c r="M587" s="3">
        <f>IF(ISERROR(VLOOKUP(D587,Data!$A$2:$D$223100,2,FALSE)),0,1)</f>
        <v>1</v>
      </c>
      <c r="N587" s="3">
        <f t="shared" si="19"/>
        <v>1</v>
      </c>
      <c r="O587" s="3" t="str">
        <f>IF(ISERROR(VLOOKUP(D587,Data!$A$2:$C$223100,3,FALSE)),"INACTIVE",VLOOKUP(D587,Data!$A$2:$C$223100,3,FALSE))</f>
        <v>Current</v>
      </c>
    </row>
    <row r="588" spans="1:15" x14ac:dyDescent="0.25">
      <c r="A588" t="s">
        <v>9182</v>
      </c>
      <c r="B588" t="s">
        <v>9183</v>
      </c>
      <c r="C588" t="s">
        <v>9184</v>
      </c>
      <c r="D588" t="s">
        <v>9185</v>
      </c>
      <c r="E588" t="s">
        <v>9186</v>
      </c>
      <c r="F588" t="s">
        <v>5</v>
      </c>
      <c r="G588" t="s">
        <v>5</v>
      </c>
      <c r="H588" t="s">
        <v>5</v>
      </c>
      <c r="I588" t="s">
        <v>9187</v>
      </c>
      <c r="J588" t="s">
        <v>90</v>
      </c>
      <c r="K588" s="3">
        <f t="shared" si="18"/>
        <v>0</v>
      </c>
      <c r="L588" s="3">
        <f>IF(ISERROR(VLOOKUP(J588,Lookups!$A$2:$A$16,1,FALSE)),1,0)</f>
        <v>0</v>
      </c>
      <c r="M588" s="3">
        <f>IF(ISERROR(VLOOKUP(D588,Data!$A$2:$D$223100,2,FALSE)),0,1)</f>
        <v>1</v>
      </c>
      <c r="N588" s="3">
        <f t="shared" si="19"/>
        <v>0</v>
      </c>
      <c r="O588" s="3" t="str">
        <f>IF(ISERROR(VLOOKUP(D588,Data!$A$2:$C$223100,3,FALSE)),"INACTIVE",VLOOKUP(D588,Data!$A$2:$C$223100,3,FALSE))</f>
        <v>BK13</v>
      </c>
    </row>
    <row r="589" spans="1:15" x14ac:dyDescent="0.25">
      <c r="A589" t="s">
        <v>833</v>
      </c>
      <c r="B589" t="s">
        <v>834</v>
      </c>
      <c r="C589" t="s">
        <v>835</v>
      </c>
      <c r="D589" t="s">
        <v>836</v>
      </c>
      <c r="E589" t="s">
        <v>837</v>
      </c>
      <c r="F589" t="s">
        <v>837</v>
      </c>
      <c r="G589" t="s">
        <v>5</v>
      </c>
      <c r="H589" t="s">
        <v>5</v>
      </c>
      <c r="I589" t="s">
        <v>9154</v>
      </c>
      <c r="J589" t="s">
        <v>573</v>
      </c>
      <c r="K589" s="3">
        <f t="shared" si="18"/>
        <v>0</v>
      </c>
      <c r="L589" s="3">
        <f>IF(ISERROR(VLOOKUP(J589,Lookups!$A$2:$A$16,1,FALSE)),1,0)</f>
        <v>1</v>
      </c>
      <c r="M589" s="3">
        <f>IF(ISERROR(VLOOKUP(D589,Data!$A$2:$D$223100,2,FALSE)),0,1)</f>
        <v>1</v>
      </c>
      <c r="N589" s="3">
        <f t="shared" si="19"/>
        <v>1</v>
      </c>
      <c r="O589" s="3" t="str">
        <f>IF(ISERROR(VLOOKUP(D589,Data!$A$2:$C$223100,3,FALSE)),"INACTIVE",VLOOKUP(D589,Data!$A$2:$C$223100,3,FALSE))</f>
        <v>Current</v>
      </c>
    </row>
    <row r="590" spans="1:15" x14ac:dyDescent="0.25">
      <c r="A590" t="s">
        <v>833</v>
      </c>
      <c r="B590" t="s">
        <v>834</v>
      </c>
      <c r="C590" t="s">
        <v>838</v>
      </c>
      <c r="D590" t="s">
        <v>839</v>
      </c>
      <c r="E590" t="s">
        <v>840</v>
      </c>
      <c r="F590" t="s">
        <v>840</v>
      </c>
      <c r="G590" t="s">
        <v>5</v>
      </c>
      <c r="H590" t="s">
        <v>5</v>
      </c>
      <c r="I590" t="s">
        <v>9154</v>
      </c>
      <c r="J590" t="s">
        <v>573</v>
      </c>
      <c r="K590" s="3">
        <f t="shared" si="18"/>
        <v>0</v>
      </c>
      <c r="L590" s="3">
        <f>IF(ISERROR(VLOOKUP(J590,Lookups!$A$2:$A$16,1,FALSE)),1,0)</f>
        <v>1</v>
      </c>
      <c r="M590" s="3">
        <f>IF(ISERROR(VLOOKUP(D590,Data!$A$2:$D$223100,2,FALSE)),0,1)</f>
        <v>1</v>
      </c>
      <c r="N590" s="3">
        <f t="shared" si="19"/>
        <v>1</v>
      </c>
      <c r="O590" s="3" t="str">
        <f>IF(ISERROR(VLOOKUP(D590,Data!$A$2:$C$223100,3,FALSE)),"INACTIVE",VLOOKUP(D590,Data!$A$2:$C$223100,3,FALSE))</f>
        <v>180+</v>
      </c>
    </row>
    <row r="591" spans="1:15" x14ac:dyDescent="0.25">
      <c r="A591" t="s">
        <v>30</v>
      </c>
      <c r="B591" t="s">
        <v>31</v>
      </c>
      <c r="C591" t="s">
        <v>9150</v>
      </c>
      <c r="D591" t="s">
        <v>9151</v>
      </c>
      <c r="E591" t="s">
        <v>9152</v>
      </c>
      <c r="F591" t="s">
        <v>5</v>
      </c>
      <c r="G591" t="s">
        <v>5</v>
      </c>
      <c r="H591" t="s">
        <v>5</v>
      </c>
      <c r="I591" t="s">
        <v>9153</v>
      </c>
      <c r="J591" t="s">
        <v>573</v>
      </c>
      <c r="K591" s="3">
        <f t="shared" si="18"/>
        <v>0</v>
      </c>
      <c r="L591" s="3">
        <f>IF(ISERROR(VLOOKUP(J591,Lookups!$A$2:$A$16,1,FALSE)),1,0)</f>
        <v>1</v>
      </c>
      <c r="M591" s="3">
        <f>IF(ISERROR(VLOOKUP(D591,Data!$A$2:$D$223100,2,FALSE)),0,1)</f>
        <v>1</v>
      </c>
      <c r="N591" s="3">
        <f t="shared" si="19"/>
        <v>1</v>
      </c>
      <c r="O591" s="3" t="str">
        <f>IF(ISERROR(VLOOKUP(D591,Data!$A$2:$C$223100,3,FALSE)),"INACTIVE",VLOOKUP(D591,Data!$A$2:$C$223100,3,FALSE))</f>
        <v>FBA</v>
      </c>
    </row>
    <row r="592" spans="1:15" x14ac:dyDescent="0.25">
      <c r="A592" t="s">
        <v>30</v>
      </c>
      <c r="B592" t="s">
        <v>31</v>
      </c>
      <c r="C592" t="s">
        <v>32</v>
      </c>
      <c r="D592" t="s">
        <v>33</v>
      </c>
      <c r="E592" t="s">
        <v>34</v>
      </c>
      <c r="F592" t="s">
        <v>5</v>
      </c>
      <c r="G592" t="s">
        <v>5</v>
      </c>
      <c r="H592" t="s">
        <v>5</v>
      </c>
      <c r="I592" t="s">
        <v>9153</v>
      </c>
      <c r="J592" t="s">
        <v>36</v>
      </c>
      <c r="K592" s="3">
        <f t="shared" si="18"/>
        <v>0</v>
      </c>
      <c r="L592" s="3">
        <f>IF(ISERROR(VLOOKUP(J592,Lookups!$A$2:$A$16,1,FALSE)),1,0)</f>
        <v>1</v>
      </c>
      <c r="M592" s="3">
        <f>IF(ISERROR(VLOOKUP(D592,Data!$A$2:$D$223100,2,FALSE)),0,1)</f>
        <v>1</v>
      </c>
      <c r="N592" s="3">
        <f t="shared" si="19"/>
        <v>1</v>
      </c>
      <c r="O592" s="3" t="str">
        <f>IF(ISERROR(VLOOKUP(D592,Data!$A$2:$C$223100,3,FALSE)),"INACTIVE",VLOOKUP(D592,Data!$A$2:$C$223100,3,FALSE))</f>
        <v>BK13</v>
      </c>
    </row>
    <row r="593" spans="1:15" x14ac:dyDescent="0.25">
      <c r="A593" t="s">
        <v>1198</v>
      </c>
      <c r="B593" t="s">
        <v>1199</v>
      </c>
      <c r="C593" t="s">
        <v>9146</v>
      </c>
      <c r="D593" t="s">
        <v>9147</v>
      </c>
      <c r="E593" t="s">
        <v>5</v>
      </c>
      <c r="F593" t="s">
        <v>9148</v>
      </c>
      <c r="G593" t="s">
        <v>5</v>
      </c>
      <c r="H593" t="s">
        <v>5</v>
      </c>
      <c r="I593" t="s">
        <v>9149</v>
      </c>
      <c r="J593" t="s">
        <v>573</v>
      </c>
      <c r="K593" s="3">
        <f t="shared" si="18"/>
        <v>0</v>
      </c>
      <c r="L593" s="3">
        <f>IF(ISERROR(VLOOKUP(J593,Lookups!$A$2:$A$16,1,FALSE)),1,0)</f>
        <v>1</v>
      </c>
      <c r="M593" s="3">
        <f>IF(ISERROR(VLOOKUP(D593,Data!$A$2:$D$223100,2,FALSE)),0,1)</f>
        <v>1</v>
      </c>
      <c r="N593" s="3">
        <f t="shared" si="19"/>
        <v>1</v>
      </c>
      <c r="O593" s="3" t="str">
        <f>IF(ISERROR(VLOOKUP(D593,Data!$A$2:$C$223100,3,FALSE)),"INACTIVE",VLOOKUP(D593,Data!$A$2:$C$223100,3,FALSE))</f>
        <v>Current</v>
      </c>
    </row>
    <row r="594" spans="1:15" x14ac:dyDescent="0.25">
      <c r="A594" t="s">
        <v>1198</v>
      </c>
      <c r="B594" t="s">
        <v>1199</v>
      </c>
      <c r="C594" t="s">
        <v>1204</v>
      </c>
      <c r="D594" t="s">
        <v>1205</v>
      </c>
      <c r="E594" t="s">
        <v>1206</v>
      </c>
      <c r="F594" t="s">
        <v>5</v>
      </c>
      <c r="G594" t="s">
        <v>5</v>
      </c>
      <c r="H594" t="s">
        <v>5</v>
      </c>
      <c r="I594" t="s">
        <v>9149</v>
      </c>
      <c r="J594" t="s">
        <v>573</v>
      </c>
      <c r="K594" s="3">
        <f t="shared" si="18"/>
        <v>0</v>
      </c>
      <c r="L594" s="3">
        <f>IF(ISERROR(VLOOKUP(J594,Lookups!$A$2:$A$16,1,FALSE)),1,0)</f>
        <v>1</v>
      </c>
      <c r="M594" s="3">
        <f>IF(ISERROR(VLOOKUP(D594,Data!$A$2:$D$223100,2,FALSE)),0,1)</f>
        <v>1</v>
      </c>
      <c r="N594" s="3">
        <f t="shared" si="19"/>
        <v>1</v>
      </c>
      <c r="O594" s="3" t="str">
        <f>IF(ISERROR(VLOOKUP(D594,Data!$A$2:$C$223100,3,FALSE)),"INACTIVE",VLOOKUP(D594,Data!$A$2:$C$223100,3,FALSE))</f>
        <v>Current</v>
      </c>
    </row>
    <row r="595" spans="1:15" x14ac:dyDescent="0.25">
      <c r="A595" t="s">
        <v>8421</v>
      </c>
      <c r="B595" t="s">
        <v>8422</v>
      </c>
      <c r="C595" t="s">
        <v>8423</v>
      </c>
      <c r="D595" t="s">
        <v>8424</v>
      </c>
      <c r="E595" t="s">
        <v>5</v>
      </c>
      <c r="F595" t="s">
        <v>5</v>
      </c>
      <c r="G595" t="s">
        <v>5</v>
      </c>
      <c r="H595" t="s">
        <v>8425</v>
      </c>
      <c r="I595" t="s">
        <v>8426</v>
      </c>
      <c r="J595" t="s">
        <v>90</v>
      </c>
      <c r="K595" s="3">
        <f t="shared" si="18"/>
        <v>0</v>
      </c>
      <c r="L595" s="3">
        <f>IF(ISERROR(VLOOKUP(J595,Lookups!$A$2:$A$16,1,FALSE)),1,0)</f>
        <v>0</v>
      </c>
      <c r="M595" s="3">
        <f>IF(ISERROR(VLOOKUP(D595,Data!$A$2:$D$223100,2,FALSE)),0,1)</f>
        <v>1</v>
      </c>
      <c r="N595" s="3">
        <f t="shared" si="19"/>
        <v>0</v>
      </c>
      <c r="O595" s="3" t="str">
        <f>IF(ISERROR(VLOOKUP(D595,Data!$A$2:$C$223100,3,FALSE)),"INACTIVE",VLOOKUP(D595,Data!$A$2:$C$223100,3,FALSE))</f>
        <v>180+</v>
      </c>
    </row>
    <row r="596" spans="1:15" x14ac:dyDescent="0.25">
      <c r="A596" t="s">
        <v>8421</v>
      </c>
      <c r="B596" t="s">
        <v>8422</v>
      </c>
      <c r="C596" t="s">
        <v>8427</v>
      </c>
      <c r="D596" t="s">
        <v>8428</v>
      </c>
      <c r="E596" t="s">
        <v>5</v>
      </c>
      <c r="F596" t="s">
        <v>8429</v>
      </c>
      <c r="G596" t="s">
        <v>8430</v>
      </c>
      <c r="H596" t="s">
        <v>8431</v>
      </c>
      <c r="I596" t="s">
        <v>8426</v>
      </c>
      <c r="J596" t="s">
        <v>90</v>
      </c>
      <c r="K596" s="3">
        <f t="shared" si="18"/>
        <v>0</v>
      </c>
      <c r="L596" s="3">
        <f>IF(ISERROR(VLOOKUP(J596,Lookups!$A$2:$A$16,1,FALSE)),1,0)</f>
        <v>0</v>
      </c>
      <c r="M596" s="3">
        <f>IF(ISERROR(VLOOKUP(D596,Data!$A$2:$D$223100,2,FALSE)),0,1)</f>
        <v>1</v>
      </c>
      <c r="N596" s="3">
        <f t="shared" si="19"/>
        <v>0</v>
      </c>
      <c r="O596" s="3" t="str">
        <f>IF(ISERROR(VLOOKUP(D596,Data!$A$2:$C$223100,3,FALSE)),"INACTIVE",VLOOKUP(D596,Data!$A$2:$C$223100,3,FALSE))</f>
        <v>FC</v>
      </c>
    </row>
    <row r="597" spans="1:15" x14ac:dyDescent="0.25">
      <c r="A597" t="s">
        <v>8421</v>
      </c>
      <c r="B597" t="s">
        <v>8422</v>
      </c>
      <c r="C597" t="s">
        <v>8432</v>
      </c>
      <c r="D597" t="s">
        <v>8433</v>
      </c>
      <c r="E597" t="s">
        <v>5</v>
      </c>
      <c r="F597" t="s">
        <v>5</v>
      </c>
      <c r="G597" t="s">
        <v>5</v>
      </c>
      <c r="H597" t="s">
        <v>8434</v>
      </c>
      <c r="I597" t="s">
        <v>8426</v>
      </c>
      <c r="J597" t="s">
        <v>90</v>
      </c>
      <c r="K597" s="3">
        <f t="shared" si="18"/>
        <v>0</v>
      </c>
      <c r="L597" s="3">
        <f>IF(ISERROR(VLOOKUP(J597,Lookups!$A$2:$A$16,1,FALSE)),1,0)</f>
        <v>0</v>
      </c>
      <c r="M597" s="3">
        <f>IF(ISERROR(VLOOKUP(D597,Data!$A$2:$D$223100,2,FALSE)),0,1)</f>
        <v>1</v>
      </c>
      <c r="N597" s="3">
        <f t="shared" si="19"/>
        <v>0</v>
      </c>
      <c r="O597" s="3" t="str">
        <f>IF(ISERROR(VLOOKUP(D597,Data!$A$2:$C$223100,3,FALSE)),"INACTIVE",VLOOKUP(D597,Data!$A$2:$C$223100,3,FALSE))</f>
        <v>FC</v>
      </c>
    </row>
    <row r="598" spans="1:15" x14ac:dyDescent="0.25">
      <c r="A598" t="s">
        <v>8421</v>
      </c>
      <c r="B598" t="s">
        <v>8422</v>
      </c>
      <c r="C598" t="s">
        <v>8435</v>
      </c>
      <c r="D598" t="s">
        <v>8436</v>
      </c>
      <c r="E598" t="s">
        <v>5</v>
      </c>
      <c r="F598" t="s">
        <v>5</v>
      </c>
      <c r="G598" t="s">
        <v>5</v>
      </c>
      <c r="H598" t="s">
        <v>8437</v>
      </c>
      <c r="I598" t="s">
        <v>8426</v>
      </c>
      <c r="J598" t="s">
        <v>90</v>
      </c>
      <c r="K598" s="3">
        <f t="shared" si="18"/>
        <v>0</v>
      </c>
      <c r="L598" s="3">
        <f>IF(ISERROR(VLOOKUP(J598,Lookups!$A$2:$A$16,1,FALSE)),1,0)</f>
        <v>0</v>
      </c>
      <c r="M598" s="3">
        <f>IF(ISERROR(VLOOKUP(D598,Data!$A$2:$D$223100,2,FALSE)),0,1)</f>
        <v>1</v>
      </c>
      <c r="N598" s="3">
        <f t="shared" si="19"/>
        <v>0</v>
      </c>
      <c r="O598" s="3" t="str">
        <f>IF(ISERROR(VLOOKUP(D598,Data!$A$2:$C$223100,3,FALSE)),"INACTIVE",VLOOKUP(D598,Data!$A$2:$C$223100,3,FALSE))</f>
        <v>FC</v>
      </c>
    </row>
    <row r="599" spans="1:15" x14ac:dyDescent="0.25">
      <c r="A599" t="s">
        <v>8421</v>
      </c>
      <c r="B599" t="s">
        <v>8422</v>
      </c>
      <c r="C599" t="s">
        <v>8438</v>
      </c>
      <c r="D599" t="s">
        <v>8439</v>
      </c>
      <c r="E599" t="s">
        <v>5</v>
      </c>
      <c r="F599" t="s">
        <v>5</v>
      </c>
      <c r="G599" t="s">
        <v>5</v>
      </c>
      <c r="H599" t="s">
        <v>8440</v>
      </c>
      <c r="I599" t="s">
        <v>8426</v>
      </c>
      <c r="J599" t="s">
        <v>90</v>
      </c>
      <c r="K599" s="3">
        <f t="shared" si="18"/>
        <v>0</v>
      </c>
      <c r="L599" s="3">
        <f>IF(ISERROR(VLOOKUP(J599,Lookups!$A$2:$A$16,1,FALSE)),1,0)</f>
        <v>0</v>
      </c>
      <c r="M599" s="3">
        <f>IF(ISERROR(VLOOKUP(D599,Data!$A$2:$D$223100,2,FALSE)),0,1)</f>
        <v>0</v>
      </c>
      <c r="N599" s="3">
        <f t="shared" si="19"/>
        <v>0</v>
      </c>
      <c r="O599" s="3" t="str">
        <f>IF(ISERROR(VLOOKUP(D599,Data!$A$2:$C$223100,3,FALSE)),"INACTIVE",VLOOKUP(D599,Data!$A$2:$C$223100,3,FALSE))</f>
        <v>INACTIVE</v>
      </c>
    </row>
    <row r="600" spans="1:15" x14ac:dyDescent="0.25">
      <c r="A600" t="s">
        <v>8421</v>
      </c>
      <c r="B600" t="s">
        <v>8422</v>
      </c>
      <c r="C600" t="s">
        <v>8441</v>
      </c>
      <c r="D600" t="s">
        <v>8442</v>
      </c>
      <c r="E600" t="s">
        <v>8443</v>
      </c>
      <c r="F600" t="s">
        <v>8444</v>
      </c>
      <c r="G600" t="s">
        <v>8445</v>
      </c>
      <c r="H600" t="s">
        <v>8446</v>
      </c>
      <c r="I600" t="s">
        <v>8426</v>
      </c>
      <c r="J600" t="s">
        <v>90</v>
      </c>
      <c r="K600" s="3">
        <f t="shared" si="18"/>
        <v>0</v>
      </c>
      <c r="L600" s="3">
        <f>IF(ISERROR(VLOOKUP(J600,Lookups!$A$2:$A$16,1,FALSE)),1,0)</f>
        <v>0</v>
      </c>
      <c r="M600" s="3">
        <f>IF(ISERROR(VLOOKUP(D600,Data!$A$2:$D$223100,2,FALSE)),0,1)</f>
        <v>1</v>
      </c>
      <c r="N600" s="3">
        <f t="shared" si="19"/>
        <v>0</v>
      </c>
      <c r="O600" s="3" t="str">
        <f>IF(ISERROR(VLOOKUP(D600,Data!$A$2:$C$223100,3,FALSE)),"INACTIVE",VLOOKUP(D600,Data!$A$2:$C$223100,3,FALSE))</f>
        <v>Current</v>
      </c>
    </row>
    <row r="601" spans="1:15" x14ac:dyDescent="0.25">
      <c r="A601" t="s">
        <v>8421</v>
      </c>
      <c r="B601" t="s">
        <v>8422</v>
      </c>
      <c r="C601" t="s">
        <v>8447</v>
      </c>
      <c r="D601" t="s">
        <v>8448</v>
      </c>
      <c r="E601" t="s">
        <v>5</v>
      </c>
      <c r="F601" t="s">
        <v>8449</v>
      </c>
      <c r="G601" t="s">
        <v>8450</v>
      </c>
      <c r="H601" t="s">
        <v>8451</v>
      </c>
      <c r="I601" t="s">
        <v>8426</v>
      </c>
      <c r="J601" t="s">
        <v>90</v>
      </c>
      <c r="K601" s="3">
        <f t="shared" si="18"/>
        <v>0</v>
      </c>
      <c r="L601" s="3">
        <f>IF(ISERROR(VLOOKUP(J601,Lookups!$A$2:$A$16,1,FALSE)),1,0)</f>
        <v>0</v>
      </c>
      <c r="M601" s="3">
        <f>IF(ISERROR(VLOOKUP(D601,Data!$A$2:$D$223100,2,FALSE)),0,1)</f>
        <v>1</v>
      </c>
      <c r="N601" s="3">
        <f t="shared" si="19"/>
        <v>0</v>
      </c>
      <c r="O601" s="3" t="str">
        <f>IF(ISERROR(VLOOKUP(D601,Data!$A$2:$C$223100,3,FALSE)),"INACTIVE",VLOOKUP(D601,Data!$A$2:$C$223100,3,FALSE))</f>
        <v>BK13</v>
      </c>
    </row>
    <row r="602" spans="1:15" x14ac:dyDescent="0.25">
      <c r="A602" t="s">
        <v>8421</v>
      </c>
      <c r="B602" t="s">
        <v>8422</v>
      </c>
      <c r="C602" t="s">
        <v>8452</v>
      </c>
      <c r="D602" t="s">
        <v>8453</v>
      </c>
      <c r="E602" t="s">
        <v>5</v>
      </c>
      <c r="F602" t="s">
        <v>8454</v>
      </c>
      <c r="G602" t="s">
        <v>8455</v>
      </c>
      <c r="H602" t="s">
        <v>8456</v>
      </c>
      <c r="I602" t="s">
        <v>8426</v>
      </c>
      <c r="J602" t="s">
        <v>90</v>
      </c>
      <c r="K602" s="3">
        <f t="shared" si="18"/>
        <v>0</v>
      </c>
      <c r="L602" s="3">
        <f>IF(ISERROR(VLOOKUP(J602,Lookups!$A$2:$A$16,1,FALSE)),1,0)</f>
        <v>0</v>
      </c>
      <c r="M602" s="3">
        <f>IF(ISERROR(VLOOKUP(D602,Data!$A$2:$D$223100,2,FALSE)),0,1)</f>
        <v>0</v>
      </c>
      <c r="N602" s="3">
        <f t="shared" si="19"/>
        <v>0</v>
      </c>
      <c r="O602" s="3" t="str">
        <f>IF(ISERROR(VLOOKUP(D602,Data!$A$2:$C$223100,3,FALSE)),"INACTIVE",VLOOKUP(D602,Data!$A$2:$C$223100,3,FALSE))</f>
        <v>INACTIVE</v>
      </c>
    </row>
    <row r="603" spans="1:15" x14ac:dyDescent="0.25">
      <c r="A603" t="s">
        <v>8421</v>
      </c>
      <c r="B603" t="s">
        <v>8422</v>
      </c>
      <c r="C603" t="s">
        <v>8457</v>
      </c>
      <c r="D603" t="s">
        <v>8458</v>
      </c>
      <c r="E603" t="s">
        <v>5</v>
      </c>
      <c r="F603" t="s">
        <v>5</v>
      </c>
      <c r="G603" t="s">
        <v>5</v>
      </c>
      <c r="H603" t="s">
        <v>8459</v>
      </c>
      <c r="I603" t="s">
        <v>8426</v>
      </c>
      <c r="J603" t="s">
        <v>96</v>
      </c>
      <c r="K603" s="3">
        <f t="shared" si="18"/>
        <v>0</v>
      </c>
      <c r="L603" s="3">
        <f>IF(ISERROR(VLOOKUP(J603,Lookups!$A$2:$A$16,1,FALSE)),1,0)</f>
        <v>0</v>
      </c>
      <c r="M603" s="3">
        <f>IF(ISERROR(VLOOKUP(D603,Data!$A$2:$D$223100,2,FALSE)),0,1)</f>
        <v>1</v>
      </c>
      <c r="N603" s="3">
        <f t="shared" si="19"/>
        <v>0</v>
      </c>
      <c r="O603" s="3" t="str">
        <f>IF(ISERROR(VLOOKUP(D603,Data!$A$2:$C$223100,3,FALSE)),"INACTIVE",VLOOKUP(D603,Data!$A$2:$C$223100,3,FALSE))</f>
        <v>BK13</v>
      </c>
    </row>
    <row r="604" spans="1:15" x14ac:dyDescent="0.25">
      <c r="A604" t="s">
        <v>8421</v>
      </c>
      <c r="B604" t="s">
        <v>8422</v>
      </c>
      <c r="C604" t="s">
        <v>8457</v>
      </c>
      <c r="D604" t="s">
        <v>8458</v>
      </c>
      <c r="E604" t="s">
        <v>8460</v>
      </c>
      <c r="F604" t="s">
        <v>8461</v>
      </c>
      <c r="G604" t="s">
        <v>8462</v>
      </c>
      <c r="H604" t="s">
        <v>3770</v>
      </c>
      <c r="I604" t="s">
        <v>8426</v>
      </c>
      <c r="J604" t="s">
        <v>96</v>
      </c>
      <c r="K604" s="3">
        <f t="shared" si="18"/>
        <v>0</v>
      </c>
      <c r="L604" s="3">
        <f>IF(ISERROR(VLOOKUP(J604,Lookups!$A$2:$A$16,1,FALSE)),1,0)</f>
        <v>0</v>
      </c>
      <c r="M604" s="3">
        <f>IF(ISERROR(VLOOKUP(D604,Data!$A$2:$D$223100,2,FALSE)),0,1)</f>
        <v>1</v>
      </c>
      <c r="N604" s="3">
        <f t="shared" si="19"/>
        <v>0</v>
      </c>
      <c r="O604" s="3" t="str">
        <f>IF(ISERROR(VLOOKUP(D604,Data!$A$2:$C$223100,3,FALSE)),"INACTIVE",VLOOKUP(D604,Data!$A$2:$C$223100,3,FALSE))</f>
        <v>BK13</v>
      </c>
    </row>
    <row r="605" spans="1:15" x14ac:dyDescent="0.25">
      <c r="A605" t="s">
        <v>8421</v>
      </c>
      <c r="B605" t="s">
        <v>8422</v>
      </c>
      <c r="C605" t="s">
        <v>8457</v>
      </c>
      <c r="D605" t="s">
        <v>8458</v>
      </c>
      <c r="E605" t="s">
        <v>8463</v>
      </c>
      <c r="F605" t="s">
        <v>8464</v>
      </c>
      <c r="G605" t="s">
        <v>8465</v>
      </c>
      <c r="H605" t="s">
        <v>8466</v>
      </c>
      <c r="I605" t="s">
        <v>8426</v>
      </c>
      <c r="J605" t="s">
        <v>96</v>
      </c>
      <c r="K605" s="3">
        <f t="shared" si="18"/>
        <v>0</v>
      </c>
      <c r="L605" s="3">
        <f>IF(ISERROR(VLOOKUP(J605,Lookups!$A$2:$A$16,1,FALSE)),1,0)</f>
        <v>0</v>
      </c>
      <c r="M605" s="3">
        <f>IF(ISERROR(VLOOKUP(D605,Data!$A$2:$D$223100,2,FALSE)),0,1)</f>
        <v>1</v>
      </c>
      <c r="N605" s="3">
        <f t="shared" si="19"/>
        <v>0</v>
      </c>
      <c r="O605" s="3" t="str">
        <f>IF(ISERROR(VLOOKUP(D605,Data!$A$2:$C$223100,3,FALSE)),"INACTIVE",VLOOKUP(D605,Data!$A$2:$C$223100,3,FALSE))</f>
        <v>BK13</v>
      </c>
    </row>
    <row r="606" spans="1:15" x14ac:dyDescent="0.25">
      <c r="A606" t="s">
        <v>8421</v>
      </c>
      <c r="B606" t="s">
        <v>8422</v>
      </c>
      <c r="C606" t="s">
        <v>6274</v>
      </c>
      <c r="D606" t="s">
        <v>6275</v>
      </c>
      <c r="E606" t="s">
        <v>5</v>
      </c>
      <c r="F606" t="s">
        <v>8467</v>
      </c>
      <c r="G606" t="s">
        <v>8468</v>
      </c>
      <c r="H606" t="s">
        <v>8469</v>
      </c>
      <c r="I606" t="s">
        <v>8426</v>
      </c>
      <c r="J606" t="s">
        <v>90</v>
      </c>
      <c r="K606" s="3">
        <f t="shared" si="18"/>
        <v>0</v>
      </c>
      <c r="L606" s="3">
        <f>IF(ISERROR(VLOOKUP(J606,Lookups!$A$2:$A$16,1,FALSE)),1,0)</f>
        <v>0</v>
      </c>
      <c r="M606" s="3">
        <f>IF(ISERROR(VLOOKUP(D606,Data!$A$2:$D$223100,2,FALSE)),0,1)</f>
        <v>0</v>
      </c>
      <c r="N606" s="3">
        <f t="shared" si="19"/>
        <v>0</v>
      </c>
      <c r="O606" s="3" t="str">
        <f>IF(ISERROR(VLOOKUP(D606,Data!$A$2:$C$223100,3,FALSE)),"INACTIVE",VLOOKUP(D606,Data!$A$2:$C$223100,3,FALSE))</f>
        <v>INACTIVE</v>
      </c>
    </row>
    <row r="607" spans="1:15" x14ac:dyDescent="0.25">
      <c r="A607" t="s">
        <v>8470</v>
      </c>
      <c r="B607" t="s">
        <v>8471</v>
      </c>
      <c r="C607" t="s">
        <v>8472</v>
      </c>
      <c r="D607" t="s">
        <v>8473</v>
      </c>
      <c r="E607" t="s">
        <v>5</v>
      </c>
      <c r="F607" t="s">
        <v>5</v>
      </c>
      <c r="G607" t="s">
        <v>5</v>
      </c>
      <c r="H607" t="s">
        <v>8474</v>
      </c>
      <c r="I607" t="s">
        <v>8426</v>
      </c>
      <c r="J607" t="s">
        <v>90</v>
      </c>
      <c r="K607" s="3">
        <f t="shared" si="18"/>
        <v>0</v>
      </c>
      <c r="L607" s="3">
        <f>IF(ISERROR(VLOOKUP(J607,Lookups!$A$2:$A$16,1,FALSE)),1,0)</f>
        <v>0</v>
      </c>
      <c r="M607" s="3">
        <f>IF(ISERROR(VLOOKUP(D607,Data!$A$2:$D$223100,2,FALSE)),0,1)</f>
        <v>1</v>
      </c>
      <c r="N607" s="3">
        <f t="shared" si="19"/>
        <v>0</v>
      </c>
      <c r="O607" s="3" t="str">
        <f>IF(ISERROR(VLOOKUP(D607,Data!$A$2:$C$223100,3,FALSE)),"INACTIVE",VLOOKUP(D607,Data!$A$2:$C$223100,3,FALSE))</f>
        <v>Current</v>
      </c>
    </row>
    <row r="608" spans="1:15" x14ac:dyDescent="0.25">
      <c r="A608" t="s">
        <v>8470</v>
      </c>
      <c r="B608" t="s">
        <v>8471</v>
      </c>
      <c r="C608" t="s">
        <v>8475</v>
      </c>
      <c r="D608" t="s">
        <v>8476</v>
      </c>
      <c r="E608" t="s">
        <v>5</v>
      </c>
      <c r="F608" t="s">
        <v>5</v>
      </c>
      <c r="G608" t="s">
        <v>5</v>
      </c>
      <c r="H608" t="s">
        <v>8477</v>
      </c>
      <c r="I608" t="s">
        <v>8426</v>
      </c>
      <c r="J608" t="s">
        <v>90</v>
      </c>
      <c r="K608" s="3">
        <f t="shared" si="18"/>
        <v>0</v>
      </c>
      <c r="L608" s="3">
        <f>IF(ISERROR(VLOOKUP(J608,Lookups!$A$2:$A$16,1,FALSE)),1,0)</f>
        <v>0</v>
      </c>
      <c r="M608" s="3">
        <f>IF(ISERROR(VLOOKUP(D608,Data!$A$2:$D$223100,2,FALSE)),0,1)</f>
        <v>1</v>
      </c>
      <c r="N608" s="3">
        <f t="shared" si="19"/>
        <v>0</v>
      </c>
      <c r="O608" s="3" t="str">
        <f>IF(ISERROR(VLOOKUP(D608,Data!$A$2:$C$223100,3,FALSE)),"INACTIVE",VLOOKUP(D608,Data!$A$2:$C$223100,3,FALSE))</f>
        <v>Current</v>
      </c>
    </row>
    <row r="609" spans="1:15" x14ac:dyDescent="0.25">
      <c r="A609" t="s">
        <v>8470</v>
      </c>
      <c r="B609" t="s">
        <v>8471</v>
      </c>
      <c r="C609" t="s">
        <v>8478</v>
      </c>
      <c r="D609" t="s">
        <v>8479</v>
      </c>
      <c r="E609" t="s">
        <v>8480</v>
      </c>
      <c r="F609" t="s">
        <v>8481</v>
      </c>
      <c r="G609" t="s">
        <v>8482</v>
      </c>
      <c r="H609" t="s">
        <v>8483</v>
      </c>
      <c r="I609" t="s">
        <v>8426</v>
      </c>
      <c r="J609" t="s">
        <v>90</v>
      </c>
      <c r="K609" s="3">
        <f t="shared" si="18"/>
        <v>0</v>
      </c>
      <c r="L609" s="3">
        <f>IF(ISERROR(VLOOKUP(J609,Lookups!$A$2:$A$16,1,FALSE)),1,0)</f>
        <v>0</v>
      </c>
      <c r="M609" s="3">
        <f>IF(ISERROR(VLOOKUP(D609,Data!$A$2:$D$223100,2,FALSE)),0,1)</f>
        <v>1</v>
      </c>
      <c r="N609" s="3">
        <f t="shared" si="19"/>
        <v>0</v>
      </c>
      <c r="O609" s="3" t="str">
        <f>IF(ISERROR(VLOOKUP(D609,Data!$A$2:$C$223100,3,FALSE)),"INACTIVE",VLOOKUP(D609,Data!$A$2:$C$223100,3,FALSE))</f>
        <v>FC</v>
      </c>
    </row>
    <row r="610" spans="1:15" x14ac:dyDescent="0.25">
      <c r="A610" t="s">
        <v>8470</v>
      </c>
      <c r="B610" t="s">
        <v>8471</v>
      </c>
      <c r="C610" t="s">
        <v>5752</v>
      </c>
      <c r="D610" t="s">
        <v>5753</v>
      </c>
      <c r="E610" t="s">
        <v>8484</v>
      </c>
      <c r="F610" t="s">
        <v>8485</v>
      </c>
      <c r="G610" t="s">
        <v>8486</v>
      </c>
      <c r="H610" t="s">
        <v>8487</v>
      </c>
      <c r="I610" t="s">
        <v>8426</v>
      </c>
      <c r="J610" t="s">
        <v>96</v>
      </c>
      <c r="K610" s="3">
        <f t="shared" si="18"/>
        <v>0</v>
      </c>
      <c r="L610" s="3">
        <f>IF(ISERROR(VLOOKUP(J610,Lookups!$A$2:$A$16,1,FALSE)),1,0)</f>
        <v>0</v>
      </c>
      <c r="M610" s="3">
        <f>IF(ISERROR(VLOOKUP(D610,Data!$A$2:$D$223100,2,FALSE)),0,1)</f>
        <v>1</v>
      </c>
      <c r="N610" s="3">
        <f t="shared" si="19"/>
        <v>0</v>
      </c>
      <c r="O610" s="3" t="str">
        <f>IF(ISERROR(VLOOKUP(D610,Data!$A$2:$C$223100,3,FALSE)),"INACTIVE",VLOOKUP(D610,Data!$A$2:$C$223100,3,FALSE))</f>
        <v>FC</v>
      </c>
    </row>
    <row r="611" spans="1:15" x14ac:dyDescent="0.25">
      <c r="A611" t="s">
        <v>8470</v>
      </c>
      <c r="B611" t="s">
        <v>8471</v>
      </c>
      <c r="C611" t="s">
        <v>5752</v>
      </c>
      <c r="D611" t="s">
        <v>5753</v>
      </c>
      <c r="E611" t="s">
        <v>8488</v>
      </c>
      <c r="F611" t="s">
        <v>8489</v>
      </c>
      <c r="G611" t="s">
        <v>8490</v>
      </c>
      <c r="H611" t="s">
        <v>8491</v>
      </c>
      <c r="I611" t="s">
        <v>8426</v>
      </c>
      <c r="J611" t="s">
        <v>96</v>
      </c>
      <c r="K611" s="3">
        <f t="shared" si="18"/>
        <v>0</v>
      </c>
      <c r="L611" s="3">
        <f>IF(ISERROR(VLOOKUP(J611,Lookups!$A$2:$A$16,1,FALSE)),1,0)</f>
        <v>0</v>
      </c>
      <c r="M611" s="3">
        <f>IF(ISERROR(VLOOKUP(D611,Data!$A$2:$D$223100,2,FALSE)),0,1)</f>
        <v>1</v>
      </c>
      <c r="N611" s="3">
        <f t="shared" si="19"/>
        <v>0</v>
      </c>
      <c r="O611" s="3" t="str">
        <f>IF(ISERROR(VLOOKUP(D611,Data!$A$2:$C$223100,3,FALSE)),"INACTIVE",VLOOKUP(D611,Data!$A$2:$C$223100,3,FALSE))</f>
        <v>FC</v>
      </c>
    </row>
    <row r="612" spans="1:15" x14ac:dyDescent="0.25">
      <c r="A612" t="s">
        <v>8470</v>
      </c>
      <c r="B612" t="s">
        <v>8471</v>
      </c>
      <c r="C612" t="s">
        <v>8492</v>
      </c>
      <c r="D612" t="s">
        <v>8493</v>
      </c>
      <c r="E612" t="s">
        <v>5</v>
      </c>
      <c r="F612" t="s">
        <v>5</v>
      </c>
      <c r="G612" t="s">
        <v>5</v>
      </c>
      <c r="H612" t="s">
        <v>8494</v>
      </c>
      <c r="I612" t="s">
        <v>8426</v>
      </c>
      <c r="J612" t="s">
        <v>90</v>
      </c>
      <c r="K612" s="3">
        <f t="shared" si="18"/>
        <v>0</v>
      </c>
      <c r="L612" s="3">
        <f>IF(ISERROR(VLOOKUP(J612,Lookups!$A$2:$A$16,1,FALSE)),1,0)</f>
        <v>0</v>
      </c>
      <c r="M612" s="3">
        <f>IF(ISERROR(VLOOKUP(D612,Data!$A$2:$D$223100,2,FALSE)),0,1)</f>
        <v>1</v>
      </c>
      <c r="N612" s="3">
        <f t="shared" si="19"/>
        <v>0</v>
      </c>
      <c r="O612" s="3" t="str">
        <f>IF(ISERROR(VLOOKUP(D612,Data!$A$2:$C$223100,3,FALSE)),"INACTIVE",VLOOKUP(D612,Data!$A$2:$C$223100,3,FALSE))</f>
        <v>FBA</v>
      </c>
    </row>
    <row r="613" spans="1:15" x14ac:dyDescent="0.25">
      <c r="A613" t="s">
        <v>8470</v>
      </c>
      <c r="B613" t="s">
        <v>8471</v>
      </c>
      <c r="C613" t="s">
        <v>8495</v>
      </c>
      <c r="D613" t="s">
        <v>8496</v>
      </c>
      <c r="E613" t="s">
        <v>5</v>
      </c>
      <c r="F613" t="s">
        <v>5</v>
      </c>
      <c r="G613" t="s">
        <v>5</v>
      </c>
      <c r="H613" t="s">
        <v>8497</v>
      </c>
      <c r="I613" t="s">
        <v>8426</v>
      </c>
      <c r="J613" t="s">
        <v>90</v>
      </c>
      <c r="K613" s="3">
        <f t="shared" si="18"/>
        <v>0</v>
      </c>
      <c r="L613" s="3">
        <f>IF(ISERROR(VLOOKUP(J613,Lookups!$A$2:$A$16,1,FALSE)),1,0)</f>
        <v>0</v>
      </c>
      <c r="M613" s="3">
        <f>IF(ISERROR(VLOOKUP(D613,Data!$A$2:$D$223100,2,FALSE)),0,1)</f>
        <v>1</v>
      </c>
      <c r="N613" s="3">
        <f t="shared" si="19"/>
        <v>0</v>
      </c>
      <c r="O613" s="3" t="str">
        <f>IF(ISERROR(VLOOKUP(D613,Data!$A$2:$C$223100,3,FALSE)),"INACTIVE",VLOOKUP(D613,Data!$A$2:$C$223100,3,FALSE))</f>
        <v>150+</v>
      </c>
    </row>
    <row r="614" spans="1:15" x14ac:dyDescent="0.25">
      <c r="A614" t="s">
        <v>8470</v>
      </c>
      <c r="B614" t="s">
        <v>8471</v>
      </c>
      <c r="C614" t="s">
        <v>5754</v>
      </c>
      <c r="D614" t="s">
        <v>5755</v>
      </c>
      <c r="E614" t="s">
        <v>5</v>
      </c>
      <c r="F614" t="s">
        <v>8498</v>
      </c>
      <c r="G614" t="s">
        <v>8499</v>
      </c>
      <c r="H614" t="s">
        <v>8500</v>
      </c>
      <c r="I614" t="s">
        <v>8426</v>
      </c>
      <c r="J614" t="s">
        <v>90</v>
      </c>
      <c r="K614" s="3">
        <f t="shared" si="18"/>
        <v>0</v>
      </c>
      <c r="L614" s="3">
        <f>IF(ISERROR(VLOOKUP(J614,Lookups!$A$2:$A$16,1,FALSE)),1,0)</f>
        <v>0</v>
      </c>
      <c r="M614" s="3">
        <f>IF(ISERROR(VLOOKUP(D614,Data!$A$2:$D$223100,2,FALSE)),0,1)</f>
        <v>1</v>
      </c>
      <c r="N614" s="3">
        <f t="shared" si="19"/>
        <v>0</v>
      </c>
      <c r="O614" s="3" t="str">
        <f>IF(ISERROR(VLOOKUP(D614,Data!$A$2:$C$223100,3,FALSE)),"INACTIVE",VLOOKUP(D614,Data!$A$2:$C$223100,3,FALSE))</f>
        <v>FC</v>
      </c>
    </row>
    <row r="615" spans="1:15" x14ac:dyDescent="0.25">
      <c r="A615" t="s">
        <v>8470</v>
      </c>
      <c r="B615" t="s">
        <v>8471</v>
      </c>
      <c r="C615" t="s">
        <v>8501</v>
      </c>
      <c r="D615" t="s">
        <v>8502</v>
      </c>
      <c r="E615" t="s">
        <v>5</v>
      </c>
      <c r="F615" t="s">
        <v>5</v>
      </c>
      <c r="G615" t="s">
        <v>8503</v>
      </c>
      <c r="H615" t="s">
        <v>8504</v>
      </c>
      <c r="I615" t="s">
        <v>8426</v>
      </c>
      <c r="J615" t="s">
        <v>90</v>
      </c>
      <c r="K615" s="3">
        <f t="shared" si="18"/>
        <v>0</v>
      </c>
      <c r="L615" s="3">
        <f>IF(ISERROR(VLOOKUP(J615,Lookups!$A$2:$A$16,1,FALSE)),1,0)</f>
        <v>0</v>
      </c>
      <c r="M615" s="3">
        <f>IF(ISERROR(VLOOKUP(D615,Data!$A$2:$D$223100,2,FALSE)),0,1)</f>
        <v>1</v>
      </c>
      <c r="N615" s="3">
        <f t="shared" si="19"/>
        <v>0</v>
      </c>
      <c r="O615" s="3" t="str">
        <f>IF(ISERROR(VLOOKUP(D615,Data!$A$2:$C$223100,3,FALSE)),"INACTIVE",VLOOKUP(D615,Data!$A$2:$C$223100,3,FALSE))</f>
        <v>FC</v>
      </c>
    </row>
    <row r="616" spans="1:15" x14ac:dyDescent="0.25">
      <c r="A616" t="s">
        <v>8470</v>
      </c>
      <c r="B616" t="s">
        <v>8471</v>
      </c>
      <c r="C616" t="s">
        <v>5760</v>
      </c>
      <c r="D616" t="s">
        <v>5761</v>
      </c>
      <c r="E616" t="s">
        <v>5</v>
      </c>
      <c r="F616" t="s">
        <v>5</v>
      </c>
      <c r="G616" t="s">
        <v>5</v>
      </c>
      <c r="H616" t="s">
        <v>8505</v>
      </c>
      <c r="I616" t="s">
        <v>8426</v>
      </c>
      <c r="J616" t="s">
        <v>90</v>
      </c>
      <c r="K616" s="3">
        <f t="shared" si="18"/>
        <v>0</v>
      </c>
      <c r="L616" s="3">
        <f>IF(ISERROR(VLOOKUP(J616,Lookups!$A$2:$A$16,1,FALSE)),1,0)</f>
        <v>0</v>
      </c>
      <c r="M616" s="3">
        <f>IF(ISERROR(VLOOKUP(D616,Data!$A$2:$D$223100,2,FALSE)),0,1)</f>
        <v>1</v>
      </c>
      <c r="N616" s="3">
        <f t="shared" si="19"/>
        <v>0</v>
      </c>
      <c r="O616" s="3" t="str">
        <f>IF(ISERROR(VLOOKUP(D616,Data!$A$2:$C$223100,3,FALSE)),"INACTIVE",VLOOKUP(D616,Data!$A$2:$C$223100,3,FALSE))</f>
        <v>FC</v>
      </c>
    </row>
    <row r="617" spans="1:15" x14ac:dyDescent="0.25">
      <c r="A617" t="s">
        <v>8470</v>
      </c>
      <c r="B617" t="s">
        <v>8471</v>
      </c>
      <c r="C617" t="s">
        <v>5756</v>
      </c>
      <c r="D617" t="s">
        <v>5757</v>
      </c>
      <c r="E617" t="s">
        <v>5</v>
      </c>
      <c r="F617" t="s">
        <v>5</v>
      </c>
      <c r="G617" t="s">
        <v>5</v>
      </c>
      <c r="H617" t="s">
        <v>8506</v>
      </c>
      <c r="I617" t="s">
        <v>8426</v>
      </c>
      <c r="J617" t="s">
        <v>96</v>
      </c>
      <c r="K617" s="3">
        <f t="shared" si="18"/>
        <v>0</v>
      </c>
      <c r="L617" s="3">
        <f>IF(ISERROR(VLOOKUP(J617,Lookups!$A$2:$A$16,1,FALSE)),1,0)</f>
        <v>0</v>
      </c>
      <c r="M617" s="3">
        <f>IF(ISERROR(VLOOKUP(D617,Data!$A$2:$D$223100,2,FALSE)),0,1)</f>
        <v>1</v>
      </c>
      <c r="N617" s="3">
        <f t="shared" si="19"/>
        <v>0</v>
      </c>
      <c r="O617" s="3" t="str">
        <f>IF(ISERROR(VLOOKUP(D617,Data!$A$2:$C$223100,3,FALSE)),"INACTIVE",VLOOKUP(D617,Data!$A$2:$C$223100,3,FALSE))</f>
        <v>FC</v>
      </c>
    </row>
    <row r="618" spans="1:15" x14ac:dyDescent="0.25">
      <c r="A618" t="s">
        <v>8470</v>
      </c>
      <c r="B618" t="s">
        <v>8471</v>
      </c>
      <c r="C618" t="s">
        <v>5756</v>
      </c>
      <c r="D618" t="s">
        <v>5757</v>
      </c>
      <c r="E618" t="s">
        <v>8507</v>
      </c>
      <c r="F618" t="s">
        <v>8508</v>
      </c>
      <c r="G618" t="s">
        <v>8509</v>
      </c>
      <c r="H618" t="s">
        <v>8510</v>
      </c>
      <c r="I618" t="s">
        <v>8426</v>
      </c>
      <c r="J618" t="s">
        <v>96</v>
      </c>
      <c r="K618" s="3">
        <f t="shared" si="18"/>
        <v>0</v>
      </c>
      <c r="L618" s="3">
        <f>IF(ISERROR(VLOOKUP(J618,Lookups!$A$2:$A$16,1,FALSE)),1,0)</f>
        <v>0</v>
      </c>
      <c r="M618" s="3">
        <f>IF(ISERROR(VLOOKUP(D618,Data!$A$2:$D$223100,2,FALSE)),0,1)</f>
        <v>1</v>
      </c>
      <c r="N618" s="3">
        <f t="shared" si="19"/>
        <v>0</v>
      </c>
      <c r="O618" s="3" t="str">
        <f>IF(ISERROR(VLOOKUP(D618,Data!$A$2:$C$223100,3,FALSE)),"INACTIVE",VLOOKUP(D618,Data!$A$2:$C$223100,3,FALSE))</f>
        <v>FC</v>
      </c>
    </row>
    <row r="619" spans="1:15" x14ac:dyDescent="0.25">
      <c r="A619" t="s">
        <v>8470</v>
      </c>
      <c r="B619" t="s">
        <v>8471</v>
      </c>
      <c r="C619" t="s">
        <v>5756</v>
      </c>
      <c r="D619" t="s">
        <v>5757</v>
      </c>
      <c r="E619" t="s">
        <v>8511</v>
      </c>
      <c r="F619" t="s">
        <v>8512</v>
      </c>
      <c r="G619" t="s">
        <v>8513</v>
      </c>
      <c r="H619" t="s">
        <v>8514</v>
      </c>
      <c r="I619" t="s">
        <v>8426</v>
      </c>
      <c r="J619" t="s">
        <v>96</v>
      </c>
      <c r="K619" s="3">
        <f t="shared" si="18"/>
        <v>0</v>
      </c>
      <c r="L619" s="3">
        <f>IF(ISERROR(VLOOKUP(J619,Lookups!$A$2:$A$16,1,FALSE)),1,0)</f>
        <v>0</v>
      </c>
      <c r="M619" s="3">
        <f>IF(ISERROR(VLOOKUP(D619,Data!$A$2:$D$223100,2,FALSE)),0,1)</f>
        <v>1</v>
      </c>
      <c r="N619" s="3">
        <f t="shared" si="19"/>
        <v>0</v>
      </c>
      <c r="O619" s="3" t="str">
        <f>IF(ISERROR(VLOOKUP(D619,Data!$A$2:$C$223100,3,FALSE)),"INACTIVE",VLOOKUP(D619,Data!$A$2:$C$223100,3,FALSE))</f>
        <v>FC</v>
      </c>
    </row>
    <row r="620" spans="1:15" x14ac:dyDescent="0.25">
      <c r="A620" t="s">
        <v>8470</v>
      </c>
      <c r="B620" t="s">
        <v>8471</v>
      </c>
      <c r="C620" t="s">
        <v>8515</v>
      </c>
      <c r="D620" t="s">
        <v>8516</v>
      </c>
      <c r="E620" t="s">
        <v>5</v>
      </c>
      <c r="F620" t="s">
        <v>5</v>
      </c>
      <c r="G620" t="s">
        <v>5</v>
      </c>
      <c r="H620" t="s">
        <v>8517</v>
      </c>
      <c r="I620" t="s">
        <v>8426</v>
      </c>
      <c r="J620" t="s">
        <v>90</v>
      </c>
      <c r="K620" s="3">
        <f t="shared" si="18"/>
        <v>0</v>
      </c>
      <c r="L620" s="3">
        <f>IF(ISERROR(VLOOKUP(J620,Lookups!$A$2:$A$16,1,FALSE)),1,0)</f>
        <v>0</v>
      </c>
      <c r="M620" s="3">
        <f>IF(ISERROR(VLOOKUP(D620,Data!$A$2:$D$223100,2,FALSE)),0,1)</f>
        <v>1</v>
      </c>
      <c r="N620" s="3">
        <f t="shared" si="19"/>
        <v>0</v>
      </c>
      <c r="O620" s="3" t="str">
        <f>IF(ISERROR(VLOOKUP(D620,Data!$A$2:$C$223100,3,FALSE)),"INACTIVE",VLOOKUP(D620,Data!$A$2:$C$223100,3,FALSE))</f>
        <v>Current</v>
      </c>
    </row>
    <row r="621" spans="1:15" x14ac:dyDescent="0.25">
      <c r="A621" t="s">
        <v>8470</v>
      </c>
      <c r="B621" t="s">
        <v>8471</v>
      </c>
      <c r="C621" t="s">
        <v>8518</v>
      </c>
      <c r="D621" t="s">
        <v>8519</v>
      </c>
      <c r="E621" t="s">
        <v>5</v>
      </c>
      <c r="F621" t="s">
        <v>5</v>
      </c>
      <c r="G621" t="s">
        <v>8520</v>
      </c>
      <c r="H621" t="s">
        <v>8521</v>
      </c>
      <c r="I621" t="s">
        <v>8426</v>
      </c>
      <c r="J621" t="s">
        <v>90</v>
      </c>
      <c r="K621" s="3">
        <f t="shared" si="18"/>
        <v>0</v>
      </c>
      <c r="L621" s="3">
        <f>IF(ISERROR(VLOOKUP(J621,Lookups!$A$2:$A$16,1,FALSE)),1,0)</f>
        <v>0</v>
      </c>
      <c r="M621" s="3">
        <f>IF(ISERROR(VLOOKUP(D621,Data!$A$2:$D$223100,2,FALSE)),0,1)</f>
        <v>1</v>
      </c>
      <c r="N621" s="3">
        <f t="shared" si="19"/>
        <v>0</v>
      </c>
      <c r="O621" s="3" t="str">
        <f>IF(ISERROR(VLOOKUP(D621,Data!$A$2:$C$223100,3,FALSE)),"INACTIVE",VLOOKUP(D621,Data!$A$2:$C$223100,3,FALSE))</f>
        <v>150+</v>
      </c>
    </row>
    <row r="622" spans="1:15" x14ac:dyDescent="0.25">
      <c r="A622" t="s">
        <v>8470</v>
      </c>
      <c r="B622" t="s">
        <v>8471</v>
      </c>
      <c r="C622" t="s">
        <v>8522</v>
      </c>
      <c r="D622" t="s">
        <v>8523</v>
      </c>
      <c r="E622" t="s">
        <v>5</v>
      </c>
      <c r="F622" t="s">
        <v>8524</v>
      </c>
      <c r="G622" t="s">
        <v>8525</v>
      </c>
      <c r="H622" t="s">
        <v>8526</v>
      </c>
      <c r="I622" t="s">
        <v>8426</v>
      </c>
      <c r="J622" t="s">
        <v>90</v>
      </c>
      <c r="K622" s="3">
        <f t="shared" si="18"/>
        <v>0</v>
      </c>
      <c r="L622" s="3">
        <f>IF(ISERROR(VLOOKUP(J622,Lookups!$A$2:$A$16,1,FALSE)),1,0)</f>
        <v>0</v>
      </c>
      <c r="M622" s="3">
        <f>IF(ISERROR(VLOOKUP(D622,Data!$A$2:$D$223100,2,FALSE)),0,1)</f>
        <v>1</v>
      </c>
      <c r="N622" s="3">
        <f t="shared" si="19"/>
        <v>0</v>
      </c>
      <c r="O622" s="3" t="str">
        <f>IF(ISERROR(VLOOKUP(D622,Data!$A$2:$C$223100,3,FALSE)),"INACTIVE",VLOOKUP(D622,Data!$A$2:$C$223100,3,FALSE))</f>
        <v>FC</v>
      </c>
    </row>
    <row r="623" spans="1:15" x14ac:dyDescent="0.25">
      <c r="A623" t="s">
        <v>8470</v>
      </c>
      <c r="B623" t="s">
        <v>8471</v>
      </c>
      <c r="C623" t="s">
        <v>5764</v>
      </c>
      <c r="D623" t="s">
        <v>5765</v>
      </c>
      <c r="E623" t="s">
        <v>5</v>
      </c>
      <c r="F623" t="s">
        <v>5</v>
      </c>
      <c r="G623" t="s">
        <v>5</v>
      </c>
      <c r="H623" t="s">
        <v>8527</v>
      </c>
      <c r="I623" t="s">
        <v>8426</v>
      </c>
      <c r="J623" t="s">
        <v>90</v>
      </c>
      <c r="K623" s="3">
        <f t="shared" si="18"/>
        <v>0</v>
      </c>
      <c r="L623" s="3">
        <f>IF(ISERROR(VLOOKUP(J623,Lookups!$A$2:$A$16,1,FALSE)),1,0)</f>
        <v>0</v>
      </c>
      <c r="M623" s="3">
        <f>IF(ISERROR(VLOOKUP(D623,Data!$A$2:$D$223100,2,FALSE)),0,1)</f>
        <v>1</v>
      </c>
      <c r="N623" s="3">
        <f t="shared" si="19"/>
        <v>0</v>
      </c>
      <c r="O623" s="3" t="str">
        <f>IF(ISERROR(VLOOKUP(D623,Data!$A$2:$C$223100,3,FALSE)),"INACTIVE",VLOOKUP(D623,Data!$A$2:$C$223100,3,FALSE))</f>
        <v>Current</v>
      </c>
    </row>
    <row r="624" spans="1:15" x14ac:dyDescent="0.25">
      <c r="A624" t="s">
        <v>8470</v>
      </c>
      <c r="B624" t="s">
        <v>8471</v>
      </c>
      <c r="C624" t="s">
        <v>8528</v>
      </c>
      <c r="D624" t="s">
        <v>8529</v>
      </c>
      <c r="E624" t="s">
        <v>5</v>
      </c>
      <c r="F624" t="s">
        <v>5</v>
      </c>
      <c r="G624" t="s">
        <v>5</v>
      </c>
      <c r="H624" t="s">
        <v>8530</v>
      </c>
      <c r="I624" t="s">
        <v>8426</v>
      </c>
      <c r="J624" t="s">
        <v>90</v>
      </c>
      <c r="K624" s="3">
        <f t="shared" si="18"/>
        <v>0</v>
      </c>
      <c r="L624" s="3">
        <f>IF(ISERROR(VLOOKUP(J624,Lookups!$A$2:$A$16,1,FALSE)),1,0)</f>
        <v>0</v>
      </c>
      <c r="M624" s="3">
        <f>IF(ISERROR(VLOOKUP(D624,Data!$A$2:$D$223100,2,FALSE)),0,1)</f>
        <v>1</v>
      </c>
      <c r="N624" s="3">
        <f t="shared" si="19"/>
        <v>0</v>
      </c>
      <c r="O624" s="3" t="str">
        <f>IF(ISERROR(VLOOKUP(D624,Data!$A$2:$C$223100,3,FALSE)),"INACTIVE",VLOOKUP(D624,Data!$A$2:$C$223100,3,FALSE))</f>
        <v>Demand Letter</v>
      </c>
    </row>
    <row r="625" spans="1:15" x14ac:dyDescent="0.25">
      <c r="A625" t="s">
        <v>8470</v>
      </c>
      <c r="B625" t="s">
        <v>8471</v>
      </c>
      <c r="C625" t="s">
        <v>5766</v>
      </c>
      <c r="D625" t="s">
        <v>5767</v>
      </c>
      <c r="E625" t="s">
        <v>5</v>
      </c>
      <c r="F625" t="s">
        <v>8531</v>
      </c>
      <c r="G625" t="s">
        <v>8532</v>
      </c>
      <c r="H625" t="s">
        <v>8533</v>
      </c>
      <c r="I625" t="s">
        <v>8426</v>
      </c>
      <c r="J625" t="s">
        <v>90</v>
      </c>
      <c r="K625" s="3">
        <f t="shared" si="18"/>
        <v>0</v>
      </c>
      <c r="L625" s="3">
        <f>IF(ISERROR(VLOOKUP(J625,Lookups!$A$2:$A$16,1,FALSE)),1,0)</f>
        <v>0</v>
      </c>
      <c r="M625" s="3">
        <f>IF(ISERROR(VLOOKUP(D625,Data!$A$2:$D$223100,2,FALSE)),0,1)</f>
        <v>1</v>
      </c>
      <c r="N625" s="3">
        <f t="shared" si="19"/>
        <v>0</v>
      </c>
      <c r="O625" s="3" t="str">
        <f>IF(ISERROR(VLOOKUP(D625,Data!$A$2:$C$223100,3,FALSE)),"INACTIVE",VLOOKUP(D625,Data!$A$2:$C$223100,3,FALSE))</f>
        <v>FC</v>
      </c>
    </row>
    <row r="626" spans="1:15" x14ac:dyDescent="0.25">
      <c r="A626" t="s">
        <v>8470</v>
      </c>
      <c r="B626" t="s">
        <v>8471</v>
      </c>
      <c r="C626" t="s">
        <v>8534</v>
      </c>
      <c r="D626" t="s">
        <v>8535</v>
      </c>
      <c r="E626" t="s">
        <v>5</v>
      </c>
      <c r="F626" t="s">
        <v>5</v>
      </c>
      <c r="G626" t="s">
        <v>8536</v>
      </c>
      <c r="H626" t="s">
        <v>8537</v>
      </c>
      <c r="I626" t="s">
        <v>8426</v>
      </c>
      <c r="J626" t="s">
        <v>90</v>
      </c>
      <c r="K626" s="3">
        <f t="shared" si="18"/>
        <v>0</v>
      </c>
      <c r="L626" s="3">
        <f>IF(ISERROR(VLOOKUP(J626,Lookups!$A$2:$A$16,1,FALSE)),1,0)</f>
        <v>0</v>
      </c>
      <c r="M626" s="3">
        <f>IF(ISERROR(VLOOKUP(D626,Data!$A$2:$D$223100,2,FALSE)),0,1)</f>
        <v>1</v>
      </c>
      <c r="N626" s="3">
        <f t="shared" si="19"/>
        <v>0</v>
      </c>
      <c r="O626" s="3" t="str">
        <f>IF(ISERROR(VLOOKUP(D626,Data!$A$2:$C$223100,3,FALSE)),"INACTIVE",VLOOKUP(D626,Data!$A$2:$C$223100,3,FALSE))</f>
        <v>180+</v>
      </c>
    </row>
    <row r="627" spans="1:15" x14ac:dyDescent="0.25">
      <c r="A627" t="s">
        <v>8470</v>
      </c>
      <c r="B627" t="s">
        <v>8471</v>
      </c>
      <c r="C627" t="s">
        <v>8538</v>
      </c>
      <c r="D627" t="s">
        <v>8539</v>
      </c>
      <c r="E627" t="s">
        <v>5</v>
      </c>
      <c r="F627" t="s">
        <v>5</v>
      </c>
      <c r="G627" t="s">
        <v>5</v>
      </c>
      <c r="H627" t="s">
        <v>8540</v>
      </c>
      <c r="I627" t="s">
        <v>8426</v>
      </c>
      <c r="J627" t="s">
        <v>90</v>
      </c>
      <c r="K627" s="3">
        <f t="shared" si="18"/>
        <v>0</v>
      </c>
      <c r="L627" s="3">
        <f>IF(ISERROR(VLOOKUP(J627,Lookups!$A$2:$A$16,1,FALSE)),1,0)</f>
        <v>0</v>
      </c>
      <c r="M627" s="3">
        <f>IF(ISERROR(VLOOKUP(D627,Data!$A$2:$D$223100,2,FALSE)),0,1)</f>
        <v>0</v>
      </c>
      <c r="N627" s="3">
        <f t="shared" si="19"/>
        <v>0</v>
      </c>
      <c r="O627" s="3" t="str">
        <f>IF(ISERROR(VLOOKUP(D627,Data!$A$2:$C$223100,3,FALSE)),"INACTIVE",VLOOKUP(D627,Data!$A$2:$C$223100,3,FALSE))</f>
        <v>INACTIVE</v>
      </c>
    </row>
    <row r="628" spans="1:15" x14ac:dyDescent="0.25">
      <c r="A628" t="s">
        <v>8470</v>
      </c>
      <c r="B628" t="s">
        <v>8471</v>
      </c>
      <c r="C628" t="s">
        <v>8541</v>
      </c>
      <c r="D628" t="s">
        <v>8542</v>
      </c>
      <c r="E628" t="s">
        <v>5</v>
      </c>
      <c r="F628" t="s">
        <v>5</v>
      </c>
      <c r="G628" t="s">
        <v>5</v>
      </c>
      <c r="H628" t="s">
        <v>8543</v>
      </c>
      <c r="I628" t="s">
        <v>8426</v>
      </c>
      <c r="J628" t="s">
        <v>90</v>
      </c>
      <c r="K628" s="3">
        <f t="shared" si="18"/>
        <v>0</v>
      </c>
      <c r="L628" s="3">
        <f>IF(ISERROR(VLOOKUP(J628,Lookups!$A$2:$A$16,1,FALSE)),1,0)</f>
        <v>0</v>
      </c>
      <c r="M628" s="3">
        <f>IF(ISERROR(VLOOKUP(D628,Data!$A$2:$D$223100,2,FALSE)),0,1)</f>
        <v>1</v>
      </c>
      <c r="N628" s="3">
        <f t="shared" si="19"/>
        <v>0</v>
      </c>
      <c r="O628" s="3" t="str">
        <f>IF(ISERROR(VLOOKUP(D628,Data!$A$2:$C$223100,3,FALSE)),"INACTIVE",VLOOKUP(D628,Data!$A$2:$C$223100,3,FALSE))</f>
        <v>Current</v>
      </c>
    </row>
    <row r="629" spans="1:15" x14ac:dyDescent="0.25">
      <c r="A629" t="s">
        <v>8470</v>
      </c>
      <c r="B629" t="s">
        <v>8471</v>
      </c>
      <c r="C629" t="s">
        <v>8544</v>
      </c>
      <c r="D629" t="s">
        <v>8545</v>
      </c>
      <c r="E629" t="s">
        <v>5</v>
      </c>
      <c r="F629" t="s">
        <v>8546</v>
      </c>
      <c r="G629" t="s">
        <v>8547</v>
      </c>
      <c r="H629" t="s">
        <v>8548</v>
      </c>
      <c r="I629" t="s">
        <v>8426</v>
      </c>
      <c r="J629" t="s">
        <v>90</v>
      </c>
      <c r="K629" s="3">
        <f t="shared" si="18"/>
        <v>0</v>
      </c>
      <c r="L629" s="3">
        <f>IF(ISERROR(VLOOKUP(J629,Lookups!$A$2:$A$16,1,FALSE)),1,0)</f>
        <v>0</v>
      </c>
      <c r="M629" s="3">
        <f>IF(ISERROR(VLOOKUP(D629,Data!$A$2:$D$223100,2,FALSE)),0,1)</f>
        <v>1</v>
      </c>
      <c r="N629" s="3">
        <f t="shared" si="19"/>
        <v>0</v>
      </c>
      <c r="O629" s="3" t="str">
        <f>IF(ISERROR(VLOOKUP(D629,Data!$A$2:$C$223100,3,FALSE)),"INACTIVE",VLOOKUP(D629,Data!$A$2:$C$223100,3,FALSE))</f>
        <v>FC</v>
      </c>
    </row>
    <row r="630" spans="1:15" x14ac:dyDescent="0.25">
      <c r="A630" t="s">
        <v>8470</v>
      </c>
      <c r="B630" t="s">
        <v>8471</v>
      </c>
      <c r="C630" t="s">
        <v>5768</v>
      </c>
      <c r="D630" t="s">
        <v>5769</v>
      </c>
      <c r="E630" t="s">
        <v>5</v>
      </c>
      <c r="F630" t="s">
        <v>5</v>
      </c>
      <c r="G630" t="s">
        <v>5</v>
      </c>
      <c r="H630" t="s">
        <v>8549</v>
      </c>
      <c r="I630" t="s">
        <v>8426</v>
      </c>
      <c r="J630" t="s">
        <v>96</v>
      </c>
      <c r="K630" s="3">
        <f t="shared" si="18"/>
        <v>0</v>
      </c>
      <c r="L630" s="3">
        <f>IF(ISERROR(VLOOKUP(J630,Lookups!$A$2:$A$16,1,FALSE)),1,0)</f>
        <v>0</v>
      </c>
      <c r="M630" s="3">
        <f>IF(ISERROR(VLOOKUP(D630,Data!$A$2:$D$223100,2,FALSE)),0,1)</f>
        <v>1</v>
      </c>
      <c r="N630" s="3">
        <f t="shared" si="19"/>
        <v>0</v>
      </c>
      <c r="O630" s="3" t="str">
        <f>IF(ISERROR(VLOOKUP(D630,Data!$A$2:$C$223100,3,FALSE)),"INACTIVE",VLOOKUP(D630,Data!$A$2:$C$223100,3,FALSE))</f>
        <v>FC</v>
      </c>
    </row>
    <row r="631" spans="1:15" x14ac:dyDescent="0.25">
      <c r="A631" t="s">
        <v>8470</v>
      </c>
      <c r="B631" t="s">
        <v>8471</v>
      </c>
      <c r="C631" t="s">
        <v>5768</v>
      </c>
      <c r="D631" t="s">
        <v>5769</v>
      </c>
      <c r="E631" t="s">
        <v>8550</v>
      </c>
      <c r="F631" t="s">
        <v>8551</v>
      </c>
      <c r="G631" t="s">
        <v>8552</v>
      </c>
      <c r="H631" t="s">
        <v>8553</v>
      </c>
      <c r="I631" t="s">
        <v>8426</v>
      </c>
      <c r="J631" t="s">
        <v>96</v>
      </c>
      <c r="K631" s="3">
        <f t="shared" si="18"/>
        <v>0</v>
      </c>
      <c r="L631" s="3">
        <f>IF(ISERROR(VLOOKUP(J631,Lookups!$A$2:$A$16,1,FALSE)),1,0)</f>
        <v>0</v>
      </c>
      <c r="M631" s="3">
        <f>IF(ISERROR(VLOOKUP(D631,Data!$A$2:$D$223100,2,FALSE)),0,1)</f>
        <v>1</v>
      </c>
      <c r="N631" s="3">
        <f t="shared" si="19"/>
        <v>0</v>
      </c>
      <c r="O631" s="3" t="str">
        <f>IF(ISERROR(VLOOKUP(D631,Data!$A$2:$C$223100,3,FALSE)),"INACTIVE",VLOOKUP(D631,Data!$A$2:$C$223100,3,FALSE))</f>
        <v>FC</v>
      </c>
    </row>
    <row r="632" spans="1:15" x14ac:dyDescent="0.25">
      <c r="A632" t="s">
        <v>8470</v>
      </c>
      <c r="B632" t="s">
        <v>8471</v>
      </c>
      <c r="C632" t="s">
        <v>5770</v>
      </c>
      <c r="D632" t="s">
        <v>5771</v>
      </c>
      <c r="E632" t="s">
        <v>5</v>
      </c>
      <c r="F632" t="s">
        <v>5</v>
      </c>
      <c r="G632" t="s">
        <v>5</v>
      </c>
      <c r="H632" t="s">
        <v>8554</v>
      </c>
      <c r="I632" t="s">
        <v>8426</v>
      </c>
      <c r="J632" t="s">
        <v>90</v>
      </c>
      <c r="K632" s="3">
        <f t="shared" si="18"/>
        <v>0</v>
      </c>
      <c r="L632" s="3">
        <f>IF(ISERROR(VLOOKUP(J632,Lookups!$A$2:$A$16,1,FALSE)),1,0)</f>
        <v>0</v>
      </c>
      <c r="M632" s="3">
        <f>IF(ISERROR(VLOOKUP(D632,Data!$A$2:$D$223100,2,FALSE)),0,1)</f>
        <v>1</v>
      </c>
      <c r="N632" s="3">
        <f t="shared" si="19"/>
        <v>0</v>
      </c>
      <c r="O632" s="3" t="str">
        <f>IF(ISERROR(VLOOKUP(D632,Data!$A$2:$C$223100,3,FALSE)),"INACTIVE",VLOOKUP(D632,Data!$A$2:$C$223100,3,FALSE))</f>
        <v>60+</v>
      </c>
    </row>
    <row r="633" spans="1:15" x14ac:dyDescent="0.25">
      <c r="A633" t="s">
        <v>8470</v>
      </c>
      <c r="B633" t="s">
        <v>8471</v>
      </c>
      <c r="C633" t="s">
        <v>8555</v>
      </c>
      <c r="D633" t="s">
        <v>8556</v>
      </c>
      <c r="E633" t="s">
        <v>5</v>
      </c>
      <c r="F633" t="s">
        <v>5</v>
      </c>
      <c r="G633" t="s">
        <v>5</v>
      </c>
      <c r="H633" t="s">
        <v>8557</v>
      </c>
      <c r="I633" t="s">
        <v>8426</v>
      </c>
      <c r="J633" t="s">
        <v>90</v>
      </c>
      <c r="K633" s="3">
        <f t="shared" si="18"/>
        <v>0</v>
      </c>
      <c r="L633" s="3">
        <f>IF(ISERROR(VLOOKUP(J633,Lookups!$A$2:$A$16,1,FALSE)),1,0)</f>
        <v>0</v>
      </c>
      <c r="M633" s="3">
        <f>IF(ISERROR(VLOOKUP(D633,Data!$A$2:$D$223100,2,FALSE)),0,1)</f>
        <v>1</v>
      </c>
      <c r="N633" s="3">
        <f t="shared" si="19"/>
        <v>0</v>
      </c>
      <c r="O633" s="3" t="str">
        <f>IF(ISERROR(VLOOKUP(D633,Data!$A$2:$C$223100,3,FALSE)),"INACTIVE",VLOOKUP(D633,Data!$A$2:$C$223100,3,FALSE))</f>
        <v>120+</v>
      </c>
    </row>
    <row r="634" spans="1:15" x14ac:dyDescent="0.25">
      <c r="A634" t="s">
        <v>8470</v>
      </c>
      <c r="B634" t="s">
        <v>8471</v>
      </c>
      <c r="C634" t="s">
        <v>8558</v>
      </c>
      <c r="D634" t="s">
        <v>8559</v>
      </c>
      <c r="E634" t="s">
        <v>5</v>
      </c>
      <c r="F634" t="s">
        <v>5</v>
      </c>
      <c r="G634" t="s">
        <v>5</v>
      </c>
      <c r="H634" t="s">
        <v>8560</v>
      </c>
      <c r="I634" t="s">
        <v>8426</v>
      </c>
      <c r="J634" t="s">
        <v>90</v>
      </c>
      <c r="K634" s="3">
        <f t="shared" si="18"/>
        <v>0</v>
      </c>
      <c r="L634" s="3">
        <f>IF(ISERROR(VLOOKUP(J634,Lookups!$A$2:$A$16,1,FALSE)),1,0)</f>
        <v>0</v>
      </c>
      <c r="M634" s="3">
        <f>IF(ISERROR(VLOOKUP(D634,Data!$A$2:$D$223100,2,FALSE)),0,1)</f>
        <v>1</v>
      </c>
      <c r="N634" s="3">
        <f t="shared" si="19"/>
        <v>0</v>
      </c>
      <c r="O634" s="3" t="str">
        <f>IF(ISERROR(VLOOKUP(D634,Data!$A$2:$C$223100,3,FALSE)),"INACTIVE",VLOOKUP(D634,Data!$A$2:$C$223100,3,FALSE))</f>
        <v>FC</v>
      </c>
    </row>
    <row r="635" spans="1:15" x14ac:dyDescent="0.25">
      <c r="A635" t="s">
        <v>8470</v>
      </c>
      <c r="B635" t="s">
        <v>8471</v>
      </c>
      <c r="C635" t="s">
        <v>8561</v>
      </c>
      <c r="D635" t="s">
        <v>8562</v>
      </c>
      <c r="E635" t="s">
        <v>5</v>
      </c>
      <c r="F635" t="s">
        <v>5</v>
      </c>
      <c r="G635" t="s">
        <v>5</v>
      </c>
      <c r="H635" t="s">
        <v>8563</v>
      </c>
      <c r="I635" t="s">
        <v>8426</v>
      </c>
      <c r="J635" t="s">
        <v>90</v>
      </c>
      <c r="K635" s="3">
        <f t="shared" si="18"/>
        <v>0</v>
      </c>
      <c r="L635" s="3">
        <f>IF(ISERROR(VLOOKUP(J635,Lookups!$A$2:$A$16,1,FALSE)),1,0)</f>
        <v>0</v>
      </c>
      <c r="M635" s="3">
        <f>IF(ISERROR(VLOOKUP(D635,Data!$A$2:$D$223100,2,FALSE)),0,1)</f>
        <v>1</v>
      </c>
      <c r="N635" s="3">
        <f t="shared" si="19"/>
        <v>0</v>
      </c>
      <c r="O635" s="3" t="str">
        <f>IF(ISERROR(VLOOKUP(D635,Data!$A$2:$C$223100,3,FALSE)),"INACTIVE",VLOOKUP(D635,Data!$A$2:$C$223100,3,FALSE))</f>
        <v>Current</v>
      </c>
    </row>
    <row r="636" spans="1:15" x14ac:dyDescent="0.25">
      <c r="A636" t="s">
        <v>8470</v>
      </c>
      <c r="B636" t="s">
        <v>8471</v>
      </c>
      <c r="C636" t="s">
        <v>8564</v>
      </c>
      <c r="D636" t="s">
        <v>8565</v>
      </c>
      <c r="E636" t="s">
        <v>5</v>
      </c>
      <c r="F636" t="s">
        <v>5</v>
      </c>
      <c r="G636" t="s">
        <v>5</v>
      </c>
      <c r="H636" t="s">
        <v>8566</v>
      </c>
      <c r="I636" t="s">
        <v>8426</v>
      </c>
      <c r="J636" t="s">
        <v>90</v>
      </c>
      <c r="K636" s="3">
        <f t="shared" si="18"/>
        <v>0</v>
      </c>
      <c r="L636" s="3">
        <f>IF(ISERROR(VLOOKUP(J636,Lookups!$A$2:$A$16,1,FALSE)),1,0)</f>
        <v>0</v>
      </c>
      <c r="M636" s="3">
        <f>IF(ISERROR(VLOOKUP(D636,Data!$A$2:$D$223100,2,FALSE)),0,1)</f>
        <v>0</v>
      </c>
      <c r="N636" s="3">
        <f t="shared" si="19"/>
        <v>0</v>
      </c>
      <c r="O636" s="3" t="str">
        <f>IF(ISERROR(VLOOKUP(D636,Data!$A$2:$C$223100,3,FALSE)),"INACTIVE",VLOOKUP(D636,Data!$A$2:$C$223100,3,FALSE))</f>
        <v>INACTIVE</v>
      </c>
    </row>
    <row r="637" spans="1:15" x14ac:dyDescent="0.25">
      <c r="A637" t="s">
        <v>8470</v>
      </c>
      <c r="B637" t="s">
        <v>8471</v>
      </c>
      <c r="C637" t="s">
        <v>8567</v>
      </c>
      <c r="D637" t="s">
        <v>8568</v>
      </c>
      <c r="E637" t="s">
        <v>5</v>
      </c>
      <c r="F637" t="s">
        <v>8569</v>
      </c>
      <c r="G637" t="s">
        <v>8570</v>
      </c>
      <c r="H637" t="s">
        <v>8571</v>
      </c>
      <c r="I637" t="s">
        <v>8426</v>
      </c>
      <c r="J637" t="s">
        <v>90</v>
      </c>
      <c r="K637" s="3">
        <f t="shared" si="18"/>
        <v>0</v>
      </c>
      <c r="L637" s="3">
        <f>IF(ISERROR(VLOOKUP(J637,Lookups!$A$2:$A$16,1,FALSE)),1,0)</f>
        <v>0</v>
      </c>
      <c r="M637" s="3">
        <f>IF(ISERROR(VLOOKUP(D637,Data!$A$2:$D$223100,2,FALSE)),0,1)</f>
        <v>1</v>
      </c>
      <c r="N637" s="3">
        <f t="shared" si="19"/>
        <v>0</v>
      </c>
      <c r="O637" s="3" t="str">
        <f>IF(ISERROR(VLOOKUP(D637,Data!$A$2:$C$223100,3,FALSE)),"INACTIVE",VLOOKUP(D637,Data!$A$2:$C$223100,3,FALSE))</f>
        <v>FC</v>
      </c>
    </row>
    <row r="638" spans="1:15" x14ac:dyDescent="0.25">
      <c r="A638" t="s">
        <v>8470</v>
      </c>
      <c r="B638" t="s">
        <v>8471</v>
      </c>
      <c r="C638" t="s">
        <v>8572</v>
      </c>
      <c r="D638" t="s">
        <v>8573</v>
      </c>
      <c r="E638" t="s">
        <v>5</v>
      </c>
      <c r="F638" t="s">
        <v>5</v>
      </c>
      <c r="G638" t="s">
        <v>5</v>
      </c>
      <c r="H638" t="s">
        <v>8574</v>
      </c>
      <c r="I638" t="s">
        <v>8426</v>
      </c>
      <c r="J638" t="s">
        <v>90</v>
      </c>
      <c r="K638" s="3">
        <f t="shared" si="18"/>
        <v>0</v>
      </c>
      <c r="L638" s="3">
        <f>IF(ISERROR(VLOOKUP(J638,Lookups!$A$2:$A$16,1,FALSE)),1,0)</f>
        <v>0</v>
      </c>
      <c r="M638" s="3">
        <f>IF(ISERROR(VLOOKUP(D638,Data!$A$2:$D$223100,2,FALSE)),0,1)</f>
        <v>1</v>
      </c>
      <c r="N638" s="3">
        <f t="shared" si="19"/>
        <v>0</v>
      </c>
      <c r="O638" s="3" t="str">
        <f>IF(ISERROR(VLOOKUP(D638,Data!$A$2:$C$223100,3,FALSE)),"INACTIVE",VLOOKUP(D638,Data!$A$2:$C$223100,3,FALSE))</f>
        <v>30+</v>
      </c>
    </row>
    <row r="639" spans="1:15" x14ac:dyDescent="0.25">
      <c r="A639" t="s">
        <v>8470</v>
      </c>
      <c r="B639" t="s">
        <v>8471</v>
      </c>
      <c r="C639" t="s">
        <v>8575</v>
      </c>
      <c r="D639" t="s">
        <v>8576</v>
      </c>
      <c r="E639" t="s">
        <v>7120</v>
      </c>
      <c r="F639" t="s">
        <v>7120</v>
      </c>
      <c r="G639" t="s">
        <v>7120</v>
      </c>
      <c r="H639" t="s">
        <v>8577</v>
      </c>
      <c r="I639" t="s">
        <v>8426</v>
      </c>
      <c r="J639" t="s">
        <v>90</v>
      </c>
      <c r="K639" s="3">
        <f t="shared" si="18"/>
        <v>0</v>
      </c>
      <c r="L639" s="3">
        <f>IF(ISERROR(VLOOKUP(J639,Lookups!$A$2:$A$16,1,FALSE)),1,0)</f>
        <v>0</v>
      </c>
      <c r="M639" s="3">
        <f>IF(ISERROR(VLOOKUP(D639,Data!$A$2:$D$223100,2,FALSE)),0,1)</f>
        <v>1</v>
      </c>
      <c r="N639" s="3">
        <f t="shared" si="19"/>
        <v>0</v>
      </c>
      <c r="O639" s="3" t="str">
        <f>IF(ISERROR(VLOOKUP(D639,Data!$A$2:$C$223100,3,FALSE)),"INACTIVE",VLOOKUP(D639,Data!$A$2:$C$223100,3,FALSE))</f>
        <v>FC</v>
      </c>
    </row>
    <row r="640" spans="1:15" x14ac:dyDescent="0.25">
      <c r="A640" t="s">
        <v>8470</v>
      </c>
      <c r="B640" t="s">
        <v>8471</v>
      </c>
      <c r="C640" t="s">
        <v>8578</v>
      </c>
      <c r="D640" t="s">
        <v>8579</v>
      </c>
      <c r="E640" t="s">
        <v>5</v>
      </c>
      <c r="F640" t="s">
        <v>5</v>
      </c>
      <c r="G640" t="s">
        <v>5</v>
      </c>
      <c r="H640" t="s">
        <v>8580</v>
      </c>
      <c r="I640" t="s">
        <v>8426</v>
      </c>
      <c r="J640" t="s">
        <v>90</v>
      </c>
      <c r="K640" s="3">
        <f t="shared" si="18"/>
        <v>0</v>
      </c>
      <c r="L640" s="3">
        <f>IF(ISERROR(VLOOKUP(J640,Lookups!$A$2:$A$16,1,FALSE)),1,0)</f>
        <v>0</v>
      </c>
      <c r="M640" s="3">
        <f>IF(ISERROR(VLOOKUP(D640,Data!$A$2:$D$223100,2,FALSE)),0,1)</f>
        <v>1</v>
      </c>
      <c r="N640" s="3">
        <f t="shared" si="19"/>
        <v>0</v>
      </c>
      <c r="O640" s="3" t="str">
        <f>IF(ISERROR(VLOOKUP(D640,Data!$A$2:$C$223100,3,FALSE)),"INACTIVE",VLOOKUP(D640,Data!$A$2:$C$223100,3,FALSE))</f>
        <v>Current</v>
      </c>
    </row>
    <row r="641" spans="1:15" x14ac:dyDescent="0.25">
      <c r="A641" t="s">
        <v>8470</v>
      </c>
      <c r="B641" t="s">
        <v>8471</v>
      </c>
      <c r="C641" t="s">
        <v>8581</v>
      </c>
      <c r="D641" t="s">
        <v>8582</v>
      </c>
      <c r="E641" t="s">
        <v>5</v>
      </c>
      <c r="F641" t="s">
        <v>5</v>
      </c>
      <c r="G641" t="s">
        <v>5</v>
      </c>
      <c r="H641" t="s">
        <v>8583</v>
      </c>
      <c r="I641" t="s">
        <v>8426</v>
      </c>
      <c r="J641" t="s">
        <v>90</v>
      </c>
      <c r="K641" s="3">
        <f t="shared" si="18"/>
        <v>0</v>
      </c>
      <c r="L641" s="3">
        <f>IF(ISERROR(VLOOKUP(J641,Lookups!$A$2:$A$16,1,FALSE)),1,0)</f>
        <v>0</v>
      </c>
      <c r="M641" s="3">
        <f>IF(ISERROR(VLOOKUP(D641,Data!$A$2:$D$223100,2,FALSE)),0,1)</f>
        <v>1</v>
      </c>
      <c r="N641" s="3">
        <f t="shared" si="19"/>
        <v>0</v>
      </c>
      <c r="O641" s="3" t="str">
        <f>IF(ISERROR(VLOOKUP(D641,Data!$A$2:$C$223100,3,FALSE)),"INACTIVE",VLOOKUP(D641,Data!$A$2:$C$223100,3,FALSE))</f>
        <v>Current</v>
      </c>
    </row>
    <row r="642" spans="1:15" x14ac:dyDescent="0.25">
      <c r="A642" t="s">
        <v>8470</v>
      </c>
      <c r="B642" t="s">
        <v>8471</v>
      </c>
      <c r="C642" t="s">
        <v>8584</v>
      </c>
      <c r="D642" t="s">
        <v>8585</v>
      </c>
      <c r="E642" t="s">
        <v>5</v>
      </c>
      <c r="F642" t="s">
        <v>5</v>
      </c>
      <c r="G642" t="s">
        <v>5</v>
      </c>
      <c r="H642" t="s">
        <v>8586</v>
      </c>
      <c r="I642" t="s">
        <v>8426</v>
      </c>
      <c r="J642" t="s">
        <v>90</v>
      </c>
      <c r="K642" s="3">
        <f t="shared" si="18"/>
        <v>0</v>
      </c>
      <c r="L642" s="3">
        <f>IF(ISERROR(VLOOKUP(J642,Lookups!$A$2:$A$16,1,FALSE)),1,0)</f>
        <v>0</v>
      </c>
      <c r="M642" s="3">
        <f>IF(ISERROR(VLOOKUP(D642,Data!$A$2:$D$223100,2,FALSE)),0,1)</f>
        <v>1</v>
      </c>
      <c r="N642" s="3">
        <f t="shared" si="19"/>
        <v>0</v>
      </c>
      <c r="O642" s="3" t="str">
        <f>IF(ISERROR(VLOOKUP(D642,Data!$A$2:$C$223100,3,FALSE)),"INACTIVE",VLOOKUP(D642,Data!$A$2:$C$223100,3,FALSE))</f>
        <v>Current</v>
      </c>
    </row>
    <row r="643" spans="1:15" x14ac:dyDescent="0.25">
      <c r="A643" t="s">
        <v>8470</v>
      </c>
      <c r="B643" t="s">
        <v>8471</v>
      </c>
      <c r="C643" t="s">
        <v>8587</v>
      </c>
      <c r="D643" t="s">
        <v>8588</v>
      </c>
      <c r="E643" t="s">
        <v>5</v>
      </c>
      <c r="F643" t="s">
        <v>5</v>
      </c>
      <c r="G643" t="s">
        <v>5</v>
      </c>
      <c r="H643" t="s">
        <v>8589</v>
      </c>
      <c r="I643" t="s">
        <v>8426</v>
      </c>
      <c r="J643" t="s">
        <v>90</v>
      </c>
      <c r="K643" s="3">
        <f t="shared" ref="K643:K706" si="20">IF(ISERROR(FIND("LIEN",A643,1)),0,1)</f>
        <v>0</v>
      </c>
      <c r="L643" s="3">
        <f>IF(ISERROR(VLOOKUP(J643,Lookups!$A$2:$A$16,1,FALSE)),1,0)</f>
        <v>0</v>
      </c>
      <c r="M643" s="3">
        <f>IF(ISERROR(VLOOKUP(D643,Data!$A$2:$D$223100,2,FALSE)),0,1)</f>
        <v>1</v>
      </c>
      <c r="N643" s="3">
        <f t="shared" ref="N643:N706" si="21">IF(M643=0,0,IF(SUM(K643:L643)&gt;0,1,0))</f>
        <v>0</v>
      </c>
      <c r="O643" s="3" t="str">
        <f>IF(ISERROR(VLOOKUP(D643,Data!$A$2:$C$223100,3,FALSE)),"INACTIVE",VLOOKUP(D643,Data!$A$2:$C$223100,3,FALSE))</f>
        <v>120+</v>
      </c>
    </row>
    <row r="644" spans="1:15" x14ac:dyDescent="0.25">
      <c r="A644" t="s">
        <v>8470</v>
      </c>
      <c r="B644" t="s">
        <v>8471</v>
      </c>
      <c r="C644" t="s">
        <v>8590</v>
      </c>
      <c r="D644" t="s">
        <v>8591</v>
      </c>
      <c r="E644" t="s">
        <v>5</v>
      </c>
      <c r="F644" t="s">
        <v>5</v>
      </c>
      <c r="G644" t="s">
        <v>5</v>
      </c>
      <c r="H644" t="s">
        <v>8592</v>
      </c>
      <c r="I644" t="s">
        <v>8426</v>
      </c>
      <c r="J644" t="s">
        <v>90</v>
      </c>
      <c r="K644" s="3">
        <f t="shared" si="20"/>
        <v>0</v>
      </c>
      <c r="L644" s="3">
        <f>IF(ISERROR(VLOOKUP(J644,Lookups!$A$2:$A$16,1,FALSE)),1,0)</f>
        <v>0</v>
      </c>
      <c r="M644" s="3">
        <f>IF(ISERROR(VLOOKUP(D644,Data!$A$2:$D$223100,2,FALSE)),0,1)</f>
        <v>1</v>
      </c>
      <c r="N644" s="3">
        <f t="shared" si="21"/>
        <v>0</v>
      </c>
      <c r="O644" s="3" t="str">
        <f>IF(ISERROR(VLOOKUP(D644,Data!$A$2:$C$223100,3,FALSE)),"INACTIVE",VLOOKUP(D644,Data!$A$2:$C$223100,3,FALSE))</f>
        <v>30+</v>
      </c>
    </row>
    <row r="645" spans="1:15" x14ac:dyDescent="0.25">
      <c r="A645" t="s">
        <v>8470</v>
      </c>
      <c r="B645" t="s">
        <v>8471</v>
      </c>
      <c r="C645" t="s">
        <v>8593</v>
      </c>
      <c r="D645" t="s">
        <v>8594</v>
      </c>
      <c r="E645" t="s">
        <v>5</v>
      </c>
      <c r="F645" t="s">
        <v>5</v>
      </c>
      <c r="G645" t="s">
        <v>5</v>
      </c>
      <c r="H645" t="s">
        <v>8595</v>
      </c>
      <c r="I645" t="s">
        <v>8426</v>
      </c>
      <c r="J645" t="s">
        <v>90</v>
      </c>
      <c r="K645" s="3">
        <f t="shared" si="20"/>
        <v>0</v>
      </c>
      <c r="L645" s="3">
        <f>IF(ISERROR(VLOOKUP(J645,Lookups!$A$2:$A$16,1,FALSE)),1,0)</f>
        <v>0</v>
      </c>
      <c r="M645" s="3">
        <f>IF(ISERROR(VLOOKUP(D645,Data!$A$2:$D$223100,2,FALSE)),0,1)</f>
        <v>1</v>
      </c>
      <c r="N645" s="3">
        <f t="shared" si="21"/>
        <v>0</v>
      </c>
      <c r="O645" s="3" t="str">
        <f>IF(ISERROR(VLOOKUP(D645,Data!$A$2:$C$223100,3,FALSE)),"INACTIVE",VLOOKUP(D645,Data!$A$2:$C$223100,3,FALSE))</f>
        <v>150+</v>
      </c>
    </row>
    <row r="646" spans="1:15" x14ac:dyDescent="0.25">
      <c r="A646" t="s">
        <v>8470</v>
      </c>
      <c r="B646" t="s">
        <v>8471</v>
      </c>
      <c r="C646" t="s">
        <v>8596</v>
      </c>
      <c r="D646" t="s">
        <v>8597</v>
      </c>
      <c r="E646" t="s">
        <v>5</v>
      </c>
      <c r="F646" t="s">
        <v>5</v>
      </c>
      <c r="G646" t="s">
        <v>5</v>
      </c>
      <c r="H646" t="s">
        <v>8598</v>
      </c>
      <c r="I646" t="s">
        <v>8426</v>
      </c>
      <c r="J646" t="s">
        <v>90</v>
      </c>
      <c r="K646" s="3">
        <f t="shared" si="20"/>
        <v>0</v>
      </c>
      <c r="L646" s="3">
        <f>IF(ISERROR(VLOOKUP(J646,Lookups!$A$2:$A$16,1,FALSE)),1,0)</f>
        <v>0</v>
      </c>
      <c r="M646" s="3">
        <f>IF(ISERROR(VLOOKUP(D646,Data!$A$2:$D$223100,2,FALSE)),0,1)</f>
        <v>1</v>
      </c>
      <c r="N646" s="3">
        <f t="shared" si="21"/>
        <v>0</v>
      </c>
      <c r="O646" s="3" t="str">
        <f>IF(ISERROR(VLOOKUP(D646,Data!$A$2:$C$223100,3,FALSE)),"INACTIVE",VLOOKUP(D646,Data!$A$2:$C$223100,3,FALSE))</f>
        <v>Current</v>
      </c>
    </row>
    <row r="647" spans="1:15" x14ac:dyDescent="0.25">
      <c r="A647" t="s">
        <v>8470</v>
      </c>
      <c r="B647" t="s">
        <v>8471</v>
      </c>
      <c r="C647" t="s">
        <v>8599</v>
      </c>
      <c r="D647" t="s">
        <v>8600</v>
      </c>
      <c r="E647" t="s">
        <v>5</v>
      </c>
      <c r="F647" t="s">
        <v>5</v>
      </c>
      <c r="G647" t="s">
        <v>5</v>
      </c>
      <c r="H647" t="s">
        <v>8601</v>
      </c>
      <c r="I647" t="s">
        <v>8426</v>
      </c>
      <c r="J647" t="s">
        <v>90</v>
      </c>
      <c r="K647" s="3">
        <f t="shared" si="20"/>
        <v>0</v>
      </c>
      <c r="L647" s="3">
        <f>IF(ISERROR(VLOOKUP(J647,Lookups!$A$2:$A$16,1,FALSE)),1,0)</f>
        <v>0</v>
      </c>
      <c r="M647" s="3">
        <f>IF(ISERROR(VLOOKUP(D647,Data!$A$2:$D$223100,2,FALSE)),0,1)</f>
        <v>1</v>
      </c>
      <c r="N647" s="3">
        <f t="shared" si="21"/>
        <v>0</v>
      </c>
      <c r="O647" s="3" t="str">
        <f>IF(ISERROR(VLOOKUP(D647,Data!$A$2:$C$223100,3,FALSE)),"INACTIVE",VLOOKUP(D647,Data!$A$2:$C$223100,3,FALSE))</f>
        <v>Current</v>
      </c>
    </row>
    <row r="648" spans="1:15" x14ac:dyDescent="0.25">
      <c r="A648" t="s">
        <v>8470</v>
      </c>
      <c r="B648" t="s">
        <v>8471</v>
      </c>
      <c r="C648" t="s">
        <v>8602</v>
      </c>
      <c r="D648" t="s">
        <v>8603</v>
      </c>
      <c r="E648" t="s">
        <v>5</v>
      </c>
      <c r="F648" t="s">
        <v>5</v>
      </c>
      <c r="G648" t="s">
        <v>5</v>
      </c>
      <c r="H648" t="s">
        <v>8604</v>
      </c>
      <c r="I648" t="s">
        <v>8426</v>
      </c>
      <c r="J648" t="s">
        <v>90</v>
      </c>
      <c r="K648" s="3">
        <f t="shared" si="20"/>
        <v>0</v>
      </c>
      <c r="L648" s="3">
        <f>IF(ISERROR(VLOOKUP(J648,Lookups!$A$2:$A$16,1,FALSE)),1,0)</f>
        <v>0</v>
      </c>
      <c r="M648" s="3">
        <f>IF(ISERROR(VLOOKUP(D648,Data!$A$2:$D$223100,2,FALSE)),0,1)</f>
        <v>1</v>
      </c>
      <c r="N648" s="3">
        <f t="shared" si="21"/>
        <v>0</v>
      </c>
      <c r="O648" s="3" t="str">
        <f>IF(ISERROR(VLOOKUP(D648,Data!$A$2:$C$223100,3,FALSE)),"INACTIVE",VLOOKUP(D648,Data!$A$2:$C$223100,3,FALSE))</f>
        <v>150+</v>
      </c>
    </row>
    <row r="649" spans="1:15" x14ac:dyDescent="0.25">
      <c r="A649" t="s">
        <v>8470</v>
      </c>
      <c r="B649" t="s">
        <v>8471</v>
      </c>
      <c r="C649" t="s">
        <v>8605</v>
      </c>
      <c r="D649" t="s">
        <v>8606</v>
      </c>
      <c r="E649" t="s">
        <v>5</v>
      </c>
      <c r="F649" t="s">
        <v>5</v>
      </c>
      <c r="G649" t="s">
        <v>5</v>
      </c>
      <c r="H649" t="s">
        <v>8607</v>
      </c>
      <c r="I649" t="s">
        <v>8426</v>
      </c>
      <c r="J649" t="s">
        <v>90</v>
      </c>
      <c r="K649" s="3">
        <f t="shared" si="20"/>
        <v>0</v>
      </c>
      <c r="L649" s="3">
        <f>IF(ISERROR(VLOOKUP(J649,Lookups!$A$2:$A$16,1,FALSE)),1,0)</f>
        <v>0</v>
      </c>
      <c r="M649" s="3">
        <f>IF(ISERROR(VLOOKUP(D649,Data!$A$2:$D$223100,2,FALSE)),0,1)</f>
        <v>1</v>
      </c>
      <c r="N649" s="3">
        <f t="shared" si="21"/>
        <v>0</v>
      </c>
      <c r="O649" s="3" t="str">
        <f>IF(ISERROR(VLOOKUP(D649,Data!$A$2:$C$223100,3,FALSE)),"INACTIVE",VLOOKUP(D649,Data!$A$2:$C$223100,3,FALSE))</f>
        <v>FBA</v>
      </c>
    </row>
    <row r="650" spans="1:15" x14ac:dyDescent="0.25">
      <c r="A650" t="s">
        <v>8470</v>
      </c>
      <c r="B650" t="s">
        <v>8471</v>
      </c>
      <c r="C650" t="s">
        <v>5774</v>
      </c>
      <c r="D650" t="s">
        <v>5775</v>
      </c>
      <c r="E650" t="s">
        <v>8608</v>
      </c>
      <c r="F650" t="s">
        <v>8609</v>
      </c>
      <c r="G650" t="s">
        <v>8610</v>
      </c>
      <c r="H650" t="s">
        <v>8611</v>
      </c>
      <c r="I650" t="s">
        <v>8426</v>
      </c>
      <c r="J650" t="s">
        <v>90</v>
      </c>
      <c r="K650" s="3">
        <f t="shared" si="20"/>
        <v>0</v>
      </c>
      <c r="L650" s="3">
        <f>IF(ISERROR(VLOOKUP(J650,Lookups!$A$2:$A$16,1,FALSE)),1,0)</f>
        <v>0</v>
      </c>
      <c r="M650" s="3">
        <f>IF(ISERROR(VLOOKUP(D650,Data!$A$2:$D$223100,2,FALSE)),0,1)</f>
        <v>1</v>
      </c>
      <c r="N650" s="3">
        <f t="shared" si="21"/>
        <v>0</v>
      </c>
      <c r="O650" s="3" t="str">
        <f>IF(ISERROR(VLOOKUP(D650,Data!$A$2:$C$223100,3,FALSE)),"INACTIVE",VLOOKUP(D650,Data!$A$2:$C$223100,3,FALSE))</f>
        <v>FC</v>
      </c>
    </row>
    <row r="651" spans="1:15" x14ac:dyDescent="0.25">
      <c r="A651" t="s">
        <v>8470</v>
      </c>
      <c r="B651" t="s">
        <v>8471</v>
      </c>
      <c r="C651" t="s">
        <v>8612</v>
      </c>
      <c r="D651" t="s">
        <v>8613</v>
      </c>
      <c r="E651" t="s">
        <v>5</v>
      </c>
      <c r="F651" t="s">
        <v>5</v>
      </c>
      <c r="G651" t="s">
        <v>5</v>
      </c>
      <c r="H651" t="s">
        <v>8614</v>
      </c>
      <c r="I651" t="s">
        <v>8426</v>
      </c>
      <c r="J651" t="s">
        <v>90</v>
      </c>
      <c r="K651" s="3">
        <f t="shared" si="20"/>
        <v>0</v>
      </c>
      <c r="L651" s="3">
        <f>IF(ISERROR(VLOOKUP(J651,Lookups!$A$2:$A$16,1,FALSE)),1,0)</f>
        <v>0</v>
      </c>
      <c r="M651" s="3">
        <f>IF(ISERROR(VLOOKUP(D651,Data!$A$2:$D$223100,2,FALSE)),0,1)</f>
        <v>1</v>
      </c>
      <c r="N651" s="3">
        <f t="shared" si="21"/>
        <v>0</v>
      </c>
      <c r="O651" s="3" t="str">
        <f>IF(ISERROR(VLOOKUP(D651,Data!$A$2:$C$223100,3,FALSE)),"INACTIVE",VLOOKUP(D651,Data!$A$2:$C$223100,3,FALSE))</f>
        <v>30+</v>
      </c>
    </row>
    <row r="652" spans="1:15" x14ac:dyDescent="0.25">
      <c r="A652" t="s">
        <v>8470</v>
      </c>
      <c r="B652" t="s">
        <v>8471</v>
      </c>
      <c r="C652" t="s">
        <v>8615</v>
      </c>
      <c r="D652" t="s">
        <v>8616</v>
      </c>
      <c r="E652" t="s">
        <v>5</v>
      </c>
      <c r="F652" t="s">
        <v>5</v>
      </c>
      <c r="G652" t="s">
        <v>5</v>
      </c>
      <c r="H652" t="s">
        <v>8617</v>
      </c>
      <c r="I652" t="s">
        <v>8426</v>
      </c>
      <c r="J652" t="s">
        <v>90</v>
      </c>
      <c r="K652" s="3">
        <f t="shared" si="20"/>
        <v>0</v>
      </c>
      <c r="L652" s="3">
        <f>IF(ISERROR(VLOOKUP(J652,Lookups!$A$2:$A$16,1,FALSE)),1,0)</f>
        <v>0</v>
      </c>
      <c r="M652" s="3">
        <f>IF(ISERROR(VLOOKUP(D652,Data!$A$2:$D$223100,2,FALSE)),0,1)</f>
        <v>1</v>
      </c>
      <c r="N652" s="3">
        <f t="shared" si="21"/>
        <v>0</v>
      </c>
      <c r="O652" s="3" t="str">
        <f>IF(ISERROR(VLOOKUP(D652,Data!$A$2:$C$223100,3,FALSE)),"INACTIVE",VLOOKUP(D652,Data!$A$2:$C$223100,3,FALSE))</f>
        <v>Current</v>
      </c>
    </row>
    <row r="653" spans="1:15" x14ac:dyDescent="0.25">
      <c r="A653" t="s">
        <v>8470</v>
      </c>
      <c r="B653" t="s">
        <v>8471</v>
      </c>
      <c r="C653" t="s">
        <v>8618</v>
      </c>
      <c r="D653" t="s">
        <v>8619</v>
      </c>
      <c r="E653" t="s">
        <v>5</v>
      </c>
      <c r="F653" t="s">
        <v>8620</v>
      </c>
      <c r="G653" t="s">
        <v>8621</v>
      </c>
      <c r="H653" t="s">
        <v>8622</v>
      </c>
      <c r="I653" t="s">
        <v>8426</v>
      </c>
      <c r="J653" t="s">
        <v>90</v>
      </c>
      <c r="K653" s="3">
        <f t="shared" si="20"/>
        <v>0</v>
      </c>
      <c r="L653" s="3">
        <f>IF(ISERROR(VLOOKUP(J653,Lookups!$A$2:$A$16,1,FALSE)),1,0)</f>
        <v>0</v>
      </c>
      <c r="M653" s="3">
        <f>IF(ISERROR(VLOOKUP(D653,Data!$A$2:$D$223100,2,FALSE)),0,1)</f>
        <v>1</v>
      </c>
      <c r="N653" s="3">
        <f t="shared" si="21"/>
        <v>0</v>
      </c>
      <c r="O653" s="3" t="str">
        <f>IF(ISERROR(VLOOKUP(D653,Data!$A$2:$C$223100,3,FALSE)),"INACTIVE",VLOOKUP(D653,Data!$A$2:$C$223100,3,FALSE))</f>
        <v>FC</v>
      </c>
    </row>
    <row r="654" spans="1:15" x14ac:dyDescent="0.25">
      <c r="A654" t="s">
        <v>8470</v>
      </c>
      <c r="B654" t="s">
        <v>8471</v>
      </c>
      <c r="C654" t="s">
        <v>8623</v>
      </c>
      <c r="D654" t="s">
        <v>8624</v>
      </c>
      <c r="E654" t="s">
        <v>5</v>
      </c>
      <c r="F654" t="s">
        <v>5</v>
      </c>
      <c r="G654" t="s">
        <v>5</v>
      </c>
      <c r="H654" t="s">
        <v>8625</v>
      </c>
      <c r="I654" t="s">
        <v>8426</v>
      </c>
      <c r="J654" t="s">
        <v>90</v>
      </c>
      <c r="K654" s="3">
        <f t="shared" si="20"/>
        <v>0</v>
      </c>
      <c r="L654" s="3">
        <f>IF(ISERROR(VLOOKUP(J654,Lookups!$A$2:$A$16,1,FALSE)),1,0)</f>
        <v>0</v>
      </c>
      <c r="M654" s="3">
        <f>IF(ISERROR(VLOOKUP(D654,Data!$A$2:$D$223100,2,FALSE)),0,1)</f>
        <v>1</v>
      </c>
      <c r="N654" s="3">
        <f t="shared" si="21"/>
        <v>0</v>
      </c>
      <c r="O654" s="3" t="str">
        <f>IF(ISERROR(VLOOKUP(D654,Data!$A$2:$C$223100,3,FALSE)),"INACTIVE",VLOOKUP(D654,Data!$A$2:$C$223100,3,FALSE))</f>
        <v>FBA</v>
      </c>
    </row>
    <row r="655" spans="1:15" x14ac:dyDescent="0.25">
      <c r="A655" t="s">
        <v>8470</v>
      </c>
      <c r="B655" t="s">
        <v>8471</v>
      </c>
      <c r="C655" t="s">
        <v>8626</v>
      </c>
      <c r="D655" t="s">
        <v>8627</v>
      </c>
      <c r="E655" t="s">
        <v>5</v>
      </c>
      <c r="F655" t="s">
        <v>5</v>
      </c>
      <c r="G655" t="s">
        <v>5</v>
      </c>
      <c r="H655" t="s">
        <v>8628</v>
      </c>
      <c r="I655" t="s">
        <v>8426</v>
      </c>
      <c r="J655" t="s">
        <v>90</v>
      </c>
      <c r="K655" s="3">
        <f t="shared" si="20"/>
        <v>0</v>
      </c>
      <c r="L655" s="3">
        <f>IF(ISERROR(VLOOKUP(J655,Lookups!$A$2:$A$16,1,FALSE)),1,0)</f>
        <v>0</v>
      </c>
      <c r="M655" s="3">
        <f>IF(ISERROR(VLOOKUP(D655,Data!$A$2:$D$223100,2,FALSE)),0,1)</f>
        <v>1</v>
      </c>
      <c r="N655" s="3">
        <f t="shared" si="21"/>
        <v>0</v>
      </c>
      <c r="O655" s="3" t="str">
        <f>IF(ISERROR(VLOOKUP(D655,Data!$A$2:$C$223100,3,FALSE)),"INACTIVE",VLOOKUP(D655,Data!$A$2:$C$223100,3,FALSE))</f>
        <v>FBA</v>
      </c>
    </row>
    <row r="656" spans="1:15" x14ac:dyDescent="0.25">
      <c r="A656" t="s">
        <v>8470</v>
      </c>
      <c r="B656" t="s">
        <v>8471</v>
      </c>
      <c r="C656" t="s">
        <v>8629</v>
      </c>
      <c r="D656" t="s">
        <v>8630</v>
      </c>
      <c r="E656" t="s">
        <v>5</v>
      </c>
      <c r="F656" t="s">
        <v>5</v>
      </c>
      <c r="G656" t="s">
        <v>5</v>
      </c>
      <c r="H656" t="s">
        <v>8631</v>
      </c>
      <c r="I656" t="s">
        <v>8426</v>
      </c>
      <c r="J656" t="s">
        <v>90</v>
      </c>
      <c r="K656" s="3">
        <f t="shared" si="20"/>
        <v>0</v>
      </c>
      <c r="L656" s="3">
        <f>IF(ISERROR(VLOOKUP(J656,Lookups!$A$2:$A$16,1,FALSE)),1,0)</f>
        <v>0</v>
      </c>
      <c r="M656" s="3">
        <f>IF(ISERROR(VLOOKUP(D656,Data!$A$2:$D$223100,2,FALSE)),0,1)</f>
        <v>1</v>
      </c>
      <c r="N656" s="3">
        <f t="shared" si="21"/>
        <v>0</v>
      </c>
      <c r="O656" s="3" t="str">
        <f>IF(ISERROR(VLOOKUP(D656,Data!$A$2:$C$223100,3,FALSE)),"INACTIVE",VLOOKUP(D656,Data!$A$2:$C$223100,3,FALSE))</f>
        <v>180+</v>
      </c>
    </row>
    <row r="657" spans="1:15" x14ac:dyDescent="0.25">
      <c r="A657" t="s">
        <v>8470</v>
      </c>
      <c r="B657" t="s">
        <v>8471</v>
      </c>
      <c r="C657" t="s">
        <v>8632</v>
      </c>
      <c r="D657" t="s">
        <v>8633</v>
      </c>
      <c r="E657" t="s">
        <v>5</v>
      </c>
      <c r="F657" t="s">
        <v>5</v>
      </c>
      <c r="G657" t="s">
        <v>5</v>
      </c>
      <c r="H657" t="s">
        <v>8634</v>
      </c>
      <c r="I657" t="s">
        <v>8426</v>
      </c>
      <c r="J657" t="s">
        <v>90</v>
      </c>
      <c r="K657" s="3">
        <f t="shared" si="20"/>
        <v>0</v>
      </c>
      <c r="L657" s="3">
        <f>IF(ISERROR(VLOOKUP(J657,Lookups!$A$2:$A$16,1,FALSE)),1,0)</f>
        <v>0</v>
      </c>
      <c r="M657" s="3">
        <f>IF(ISERROR(VLOOKUP(D657,Data!$A$2:$D$223100,2,FALSE)),0,1)</f>
        <v>1</v>
      </c>
      <c r="N657" s="3">
        <f t="shared" si="21"/>
        <v>0</v>
      </c>
      <c r="O657" s="3" t="str">
        <f>IF(ISERROR(VLOOKUP(D657,Data!$A$2:$C$223100,3,FALSE)),"INACTIVE",VLOOKUP(D657,Data!$A$2:$C$223100,3,FALSE))</f>
        <v>Current</v>
      </c>
    </row>
    <row r="658" spans="1:15" x14ac:dyDescent="0.25">
      <c r="A658" t="s">
        <v>8470</v>
      </c>
      <c r="B658" t="s">
        <v>8471</v>
      </c>
      <c r="C658" t="s">
        <v>8635</v>
      </c>
      <c r="D658" t="s">
        <v>8636</v>
      </c>
      <c r="E658" t="s">
        <v>5</v>
      </c>
      <c r="F658" t="s">
        <v>5</v>
      </c>
      <c r="G658" t="s">
        <v>8637</v>
      </c>
      <c r="H658" t="s">
        <v>8638</v>
      </c>
      <c r="I658" t="s">
        <v>8426</v>
      </c>
      <c r="J658" t="s">
        <v>90</v>
      </c>
      <c r="K658" s="3">
        <f t="shared" si="20"/>
        <v>0</v>
      </c>
      <c r="L658" s="3">
        <f>IF(ISERROR(VLOOKUP(J658,Lookups!$A$2:$A$16,1,FALSE)),1,0)</f>
        <v>0</v>
      </c>
      <c r="M658" s="3">
        <f>IF(ISERROR(VLOOKUP(D658,Data!$A$2:$D$223100,2,FALSE)),0,1)</f>
        <v>1</v>
      </c>
      <c r="N658" s="3">
        <f t="shared" si="21"/>
        <v>0</v>
      </c>
      <c r="O658" s="3" t="str">
        <f>IF(ISERROR(VLOOKUP(D658,Data!$A$2:$C$223100,3,FALSE)),"INACTIVE",VLOOKUP(D658,Data!$A$2:$C$223100,3,FALSE))</f>
        <v>FC</v>
      </c>
    </row>
    <row r="659" spans="1:15" x14ac:dyDescent="0.25">
      <c r="A659" t="s">
        <v>8470</v>
      </c>
      <c r="B659" t="s">
        <v>8471</v>
      </c>
      <c r="C659" t="s">
        <v>8639</v>
      </c>
      <c r="D659" t="s">
        <v>8640</v>
      </c>
      <c r="E659" t="s">
        <v>5</v>
      </c>
      <c r="F659" t="s">
        <v>8641</v>
      </c>
      <c r="G659" t="s">
        <v>8642</v>
      </c>
      <c r="H659" t="s">
        <v>8643</v>
      </c>
      <c r="I659" t="s">
        <v>8426</v>
      </c>
      <c r="J659" t="s">
        <v>90</v>
      </c>
      <c r="K659" s="3">
        <f t="shared" si="20"/>
        <v>0</v>
      </c>
      <c r="L659" s="3">
        <f>IF(ISERROR(VLOOKUP(J659,Lookups!$A$2:$A$16,1,FALSE)),1,0)</f>
        <v>0</v>
      </c>
      <c r="M659" s="3">
        <f>IF(ISERROR(VLOOKUP(D659,Data!$A$2:$D$223100,2,FALSE)),0,1)</f>
        <v>1</v>
      </c>
      <c r="N659" s="3">
        <f t="shared" si="21"/>
        <v>0</v>
      </c>
      <c r="O659" s="3" t="str">
        <f>IF(ISERROR(VLOOKUP(D659,Data!$A$2:$C$223100,3,FALSE)),"INACTIVE",VLOOKUP(D659,Data!$A$2:$C$223100,3,FALSE))</f>
        <v>FC</v>
      </c>
    </row>
    <row r="660" spans="1:15" x14ac:dyDescent="0.25">
      <c r="A660" t="s">
        <v>8470</v>
      </c>
      <c r="B660" t="s">
        <v>8471</v>
      </c>
      <c r="C660" t="s">
        <v>8644</v>
      </c>
      <c r="D660" t="s">
        <v>8640</v>
      </c>
      <c r="E660" t="s">
        <v>5</v>
      </c>
      <c r="F660" t="s">
        <v>8645</v>
      </c>
      <c r="G660" t="s">
        <v>8646</v>
      </c>
      <c r="H660" t="s">
        <v>8647</v>
      </c>
      <c r="I660" t="s">
        <v>8426</v>
      </c>
      <c r="J660" t="s">
        <v>90</v>
      </c>
      <c r="K660" s="3">
        <f t="shared" si="20"/>
        <v>0</v>
      </c>
      <c r="L660" s="3">
        <f>IF(ISERROR(VLOOKUP(J660,Lookups!$A$2:$A$16,1,FALSE)),1,0)</f>
        <v>0</v>
      </c>
      <c r="M660" s="3">
        <f>IF(ISERROR(VLOOKUP(D660,Data!$A$2:$D$223100,2,FALSE)),0,1)</f>
        <v>1</v>
      </c>
      <c r="N660" s="3">
        <f t="shared" si="21"/>
        <v>0</v>
      </c>
      <c r="O660" s="3" t="str">
        <f>IF(ISERROR(VLOOKUP(D660,Data!$A$2:$C$223100,3,FALSE)),"INACTIVE",VLOOKUP(D660,Data!$A$2:$C$223100,3,FALSE))</f>
        <v>FC</v>
      </c>
    </row>
    <row r="661" spans="1:15" x14ac:dyDescent="0.25">
      <c r="A661" t="s">
        <v>8653</v>
      </c>
      <c r="B661" t="s">
        <v>8654</v>
      </c>
      <c r="C661" t="s">
        <v>8655</v>
      </c>
      <c r="D661" t="s">
        <v>8656</v>
      </c>
      <c r="E661" t="s">
        <v>5</v>
      </c>
      <c r="F661" t="s">
        <v>8657</v>
      </c>
      <c r="G661" t="s">
        <v>5</v>
      </c>
      <c r="H661" t="s">
        <v>5</v>
      </c>
      <c r="I661" t="s">
        <v>8426</v>
      </c>
      <c r="J661" t="s">
        <v>90</v>
      </c>
      <c r="K661" s="3">
        <f t="shared" si="20"/>
        <v>0</v>
      </c>
      <c r="L661" s="3">
        <f>IF(ISERROR(VLOOKUP(J661,Lookups!$A$2:$A$16,1,FALSE)),1,0)</f>
        <v>0</v>
      </c>
      <c r="M661" s="3">
        <f>IF(ISERROR(VLOOKUP(D661,Data!$A$2:$D$223100,2,FALSE)),0,1)</f>
        <v>1</v>
      </c>
      <c r="N661" s="3">
        <f t="shared" si="21"/>
        <v>0</v>
      </c>
      <c r="O661" s="3" t="str">
        <f>IF(ISERROR(VLOOKUP(D661,Data!$A$2:$C$223100,3,FALSE)),"INACTIVE",VLOOKUP(D661,Data!$A$2:$C$223100,3,FALSE))</f>
        <v>FC</v>
      </c>
    </row>
    <row r="662" spans="1:15" x14ac:dyDescent="0.25">
      <c r="A662" t="s">
        <v>8653</v>
      </c>
      <c r="B662" t="s">
        <v>8654</v>
      </c>
      <c r="C662" t="s">
        <v>8658</v>
      </c>
      <c r="D662" t="s">
        <v>8659</v>
      </c>
      <c r="E662" t="s">
        <v>5</v>
      </c>
      <c r="F662" t="s">
        <v>5</v>
      </c>
      <c r="G662" t="s">
        <v>5</v>
      </c>
      <c r="H662" t="s">
        <v>8660</v>
      </c>
      <c r="I662" t="s">
        <v>8426</v>
      </c>
      <c r="J662" t="s">
        <v>90</v>
      </c>
      <c r="K662" s="3">
        <f t="shared" si="20"/>
        <v>0</v>
      </c>
      <c r="L662" s="3">
        <f>IF(ISERROR(VLOOKUP(J662,Lookups!$A$2:$A$16,1,FALSE)),1,0)</f>
        <v>0</v>
      </c>
      <c r="M662" s="3">
        <f>IF(ISERROR(VLOOKUP(D662,Data!$A$2:$D$223100,2,FALSE)),0,1)</f>
        <v>0</v>
      </c>
      <c r="N662" s="3">
        <f t="shared" si="21"/>
        <v>0</v>
      </c>
      <c r="O662" s="3" t="str">
        <f>IF(ISERROR(VLOOKUP(D662,Data!$A$2:$C$223100,3,FALSE)),"INACTIVE",VLOOKUP(D662,Data!$A$2:$C$223100,3,FALSE))</f>
        <v>INACTIVE</v>
      </c>
    </row>
    <row r="663" spans="1:15" x14ac:dyDescent="0.25">
      <c r="A663" t="s">
        <v>8661</v>
      </c>
      <c r="B663" t="s">
        <v>8662</v>
      </c>
      <c r="C663" t="s">
        <v>8663</v>
      </c>
      <c r="D663" t="s">
        <v>8664</v>
      </c>
      <c r="E663" t="s">
        <v>8665</v>
      </c>
      <c r="F663" t="s">
        <v>5</v>
      </c>
      <c r="G663" t="s">
        <v>5</v>
      </c>
      <c r="H663" t="s">
        <v>5</v>
      </c>
      <c r="I663" t="s">
        <v>8426</v>
      </c>
      <c r="J663" t="s">
        <v>96</v>
      </c>
      <c r="K663" s="3">
        <f t="shared" si="20"/>
        <v>0</v>
      </c>
      <c r="L663" s="3">
        <f>IF(ISERROR(VLOOKUP(J663,Lookups!$A$2:$A$16,1,FALSE)),1,0)</f>
        <v>0</v>
      </c>
      <c r="M663" s="3">
        <f>IF(ISERROR(VLOOKUP(D663,Data!$A$2:$D$223100,2,FALSE)),0,1)</f>
        <v>1</v>
      </c>
      <c r="N663" s="3">
        <f t="shared" si="21"/>
        <v>0</v>
      </c>
      <c r="O663" s="3" t="str">
        <f>IF(ISERROR(VLOOKUP(D663,Data!$A$2:$C$223100,3,FALSE)),"INACTIVE",VLOOKUP(D663,Data!$A$2:$C$223100,3,FALSE))</f>
        <v>180+</v>
      </c>
    </row>
    <row r="664" spans="1:15" x14ac:dyDescent="0.25">
      <c r="A664" t="s">
        <v>8661</v>
      </c>
      <c r="B664" t="s">
        <v>8662</v>
      </c>
      <c r="C664" t="s">
        <v>8666</v>
      </c>
      <c r="D664" t="s">
        <v>5747</v>
      </c>
      <c r="E664" t="s">
        <v>8667</v>
      </c>
      <c r="F664" t="s">
        <v>5</v>
      </c>
      <c r="G664" t="s">
        <v>5</v>
      </c>
      <c r="H664" t="s">
        <v>5</v>
      </c>
      <c r="I664" t="s">
        <v>8426</v>
      </c>
      <c r="J664" t="s">
        <v>96</v>
      </c>
      <c r="K664" s="3">
        <f t="shared" si="20"/>
        <v>0</v>
      </c>
      <c r="L664" s="3">
        <f>IF(ISERROR(VLOOKUP(J664,Lookups!$A$2:$A$16,1,FALSE)),1,0)</f>
        <v>0</v>
      </c>
      <c r="M664" s="3">
        <f>IF(ISERROR(VLOOKUP(D664,Data!$A$2:$D$223100,2,FALSE)),0,1)</f>
        <v>1</v>
      </c>
      <c r="N664" s="3">
        <f t="shared" si="21"/>
        <v>0</v>
      </c>
      <c r="O664" s="3" t="str">
        <f>IF(ISERROR(VLOOKUP(D664,Data!$A$2:$C$223100,3,FALSE)),"INACTIVE",VLOOKUP(D664,Data!$A$2:$C$223100,3,FALSE))</f>
        <v>FC</v>
      </c>
    </row>
    <row r="665" spans="1:15" x14ac:dyDescent="0.25">
      <c r="A665" t="s">
        <v>8668</v>
      </c>
      <c r="B665" t="s">
        <v>8669</v>
      </c>
      <c r="C665" t="s">
        <v>8670</v>
      </c>
      <c r="D665" t="s">
        <v>8671</v>
      </c>
      <c r="E665" t="s">
        <v>5</v>
      </c>
      <c r="F665" t="s">
        <v>5</v>
      </c>
      <c r="G665" t="s">
        <v>5</v>
      </c>
      <c r="H665" t="s">
        <v>8672</v>
      </c>
      <c r="I665" t="s">
        <v>8426</v>
      </c>
      <c r="J665" t="s">
        <v>90</v>
      </c>
      <c r="K665" s="3">
        <f t="shared" si="20"/>
        <v>0</v>
      </c>
      <c r="L665" s="3">
        <f>IF(ISERROR(VLOOKUP(J665,Lookups!$A$2:$A$16,1,FALSE)),1,0)</f>
        <v>0</v>
      </c>
      <c r="M665" s="3">
        <f>IF(ISERROR(VLOOKUP(D665,Data!$A$2:$D$223100,2,FALSE)),0,1)</f>
        <v>1</v>
      </c>
      <c r="N665" s="3">
        <f t="shared" si="21"/>
        <v>0</v>
      </c>
      <c r="O665" s="3" t="str">
        <f>IF(ISERROR(VLOOKUP(D665,Data!$A$2:$C$223100,3,FALSE)),"INACTIVE",VLOOKUP(D665,Data!$A$2:$C$223100,3,FALSE))</f>
        <v>FC</v>
      </c>
    </row>
    <row r="666" spans="1:15" x14ac:dyDescent="0.25">
      <c r="A666" t="s">
        <v>8668</v>
      </c>
      <c r="B666" t="s">
        <v>8669</v>
      </c>
      <c r="C666" t="s">
        <v>8673</v>
      </c>
      <c r="D666" t="s">
        <v>8674</v>
      </c>
      <c r="E666" t="s">
        <v>5</v>
      </c>
      <c r="F666" t="s">
        <v>5</v>
      </c>
      <c r="G666" t="s">
        <v>5</v>
      </c>
      <c r="H666" t="s">
        <v>8675</v>
      </c>
      <c r="I666" t="s">
        <v>8426</v>
      </c>
      <c r="J666" t="s">
        <v>96</v>
      </c>
      <c r="K666" s="3">
        <f t="shared" si="20"/>
        <v>0</v>
      </c>
      <c r="L666" s="3">
        <f>IF(ISERROR(VLOOKUP(J666,Lookups!$A$2:$A$16,1,FALSE)),1,0)</f>
        <v>0</v>
      </c>
      <c r="M666" s="3">
        <f>IF(ISERROR(VLOOKUP(D666,Data!$A$2:$D$223100,2,FALSE)),0,1)</f>
        <v>0</v>
      </c>
      <c r="N666" s="3">
        <f t="shared" si="21"/>
        <v>0</v>
      </c>
      <c r="O666" s="3" t="str">
        <f>IF(ISERROR(VLOOKUP(D666,Data!$A$2:$C$223100,3,FALSE)),"INACTIVE",VLOOKUP(D666,Data!$A$2:$C$223100,3,FALSE))</f>
        <v>INACTIVE</v>
      </c>
    </row>
    <row r="667" spans="1:15" x14ac:dyDescent="0.25">
      <c r="A667" t="s">
        <v>8668</v>
      </c>
      <c r="B667" t="s">
        <v>8669</v>
      </c>
      <c r="C667" t="s">
        <v>8673</v>
      </c>
      <c r="D667" t="s">
        <v>8674</v>
      </c>
      <c r="E667" t="s">
        <v>8676</v>
      </c>
      <c r="F667" t="s">
        <v>8677</v>
      </c>
      <c r="G667" t="s">
        <v>8678</v>
      </c>
      <c r="H667" t="s">
        <v>8679</v>
      </c>
      <c r="I667" t="s">
        <v>8426</v>
      </c>
      <c r="J667" t="s">
        <v>96</v>
      </c>
      <c r="K667" s="3">
        <f t="shared" si="20"/>
        <v>0</v>
      </c>
      <c r="L667" s="3">
        <f>IF(ISERROR(VLOOKUP(J667,Lookups!$A$2:$A$16,1,FALSE)),1,0)</f>
        <v>0</v>
      </c>
      <c r="M667" s="3">
        <f>IF(ISERROR(VLOOKUP(D667,Data!$A$2:$D$223100,2,FALSE)),0,1)</f>
        <v>0</v>
      </c>
      <c r="N667" s="3">
        <f t="shared" si="21"/>
        <v>0</v>
      </c>
      <c r="O667" s="3" t="str">
        <f>IF(ISERROR(VLOOKUP(D667,Data!$A$2:$C$223100,3,FALSE)),"INACTIVE",VLOOKUP(D667,Data!$A$2:$C$223100,3,FALSE))</f>
        <v>INACTIVE</v>
      </c>
    </row>
    <row r="668" spans="1:15" x14ac:dyDescent="0.25">
      <c r="A668" t="s">
        <v>8668</v>
      </c>
      <c r="B668" t="s">
        <v>8669</v>
      </c>
      <c r="C668" t="s">
        <v>8680</v>
      </c>
      <c r="D668" t="s">
        <v>8681</v>
      </c>
      <c r="E668" t="s">
        <v>5</v>
      </c>
      <c r="F668" t="s">
        <v>5</v>
      </c>
      <c r="G668" t="s">
        <v>8682</v>
      </c>
      <c r="H668" t="s">
        <v>8683</v>
      </c>
      <c r="I668" t="s">
        <v>8426</v>
      </c>
      <c r="J668" t="s">
        <v>90</v>
      </c>
      <c r="K668" s="3">
        <f t="shared" si="20"/>
        <v>0</v>
      </c>
      <c r="L668" s="3">
        <f>IF(ISERROR(VLOOKUP(J668,Lookups!$A$2:$A$16,1,FALSE)),1,0)</f>
        <v>0</v>
      </c>
      <c r="M668" s="3">
        <f>IF(ISERROR(VLOOKUP(D668,Data!$A$2:$D$223100,2,FALSE)),0,1)</f>
        <v>1</v>
      </c>
      <c r="N668" s="3">
        <f t="shared" si="21"/>
        <v>0</v>
      </c>
      <c r="O668" s="3" t="str">
        <f>IF(ISERROR(VLOOKUP(D668,Data!$A$2:$C$223100,3,FALSE)),"INACTIVE",VLOOKUP(D668,Data!$A$2:$C$223100,3,FALSE))</f>
        <v>150+</v>
      </c>
    </row>
    <row r="669" spans="1:15" x14ac:dyDescent="0.25">
      <c r="A669" t="s">
        <v>8668</v>
      </c>
      <c r="B669" t="s">
        <v>8669</v>
      </c>
      <c r="C669" t="s">
        <v>8684</v>
      </c>
      <c r="D669" t="s">
        <v>8685</v>
      </c>
      <c r="E669" t="s">
        <v>5</v>
      </c>
      <c r="F669" t="s">
        <v>5</v>
      </c>
      <c r="G669" t="s">
        <v>5</v>
      </c>
      <c r="H669" t="s">
        <v>8686</v>
      </c>
      <c r="I669" t="s">
        <v>8426</v>
      </c>
      <c r="J669" t="s">
        <v>90</v>
      </c>
      <c r="K669" s="3">
        <f t="shared" si="20"/>
        <v>0</v>
      </c>
      <c r="L669" s="3">
        <f>IF(ISERROR(VLOOKUP(J669,Lookups!$A$2:$A$16,1,FALSE)),1,0)</f>
        <v>0</v>
      </c>
      <c r="M669" s="3">
        <f>IF(ISERROR(VLOOKUP(D669,Data!$A$2:$D$223100,2,FALSE)),0,1)</f>
        <v>1</v>
      </c>
      <c r="N669" s="3">
        <f t="shared" si="21"/>
        <v>0</v>
      </c>
      <c r="O669" s="3" t="str">
        <f>IF(ISERROR(VLOOKUP(D669,Data!$A$2:$C$223100,3,FALSE)),"INACTIVE",VLOOKUP(D669,Data!$A$2:$C$223100,3,FALSE))</f>
        <v>FC</v>
      </c>
    </row>
    <row r="670" spans="1:15" x14ac:dyDescent="0.25">
      <c r="A670" t="s">
        <v>8668</v>
      </c>
      <c r="B670" t="s">
        <v>8669</v>
      </c>
      <c r="C670" t="s">
        <v>8687</v>
      </c>
      <c r="D670" t="s">
        <v>8688</v>
      </c>
      <c r="E670" t="s">
        <v>5</v>
      </c>
      <c r="F670" t="s">
        <v>5</v>
      </c>
      <c r="G670" t="s">
        <v>5</v>
      </c>
      <c r="H670" t="s">
        <v>8689</v>
      </c>
      <c r="I670" t="s">
        <v>8426</v>
      </c>
      <c r="J670" t="s">
        <v>90</v>
      </c>
      <c r="K670" s="3">
        <f t="shared" si="20"/>
        <v>0</v>
      </c>
      <c r="L670" s="3">
        <f>IF(ISERROR(VLOOKUP(J670,Lookups!$A$2:$A$16,1,FALSE)),1,0)</f>
        <v>0</v>
      </c>
      <c r="M670" s="3">
        <f>IF(ISERROR(VLOOKUP(D670,Data!$A$2:$D$223100,2,FALSE)),0,1)</f>
        <v>0</v>
      </c>
      <c r="N670" s="3">
        <f t="shared" si="21"/>
        <v>0</v>
      </c>
      <c r="O670" s="3" t="str">
        <f>IF(ISERROR(VLOOKUP(D670,Data!$A$2:$C$223100,3,FALSE)),"INACTIVE",VLOOKUP(D670,Data!$A$2:$C$223100,3,FALSE))</f>
        <v>INACTIVE</v>
      </c>
    </row>
    <row r="671" spans="1:15" x14ac:dyDescent="0.25">
      <c r="A671" t="s">
        <v>8668</v>
      </c>
      <c r="B671" t="s">
        <v>8669</v>
      </c>
      <c r="C671" t="s">
        <v>8690</v>
      </c>
      <c r="D671" t="s">
        <v>8691</v>
      </c>
      <c r="E671" t="s">
        <v>5</v>
      </c>
      <c r="F671" t="s">
        <v>5</v>
      </c>
      <c r="G671" t="s">
        <v>5</v>
      </c>
      <c r="H671" t="s">
        <v>8692</v>
      </c>
      <c r="I671" t="s">
        <v>8426</v>
      </c>
      <c r="J671" t="s">
        <v>90</v>
      </c>
      <c r="K671" s="3">
        <f t="shared" si="20"/>
        <v>0</v>
      </c>
      <c r="L671" s="3">
        <f>IF(ISERROR(VLOOKUP(J671,Lookups!$A$2:$A$16,1,FALSE)),1,0)</f>
        <v>0</v>
      </c>
      <c r="M671" s="3">
        <f>IF(ISERROR(VLOOKUP(D671,Data!$A$2:$D$223100,2,FALSE)),0,1)</f>
        <v>1</v>
      </c>
      <c r="N671" s="3">
        <f t="shared" si="21"/>
        <v>0</v>
      </c>
      <c r="O671" s="3" t="str">
        <f>IF(ISERROR(VLOOKUP(D671,Data!$A$2:$C$223100,3,FALSE)),"INACTIVE",VLOOKUP(D671,Data!$A$2:$C$223100,3,FALSE))</f>
        <v>Current</v>
      </c>
    </row>
    <row r="672" spans="1:15" x14ac:dyDescent="0.25">
      <c r="A672" t="s">
        <v>8668</v>
      </c>
      <c r="B672" t="s">
        <v>8669</v>
      </c>
      <c r="C672" t="s">
        <v>8693</v>
      </c>
      <c r="D672" t="s">
        <v>8694</v>
      </c>
      <c r="E672" t="s">
        <v>5</v>
      </c>
      <c r="F672" t="s">
        <v>8695</v>
      </c>
      <c r="G672" t="s">
        <v>8696</v>
      </c>
      <c r="H672" t="s">
        <v>8697</v>
      </c>
      <c r="I672" t="s">
        <v>8426</v>
      </c>
      <c r="J672" t="s">
        <v>90</v>
      </c>
      <c r="K672" s="3">
        <f t="shared" si="20"/>
        <v>0</v>
      </c>
      <c r="L672" s="3">
        <f>IF(ISERROR(VLOOKUP(J672,Lookups!$A$2:$A$16,1,FALSE)),1,0)</f>
        <v>0</v>
      </c>
      <c r="M672" s="3">
        <f>IF(ISERROR(VLOOKUP(D672,Data!$A$2:$D$223100,2,FALSE)),0,1)</f>
        <v>0</v>
      </c>
      <c r="N672" s="3">
        <f t="shared" si="21"/>
        <v>0</v>
      </c>
      <c r="O672" s="3" t="str">
        <f>IF(ISERROR(VLOOKUP(D672,Data!$A$2:$C$223100,3,FALSE)),"INACTIVE",VLOOKUP(D672,Data!$A$2:$C$223100,3,FALSE))</f>
        <v>INACTIVE</v>
      </c>
    </row>
    <row r="673" spans="1:15" x14ac:dyDescent="0.25">
      <c r="A673" t="s">
        <v>8668</v>
      </c>
      <c r="B673" t="s">
        <v>8669</v>
      </c>
      <c r="C673" t="s">
        <v>8698</v>
      </c>
      <c r="D673" t="s">
        <v>8699</v>
      </c>
      <c r="E673" t="s">
        <v>5</v>
      </c>
      <c r="F673" t="s">
        <v>5</v>
      </c>
      <c r="G673" t="s">
        <v>5</v>
      </c>
      <c r="H673" t="s">
        <v>8700</v>
      </c>
      <c r="I673" t="s">
        <v>8426</v>
      </c>
      <c r="J673" t="s">
        <v>90</v>
      </c>
      <c r="K673" s="3">
        <f t="shared" si="20"/>
        <v>0</v>
      </c>
      <c r="L673" s="3">
        <f>IF(ISERROR(VLOOKUP(J673,Lookups!$A$2:$A$16,1,FALSE)),1,0)</f>
        <v>0</v>
      </c>
      <c r="M673" s="3">
        <f>IF(ISERROR(VLOOKUP(D673,Data!$A$2:$D$223100,2,FALSE)),0,1)</f>
        <v>1</v>
      </c>
      <c r="N673" s="3">
        <f t="shared" si="21"/>
        <v>0</v>
      </c>
      <c r="O673" s="3" t="str">
        <f>IF(ISERROR(VLOOKUP(D673,Data!$A$2:$C$223100,3,FALSE)),"INACTIVE",VLOOKUP(D673,Data!$A$2:$C$223100,3,FALSE))</f>
        <v>FC</v>
      </c>
    </row>
    <row r="674" spans="1:15" x14ac:dyDescent="0.25">
      <c r="A674" t="s">
        <v>8668</v>
      </c>
      <c r="B674" t="s">
        <v>8669</v>
      </c>
      <c r="C674" t="s">
        <v>8701</v>
      </c>
      <c r="D674" t="s">
        <v>8702</v>
      </c>
      <c r="E674" t="s">
        <v>5</v>
      </c>
      <c r="F674" t="s">
        <v>5</v>
      </c>
      <c r="G674" t="s">
        <v>5</v>
      </c>
      <c r="H674" t="s">
        <v>8494</v>
      </c>
      <c r="I674" t="s">
        <v>8426</v>
      </c>
      <c r="J674" t="s">
        <v>90</v>
      </c>
      <c r="K674" s="3">
        <f t="shared" si="20"/>
        <v>0</v>
      </c>
      <c r="L674" s="3">
        <f>IF(ISERROR(VLOOKUP(J674,Lookups!$A$2:$A$16,1,FALSE)),1,0)</f>
        <v>0</v>
      </c>
      <c r="M674" s="3">
        <f>IF(ISERROR(VLOOKUP(D674,Data!$A$2:$D$223100,2,FALSE)),0,1)</f>
        <v>1</v>
      </c>
      <c r="N674" s="3">
        <f t="shared" si="21"/>
        <v>0</v>
      </c>
      <c r="O674" s="3" t="str">
        <f>IF(ISERROR(VLOOKUP(D674,Data!$A$2:$C$223100,3,FALSE)),"INACTIVE",VLOOKUP(D674,Data!$A$2:$C$223100,3,FALSE))</f>
        <v>FC</v>
      </c>
    </row>
    <row r="675" spans="1:15" x14ac:dyDescent="0.25">
      <c r="A675" t="s">
        <v>8668</v>
      </c>
      <c r="B675" t="s">
        <v>8669</v>
      </c>
      <c r="C675" t="s">
        <v>8703</v>
      </c>
      <c r="D675" t="s">
        <v>8704</v>
      </c>
      <c r="E675" t="s">
        <v>5</v>
      </c>
      <c r="F675" t="s">
        <v>5</v>
      </c>
      <c r="G675" t="s">
        <v>5</v>
      </c>
      <c r="H675" t="s">
        <v>8705</v>
      </c>
      <c r="I675" t="s">
        <v>8426</v>
      </c>
      <c r="J675" t="s">
        <v>96</v>
      </c>
      <c r="K675" s="3">
        <f t="shared" si="20"/>
        <v>0</v>
      </c>
      <c r="L675" s="3">
        <f>IF(ISERROR(VLOOKUP(J675,Lookups!$A$2:$A$16,1,FALSE)),1,0)</f>
        <v>0</v>
      </c>
      <c r="M675" s="3">
        <f>IF(ISERROR(VLOOKUP(D675,Data!$A$2:$D$223100,2,FALSE)),0,1)</f>
        <v>1</v>
      </c>
      <c r="N675" s="3">
        <f t="shared" si="21"/>
        <v>0</v>
      </c>
      <c r="O675" s="3" t="str">
        <f>IF(ISERROR(VLOOKUP(D675,Data!$A$2:$C$223100,3,FALSE)),"INACTIVE",VLOOKUP(D675,Data!$A$2:$C$223100,3,FALSE))</f>
        <v>Current</v>
      </c>
    </row>
    <row r="676" spans="1:15" x14ac:dyDescent="0.25">
      <c r="A676" t="s">
        <v>8668</v>
      </c>
      <c r="B676" t="s">
        <v>8669</v>
      </c>
      <c r="C676" t="s">
        <v>8703</v>
      </c>
      <c r="D676" t="s">
        <v>8704</v>
      </c>
      <c r="E676" t="s">
        <v>8520</v>
      </c>
      <c r="F676" t="s">
        <v>8706</v>
      </c>
      <c r="G676" t="s">
        <v>8707</v>
      </c>
      <c r="H676" t="s">
        <v>8708</v>
      </c>
      <c r="I676" t="s">
        <v>8426</v>
      </c>
      <c r="J676" t="s">
        <v>96</v>
      </c>
      <c r="K676" s="3">
        <f t="shared" si="20"/>
        <v>0</v>
      </c>
      <c r="L676" s="3">
        <f>IF(ISERROR(VLOOKUP(J676,Lookups!$A$2:$A$16,1,FALSE)),1,0)</f>
        <v>0</v>
      </c>
      <c r="M676" s="3">
        <f>IF(ISERROR(VLOOKUP(D676,Data!$A$2:$D$223100,2,FALSE)),0,1)</f>
        <v>1</v>
      </c>
      <c r="N676" s="3">
        <f t="shared" si="21"/>
        <v>0</v>
      </c>
      <c r="O676" s="3" t="str">
        <f>IF(ISERROR(VLOOKUP(D676,Data!$A$2:$C$223100,3,FALSE)),"INACTIVE",VLOOKUP(D676,Data!$A$2:$C$223100,3,FALSE))</f>
        <v>Current</v>
      </c>
    </row>
    <row r="677" spans="1:15" x14ac:dyDescent="0.25">
      <c r="A677" t="s">
        <v>8668</v>
      </c>
      <c r="B677" t="s">
        <v>8669</v>
      </c>
      <c r="C677" t="s">
        <v>8703</v>
      </c>
      <c r="D677" t="s">
        <v>8704</v>
      </c>
      <c r="E677" t="s">
        <v>8709</v>
      </c>
      <c r="F677" t="s">
        <v>8710</v>
      </c>
      <c r="G677" t="s">
        <v>8711</v>
      </c>
      <c r="H677" t="s">
        <v>8712</v>
      </c>
      <c r="I677" t="s">
        <v>8426</v>
      </c>
      <c r="J677" t="s">
        <v>96</v>
      </c>
      <c r="K677" s="3">
        <f t="shared" si="20"/>
        <v>0</v>
      </c>
      <c r="L677" s="3">
        <f>IF(ISERROR(VLOOKUP(J677,Lookups!$A$2:$A$16,1,FALSE)),1,0)</f>
        <v>0</v>
      </c>
      <c r="M677" s="3">
        <f>IF(ISERROR(VLOOKUP(D677,Data!$A$2:$D$223100,2,FALSE)),0,1)</f>
        <v>1</v>
      </c>
      <c r="N677" s="3">
        <f t="shared" si="21"/>
        <v>0</v>
      </c>
      <c r="O677" s="3" t="str">
        <f>IF(ISERROR(VLOOKUP(D677,Data!$A$2:$C$223100,3,FALSE)),"INACTIVE",VLOOKUP(D677,Data!$A$2:$C$223100,3,FALSE))</f>
        <v>Current</v>
      </c>
    </row>
    <row r="678" spans="1:15" x14ac:dyDescent="0.25">
      <c r="A678" t="s">
        <v>8668</v>
      </c>
      <c r="B678" t="s">
        <v>8669</v>
      </c>
      <c r="C678" t="s">
        <v>8713</v>
      </c>
      <c r="D678" t="s">
        <v>8714</v>
      </c>
      <c r="E678" t="s">
        <v>5</v>
      </c>
      <c r="F678" t="s">
        <v>5</v>
      </c>
      <c r="G678" t="s">
        <v>5</v>
      </c>
      <c r="H678" t="s">
        <v>7120</v>
      </c>
      <c r="I678" t="s">
        <v>8426</v>
      </c>
      <c r="J678" t="s">
        <v>90</v>
      </c>
      <c r="K678" s="3">
        <f t="shared" si="20"/>
        <v>0</v>
      </c>
      <c r="L678" s="3">
        <f>IF(ISERROR(VLOOKUP(J678,Lookups!$A$2:$A$16,1,FALSE)),1,0)</f>
        <v>0</v>
      </c>
      <c r="M678" s="3">
        <f>IF(ISERROR(VLOOKUP(D678,Data!$A$2:$D$223100,2,FALSE)),0,1)</f>
        <v>1</v>
      </c>
      <c r="N678" s="3">
        <f t="shared" si="21"/>
        <v>0</v>
      </c>
      <c r="O678" s="3" t="str">
        <f>IF(ISERROR(VLOOKUP(D678,Data!$A$2:$C$223100,3,FALSE)),"INACTIVE",VLOOKUP(D678,Data!$A$2:$C$223100,3,FALSE))</f>
        <v>60+</v>
      </c>
    </row>
    <row r="679" spans="1:15" x14ac:dyDescent="0.25">
      <c r="A679" t="s">
        <v>8668</v>
      </c>
      <c r="B679" t="s">
        <v>8669</v>
      </c>
      <c r="C679" t="s">
        <v>8715</v>
      </c>
      <c r="D679" t="s">
        <v>8716</v>
      </c>
      <c r="E679" t="s">
        <v>5</v>
      </c>
      <c r="F679" t="s">
        <v>5</v>
      </c>
      <c r="G679" t="s">
        <v>5</v>
      </c>
      <c r="H679" t="s">
        <v>8717</v>
      </c>
      <c r="I679" t="s">
        <v>8426</v>
      </c>
      <c r="J679" t="s">
        <v>90</v>
      </c>
      <c r="K679" s="3">
        <f t="shared" si="20"/>
        <v>0</v>
      </c>
      <c r="L679" s="3">
        <f>IF(ISERROR(VLOOKUP(J679,Lookups!$A$2:$A$16,1,FALSE)),1,0)</f>
        <v>0</v>
      </c>
      <c r="M679" s="3">
        <f>IF(ISERROR(VLOOKUP(D679,Data!$A$2:$D$223100,2,FALSE)),0,1)</f>
        <v>1</v>
      </c>
      <c r="N679" s="3">
        <f t="shared" si="21"/>
        <v>0</v>
      </c>
      <c r="O679" s="3" t="str">
        <f>IF(ISERROR(VLOOKUP(D679,Data!$A$2:$C$223100,3,FALSE)),"INACTIVE",VLOOKUP(D679,Data!$A$2:$C$223100,3,FALSE))</f>
        <v>FC</v>
      </c>
    </row>
    <row r="680" spans="1:15" x14ac:dyDescent="0.25">
      <c r="A680" t="s">
        <v>8668</v>
      </c>
      <c r="B680" t="s">
        <v>8669</v>
      </c>
      <c r="C680" t="s">
        <v>8718</v>
      </c>
      <c r="D680" t="s">
        <v>8719</v>
      </c>
      <c r="E680" t="s">
        <v>5</v>
      </c>
      <c r="F680" t="s">
        <v>5</v>
      </c>
      <c r="G680" t="s">
        <v>5</v>
      </c>
      <c r="H680" t="s">
        <v>8720</v>
      </c>
      <c r="I680" t="s">
        <v>8426</v>
      </c>
      <c r="J680" t="s">
        <v>90</v>
      </c>
      <c r="K680" s="3">
        <f t="shared" si="20"/>
        <v>0</v>
      </c>
      <c r="L680" s="3">
        <f>IF(ISERROR(VLOOKUP(J680,Lookups!$A$2:$A$16,1,FALSE)),1,0)</f>
        <v>0</v>
      </c>
      <c r="M680" s="3">
        <f>IF(ISERROR(VLOOKUP(D680,Data!$A$2:$D$223100,2,FALSE)),0,1)</f>
        <v>1</v>
      </c>
      <c r="N680" s="3">
        <f t="shared" si="21"/>
        <v>0</v>
      </c>
      <c r="O680" s="3" t="str">
        <f>IF(ISERROR(VLOOKUP(D680,Data!$A$2:$C$223100,3,FALSE)),"INACTIVE",VLOOKUP(D680,Data!$A$2:$C$223100,3,FALSE))</f>
        <v>90+</v>
      </c>
    </row>
    <row r="681" spans="1:15" x14ac:dyDescent="0.25">
      <c r="A681" t="s">
        <v>8668</v>
      </c>
      <c r="B681" t="s">
        <v>8669</v>
      </c>
      <c r="C681" t="s">
        <v>8721</v>
      </c>
      <c r="D681" t="s">
        <v>8722</v>
      </c>
      <c r="E681" t="s">
        <v>5</v>
      </c>
      <c r="F681" t="s">
        <v>5</v>
      </c>
      <c r="G681" t="s">
        <v>5</v>
      </c>
      <c r="H681" t="s">
        <v>8723</v>
      </c>
      <c r="I681" t="s">
        <v>8426</v>
      </c>
      <c r="J681" t="s">
        <v>90</v>
      </c>
      <c r="K681" s="3">
        <f t="shared" si="20"/>
        <v>0</v>
      </c>
      <c r="L681" s="3">
        <f>IF(ISERROR(VLOOKUP(J681,Lookups!$A$2:$A$16,1,FALSE)),1,0)</f>
        <v>0</v>
      </c>
      <c r="M681" s="3">
        <f>IF(ISERROR(VLOOKUP(D681,Data!$A$2:$D$223100,2,FALSE)),0,1)</f>
        <v>1</v>
      </c>
      <c r="N681" s="3">
        <f t="shared" si="21"/>
        <v>0</v>
      </c>
      <c r="O681" s="3" t="str">
        <f>IF(ISERROR(VLOOKUP(D681,Data!$A$2:$C$223100,3,FALSE)),"INACTIVE",VLOOKUP(D681,Data!$A$2:$C$223100,3,FALSE))</f>
        <v>FC</v>
      </c>
    </row>
    <row r="682" spans="1:15" x14ac:dyDescent="0.25">
      <c r="A682" t="s">
        <v>8668</v>
      </c>
      <c r="B682" t="s">
        <v>8669</v>
      </c>
      <c r="C682" t="s">
        <v>8724</v>
      </c>
      <c r="D682" t="s">
        <v>8725</v>
      </c>
      <c r="E682" t="s">
        <v>5</v>
      </c>
      <c r="F682" t="s">
        <v>8726</v>
      </c>
      <c r="G682" t="s">
        <v>5</v>
      </c>
      <c r="H682" t="s">
        <v>8727</v>
      </c>
      <c r="I682" t="s">
        <v>8426</v>
      </c>
      <c r="J682" t="s">
        <v>90</v>
      </c>
      <c r="K682" s="3">
        <f t="shared" si="20"/>
        <v>0</v>
      </c>
      <c r="L682" s="3">
        <f>IF(ISERROR(VLOOKUP(J682,Lookups!$A$2:$A$16,1,FALSE)),1,0)</f>
        <v>0</v>
      </c>
      <c r="M682" s="3">
        <f>IF(ISERROR(VLOOKUP(D682,Data!$A$2:$D$223100,2,FALSE)),0,1)</f>
        <v>1</v>
      </c>
      <c r="N682" s="3">
        <f t="shared" si="21"/>
        <v>0</v>
      </c>
      <c r="O682" s="3" t="str">
        <f>IF(ISERROR(VLOOKUP(D682,Data!$A$2:$C$223100,3,FALSE)),"INACTIVE",VLOOKUP(D682,Data!$A$2:$C$223100,3,FALSE))</f>
        <v>FC</v>
      </c>
    </row>
    <row r="683" spans="1:15" x14ac:dyDescent="0.25">
      <c r="A683" t="s">
        <v>8668</v>
      </c>
      <c r="B683" t="s">
        <v>8669</v>
      </c>
      <c r="C683" t="s">
        <v>8728</v>
      </c>
      <c r="D683" t="s">
        <v>8729</v>
      </c>
      <c r="E683" t="s">
        <v>5</v>
      </c>
      <c r="F683" t="s">
        <v>8730</v>
      </c>
      <c r="G683" t="s">
        <v>8731</v>
      </c>
      <c r="H683" t="s">
        <v>8732</v>
      </c>
      <c r="I683" t="s">
        <v>8426</v>
      </c>
      <c r="J683" t="s">
        <v>90</v>
      </c>
      <c r="K683" s="3">
        <f t="shared" si="20"/>
        <v>0</v>
      </c>
      <c r="L683" s="3">
        <f>IF(ISERROR(VLOOKUP(J683,Lookups!$A$2:$A$16,1,FALSE)),1,0)</f>
        <v>0</v>
      </c>
      <c r="M683" s="3">
        <f>IF(ISERROR(VLOOKUP(D683,Data!$A$2:$D$223100,2,FALSE)),0,1)</f>
        <v>0</v>
      </c>
      <c r="N683" s="3">
        <f t="shared" si="21"/>
        <v>0</v>
      </c>
      <c r="O683" s="3" t="str">
        <f>IF(ISERROR(VLOOKUP(D683,Data!$A$2:$C$223100,3,FALSE)),"INACTIVE",VLOOKUP(D683,Data!$A$2:$C$223100,3,FALSE))</f>
        <v>INACTIVE</v>
      </c>
    </row>
    <row r="684" spans="1:15" x14ac:dyDescent="0.25">
      <c r="A684" t="s">
        <v>8668</v>
      </c>
      <c r="B684" t="s">
        <v>8669</v>
      </c>
      <c r="C684" t="s">
        <v>8733</v>
      </c>
      <c r="D684" t="s">
        <v>8734</v>
      </c>
      <c r="E684" t="s">
        <v>5</v>
      </c>
      <c r="F684" t="s">
        <v>5</v>
      </c>
      <c r="G684" t="s">
        <v>5</v>
      </c>
      <c r="H684" t="s">
        <v>8735</v>
      </c>
      <c r="I684" t="s">
        <v>8426</v>
      </c>
      <c r="J684" t="s">
        <v>90</v>
      </c>
      <c r="K684" s="3">
        <f t="shared" si="20"/>
        <v>0</v>
      </c>
      <c r="L684" s="3">
        <f>IF(ISERROR(VLOOKUP(J684,Lookups!$A$2:$A$16,1,FALSE)),1,0)</f>
        <v>0</v>
      </c>
      <c r="M684" s="3">
        <f>IF(ISERROR(VLOOKUP(D684,Data!$A$2:$D$223100,2,FALSE)),0,1)</f>
        <v>1</v>
      </c>
      <c r="N684" s="3">
        <f t="shared" si="21"/>
        <v>0</v>
      </c>
      <c r="O684" s="3" t="str">
        <f>IF(ISERROR(VLOOKUP(D684,Data!$A$2:$C$223100,3,FALSE)),"INACTIVE",VLOOKUP(D684,Data!$A$2:$C$223100,3,FALSE))</f>
        <v>FC</v>
      </c>
    </row>
    <row r="685" spans="1:15" x14ac:dyDescent="0.25">
      <c r="A685" t="s">
        <v>8668</v>
      </c>
      <c r="B685" t="s">
        <v>8669</v>
      </c>
      <c r="C685" t="s">
        <v>8736</v>
      </c>
      <c r="D685" t="s">
        <v>8737</v>
      </c>
      <c r="E685" t="s">
        <v>5</v>
      </c>
      <c r="F685" t="s">
        <v>5</v>
      </c>
      <c r="G685" t="s">
        <v>5</v>
      </c>
      <c r="H685" t="s">
        <v>8738</v>
      </c>
      <c r="I685" t="s">
        <v>8426</v>
      </c>
      <c r="J685" t="s">
        <v>96</v>
      </c>
      <c r="K685" s="3">
        <f t="shared" si="20"/>
        <v>0</v>
      </c>
      <c r="L685" s="3">
        <f>IF(ISERROR(VLOOKUP(J685,Lookups!$A$2:$A$16,1,FALSE)),1,0)</f>
        <v>0</v>
      </c>
      <c r="M685" s="3">
        <f>IF(ISERROR(VLOOKUP(D685,Data!$A$2:$D$223100,2,FALSE)),0,1)</f>
        <v>1</v>
      </c>
      <c r="N685" s="3">
        <f t="shared" si="21"/>
        <v>0</v>
      </c>
      <c r="O685" s="3" t="str">
        <f>IF(ISERROR(VLOOKUP(D685,Data!$A$2:$C$223100,3,FALSE)),"INACTIVE",VLOOKUP(D685,Data!$A$2:$C$223100,3,FALSE))</f>
        <v>FC</v>
      </c>
    </row>
    <row r="686" spans="1:15" x14ac:dyDescent="0.25">
      <c r="A686" t="s">
        <v>8668</v>
      </c>
      <c r="B686" t="s">
        <v>8669</v>
      </c>
      <c r="C686" t="s">
        <v>8736</v>
      </c>
      <c r="D686" t="s">
        <v>8737</v>
      </c>
      <c r="E686" t="s">
        <v>8739</v>
      </c>
      <c r="F686" t="s">
        <v>8740</v>
      </c>
      <c r="G686" t="s">
        <v>8741</v>
      </c>
      <c r="H686" t="s">
        <v>8742</v>
      </c>
      <c r="I686" t="s">
        <v>8426</v>
      </c>
      <c r="J686" t="s">
        <v>96</v>
      </c>
      <c r="K686" s="3">
        <f t="shared" si="20"/>
        <v>0</v>
      </c>
      <c r="L686" s="3">
        <f>IF(ISERROR(VLOOKUP(J686,Lookups!$A$2:$A$16,1,FALSE)),1,0)</f>
        <v>0</v>
      </c>
      <c r="M686" s="3">
        <f>IF(ISERROR(VLOOKUP(D686,Data!$A$2:$D$223100,2,FALSE)),0,1)</f>
        <v>1</v>
      </c>
      <c r="N686" s="3">
        <f t="shared" si="21"/>
        <v>0</v>
      </c>
      <c r="O686" s="3" t="str">
        <f>IF(ISERROR(VLOOKUP(D686,Data!$A$2:$C$223100,3,FALSE)),"INACTIVE",VLOOKUP(D686,Data!$A$2:$C$223100,3,FALSE))</f>
        <v>FC</v>
      </c>
    </row>
    <row r="687" spans="1:15" x14ac:dyDescent="0.25">
      <c r="A687" t="s">
        <v>8668</v>
      </c>
      <c r="B687" t="s">
        <v>8669</v>
      </c>
      <c r="C687" t="s">
        <v>8743</v>
      </c>
      <c r="D687" t="s">
        <v>8744</v>
      </c>
      <c r="E687" t="s">
        <v>5</v>
      </c>
      <c r="F687" t="s">
        <v>5</v>
      </c>
      <c r="G687" t="s">
        <v>5</v>
      </c>
      <c r="H687" t="s">
        <v>8745</v>
      </c>
      <c r="I687" t="s">
        <v>8426</v>
      </c>
      <c r="J687" t="s">
        <v>90</v>
      </c>
      <c r="K687" s="3">
        <f t="shared" si="20"/>
        <v>0</v>
      </c>
      <c r="L687" s="3">
        <f>IF(ISERROR(VLOOKUP(J687,Lookups!$A$2:$A$16,1,FALSE)),1,0)</f>
        <v>0</v>
      </c>
      <c r="M687" s="3">
        <f>IF(ISERROR(VLOOKUP(D687,Data!$A$2:$D$223100,2,FALSE)),0,1)</f>
        <v>1</v>
      </c>
      <c r="N687" s="3">
        <f t="shared" si="21"/>
        <v>0</v>
      </c>
      <c r="O687" s="3" t="str">
        <f>IF(ISERROR(VLOOKUP(D687,Data!$A$2:$C$223100,3,FALSE)),"INACTIVE",VLOOKUP(D687,Data!$A$2:$C$223100,3,FALSE))</f>
        <v>Demand Letter</v>
      </c>
    </row>
    <row r="688" spans="1:15" x14ac:dyDescent="0.25">
      <c r="A688" t="s">
        <v>8668</v>
      </c>
      <c r="B688" t="s">
        <v>8669</v>
      </c>
      <c r="C688" t="s">
        <v>8746</v>
      </c>
      <c r="D688" t="s">
        <v>8747</v>
      </c>
      <c r="E688" t="s">
        <v>5</v>
      </c>
      <c r="F688" t="s">
        <v>5</v>
      </c>
      <c r="G688" t="s">
        <v>8748</v>
      </c>
      <c r="H688" t="s">
        <v>8749</v>
      </c>
      <c r="I688" t="s">
        <v>8426</v>
      </c>
      <c r="J688" t="s">
        <v>96</v>
      </c>
      <c r="K688" s="3">
        <f t="shared" si="20"/>
        <v>0</v>
      </c>
      <c r="L688" s="3">
        <f>IF(ISERROR(VLOOKUP(J688,Lookups!$A$2:$A$16,1,FALSE)),1,0)</f>
        <v>0</v>
      </c>
      <c r="M688" s="3">
        <f>IF(ISERROR(VLOOKUP(D688,Data!$A$2:$D$223100,2,FALSE)),0,1)</f>
        <v>1</v>
      </c>
      <c r="N688" s="3">
        <f t="shared" si="21"/>
        <v>0</v>
      </c>
      <c r="O688" s="3" t="str">
        <f>IF(ISERROR(VLOOKUP(D688,Data!$A$2:$C$223100,3,FALSE)),"INACTIVE",VLOOKUP(D688,Data!$A$2:$C$223100,3,FALSE))</f>
        <v>FC</v>
      </c>
    </row>
    <row r="689" spans="1:15" x14ac:dyDescent="0.25">
      <c r="A689" t="s">
        <v>8668</v>
      </c>
      <c r="B689" t="s">
        <v>8669</v>
      </c>
      <c r="C689" t="s">
        <v>8750</v>
      </c>
      <c r="D689" t="s">
        <v>8751</v>
      </c>
      <c r="E689" t="s">
        <v>8752</v>
      </c>
      <c r="F689" t="s">
        <v>8752</v>
      </c>
      <c r="G689" t="s">
        <v>8753</v>
      </c>
      <c r="H689" t="s">
        <v>5</v>
      </c>
      <c r="I689" t="s">
        <v>8426</v>
      </c>
      <c r="J689" t="s">
        <v>96</v>
      </c>
      <c r="K689" s="3">
        <f t="shared" si="20"/>
        <v>0</v>
      </c>
      <c r="L689" s="3">
        <f>IF(ISERROR(VLOOKUP(J689,Lookups!$A$2:$A$16,1,FALSE)),1,0)</f>
        <v>0</v>
      </c>
      <c r="M689" s="3">
        <f>IF(ISERROR(VLOOKUP(D689,Data!$A$2:$D$223100,2,FALSE)),0,1)</f>
        <v>1</v>
      </c>
      <c r="N689" s="3">
        <f t="shared" si="21"/>
        <v>0</v>
      </c>
      <c r="O689" s="3" t="str">
        <f>IF(ISERROR(VLOOKUP(D689,Data!$A$2:$C$223100,3,FALSE)),"INACTIVE",VLOOKUP(D689,Data!$A$2:$C$223100,3,FALSE))</f>
        <v>FC</v>
      </c>
    </row>
    <row r="690" spans="1:15" x14ac:dyDescent="0.25">
      <c r="A690" t="s">
        <v>8668</v>
      </c>
      <c r="B690" t="s">
        <v>8669</v>
      </c>
      <c r="C690" t="s">
        <v>8750</v>
      </c>
      <c r="D690" t="s">
        <v>8751</v>
      </c>
      <c r="E690" t="s">
        <v>5</v>
      </c>
      <c r="F690" t="s">
        <v>8754</v>
      </c>
      <c r="G690" t="s">
        <v>8755</v>
      </c>
      <c r="H690" t="s">
        <v>8756</v>
      </c>
      <c r="I690" t="s">
        <v>8426</v>
      </c>
      <c r="J690" t="s">
        <v>96</v>
      </c>
      <c r="K690" s="3">
        <f t="shared" si="20"/>
        <v>0</v>
      </c>
      <c r="L690" s="3">
        <f>IF(ISERROR(VLOOKUP(J690,Lookups!$A$2:$A$16,1,FALSE)),1,0)</f>
        <v>0</v>
      </c>
      <c r="M690" s="3">
        <f>IF(ISERROR(VLOOKUP(D690,Data!$A$2:$D$223100,2,FALSE)),0,1)</f>
        <v>1</v>
      </c>
      <c r="N690" s="3">
        <f t="shared" si="21"/>
        <v>0</v>
      </c>
      <c r="O690" s="3" t="str">
        <f>IF(ISERROR(VLOOKUP(D690,Data!$A$2:$C$223100,3,FALSE)),"INACTIVE",VLOOKUP(D690,Data!$A$2:$C$223100,3,FALSE))</f>
        <v>FC</v>
      </c>
    </row>
    <row r="691" spans="1:15" x14ac:dyDescent="0.25">
      <c r="A691" t="s">
        <v>8668</v>
      </c>
      <c r="B691" t="s">
        <v>8669</v>
      </c>
      <c r="C691" t="s">
        <v>8757</v>
      </c>
      <c r="D691" t="s">
        <v>8758</v>
      </c>
      <c r="E691" t="s">
        <v>5</v>
      </c>
      <c r="F691" t="s">
        <v>5</v>
      </c>
      <c r="G691" t="s">
        <v>5</v>
      </c>
      <c r="H691" t="s">
        <v>8759</v>
      </c>
      <c r="I691" t="s">
        <v>8426</v>
      </c>
      <c r="J691" t="s">
        <v>90</v>
      </c>
      <c r="K691" s="3">
        <f t="shared" si="20"/>
        <v>0</v>
      </c>
      <c r="L691" s="3">
        <f>IF(ISERROR(VLOOKUP(J691,Lookups!$A$2:$A$16,1,FALSE)),1,0)</f>
        <v>0</v>
      </c>
      <c r="M691" s="3">
        <f>IF(ISERROR(VLOOKUP(D691,Data!$A$2:$D$223100,2,FALSE)),0,1)</f>
        <v>1</v>
      </c>
      <c r="N691" s="3">
        <f t="shared" si="21"/>
        <v>0</v>
      </c>
      <c r="O691" s="3" t="str">
        <f>IF(ISERROR(VLOOKUP(D691,Data!$A$2:$C$223100,3,FALSE)),"INACTIVE",VLOOKUP(D691,Data!$A$2:$C$223100,3,FALSE))</f>
        <v>FC</v>
      </c>
    </row>
    <row r="692" spans="1:15" x14ac:dyDescent="0.25">
      <c r="A692" t="s">
        <v>8668</v>
      </c>
      <c r="B692" t="s">
        <v>8669</v>
      </c>
      <c r="C692" t="s">
        <v>8760</v>
      </c>
      <c r="D692" t="s">
        <v>8761</v>
      </c>
      <c r="E692" t="s">
        <v>5</v>
      </c>
      <c r="F692" t="s">
        <v>5</v>
      </c>
      <c r="G692" t="s">
        <v>5</v>
      </c>
      <c r="H692" t="s">
        <v>8762</v>
      </c>
      <c r="I692" t="s">
        <v>8426</v>
      </c>
      <c r="J692" t="s">
        <v>90</v>
      </c>
      <c r="K692" s="3">
        <f t="shared" si="20"/>
        <v>0</v>
      </c>
      <c r="L692" s="3">
        <f>IF(ISERROR(VLOOKUP(J692,Lookups!$A$2:$A$16,1,FALSE)),1,0)</f>
        <v>0</v>
      </c>
      <c r="M692" s="3">
        <f>IF(ISERROR(VLOOKUP(D692,Data!$A$2:$D$223100,2,FALSE)),0,1)</f>
        <v>1</v>
      </c>
      <c r="N692" s="3">
        <f t="shared" si="21"/>
        <v>0</v>
      </c>
      <c r="O692" s="3" t="str">
        <f>IF(ISERROR(VLOOKUP(D692,Data!$A$2:$C$223100,3,FALSE)),"INACTIVE",VLOOKUP(D692,Data!$A$2:$C$223100,3,FALSE))</f>
        <v>Demand Letter</v>
      </c>
    </row>
    <row r="693" spans="1:15" x14ac:dyDescent="0.25">
      <c r="A693" t="s">
        <v>8668</v>
      </c>
      <c r="B693" t="s">
        <v>8669</v>
      </c>
      <c r="C693" t="s">
        <v>8763</v>
      </c>
      <c r="D693" t="s">
        <v>8764</v>
      </c>
      <c r="E693" t="s">
        <v>5</v>
      </c>
      <c r="F693" t="s">
        <v>5</v>
      </c>
      <c r="G693" t="s">
        <v>5</v>
      </c>
      <c r="H693" t="s">
        <v>8765</v>
      </c>
      <c r="I693" t="s">
        <v>8426</v>
      </c>
      <c r="J693" t="s">
        <v>96</v>
      </c>
      <c r="K693" s="3">
        <f t="shared" si="20"/>
        <v>0</v>
      </c>
      <c r="L693" s="3">
        <f>IF(ISERROR(VLOOKUP(J693,Lookups!$A$2:$A$16,1,FALSE)),1,0)</f>
        <v>0</v>
      </c>
      <c r="M693" s="3">
        <f>IF(ISERROR(VLOOKUP(D693,Data!$A$2:$D$223100,2,FALSE)),0,1)</f>
        <v>1</v>
      </c>
      <c r="N693" s="3">
        <f t="shared" si="21"/>
        <v>0</v>
      </c>
      <c r="O693" s="3" t="str">
        <f>IF(ISERROR(VLOOKUP(D693,Data!$A$2:$C$223100,3,FALSE)),"INACTIVE",VLOOKUP(D693,Data!$A$2:$C$223100,3,FALSE))</f>
        <v>FC</v>
      </c>
    </row>
    <row r="694" spans="1:15" x14ac:dyDescent="0.25">
      <c r="A694" t="s">
        <v>8668</v>
      </c>
      <c r="B694" t="s">
        <v>8669</v>
      </c>
      <c r="C694" t="s">
        <v>8763</v>
      </c>
      <c r="D694" t="s">
        <v>8764</v>
      </c>
      <c r="E694" t="s">
        <v>8766</v>
      </c>
      <c r="F694" t="s">
        <v>8767</v>
      </c>
      <c r="G694" t="s">
        <v>8768</v>
      </c>
      <c r="H694" t="s">
        <v>8769</v>
      </c>
      <c r="I694" t="s">
        <v>8426</v>
      </c>
      <c r="J694" t="s">
        <v>96</v>
      </c>
      <c r="K694" s="3">
        <f t="shared" si="20"/>
        <v>0</v>
      </c>
      <c r="L694" s="3">
        <f>IF(ISERROR(VLOOKUP(J694,Lookups!$A$2:$A$16,1,FALSE)),1,0)</f>
        <v>0</v>
      </c>
      <c r="M694" s="3">
        <f>IF(ISERROR(VLOOKUP(D694,Data!$A$2:$D$223100,2,FALSE)),0,1)</f>
        <v>1</v>
      </c>
      <c r="N694" s="3">
        <f t="shared" si="21"/>
        <v>0</v>
      </c>
      <c r="O694" s="3" t="str">
        <f>IF(ISERROR(VLOOKUP(D694,Data!$A$2:$C$223100,3,FALSE)),"INACTIVE",VLOOKUP(D694,Data!$A$2:$C$223100,3,FALSE))</f>
        <v>FC</v>
      </c>
    </row>
    <row r="695" spans="1:15" x14ac:dyDescent="0.25">
      <c r="A695" t="s">
        <v>8668</v>
      </c>
      <c r="B695" t="s">
        <v>8669</v>
      </c>
      <c r="C695" t="s">
        <v>8770</v>
      </c>
      <c r="D695" t="s">
        <v>8771</v>
      </c>
      <c r="E695" t="s">
        <v>5</v>
      </c>
      <c r="F695" t="s">
        <v>5</v>
      </c>
      <c r="G695" t="s">
        <v>5</v>
      </c>
      <c r="H695" t="s">
        <v>8772</v>
      </c>
      <c r="I695" t="s">
        <v>8426</v>
      </c>
      <c r="J695" t="s">
        <v>90</v>
      </c>
      <c r="K695" s="3">
        <f t="shared" si="20"/>
        <v>0</v>
      </c>
      <c r="L695" s="3">
        <f>IF(ISERROR(VLOOKUP(J695,Lookups!$A$2:$A$16,1,FALSE)),1,0)</f>
        <v>0</v>
      </c>
      <c r="M695" s="3">
        <f>IF(ISERROR(VLOOKUP(D695,Data!$A$2:$D$223100,2,FALSE)),0,1)</f>
        <v>1</v>
      </c>
      <c r="N695" s="3">
        <f t="shared" si="21"/>
        <v>0</v>
      </c>
      <c r="O695" s="3" t="str">
        <f>IF(ISERROR(VLOOKUP(D695,Data!$A$2:$C$223100,3,FALSE)),"INACTIVE",VLOOKUP(D695,Data!$A$2:$C$223100,3,FALSE))</f>
        <v>FC</v>
      </c>
    </row>
    <row r="696" spans="1:15" x14ac:dyDescent="0.25">
      <c r="A696" t="s">
        <v>8668</v>
      </c>
      <c r="B696" t="s">
        <v>8669</v>
      </c>
      <c r="C696" t="s">
        <v>5792</v>
      </c>
      <c r="D696" t="s">
        <v>5793</v>
      </c>
      <c r="E696" t="s">
        <v>5</v>
      </c>
      <c r="F696" t="s">
        <v>8773</v>
      </c>
      <c r="G696" t="s">
        <v>8774</v>
      </c>
      <c r="H696" t="s">
        <v>8775</v>
      </c>
      <c r="I696" t="s">
        <v>8426</v>
      </c>
      <c r="J696" t="s">
        <v>96</v>
      </c>
      <c r="K696" s="3">
        <f t="shared" si="20"/>
        <v>0</v>
      </c>
      <c r="L696" s="3">
        <f>IF(ISERROR(VLOOKUP(J696,Lookups!$A$2:$A$16,1,FALSE)),1,0)</f>
        <v>0</v>
      </c>
      <c r="M696" s="3">
        <f>IF(ISERROR(VLOOKUP(D696,Data!$A$2:$D$223100,2,FALSE)),0,1)</f>
        <v>1</v>
      </c>
      <c r="N696" s="3">
        <f t="shared" si="21"/>
        <v>0</v>
      </c>
      <c r="O696" s="3" t="str">
        <f>IF(ISERROR(VLOOKUP(D696,Data!$A$2:$C$223100,3,FALSE)),"INACTIVE",VLOOKUP(D696,Data!$A$2:$C$223100,3,FALSE))</f>
        <v>FC</v>
      </c>
    </row>
    <row r="697" spans="1:15" x14ac:dyDescent="0.25">
      <c r="A697" t="s">
        <v>8668</v>
      </c>
      <c r="B697" t="s">
        <v>8669</v>
      </c>
      <c r="C697" t="s">
        <v>5792</v>
      </c>
      <c r="D697" t="s">
        <v>5793</v>
      </c>
      <c r="E697" t="s">
        <v>5</v>
      </c>
      <c r="F697" t="s">
        <v>8776</v>
      </c>
      <c r="G697" t="s">
        <v>8777</v>
      </c>
      <c r="H697" t="s">
        <v>8778</v>
      </c>
      <c r="I697" t="s">
        <v>8426</v>
      </c>
      <c r="J697" t="s">
        <v>96</v>
      </c>
      <c r="K697" s="3">
        <f t="shared" si="20"/>
        <v>0</v>
      </c>
      <c r="L697" s="3">
        <f>IF(ISERROR(VLOOKUP(J697,Lookups!$A$2:$A$16,1,FALSE)),1,0)</f>
        <v>0</v>
      </c>
      <c r="M697" s="3">
        <f>IF(ISERROR(VLOOKUP(D697,Data!$A$2:$D$223100,2,FALSE)),0,1)</f>
        <v>1</v>
      </c>
      <c r="N697" s="3">
        <f t="shared" si="21"/>
        <v>0</v>
      </c>
      <c r="O697" s="3" t="str">
        <f>IF(ISERROR(VLOOKUP(D697,Data!$A$2:$C$223100,3,FALSE)),"INACTIVE",VLOOKUP(D697,Data!$A$2:$C$223100,3,FALSE))</f>
        <v>FC</v>
      </c>
    </row>
    <row r="698" spans="1:15" x14ac:dyDescent="0.25">
      <c r="A698" t="s">
        <v>8668</v>
      </c>
      <c r="B698" t="s">
        <v>8669</v>
      </c>
      <c r="C698" t="s">
        <v>8779</v>
      </c>
      <c r="D698" t="s">
        <v>8780</v>
      </c>
      <c r="E698" t="s">
        <v>5</v>
      </c>
      <c r="F698" t="s">
        <v>5</v>
      </c>
      <c r="G698" t="s">
        <v>8781</v>
      </c>
      <c r="H698" t="s">
        <v>8782</v>
      </c>
      <c r="I698" t="s">
        <v>8426</v>
      </c>
      <c r="J698" t="s">
        <v>90</v>
      </c>
      <c r="K698" s="3">
        <f t="shared" si="20"/>
        <v>0</v>
      </c>
      <c r="L698" s="3">
        <f>IF(ISERROR(VLOOKUP(J698,Lookups!$A$2:$A$16,1,FALSE)),1,0)</f>
        <v>0</v>
      </c>
      <c r="M698" s="3">
        <f>IF(ISERROR(VLOOKUP(D698,Data!$A$2:$D$223100,2,FALSE)),0,1)</f>
        <v>1</v>
      </c>
      <c r="N698" s="3">
        <f t="shared" si="21"/>
        <v>0</v>
      </c>
      <c r="O698" s="3" t="str">
        <f>IF(ISERROR(VLOOKUP(D698,Data!$A$2:$C$223100,3,FALSE)),"INACTIVE",VLOOKUP(D698,Data!$A$2:$C$223100,3,FALSE))</f>
        <v>30+</v>
      </c>
    </row>
    <row r="699" spans="1:15" x14ac:dyDescent="0.25">
      <c r="A699" t="s">
        <v>8668</v>
      </c>
      <c r="B699" t="s">
        <v>8669</v>
      </c>
      <c r="C699" t="s">
        <v>8783</v>
      </c>
      <c r="D699" t="s">
        <v>8784</v>
      </c>
      <c r="E699" t="s">
        <v>5</v>
      </c>
      <c r="F699" t="s">
        <v>5</v>
      </c>
      <c r="G699" t="s">
        <v>5</v>
      </c>
      <c r="H699" t="s">
        <v>8785</v>
      </c>
      <c r="I699" t="s">
        <v>8426</v>
      </c>
      <c r="J699" t="s">
        <v>90</v>
      </c>
      <c r="K699" s="3">
        <f t="shared" si="20"/>
        <v>0</v>
      </c>
      <c r="L699" s="3">
        <f>IF(ISERROR(VLOOKUP(J699,Lookups!$A$2:$A$16,1,FALSE)),1,0)</f>
        <v>0</v>
      </c>
      <c r="M699" s="3">
        <f>IF(ISERROR(VLOOKUP(D699,Data!$A$2:$D$223100,2,FALSE)),0,1)</f>
        <v>1</v>
      </c>
      <c r="N699" s="3">
        <f t="shared" si="21"/>
        <v>0</v>
      </c>
      <c r="O699" s="3" t="str">
        <f>IF(ISERROR(VLOOKUP(D699,Data!$A$2:$C$223100,3,FALSE)),"INACTIVE",VLOOKUP(D699,Data!$A$2:$C$223100,3,FALSE))</f>
        <v>FC</v>
      </c>
    </row>
    <row r="700" spans="1:15" x14ac:dyDescent="0.25">
      <c r="A700" t="s">
        <v>8668</v>
      </c>
      <c r="B700" t="s">
        <v>8669</v>
      </c>
      <c r="C700" t="s">
        <v>8786</v>
      </c>
      <c r="D700" t="s">
        <v>8787</v>
      </c>
      <c r="E700" t="s">
        <v>5</v>
      </c>
      <c r="F700" t="s">
        <v>5</v>
      </c>
      <c r="G700" t="s">
        <v>5</v>
      </c>
      <c r="H700" t="s">
        <v>8788</v>
      </c>
      <c r="I700" t="s">
        <v>8426</v>
      </c>
      <c r="J700" t="s">
        <v>96</v>
      </c>
      <c r="K700" s="3">
        <f t="shared" si="20"/>
        <v>0</v>
      </c>
      <c r="L700" s="3">
        <f>IF(ISERROR(VLOOKUP(J700,Lookups!$A$2:$A$16,1,FALSE)),1,0)</f>
        <v>0</v>
      </c>
      <c r="M700" s="3">
        <f>IF(ISERROR(VLOOKUP(D700,Data!$A$2:$D$223100,2,FALSE)),0,1)</f>
        <v>1</v>
      </c>
      <c r="N700" s="3">
        <f t="shared" si="21"/>
        <v>0</v>
      </c>
      <c r="O700" s="3" t="str">
        <f>IF(ISERROR(VLOOKUP(D700,Data!$A$2:$C$223100,3,FALSE)),"INACTIVE",VLOOKUP(D700,Data!$A$2:$C$223100,3,FALSE))</f>
        <v>FC</v>
      </c>
    </row>
    <row r="701" spans="1:15" x14ac:dyDescent="0.25">
      <c r="A701" t="s">
        <v>8668</v>
      </c>
      <c r="B701" t="s">
        <v>8669</v>
      </c>
      <c r="C701" t="s">
        <v>8786</v>
      </c>
      <c r="D701" t="s">
        <v>8787</v>
      </c>
      <c r="E701" t="s">
        <v>8789</v>
      </c>
      <c r="F701" t="s">
        <v>8790</v>
      </c>
      <c r="G701" t="s">
        <v>8791</v>
      </c>
      <c r="H701" t="s">
        <v>8792</v>
      </c>
      <c r="I701" t="s">
        <v>8426</v>
      </c>
      <c r="J701" t="s">
        <v>96</v>
      </c>
      <c r="K701" s="3">
        <f t="shared" si="20"/>
        <v>0</v>
      </c>
      <c r="L701" s="3">
        <f>IF(ISERROR(VLOOKUP(J701,Lookups!$A$2:$A$16,1,FALSE)),1,0)</f>
        <v>0</v>
      </c>
      <c r="M701" s="3">
        <f>IF(ISERROR(VLOOKUP(D701,Data!$A$2:$D$223100,2,FALSE)),0,1)</f>
        <v>1</v>
      </c>
      <c r="N701" s="3">
        <f t="shared" si="21"/>
        <v>0</v>
      </c>
      <c r="O701" s="3" t="str">
        <f>IF(ISERROR(VLOOKUP(D701,Data!$A$2:$C$223100,3,FALSE)),"INACTIVE",VLOOKUP(D701,Data!$A$2:$C$223100,3,FALSE))</f>
        <v>FC</v>
      </c>
    </row>
    <row r="702" spans="1:15" x14ac:dyDescent="0.25">
      <c r="A702" t="s">
        <v>8793</v>
      </c>
      <c r="B702" t="s">
        <v>8794</v>
      </c>
      <c r="C702" t="s">
        <v>8795</v>
      </c>
      <c r="D702" t="s">
        <v>8796</v>
      </c>
      <c r="E702" t="s">
        <v>5</v>
      </c>
      <c r="F702" t="s">
        <v>5</v>
      </c>
      <c r="G702" t="s">
        <v>5</v>
      </c>
      <c r="H702" t="s">
        <v>8797</v>
      </c>
      <c r="I702" t="s">
        <v>8426</v>
      </c>
      <c r="J702" t="s">
        <v>90</v>
      </c>
      <c r="K702" s="3">
        <f t="shared" si="20"/>
        <v>0</v>
      </c>
      <c r="L702" s="3">
        <f>IF(ISERROR(VLOOKUP(J702,Lookups!$A$2:$A$16,1,FALSE)),1,0)</f>
        <v>0</v>
      </c>
      <c r="M702" s="3">
        <f>IF(ISERROR(VLOOKUP(D702,Data!$A$2:$D$223100,2,FALSE)),0,1)</f>
        <v>1</v>
      </c>
      <c r="N702" s="3">
        <f t="shared" si="21"/>
        <v>0</v>
      </c>
      <c r="O702" s="3" t="str">
        <f>IF(ISERROR(VLOOKUP(D702,Data!$A$2:$C$223100,3,FALSE)),"INACTIVE",VLOOKUP(D702,Data!$A$2:$C$223100,3,FALSE))</f>
        <v>FC</v>
      </c>
    </row>
    <row r="703" spans="1:15" x14ac:dyDescent="0.25">
      <c r="A703" t="s">
        <v>8793</v>
      </c>
      <c r="B703" t="s">
        <v>8794</v>
      </c>
      <c r="C703" t="s">
        <v>8798</v>
      </c>
      <c r="D703" t="s">
        <v>8799</v>
      </c>
      <c r="E703" t="s">
        <v>5</v>
      </c>
      <c r="F703" t="s">
        <v>8800</v>
      </c>
      <c r="G703" t="s">
        <v>8801</v>
      </c>
      <c r="H703" t="s">
        <v>8802</v>
      </c>
      <c r="I703" t="s">
        <v>8426</v>
      </c>
      <c r="J703" t="s">
        <v>90</v>
      </c>
      <c r="K703" s="3">
        <f t="shared" si="20"/>
        <v>0</v>
      </c>
      <c r="L703" s="3">
        <f>IF(ISERROR(VLOOKUP(J703,Lookups!$A$2:$A$16,1,FALSE)),1,0)</f>
        <v>0</v>
      </c>
      <c r="M703" s="3">
        <f>IF(ISERROR(VLOOKUP(D703,Data!$A$2:$D$223100,2,FALSE)),0,1)</f>
        <v>1</v>
      </c>
      <c r="N703" s="3">
        <f t="shared" si="21"/>
        <v>0</v>
      </c>
      <c r="O703" s="3" t="str">
        <f>IF(ISERROR(VLOOKUP(D703,Data!$A$2:$C$223100,3,FALSE)),"INACTIVE",VLOOKUP(D703,Data!$A$2:$C$223100,3,FALSE))</f>
        <v>Demand Letter</v>
      </c>
    </row>
    <row r="704" spans="1:15" x14ac:dyDescent="0.25">
      <c r="A704" t="s">
        <v>8793</v>
      </c>
      <c r="B704" t="s">
        <v>8794</v>
      </c>
      <c r="C704" t="s">
        <v>6296</v>
      </c>
      <c r="D704" t="s">
        <v>6297</v>
      </c>
      <c r="E704" t="s">
        <v>5</v>
      </c>
      <c r="F704" t="s">
        <v>5</v>
      </c>
      <c r="G704" t="s">
        <v>5</v>
      </c>
      <c r="H704" t="s">
        <v>8803</v>
      </c>
      <c r="I704" t="s">
        <v>8426</v>
      </c>
      <c r="J704" t="s">
        <v>90</v>
      </c>
      <c r="K704" s="3">
        <f t="shared" si="20"/>
        <v>0</v>
      </c>
      <c r="L704" s="3">
        <f>IF(ISERROR(VLOOKUP(J704,Lookups!$A$2:$A$16,1,FALSE)),1,0)</f>
        <v>0</v>
      </c>
      <c r="M704" s="3">
        <f>IF(ISERROR(VLOOKUP(D704,Data!$A$2:$D$223100,2,FALSE)),0,1)</f>
        <v>1</v>
      </c>
      <c r="N704" s="3">
        <f t="shared" si="21"/>
        <v>0</v>
      </c>
      <c r="O704" s="3" t="str">
        <f>IF(ISERROR(VLOOKUP(D704,Data!$A$2:$C$223100,3,FALSE)),"INACTIVE",VLOOKUP(D704,Data!$A$2:$C$223100,3,FALSE))</f>
        <v>FC</v>
      </c>
    </row>
    <row r="705" spans="1:15" x14ac:dyDescent="0.25">
      <c r="A705" t="s">
        <v>8793</v>
      </c>
      <c r="B705" t="s">
        <v>8794</v>
      </c>
      <c r="C705" t="s">
        <v>8804</v>
      </c>
      <c r="D705" t="s">
        <v>8805</v>
      </c>
      <c r="E705" t="s">
        <v>5</v>
      </c>
      <c r="F705" t="s">
        <v>5</v>
      </c>
      <c r="G705" t="s">
        <v>5</v>
      </c>
      <c r="H705" t="s">
        <v>8806</v>
      </c>
      <c r="I705" t="s">
        <v>8426</v>
      </c>
      <c r="J705" t="s">
        <v>90</v>
      </c>
      <c r="K705" s="3">
        <f t="shared" si="20"/>
        <v>0</v>
      </c>
      <c r="L705" s="3">
        <f>IF(ISERROR(VLOOKUP(J705,Lookups!$A$2:$A$16,1,FALSE)),1,0)</f>
        <v>0</v>
      </c>
      <c r="M705" s="3">
        <f>IF(ISERROR(VLOOKUP(D705,Data!$A$2:$D$223100,2,FALSE)),0,1)</f>
        <v>0</v>
      </c>
      <c r="N705" s="3">
        <f t="shared" si="21"/>
        <v>0</v>
      </c>
      <c r="O705" s="3" t="str">
        <f>IF(ISERROR(VLOOKUP(D705,Data!$A$2:$C$223100,3,FALSE)),"INACTIVE",VLOOKUP(D705,Data!$A$2:$C$223100,3,FALSE))</f>
        <v>INACTIVE</v>
      </c>
    </row>
    <row r="706" spans="1:15" x14ac:dyDescent="0.25">
      <c r="A706" t="s">
        <v>8793</v>
      </c>
      <c r="B706" t="s">
        <v>8794</v>
      </c>
      <c r="C706" t="s">
        <v>8807</v>
      </c>
      <c r="D706" t="s">
        <v>8808</v>
      </c>
      <c r="E706" t="s">
        <v>5</v>
      </c>
      <c r="F706" t="s">
        <v>8809</v>
      </c>
      <c r="G706" t="s">
        <v>8810</v>
      </c>
      <c r="H706" t="s">
        <v>8811</v>
      </c>
      <c r="I706" t="s">
        <v>8426</v>
      </c>
      <c r="J706" t="s">
        <v>90</v>
      </c>
      <c r="K706" s="3">
        <f t="shared" si="20"/>
        <v>0</v>
      </c>
      <c r="L706" s="3">
        <f>IF(ISERROR(VLOOKUP(J706,Lookups!$A$2:$A$16,1,FALSE)),1,0)</f>
        <v>0</v>
      </c>
      <c r="M706" s="3">
        <f>IF(ISERROR(VLOOKUP(D706,Data!$A$2:$D$223100,2,FALSE)),0,1)</f>
        <v>0</v>
      </c>
      <c r="N706" s="3">
        <f t="shared" si="21"/>
        <v>0</v>
      </c>
      <c r="O706" s="3" t="str">
        <f>IF(ISERROR(VLOOKUP(D706,Data!$A$2:$C$223100,3,FALSE)),"INACTIVE",VLOOKUP(D706,Data!$A$2:$C$223100,3,FALSE))</f>
        <v>INACTIVE</v>
      </c>
    </row>
    <row r="707" spans="1:15" x14ac:dyDescent="0.25">
      <c r="A707" t="s">
        <v>8793</v>
      </c>
      <c r="B707" t="s">
        <v>8794</v>
      </c>
      <c r="C707" t="s">
        <v>8812</v>
      </c>
      <c r="D707" t="s">
        <v>8813</v>
      </c>
      <c r="E707" t="s">
        <v>5</v>
      </c>
      <c r="F707" t="s">
        <v>5</v>
      </c>
      <c r="G707" t="s">
        <v>5</v>
      </c>
      <c r="H707" t="s">
        <v>8814</v>
      </c>
      <c r="I707" t="s">
        <v>8426</v>
      </c>
      <c r="J707" t="s">
        <v>90</v>
      </c>
      <c r="K707" s="3">
        <f t="shared" ref="K707:K770" si="22">IF(ISERROR(FIND("LIEN",A707,1)),0,1)</f>
        <v>0</v>
      </c>
      <c r="L707" s="3">
        <f>IF(ISERROR(VLOOKUP(J707,Lookups!$A$2:$A$16,1,FALSE)),1,0)</f>
        <v>0</v>
      </c>
      <c r="M707" s="3">
        <f>IF(ISERROR(VLOOKUP(D707,Data!$A$2:$D$223100,2,FALSE)),0,1)</f>
        <v>1</v>
      </c>
      <c r="N707" s="3">
        <f t="shared" ref="N707:N770" si="23">IF(M707=0,0,IF(SUM(K707:L707)&gt;0,1,0))</f>
        <v>0</v>
      </c>
      <c r="O707" s="3" t="str">
        <f>IF(ISERROR(VLOOKUP(D707,Data!$A$2:$C$223100,3,FALSE)),"INACTIVE",VLOOKUP(D707,Data!$A$2:$C$223100,3,FALSE))</f>
        <v>FC</v>
      </c>
    </row>
    <row r="708" spans="1:15" x14ac:dyDescent="0.25">
      <c r="A708" t="s">
        <v>8793</v>
      </c>
      <c r="B708" t="s">
        <v>8794</v>
      </c>
      <c r="C708" t="s">
        <v>8815</v>
      </c>
      <c r="D708" t="s">
        <v>8816</v>
      </c>
      <c r="E708" t="s">
        <v>5</v>
      </c>
      <c r="F708" t="s">
        <v>5</v>
      </c>
      <c r="G708" t="s">
        <v>5</v>
      </c>
      <c r="H708" t="s">
        <v>8817</v>
      </c>
      <c r="I708" t="s">
        <v>8426</v>
      </c>
      <c r="J708" t="s">
        <v>90</v>
      </c>
      <c r="K708" s="3">
        <f t="shared" si="22"/>
        <v>0</v>
      </c>
      <c r="L708" s="3">
        <f>IF(ISERROR(VLOOKUP(J708,Lookups!$A$2:$A$16,1,FALSE)),1,0)</f>
        <v>0</v>
      </c>
      <c r="M708" s="3">
        <f>IF(ISERROR(VLOOKUP(D708,Data!$A$2:$D$223100,2,FALSE)),0,1)</f>
        <v>1</v>
      </c>
      <c r="N708" s="3">
        <f t="shared" si="23"/>
        <v>0</v>
      </c>
      <c r="O708" s="3" t="str">
        <f>IF(ISERROR(VLOOKUP(D708,Data!$A$2:$C$223100,3,FALSE)),"INACTIVE",VLOOKUP(D708,Data!$A$2:$C$223100,3,FALSE))</f>
        <v>120+</v>
      </c>
    </row>
    <row r="709" spans="1:15" x14ac:dyDescent="0.25">
      <c r="A709" t="s">
        <v>8793</v>
      </c>
      <c r="B709" t="s">
        <v>8794</v>
      </c>
      <c r="C709" t="s">
        <v>8818</v>
      </c>
      <c r="D709" t="s">
        <v>8819</v>
      </c>
      <c r="E709" t="s">
        <v>5</v>
      </c>
      <c r="F709" t="s">
        <v>5</v>
      </c>
      <c r="G709" t="s">
        <v>5</v>
      </c>
      <c r="H709" t="s">
        <v>8820</v>
      </c>
      <c r="I709" t="s">
        <v>8426</v>
      </c>
      <c r="J709" t="s">
        <v>90</v>
      </c>
      <c r="K709" s="3">
        <f t="shared" si="22"/>
        <v>0</v>
      </c>
      <c r="L709" s="3">
        <f>IF(ISERROR(VLOOKUP(J709,Lookups!$A$2:$A$16,1,FALSE)),1,0)</f>
        <v>0</v>
      </c>
      <c r="M709" s="3">
        <f>IF(ISERROR(VLOOKUP(D709,Data!$A$2:$D$223100,2,FALSE)),0,1)</f>
        <v>1</v>
      </c>
      <c r="N709" s="3">
        <f t="shared" si="23"/>
        <v>0</v>
      </c>
      <c r="O709" s="3" t="str">
        <f>IF(ISERROR(VLOOKUP(D709,Data!$A$2:$C$223100,3,FALSE)),"INACTIVE",VLOOKUP(D709,Data!$A$2:$C$223100,3,FALSE))</f>
        <v>FC</v>
      </c>
    </row>
    <row r="710" spans="1:15" x14ac:dyDescent="0.25">
      <c r="A710" t="s">
        <v>8793</v>
      </c>
      <c r="B710" t="s">
        <v>8794</v>
      </c>
      <c r="C710" t="s">
        <v>8821</v>
      </c>
      <c r="D710" t="s">
        <v>8822</v>
      </c>
      <c r="E710" t="s">
        <v>5</v>
      </c>
      <c r="F710" t="s">
        <v>8823</v>
      </c>
      <c r="G710" t="s">
        <v>8824</v>
      </c>
      <c r="H710" t="s">
        <v>8825</v>
      </c>
      <c r="I710" t="s">
        <v>8426</v>
      </c>
      <c r="J710" t="s">
        <v>90</v>
      </c>
      <c r="K710" s="3">
        <f t="shared" si="22"/>
        <v>0</v>
      </c>
      <c r="L710" s="3">
        <f>IF(ISERROR(VLOOKUP(J710,Lookups!$A$2:$A$16,1,FALSE)),1,0)</f>
        <v>0</v>
      </c>
      <c r="M710" s="3">
        <f>IF(ISERROR(VLOOKUP(D710,Data!$A$2:$D$223100,2,FALSE)),0,1)</f>
        <v>1</v>
      </c>
      <c r="N710" s="3">
        <f t="shared" si="23"/>
        <v>0</v>
      </c>
      <c r="O710" s="3" t="str">
        <f>IF(ISERROR(VLOOKUP(D710,Data!$A$2:$C$223100,3,FALSE)),"INACTIVE",VLOOKUP(D710,Data!$A$2:$C$223100,3,FALSE))</f>
        <v>FC</v>
      </c>
    </row>
    <row r="711" spans="1:15" x14ac:dyDescent="0.25">
      <c r="A711" t="s">
        <v>8793</v>
      </c>
      <c r="B711" t="s">
        <v>8794</v>
      </c>
      <c r="C711" t="s">
        <v>8826</v>
      </c>
      <c r="D711" t="s">
        <v>8827</v>
      </c>
      <c r="E711" t="s">
        <v>5</v>
      </c>
      <c r="F711" t="s">
        <v>5</v>
      </c>
      <c r="G711" t="s">
        <v>5</v>
      </c>
      <c r="H711" t="s">
        <v>8828</v>
      </c>
      <c r="I711" t="s">
        <v>8426</v>
      </c>
      <c r="J711" t="s">
        <v>90</v>
      </c>
      <c r="K711" s="3">
        <f t="shared" si="22"/>
        <v>0</v>
      </c>
      <c r="L711" s="3">
        <f>IF(ISERROR(VLOOKUP(J711,Lookups!$A$2:$A$16,1,FALSE)),1,0)</f>
        <v>0</v>
      </c>
      <c r="M711" s="3">
        <f>IF(ISERROR(VLOOKUP(D711,Data!$A$2:$D$223100,2,FALSE)),0,1)</f>
        <v>1</v>
      </c>
      <c r="N711" s="3">
        <f t="shared" si="23"/>
        <v>0</v>
      </c>
      <c r="O711" s="3" t="str">
        <f>IF(ISERROR(VLOOKUP(D711,Data!$A$2:$C$223100,3,FALSE)),"INACTIVE",VLOOKUP(D711,Data!$A$2:$C$223100,3,FALSE))</f>
        <v>FC</v>
      </c>
    </row>
    <row r="712" spans="1:15" x14ac:dyDescent="0.25">
      <c r="A712" t="s">
        <v>8793</v>
      </c>
      <c r="B712" t="s">
        <v>8794</v>
      </c>
      <c r="C712" t="s">
        <v>8829</v>
      </c>
      <c r="D712" t="s">
        <v>8830</v>
      </c>
      <c r="E712" t="s">
        <v>5</v>
      </c>
      <c r="F712" t="s">
        <v>5</v>
      </c>
      <c r="G712" t="s">
        <v>8831</v>
      </c>
      <c r="H712" t="s">
        <v>5</v>
      </c>
      <c r="I712" t="s">
        <v>8426</v>
      </c>
      <c r="J712" t="s">
        <v>96</v>
      </c>
      <c r="K712" s="3">
        <f t="shared" si="22"/>
        <v>0</v>
      </c>
      <c r="L712" s="3">
        <f>IF(ISERROR(VLOOKUP(J712,Lookups!$A$2:$A$16,1,FALSE)),1,0)</f>
        <v>0</v>
      </c>
      <c r="M712" s="3">
        <f>IF(ISERROR(VLOOKUP(D712,Data!$A$2:$D$223100,2,FALSE)),0,1)</f>
        <v>1</v>
      </c>
      <c r="N712" s="3">
        <f t="shared" si="23"/>
        <v>0</v>
      </c>
      <c r="O712" s="3" t="str">
        <f>IF(ISERROR(VLOOKUP(D712,Data!$A$2:$C$223100,3,FALSE)),"INACTIVE",VLOOKUP(D712,Data!$A$2:$C$223100,3,FALSE))</f>
        <v>150+</v>
      </c>
    </row>
    <row r="713" spans="1:15" x14ac:dyDescent="0.25">
      <c r="A713" t="s">
        <v>8793</v>
      </c>
      <c r="B713" t="s">
        <v>8794</v>
      </c>
      <c r="C713" t="s">
        <v>8829</v>
      </c>
      <c r="D713" t="s">
        <v>8830</v>
      </c>
      <c r="E713" t="s">
        <v>5</v>
      </c>
      <c r="F713" t="s">
        <v>5</v>
      </c>
      <c r="G713" t="s">
        <v>8832</v>
      </c>
      <c r="H713" t="s">
        <v>8833</v>
      </c>
      <c r="I713" t="s">
        <v>8426</v>
      </c>
      <c r="J713" t="s">
        <v>96</v>
      </c>
      <c r="K713" s="3">
        <f t="shared" si="22"/>
        <v>0</v>
      </c>
      <c r="L713" s="3">
        <f>IF(ISERROR(VLOOKUP(J713,Lookups!$A$2:$A$16,1,FALSE)),1,0)</f>
        <v>0</v>
      </c>
      <c r="M713" s="3">
        <f>IF(ISERROR(VLOOKUP(D713,Data!$A$2:$D$223100,2,FALSE)),0,1)</f>
        <v>1</v>
      </c>
      <c r="N713" s="3">
        <f t="shared" si="23"/>
        <v>0</v>
      </c>
      <c r="O713" s="3" t="str">
        <f>IF(ISERROR(VLOOKUP(D713,Data!$A$2:$C$223100,3,FALSE)),"INACTIVE",VLOOKUP(D713,Data!$A$2:$C$223100,3,FALSE))</f>
        <v>150+</v>
      </c>
    </row>
    <row r="714" spans="1:15" x14ac:dyDescent="0.25">
      <c r="A714" t="s">
        <v>8793</v>
      </c>
      <c r="B714" t="s">
        <v>8794</v>
      </c>
      <c r="C714" t="s">
        <v>8834</v>
      </c>
      <c r="D714" t="s">
        <v>8835</v>
      </c>
      <c r="E714" t="s">
        <v>5</v>
      </c>
      <c r="F714" t="s">
        <v>8836</v>
      </c>
      <c r="G714" t="s">
        <v>8837</v>
      </c>
      <c r="H714" t="s">
        <v>8838</v>
      </c>
      <c r="I714" t="s">
        <v>8426</v>
      </c>
      <c r="J714" t="s">
        <v>90</v>
      </c>
      <c r="K714" s="3">
        <f t="shared" si="22"/>
        <v>0</v>
      </c>
      <c r="L714" s="3">
        <f>IF(ISERROR(VLOOKUP(J714,Lookups!$A$2:$A$16,1,FALSE)),1,0)</f>
        <v>0</v>
      </c>
      <c r="M714" s="3">
        <f>IF(ISERROR(VLOOKUP(D714,Data!$A$2:$D$223100,2,FALSE)),0,1)</f>
        <v>0</v>
      </c>
      <c r="N714" s="3">
        <f t="shared" si="23"/>
        <v>0</v>
      </c>
      <c r="O714" s="3" t="str">
        <f>IF(ISERROR(VLOOKUP(D714,Data!$A$2:$C$223100,3,FALSE)),"INACTIVE",VLOOKUP(D714,Data!$A$2:$C$223100,3,FALSE))</f>
        <v>INACTIVE</v>
      </c>
    </row>
    <row r="715" spans="1:15" x14ac:dyDescent="0.25">
      <c r="A715" t="s">
        <v>8793</v>
      </c>
      <c r="B715" t="s">
        <v>8794</v>
      </c>
      <c r="C715" t="s">
        <v>8839</v>
      </c>
      <c r="D715" t="s">
        <v>8840</v>
      </c>
      <c r="E715" t="s">
        <v>5</v>
      </c>
      <c r="F715" t="s">
        <v>5</v>
      </c>
      <c r="G715" t="s">
        <v>5</v>
      </c>
      <c r="H715" t="s">
        <v>8841</v>
      </c>
      <c r="I715" t="s">
        <v>8426</v>
      </c>
      <c r="J715" t="s">
        <v>90</v>
      </c>
      <c r="K715" s="3">
        <f t="shared" si="22"/>
        <v>0</v>
      </c>
      <c r="L715" s="3">
        <f>IF(ISERROR(VLOOKUP(J715,Lookups!$A$2:$A$16,1,FALSE)),1,0)</f>
        <v>0</v>
      </c>
      <c r="M715" s="3">
        <f>IF(ISERROR(VLOOKUP(D715,Data!$A$2:$D$223100,2,FALSE)),0,1)</f>
        <v>1</v>
      </c>
      <c r="N715" s="3">
        <f t="shared" si="23"/>
        <v>0</v>
      </c>
      <c r="O715" s="3" t="str">
        <f>IF(ISERROR(VLOOKUP(D715,Data!$A$2:$C$223100,3,FALSE)),"INACTIVE",VLOOKUP(D715,Data!$A$2:$C$223100,3,FALSE))</f>
        <v>FC</v>
      </c>
    </row>
    <row r="716" spans="1:15" x14ac:dyDescent="0.25">
      <c r="A716" t="s">
        <v>8793</v>
      </c>
      <c r="B716" t="s">
        <v>8794</v>
      </c>
      <c r="C716" t="s">
        <v>8842</v>
      </c>
      <c r="D716" t="s">
        <v>8843</v>
      </c>
      <c r="E716" t="s">
        <v>5</v>
      </c>
      <c r="F716" t="s">
        <v>5</v>
      </c>
      <c r="G716" t="s">
        <v>5</v>
      </c>
      <c r="H716" t="s">
        <v>8844</v>
      </c>
      <c r="I716" t="s">
        <v>8426</v>
      </c>
      <c r="J716" t="s">
        <v>90</v>
      </c>
      <c r="K716" s="3">
        <f t="shared" si="22"/>
        <v>0</v>
      </c>
      <c r="L716" s="3">
        <f>IF(ISERROR(VLOOKUP(J716,Lookups!$A$2:$A$16,1,FALSE)),1,0)</f>
        <v>0</v>
      </c>
      <c r="M716" s="3">
        <f>IF(ISERROR(VLOOKUP(D716,Data!$A$2:$D$223100,2,FALSE)),0,1)</f>
        <v>0</v>
      </c>
      <c r="N716" s="3">
        <f t="shared" si="23"/>
        <v>0</v>
      </c>
      <c r="O716" s="3" t="str">
        <f>IF(ISERROR(VLOOKUP(D716,Data!$A$2:$C$223100,3,FALSE)),"INACTIVE",VLOOKUP(D716,Data!$A$2:$C$223100,3,FALSE))</f>
        <v>INACTIVE</v>
      </c>
    </row>
    <row r="717" spans="1:15" x14ac:dyDescent="0.25">
      <c r="A717" t="s">
        <v>8793</v>
      </c>
      <c r="B717" t="s">
        <v>8794</v>
      </c>
      <c r="C717" t="s">
        <v>8845</v>
      </c>
      <c r="D717" t="s">
        <v>8846</v>
      </c>
      <c r="E717" t="s">
        <v>5</v>
      </c>
      <c r="F717" t="s">
        <v>5</v>
      </c>
      <c r="G717" t="s">
        <v>5</v>
      </c>
      <c r="H717" t="s">
        <v>8847</v>
      </c>
      <c r="I717" t="s">
        <v>8426</v>
      </c>
      <c r="J717" t="s">
        <v>90</v>
      </c>
      <c r="K717" s="3">
        <f t="shared" si="22"/>
        <v>0</v>
      </c>
      <c r="L717" s="3">
        <f>IF(ISERROR(VLOOKUP(J717,Lookups!$A$2:$A$16,1,FALSE)),1,0)</f>
        <v>0</v>
      </c>
      <c r="M717" s="3">
        <f>IF(ISERROR(VLOOKUP(D717,Data!$A$2:$D$223100,2,FALSE)),0,1)</f>
        <v>1</v>
      </c>
      <c r="N717" s="3">
        <f t="shared" si="23"/>
        <v>0</v>
      </c>
      <c r="O717" s="3" t="str">
        <f>IF(ISERROR(VLOOKUP(D717,Data!$A$2:$C$223100,3,FALSE)),"INACTIVE",VLOOKUP(D717,Data!$A$2:$C$223100,3,FALSE))</f>
        <v>180+</v>
      </c>
    </row>
    <row r="718" spans="1:15" x14ac:dyDescent="0.25">
      <c r="A718" t="s">
        <v>8793</v>
      </c>
      <c r="B718" t="s">
        <v>8794</v>
      </c>
      <c r="C718" t="s">
        <v>8848</v>
      </c>
      <c r="D718" t="s">
        <v>8849</v>
      </c>
      <c r="E718" t="s">
        <v>5</v>
      </c>
      <c r="F718" t="s">
        <v>5</v>
      </c>
      <c r="G718" t="s">
        <v>8850</v>
      </c>
      <c r="H718" t="s">
        <v>8851</v>
      </c>
      <c r="I718" t="s">
        <v>8426</v>
      </c>
      <c r="J718" t="s">
        <v>96</v>
      </c>
      <c r="K718" s="3">
        <f t="shared" si="22"/>
        <v>0</v>
      </c>
      <c r="L718" s="3">
        <f>IF(ISERROR(VLOOKUP(J718,Lookups!$A$2:$A$16,1,FALSE)),1,0)</f>
        <v>0</v>
      </c>
      <c r="M718" s="3">
        <f>IF(ISERROR(VLOOKUP(D718,Data!$A$2:$D$223100,2,FALSE)),0,1)</f>
        <v>1</v>
      </c>
      <c r="N718" s="3">
        <f t="shared" si="23"/>
        <v>0</v>
      </c>
      <c r="O718" s="3" t="str">
        <f>IF(ISERROR(VLOOKUP(D718,Data!$A$2:$C$223100,3,FALSE)),"INACTIVE",VLOOKUP(D718,Data!$A$2:$C$223100,3,FALSE))</f>
        <v>FC</v>
      </c>
    </row>
    <row r="719" spans="1:15" x14ac:dyDescent="0.25">
      <c r="A719" t="s">
        <v>8793</v>
      </c>
      <c r="B719" t="s">
        <v>8794</v>
      </c>
      <c r="C719" t="s">
        <v>8848</v>
      </c>
      <c r="D719" t="s">
        <v>8849</v>
      </c>
      <c r="E719" t="s">
        <v>8852</v>
      </c>
      <c r="F719" t="s">
        <v>8853</v>
      </c>
      <c r="G719" t="s">
        <v>8854</v>
      </c>
      <c r="H719" t="s">
        <v>8855</v>
      </c>
      <c r="I719" t="s">
        <v>8426</v>
      </c>
      <c r="J719" t="s">
        <v>96</v>
      </c>
      <c r="K719" s="3">
        <f t="shared" si="22"/>
        <v>0</v>
      </c>
      <c r="L719" s="3">
        <f>IF(ISERROR(VLOOKUP(J719,Lookups!$A$2:$A$16,1,FALSE)),1,0)</f>
        <v>0</v>
      </c>
      <c r="M719" s="3">
        <f>IF(ISERROR(VLOOKUP(D719,Data!$A$2:$D$223100,2,FALSE)),0,1)</f>
        <v>1</v>
      </c>
      <c r="N719" s="3">
        <f t="shared" si="23"/>
        <v>0</v>
      </c>
      <c r="O719" s="3" t="str">
        <f>IF(ISERROR(VLOOKUP(D719,Data!$A$2:$C$223100,3,FALSE)),"INACTIVE",VLOOKUP(D719,Data!$A$2:$C$223100,3,FALSE))</f>
        <v>FC</v>
      </c>
    </row>
    <row r="720" spans="1:15" x14ac:dyDescent="0.25">
      <c r="A720" t="s">
        <v>8793</v>
      </c>
      <c r="B720" t="s">
        <v>8794</v>
      </c>
      <c r="C720" t="s">
        <v>8856</v>
      </c>
      <c r="D720" t="s">
        <v>8857</v>
      </c>
      <c r="E720" t="s">
        <v>5</v>
      </c>
      <c r="F720" t="s">
        <v>5</v>
      </c>
      <c r="G720" t="s">
        <v>5</v>
      </c>
      <c r="H720" t="s">
        <v>8858</v>
      </c>
      <c r="I720" t="s">
        <v>8426</v>
      </c>
      <c r="J720" t="s">
        <v>90</v>
      </c>
      <c r="K720" s="3">
        <f t="shared" si="22"/>
        <v>0</v>
      </c>
      <c r="L720" s="3">
        <f>IF(ISERROR(VLOOKUP(J720,Lookups!$A$2:$A$16,1,FALSE)),1,0)</f>
        <v>0</v>
      </c>
      <c r="M720" s="3">
        <f>IF(ISERROR(VLOOKUP(D720,Data!$A$2:$D$223100,2,FALSE)),0,1)</f>
        <v>0</v>
      </c>
      <c r="N720" s="3">
        <f t="shared" si="23"/>
        <v>0</v>
      </c>
      <c r="O720" s="3" t="str">
        <f>IF(ISERROR(VLOOKUP(D720,Data!$A$2:$C$223100,3,FALSE)),"INACTIVE",VLOOKUP(D720,Data!$A$2:$C$223100,3,FALSE))</f>
        <v>INACTIVE</v>
      </c>
    </row>
    <row r="721" spans="1:15" x14ac:dyDescent="0.25">
      <c r="A721" t="s">
        <v>8793</v>
      </c>
      <c r="B721" t="s">
        <v>8794</v>
      </c>
      <c r="C721" t="s">
        <v>8859</v>
      </c>
      <c r="D721" t="s">
        <v>8860</v>
      </c>
      <c r="E721" t="s">
        <v>7120</v>
      </c>
      <c r="F721" t="s">
        <v>7120</v>
      </c>
      <c r="G721" t="s">
        <v>8861</v>
      </c>
      <c r="H721" t="s">
        <v>8862</v>
      </c>
      <c r="I721" t="s">
        <v>8426</v>
      </c>
      <c r="J721" t="s">
        <v>90</v>
      </c>
      <c r="K721" s="3">
        <f t="shared" si="22"/>
        <v>0</v>
      </c>
      <c r="L721" s="3">
        <f>IF(ISERROR(VLOOKUP(J721,Lookups!$A$2:$A$16,1,FALSE)),1,0)</f>
        <v>0</v>
      </c>
      <c r="M721" s="3">
        <f>IF(ISERROR(VLOOKUP(D721,Data!$A$2:$D$223100,2,FALSE)),0,1)</f>
        <v>1</v>
      </c>
      <c r="N721" s="3">
        <f t="shared" si="23"/>
        <v>0</v>
      </c>
      <c r="O721" s="3" t="str">
        <f>IF(ISERROR(VLOOKUP(D721,Data!$A$2:$C$223100,3,FALSE)),"INACTIVE",VLOOKUP(D721,Data!$A$2:$C$223100,3,FALSE))</f>
        <v>90+</v>
      </c>
    </row>
    <row r="722" spans="1:15" x14ac:dyDescent="0.25">
      <c r="A722" t="s">
        <v>8793</v>
      </c>
      <c r="B722" t="s">
        <v>8794</v>
      </c>
      <c r="C722" t="s">
        <v>8863</v>
      </c>
      <c r="D722" t="s">
        <v>8864</v>
      </c>
      <c r="E722" t="s">
        <v>5</v>
      </c>
      <c r="F722" t="s">
        <v>5</v>
      </c>
      <c r="G722" t="s">
        <v>8865</v>
      </c>
      <c r="H722" t="s">
        <v>8866</v>
      </c>
      <c r="I722" t="s">
        <v>8426</v>
      </c>
      <c r="J722" t="s">
        <v>90</v>
      </c>
      <c r="K722" s="3">
        <f t="shared" si="22"/>
        <v>0</v>
      </c>
      <c r="L722" s="3">
        <f>IF(ISERROR(VLOOKUP(J722,Lookups!$A$2:$A$16,1,FALSE)),1,0)</f>
        <v>0</v>
      </c>
      <c r="M722" s="3">
        <f>IF(ISERROR(VLOOKUP(D722,Data!$A$2:$D$223100,2,FALSE)),0,1)</f>
        <v>0</v>
      </c>
      <c r="N722" s="3">
        <f t="shared" si="23"/>
        <v>0</v>
      </c>
      <c r="O722" s="3" t="str">
        <f>IF(ISERROR(VLOOKUP(D722,Data!$A$2:$C$223100,3,FALSE)),"INACTIVE",VLOOKUP(D722,Data!$A$2:$C$223100,3,FALSE))</f>
        <v>INACTIVE</v>
      </c>
    </row>
    <row r="723" spans="1:15" x14ac:dyDescent="0.25">
      <c r="A723" t="s">
        <v>8793</v>
      </c>
      <c r="B723" t="s">
        <v>8794</v>
      </c>
      <c r="C723" t="s">
        <v>8867</v>
      </c>
      <c r="D723" t="s">
        <v>8868</v>
      </c>
      <c r="E723" t="s">
        <v>5</v>
      </c>
      <c r="F723" t="s">
        <v>5</v>
      </c>
      <c r="G723" t="s">
        <v>5</v>
      </c>
      <c r="H723" t="s">
        <v>8869</v>
      </c>
      <c r="I723" t="s">
        <v>8426</v>
      </c>
      <c r="J723" t="s">
        <v>90</v>
      </c>
      <c r="K723" s="3">
        <f t="shared" si="22"/>
        <v>0</v>
      </c>
      <c r="L723" s="3">
        <f>IF(ISERROR(VLOOKUP(J723,Lookups!$A$2:$A$16,1,FALSE)),1,0)</f>
        <v>0</v>
      </c>
      <c r="M723" s="3">
        <f>IF(ISERROR(VLOOKUP(D723,Data!$A$2:$D$223100,2,FALSE)),0,1)</f>
        <v>1</v>
      </c>
      <c r="N723" s="3">
        <f t="shared" si="23"/>
        <v>0</v>
      </c>
      <c r="O723" s="3" t="str">
        <f>IF(ISERROR(VLOOKUP(D723,Data!$A$2:$C$223100,3,FALSE)),"INACTIVE",VLOOKUP(D723,Data!$A$2:$C$223100,3,FALSE))</f>
        <v>FC</v>
      </c>
    </row>
    <row r="724" spans="1:15" x14ac:dyDescent="0.25">
      <c r="A724" t="s">
        <v>9025</v>
      </c>
      <c r="B724" t="s">
        <v>9026</v>
      </c>
      <c r="C724" t="s">
        <v>9027</v>
      </c>
      <c r="D724" t="s">
        <v>9028</v>
      </c>
      <c r="E724" t="s">
        <v>9029</v>
      </c>
      <c r="F724" t="s">
        <v>5</v>
      </c>
      <c r="G724" t="s">
        <v>5</v>
      </c>
      <c r="H724" t="s">
        <v>5</v>
      </c>
      <c r="I724" t="s">
        <v>8426</v>
      </c>
      <c r="J724" t="s">
        <v>7</v>
      </c>
      <c r="K724" s="3">
        <f t="shared" si="22"/>
        <v>0</v>
      </c>
      <c r="L724" s="3">
        <f>IF(ISERROR(VLOOKUP(J724,Lookups!$A$2:$A$16,1,FALSE)),1,0)</f>
        <v>1</v>
      </c>
      <c r="M724" s="3">
        <f>IF(ISERROR(VLOOKUP(D724,Data!$A$2:$D$223100,2,FALSE)),0,1)</f>
        <v>1</v>
      </c>
      <c r="N724" s="3">
        <f t="shared" si="23"/>
        <v>1</v>
      </c>
      <c r="O724" s="3" t="str">
        <f>IF(ISERROR(VLOOKUP(D724,Data!$A$2:$C$223100,3,FALSE)),"INACTIVE",VLOOKUP(D724,Data!$A$2:$C$223100,3,FALSE))</f>
        <v>Current</v>
      </c>
    </row>
    <row r="725" spans="1:15" x14ac:dyDescent="0.25">
      <c r="A725" t="s">
        <v>9025</v>
      </c>
      <c r="B725" t="s">
        <v>9026</v>
      </c>
      <c r="C725" t="s">
        <v>4374</v>
      </c>
      <c r="D725" t="s">
        <v>4375</v>
      </c>
      <c r="E725" t="s">
        <v>9030</v>
      </c>
      <c r="F725" t="s">
        <v>5</v>
      </c>
      <c r="G725" t="s">
        <v>5</v>
      </c>
      <c r="H725" t="s">
        <v>5</v>
      </c>
      <c r="I725" t="s">
        <v>8426</v>
      </c>
      <c r="J725" t="s">
        <v>7</v>
      </c>
      <c r="K725" s="3">
        <f t="shared" si="22"/>
        <v>0</v>
      </c>
      <c r="L725" s="3">
        <f>IF(ISERROR(VLOOKUP(J725,Lookups!$A$2:$A$16,1,FALSE)),1,0)</f>
        <v>1</v>
      </c>
      <c r="M725" s="3">
        <f>IF(ISERROR(VLOOKUP(D725,Data!$A$2:$D$223100,2,FALSE)),0,1)</f>
        <v>1</v>
      </c>
      <c r="N725" s="3">
        <f t="shared" si="23"/>
        <v>1</v>
      </c>
      <c r="O725" s="3" t="str">
        <f>IF(ISERROR(VLOOKUP(D725,Data!$A$2:$C$223100,3,FALSE)),"INACTIVE",VLOOKUP(D725,Data!$A$2:$C$223100,3,FALSE))</f>
        <v>Current</v>
      </c>
    </row>
    <row r="726" spans="1:15" x14ac:dyDescent="0.25">
      <c r="A726" t="s">
        <v>9025</v>
      </c>
      <c r="B726" t="s">
        <v>9026</v>
      </c>
      <c r="C726" t="s">
        <v>4389</v>
      </c>
      <c r="D726" t="s">
        <v>4390</v>
      </c>
      <c r="E726" t="s">
        <v>9031</v>
      </c>
      <c r="F726" t="s">
        <v>5</v>
      </c>
      <c r="G726" t="s">
        <v>5</v>
      </c>
      <c r="H726" t="s">
        <v>5</v>
      </c>
      <c r="I726" t="s">
        <v>8426</v>
      </c>
      <c r="J726" t="s">
        <v>7</v>
      </c>
      <c r="K726" s="3">
        <f t="shared" si="22"/>
        <v>0</v>
      </c>
      <c r="L726" s="3">
        <f>IF(ISERROR(VLOOKUP(J726,Lookups!$A$2:$A$16,1,FALSE)),1,0)</f>
        <v>1</v>
      </c>
      <c r="M726" s="3">
        <f>IF(ISERROR(VLOOKUP(D726,Data!$A$2:$D$223100,2,FALSE)),0,1)</f>
        <v>1</v>
      </c>
      <c r="N726" s="3">
        <f t="shared" si="23"/>
        <v>1</v>
      </c>
      <c r="O726" s="3" t="str">
        <f>IF(ISERROR(VLOOKUP(D726,Data!$A$2:$C$223100,3,FALSE)),"INACTIVE",VLOOKUP(D726,Data!$A$2:$C$223100,3,FALSE))</f>
        <v>60+</v>
      </c>
    </row>
    <row r="727" spans="1:15" x14ac:dyDescent="0.25">
      <c r="A727" t="s">
        <v>9025</v>
      </c>
      <c r="B727" t="s">
        <v>9026</v>
      </c>
      <c r="C727" t="s">
        <v>4402</v>
      </c>
      <c r="D727" t="s">
        <v>4403</v>
      </c>
      <c r="E727" t="s">
        <v>9032</v>
      </c>
      <c r="F727" t="s">
        <v>5</v>
      </c>
      <c r="G727" t="s">
        <v>5</v>
      </c>
      <c r="H727" t="s">
        <v>5</v>
      </c>
      <c r="I727" t="s">
        <v>8426</v>
      </c>
      <c r="J727" t="s">
        <v>7</v>
      </c>
      <c r="K727" s="3">
        <f t="shared" si="22"/>
        <v>0</v>
      </c>
      <c r="L727" s="3">
        <f>IF(ISERROR(VLOOKUP(J727,Lookups!$A$2:$A$16,1,FALSE)),1,0)</f>
        <v>1</v>
      </c>
      <c r="M727" s="3">
        <f>IF(ISERROR(VLOOKUP(D727,Data!$A$2:$D$223100,2,FALSE)),0,1)</f>
        <v>1</v>
      </c>
      <c r="N727" s="3">
        <f t="shared" si="23"/>
        <v>1</v>
      </c>
      <c r="O727" s="3" t="str">
        <f>IF(ISERROR(VLOOKUP(D727,Data!$A$2:$C$223100,3,FALSE)),"INACTIVE",VLOOKUP(D727,Data!$A$2:$C$223100,3,FALSE))</f>
        <v>Current</v>
      </c>
    </row>
    <row r="728" spans="1:15" x14ac:dyDescent="0.25">
      <c r="A728" t="s">
        <v>9025</v>
      </c>
      <c r="B728" t="s">
        <v>9026</v>
      </c>
      <c r="C728" t="s">
        <v>9033</v>
      </c>
      <c r="D728" t="s">
        <v>9034</v>
      </c>
      <c r="E728" t="s">
        <v>9035</v>
      </c>
      <c r="F728" t="s">
        <v>5</v>
      </c>
      <c r="G728" t="s">
        <v>5</v>
      </c>
      <c r="H728" t="s">
        <v>5</v>
      </c>
      <c r="I728" t="s">
        <v>8426</v>
      </c>
      <c r="J728" t="s">
        <v>7</v>
      </c>
      <c r="K728" s="3">
        <f t="shared" si="22"/>
        <v>0</v>
      </c>
      <c r="L728" s="3">
        <f>IF(ISERROR(VLOOKUP(J728,Lookups!$A$2:$A$16,1,FALSE)),1,0)</f>
        <v>1</v>
      </c>
      <c r="M728" s="3">
        <f>IF(ISERROR(VLOOKUP(D728,Data!$A$2:$D$223100,2,FALSE)),0,1)</f>
        <v>0</v>
      </c>
      <c r="N728" s="3">
        <f t="shared" si="23"/>
        <v>0</v>
      </c>
      <c r="O728" s="3" t="str">
        <f>IF(ISERROR(VLOOKUP(D728,Data!$A$2:$C$223100,3,FALSE)),"INACTIVE",VLOOKUP(D728,Data!$A$2:$C$223100,3,FALSE))</f>
        <v>INACTIVE</v>
      </c>
    </row>
    <row r="729" spans="1:15" x14ac:dyDescent="0.25">
      <c r="A729" t="s">
        <v>9025</v>
      </c>
      <c r="B729" t="s">
        <v>9026</v>
      </c>
      <c r="C729" t="s">
        <v>4410</v>
      </c>
      <c r="D729" t="s">
        <v>4411</v>
      </c>
      <c r="E729" t="s">
        <v>9035</v>
      </c>
      <c r="F729" t="s">
        <v>5</v>
      </c>
      <c r="G729" t="s">
        <v>5</v>
      </c>
      <c r="H729" t="s">
        <v>5</v>
      </c>
      <c r="I729" t="s">
        <v>8426</v>
      </c>
      <c r="J729" t="s">
        <v>7</v>
      </c>
      <c r="K729" s="3">
        <f t="shared" si="22"/>
        <v>0</v>
      </c>
      <c r="L729" s="3">
        <f>IF(ISERROR(VLOOKUP(J729,Lookups!$A$2:$A$16,1,FALSE)),1,0)</f>
        <v>1</v>
      </c>
      <c r="M729" s="3">
        <f>IF(ISERROR(VLOOKUP(D729,Data!$A$2:$D$223100,2,FALSE)),0,1)</f>
        <v>1</v>
      </c>
      <c r="N729" s="3">
        <f t="shared" si="23"/>
        <v>1</v>
      </c>
      <c r="O729" s="3" t="str">
        <f>IF(ISERROR(VLOOKUP(D729,Data!$A$2:$C$223100,3,FALSE)),"INACTIVE",VLOOKUP(D729,Data!$A$2:$C$223100,3,FALSE))</f>
        <v>PP</v>
      </c>
    </row>
    <row r="730" spans="1:15" x14ac:dyDescent="0.25">
      <c r="A730" t="s">
        <v>9025</v>
      </c>
      <c r="B730" t="s">
        <v>9026</v>
      </c>
      <c r="C730" t="s">
        <v>9036</v>
      </c>
      <c r="D730" t="s">
        <v>9037</v>
      </c>
      <c r="E730" t="s">
        <v>9038</v>
      </c>
      <c r="F730" t="s">
        <v>5</v>
      </c>
      <c r="G730" t="s">
        <v>5</v>
      </c>
      <c r="H730" t="s">
        <v>5</v>
      </c>
      <c r="I730" t="s">
        <v>8426</v>
      </c>
      <c r="J730" t="s">
        <v>7</v>
      </c>
      <c r="K730" s="3">
        <f t="shared" si="22"/>
        <v>0</v>
      </c>
      <c r="L730" s="3">
        <f>IF(ISERROR(VLOOKUP(J730,Lookups!$A$2:$A$16,1,FALSE)),1,0)</f>
        <v>1</v>
      </c>
      <c r="M730" s="3">
        <f>IF(ISERROR(VLOOKUP(D730,Data!$A$2:$D$223100,2,FALSE)),0,1)</f>
        <v>1</v>
      </c>
      <c r="N730" s="3">
        <f t="shared" si="23"/>
        <v>1</v>
      </c>
      <c r="O730" s="3" t="str">
        <f>IF(ISERROR(VLOOKUP(D730,Data!$A$2:$C$223100,3,FALSE)),"INACTIVE",VLOOKUP(D730,Data!$A$2:$C$223100,3,FALSE))</f>
        <v>FBA</v>
      </c>
    </row>
    <row r="731" spans="1:15" x14ac:dyDescent="0.25">
      <c r="A731" t="s">
        <v>9025</v>
      </c>
      <c r="B731" t="s">
        <v>9026</v>
      </c>
      <c r="C731" t="s">
        <v>9039</v>
      </c>
      <c r="D731" t="s">
        <v>9040</v>
      </c>
      <c r="E731" t="s">
        <v>9041</v>
      </c>
      <c r="F731" t="s">
        <v>5</v>
      </c>
      <c r="G731" t="s">
        <v>5</v>
      </c>
      <c r="H731" t="s">
        <v>5</v>
      </c>
      <c r="I731" t="s">
        <v>8426</v>
      </c>
      <c r="J731" t="s">
        <v>7</v>
      </c>
      <c r="K731" s="3">
        <f t="shared" si="22"/>
        <v>0</v>
      </c>
      <c r="L731" s="3">
        <f>IF(ISERROR(VLOOKUP(J731,Lookups!$A$2:$A$16,1,FALSE)),1,0)</f>
        <v>1</v>
      </c>
      <c r="M731" s="3">
        <f>IF(ISERROR(VLOOKUP(D731,Data!$A$2:$D$223100,2,FALSE)),0,1)</f>
        <v>0</v>
      </c>
      <c r="N731" s="3">
        <f t="shared" si="23"/>
        <v>0</v>
      </c>
      <c r="O731" s="3" t="str">
        <f>IF(ISERROR(VLOOKUP(D731,Data!$A$2:$C$223100,3,FALSE)),"INACTIVE",VLOOKUP(D731,Data!$A$2:$C$223100,3,FALSE))</f>
        <v>INACTIVE</v>
      </c>
    </row>
    <row r="732" spans="1:15" x14ac:dyDescent="0.25">
      <c r="A732" t="s">
        <v>9025</v>
      </c>
      <c r="B732" t="s">
        <v>9026</v>
      </c>
      <c r="C732" t="s">
        <v>4427</v>
      </c>
      <c r="D732" t="s">
        <v>4428</v>
      </c>
      <c r="E732" t="s">
        <v>9042</v>
      </c>
      <c r="F732" t="s">
        <v>5</v>
      </c>
      <c r="G732" t="s">
        <v>5</v>
      </c>
      <c r="H732" t="s">
        <v>5</v>
      </c>
      <c r="I732" t="s">
        <v>8426</v>
      </c>
      <c r="J732" t="s">
        <v>7</v>
      </c>
      <c r="K732" s="3">
        <f t="shared" si="22"/>
        <v>0</v>
      </c>
      <c r="L732" s="3">
        <f>IF(ISERROR(VLOOKUP(J732,Lookups!$A$2:$A$16,1,FALSE)),1,0)</f>
        <v>1</v>
      </c>
      <c r="M732" s="3">
        <f>IF(ISERROR(VLOOKUP(D732,Data!$A$2:$D$223100,2,FALSE)),0,1)</f>
        <v>1</v>
      </c>
      <c r="N732" s="3">
        <f t="shared" si="23"/>
        <v>1</v>
      </c>
      <c r="O732" s="3" t="str">
        <f>IF(ISERROR(VLOOKUP(D732,Data!$A$2:$C$223100,3,FALSE)),"INACTIVE",VLOOKUP(D732,Data!$A$2:$C$223100,3,FALSE))</f>
        <v>FC</v>
      </c>
    </row>
    <row r="733" spans="1:15" x14ac:dyDescent="0.25">
      <c r="A733" t="s">
        <v>9025</v>
      </c>
      <c r="B733" t="s">
        <v>9026</v>
      </c>
      <c r="C733" t="s">
        <v>4431</v>
      </c>
      <c r="D733" t="s">
        <v>4432</v>
      </c>
      <c r="E733" t="s">
        <v>9043</v>
      </c>
      <c r="F733" t="s">
        <v>5</v>
      </c>
      <c r="G733" t="s">
        <v>5</v>
      </c>
      <c r="H733" t="s">
        <v>5</v>
      </c>
      <c r="I733" t="s">
        <v>8426</v>
      </c>
      <c r="J733" t="s">
        <v>90</v>
      </c>
      <c r="K733" s="3">
        <f t="shared" si="22"/>
        <v>0</v>
      </c>
      <c r="L733" s="3">
        <f>IF(ISERROR(VLOOKUP(J733,Lookups!$A$2:$A$16,1,FALSE)),1,0)</f>
        <v>0</v>
      </c>
      <c r="M733" s="3">
        <f>IF(ISERROR(VLOOKUP(D733,Data!$A$2:$D$223100,2,FALSE)),0,1)</f>
        <v>0</v>
      </c>
      <c r="N733" s="3">
        <f t="shared" si="23"/>
        <v>0</v>
      </c>
      <c r="O733" s="3" t="str">
        <f>IF(ISERROR(VLOOKUP(D733,Data!$A$2:$C$223100,3,FALSE)),"INACTIVE",VLOOKUP(D733,Data!$A$2:$C$223100,3,FALSE))</f>
        <v>INACTIVE</v>
      </c>
    </row>
    <row r="734" spans="1:15" x14ac:dyDescent="0.25">
      <c r="A734" t="s">
        <v>9025</v>
      </c>
      <c r="B734" t="s">
        <v>9026</v>
      </c>
      <c r="C734" t="s">
        <v>4431</v>
      </c>
      <c r="D734" t="s">
        <v>4432</v>
      </c>
      <c r="E734" t="s">
        <v>9044</v>
      </c>
      <c r="F734" t="s">
        <v>5</v>
      </c>
      <c r="G734" t="s">
        <v>5</v>
      </c>
      <c r="H734" t="s">
        <v>5</v>
      </c>
      <c r="I734" t="s">
        <v>8426</v>
      </c>
      <c r="J734" t="s">
        <v>90</v>
      </c>
      <c r="K734" s="3">
        <f t="shared" si="22"/>
        <v>0</v>
      </c>
      <c r="L734" s="3">
        <f>IF(ISERROR(VLOOKUP(J734,Lookups!$A$2:$A$16,1,FALSE)),1,0)</f>
        <v>0</v>
      </c>
      <c r="M734" s="3">
        <f>IF(ISERROR(VLOOKUP(D734,Data!$A$2:$D$223100,2,FALSE)),0,1)</f>
        <v>0</v>
      </c>
      <c r="N734" s="3">
        <f t="shared" si="23"/>
        <v>0</v>
      </c>
      <c r="O734" s="3" t="str">
        <f>IF(ISERROR(VLOOKUP(D734,Data!$A$2:$C$223100,3,FALSE)),"INACTIVE",VLOOKUP(D734,Data!$A$2:$C$223100,3,FALSE))</f>
        <v>INACTIVE</v>
      </c>
    </row>
    <row r="735" spans="1:15" x14ac:dyDescent="0.25">
      <c r="A735" t="s">
        <v>9025</v>
      </c>
      <c r="B735" t="s">
        <v>9026</v>
      </c>
      <c r="C735" t="s">
        <v>4433</v>
      </c>
      <c r="D735" t="s">
        <v>4434</v>
      </c>
      <c r="E735" t="s">
        <v>9045</v>
      </c>
      <c r="F735" t="s">
        <v>5</v>
      </c>
      <c r="G735" t="s">
        <v>5</v>
      </c>
      <c r="H735" t="s">
        <v>5</v>
      </c>
      <c r="I735" t="s">
        <v>8426</v>
      </c>
      <c r="J735" t="s">
        <v>90</v>
      </c>
      <c r="K735" s="3">
        <f t="shared" si="22"/>
        <v>0</v>
      </c>
      <c r="L735" s="3">
        <f>IF(ISERROR(VLOOKUP(J735,Lookups!$A$2:$A$16,1,FALSE)),1,0)</f>
        <v>0</v>
      </c>
      <c r="M735" s="3">
        <f>IF(ISERROR(VLOOKUP(D735,Data!$A$2:$D$223100,2,FALSE)),0,1)</f>
        <v>1</v>
      </c>
      <c r="N735" s="3">
        <f t="shared" si="23"/>
        <v>0</v>
      </c>
      <c r="O735" s="3" t="str">
        <f>IF(ISERROR(VLOOKUP(D735,Data!$A$2:$C$223100,3,FALSE)),"INACTIVE",VLOOKUP(D735,Data!$A$2:$C$223100,3,FALSE))</f>
        <v>FC</v>
      </c>
    </row>
    <row r="736" spans="1:15" x14ac:dyDescent="0.25">
      <c r="A736" t="s">
        <v>9025</v>
      </c>
      <c r="B736" t="s">
        <v>9026</v>
      </c>
      <c r="C736" t="s">
        <v>4433</v>
      </c>
      <c r="D736" t="s">
        <v>4434</v>
      </c>
      <c r="E736" t="s">
        <v>9046</v>
      </c>
      <c r="F736" t="s">
        <v>5</v>
      </c>
      <c r="G736" t="s">
        <v>5</v>
      </c>
      <c r="H736" t="s">
        <v>5</v>
      </c>
      <c r="I736" t="s">
        <v>8426</v>
      </c>
      <c r="J736" t="s">
        <v>90</v>
      </c>
      <c r="K736" s="3">
        <f t="shared" si="22"/>
        <v>0</v>
      </c>
      <c r="L736" s="3">
        <f>IF(ISERROR(VLOOKUP(J736,Lookups!$A$2:$A$16,1,FALSE)),1,0)</f>
        <v>0</v>
      </c>
      <c r="M736" s="3">
        <f>IF(ISERROR(VLOOKUP(D736,Data!$A$2:$D$223100,2,FALSE)),0,1)</f>
        <v>1</v>
      </c>
      <c r="N736" s="3">
        <f t="shared" si="23"/>
        <v>0</v>
      </c>
      <c r="O736" s="3" t="str">
        <f>IF(ISERROR(VLOOKUP(D736,Data!$A$2:$C$223100,3,FALSE)),"INACTIVE",VLOOKUP(D736,Data!$A$2:$C$223100,3,FALSE))</f>
        <v>FC</v>
      </c>
    </row>
    <row r="737" spans="1:15" x14ac:dyDescent="0.25">
      <c r="A737" t="s">
        <v>9025</v>
      </c>
      <c r="B737" t="s">
        <v>9026</v>
      </c>
      <c r="C737" t="s">
        <v>4438</v>
      </c>
      <c r="D737" t="s">
        <v>4439</v>
      </c>
      <c r="E737" t="s">
        <v>9047</v>
      </c>
      <c r="F737" t="s">
        <v>5</v>
      </c>
      <c r="G737" t="s">
        <v>5</v>
      </c>
      <c r="H737" t="s">
        <v>5</v>
      </c>
      <c r="I737" t="s">
        <v>8426</v>
      </c>
      <c r="J737" t="s">
        <v>7</v>
      </c>
      <c r="K737" s="3">
        <f t="shared" si="22"/>
        <v>0</v>
      </c>
      <c r="L737" s="3">
        <f>IF(ISERROR(VLOOKUP(J737,Lookups!$A$2:$A$16,1,FALSE)),1,0)</f>
        <v>1</v>
      </c>
      <c r="M737" s="3">
        <f>IF(ISERROR(VLOOKUP(D737,Data!$A$2:$D$223100,2,FALSE)),0,1)</f>
        <v>1</v>
      </c>
      <c r="N737" s="3">
        <f t="shared" si="23"/>
        <v>1</v>
      </c>
      <c r="O737" s="3" t="str">
        <f>IF(ISERROR(VLOOKUP(D737,Data!$A$2:$C$223100,3,FALSE)),"INACTIVE",VLOOKUP(D737,Data!$A$2:$C$223100,3,FALSE))</f>
        <v>90+</v>
      </c>
    </row>
    <row r="738" spans="1:15" x14ac:dyDescent="0.25">
      <c r="A738" t="s">
        <v>9025</v>
      </c>
      <c r="B738" t="s">
        <v>9026</v>
      </c>
      <c r="C738" t="s">
        <v>4457</v>
      </c>
      <c r="D738" t="s">
        <v>4458</v>
      </c>
      <c r="E738" t="s">
        <v>9048</v>
      </c>
      <c r="F738" t="s">
        <v>5</v>
      </c>
      <c r="G738" t="s">
        <v>5</v>
      </c>
      <c r="H738" t="s">
        <v>5</v>
      </c>
      <c r="I738" t="s">
        <v>8426</v>
      </c>
      <c r="J738" t="s">
        <v>7</v>
      </c>
      <c r="K738" s="3">
        <f t="shared" si="22"/>
        <v>0</v>
      </c>
      <c r="L738" s="3">
        <f>IF(ISERROR(VLOOKUP(J738,Lookups!$A$2:$A$16,1,FALSE)),1,0)</f>
        <v>1</v>
      </c>
      <c r="M738" s="3">
        <f>IF(ISERROR(VLOOKUP(D738,Data!$A$2:$D$223100,2,FALSE)),0,1)</f>
        <v>1</v>
      </c>
      <c r="N738" s="3">
        <f t="shared" si="23"/>
        <v>1</v>
      </c>
      <c r="O738" s="3" t="str">
        <f>IF(ISERROR(VLOOKUP(D738,Data!$A$2:$C$223100,3,FALSE)),"INACTIVE",VLOOKUP(D738,Data!$A$2:$C$223100,3,FALSE))</f>
        <v>FC</v>
      </c>
    </row>
    <row r="739" spans="1:15" x14ac:dyDescent="0.25">
      <c r="A739" t="s">
        <v>9025</v>
      </c>
      <c r="B739" t="s">
        <v>9026</v>
      </c>
      <c r="C739" t="s">
        <v>8328</v>
      </c>
      <c r="D739" t="s">
        <v>8329</v>
      </c>
      <c r="E739" t="s">
        <v>9049</v>
      </c>
      <c r="F739" t="s">
        <v>5</v>
      </c>
      <c r="G739" t="s">
        <v>5</v>
      </c>
      <c r="H739" t="s">
        <v>5</v>
      </c>
      <c r="I739" t="s">
        <v>8426</v>
      </c>
      <c r="J739" t="s">
        <v>7</v>
      </c>
      <c r="K739" s="3">
        <f t="shared" si="22"/>
        <v>0</v>
      </c>
      <c r="L739" s="3">
        <f>IF(ISERROR(VLOOKUP(J739,Lookups!$A$2:$A$16,1,FALSE)),1,0)</f>
        <v>1</v>
      </c>
      <c r="M739" s="3">
        <f>IF(ISERROR(VLOOKUP(D739,Data!$A$2:$D$223100,2,FALSE)),0,1)</f>
        <v>0</v>
      </c>
      <c r="N739" s="3">
        <f t="shared" si="23"/>
        <v>0</v>
      </c>
      <c r="O739" s="3" t="str">
        <f>IF(ISERROR(VLOOKUP(D739,Data!$A$2:$C$223100,3,FALSE)),"INACTIVE",VLOOKUP(D739,Data!$A$2:$C$223100,3,FALSE))</f>
        <v>INACTIVE</v>
      </c>
    </row>
    <row r="740" spans="1:15" x14ac:dyDescent="0.25">
      <c r="A740" t="s">
        <v>9025</v>
      </c>
      <c r="B740" t="s">
        <v>9026</v>
      </c>
      <c r="C740" t="s">
        <v>4470</v>
      </c>
      <c r="D740" t="s">
        <v>4471</v>
      </c>
      <c r="E740" t="s">
        <v>9050</v>
      </c>
      <c r="F740" t="s">
        <v>5</v>
      </c>
      <c r="G740" t="s">
        <v>5</v>
      </c>
      <c r="H740" t="s">
        <v>5</v>
      </c>
      <c r="I740" t="s">
        <v>8426</v>
      </c>
      <c r="J740" t="s">
        <v>7</v>
      </c>
      <c r="K740" s="3">
        <f t="shared" si="22"/>
        <v>0</v>
      </c>
      <c r="L740" s="3">
        <f>IF(ISERROR(VLOOKUP(J740,Lookups!$A$2:$A$16,1,FALSE)),1,0)</f>
        <v>1</v>
      </c>
      <c r="M740" s="3">
        <f>IF(ISERROR(VLOOKUP(D740,Data!$A$2:$D$223100,2,FALSE)),0,1)</f>
        <v>1</v>
      </c>
      <c r="N740" s="3">
        <f t="shared" si="23"/>
        <v>1</v>
      </c>
      <c r="O740" s="3" t="str">
        <f>IF(ISERROR(VLOOKUP(D740,Data!$A$2:$C$223100,3,FALSE)),"INACTIVE",VLOOKUP(D740,Data!$A$2:$C$223100,3,FALSE))</f>
        <v>180+</v>
      </c>
    </row>
    <row r="741" spans="1:15" x14ac:dyDescent="0.25">
      <c r="A741" t="s">
        <v>9025</v>
      </c>
      <c r="B741" t="s">
        <v>9026</v>
      </c>
      <c r="C741" t="s">
        <v>8331</v>
      </c>
      <c r="D741" t="s">
        <v>8332</v>
      </c>
      <c r="E741" t="s">
        <v>9051</v>
      </c>
      <c r="F741" t="s">
        <v>5</v>
      </c>
      <c r="G741" t="s">
        <v>5</v>
      </c>
      <c r="H741" t="s">
        <v>5</v>
      </c>
      <c r="I741" t="s">
        <v>8426</v>
      </c>
      <c r="J741" t="s">
        <v>7</v>
      </c>
      <c r="K741" s="3">
        <f t="shared" si="22"/>
        <v>0</v>
      </c>
      <c r="L741" s="3">
        <f>IF(ISERROR(VLOOKUP(J741,Lookups!$A$2:$A$16,1,FALSE)),1,0)</f>
        <v>1</v>
      </c>
      <c r="M741" s="3">
        <f>IF(ISERROR(VLOOKUP(D741,Data!$A$2:$D$223100,2,FALSE)),0,1)</f>
        <v>0</v>
      </c>
      <c r="N741" s="3">
        <f t="shared" si="23"/>
        <v>0</v>
      </c>
      <c r="O741" s="3" t="str">
        <f>IF(ISERROR(VLOOKUP(D741,Data!$A$2:$C$223100,3,FALSE)),"INACTIVE",VLOOKUP(D741,Data!$A$2:$C$223100,3,FALSE))</f>
        <v>INACTIVE</v>
      </c>
    </row>
    <row r="742" spans="1:15" x14ac:dyDescent="0.25">
      <c r="A742" t="s">
        <v>8980</v>
      </c>
      <c r="B742" t="s">
        <v>8981</v>
      </c>
      <c r="C742" t="s">
        <v>8982</v>
      </c>
      <c r="D742" t="s">
        <v>8983</v>
      </c>
      <c r="E742" t="s">
        <v>8984</v>
      </c>
      <c r="F742" t="s">
        <v>5</v>
      </c>
      <c r="G742" t="s">
        <v>5</v>
      </c>
      <c r="H742" t="s">
        <v>5</v>
      </c>
      <c r="I742" t="s">
        <v>8985</v>
      </c>
      <c r="J742" t="s">
        <v>90</v>
      </c>
      <c r="K742" s="3">
        <f t="shared" si="22"/>
        <v>0</v>
      </c>
      <c r="L742" s="3">
        <f>IF(ISERROR(VLOOKUP(J742,Lookups!$A$2:$A$16,1,FALSE)),1,0)</f>
        <v>0</v>
      </c>
      <c r="M742" s="3">
        <f>IF(ISERROR(VLOOKUP(D742,Data!$A$2:$D$223100,2,FALSE)),0,1)</f>
        <v>1</v>
      </c>
      <c r="N742" s="3">
        <f t="shared" si="23"/>
        <v>0</v>
      </c>
      <c r="O742" s="3" t="str">
        <f>IF(ISERROR(VLOOKUP(D742,Data!$A$2:$C$223100,3,FALSE)),"INACTIVE",VLOOKUP(D742,Data!$A$2:$C$223100,3,FALSE))</f>
        <v>Current</v>
      </c>
    </row>
    <row r="743" spans="1:15" x14ac:dyDescent="0.25">
      <c r="A743" t="s">
        <v>8980</v>
      </c>
      <c r="B743" t="s">
        <v>8981</v>
      </c>
      <c r="C743" t="s">
        <v>8982</v>
      </c>
      <c r="D743" t="s">
        <v>8983</v>
      </c>
      <c r="E743" t="s">
        <v>8986</v>
      </c>
      <c r="F743" t="s">
        <v>5</v>
      </c>
      <c r="G743" t="s">
        <v>5</v>
      </c>
      <c r="H743" t="s">
        <v>5</v>
      </c>
      <c r="I743" t="s">
        <v>8985</v>
      </c>
      <c r="J743" t="s">
        <v>90</v>
      </c>
      <c r="K743" s="3">
        <f t="shared" si="22"/>
        <v>0</v>
      </c>
      <c r="L743" s="3">
        <f>IF(ISERROR(VLOOKUP(J743,Lookups!$A$2:$A$16,1,FALSE)),1,0)</f>
        <v>0</v>
      </c>
      <c r="M743" s="3">
        <f>IF(ISERROR(VLOOKUP(D743,Data!$A$2:$D$223100,2,FALSE)),0,1)</f>
        <v>1</v>
      </c>
      <c r="N743" s="3">
        <f t="shared" si="23"/>
        <v>0</v>
      </c>
      <c r="O743" s="3" t="str">
        <f>IF(ISERROR(VLOOKUP(D743,Data!$A$2:$C$223100,3,FALSE)),"INACTIVE",VLOOKUP(D743,Data!$A$2:$C$223100,3,FALSE))</f>
        <v>Current</v>
      </c>
    </row>
    <row r="744" spans="1:15" x14ac:dyDescent="0.25">
      <c r="A744" t="s">
        <v>9132</v>
      </c>
      <c r="B744" t="s">
        <v>9133</v>
      </c>
      <c r="C744" t="s">
        <v>9134</v>
      </c>
      <c r="D744" t="s">
        <v>9135</v>
      </c>
      <c r="E744" t="s">
        <v>9136</v>
      </c>
      <c r="F744" t="s">
        <v>5</v>
      </c>
      <c r="G744" t="s">
        <v>5</v>
      </c>
      <c r="H744" t="s">
        <v>5</v>
      </c>
      <c r="I744" t="s">
        <v>8985</v>
      </c>
      <c r="J744" t="s">
        <v>90</v>
      </c>
      <c r="K744" s="3">
        <f t="shared" si="22"/>
        <v>0</v>
      </c>
      <c r="L744" s="3">
        <f>IF(ISERROR(VLOOKUP(J744,Lookups!$A$2:$A$16,1,FALSE)),1,0)</f>
        <v>0</v>
      </c>
      <c r="M744" s="3">
        <f>IF(ISERROR(VLOOKUP(D744,Data!$A$2:$D$223100,2,FALSE)),0,1)</f>
        <v>1</v>
      </c>
      <c r="N744" s="3">
        <f t="shared" si="23"/>
        <v>0</v>
      </c>
      <c r="O744" s="3" t="str">
        <f>IF(ISERROR(VLOOKUP(D744,Data!$A$2:$C$223100,3,FALSE)),"INACTIVE",VLOOKUP(D744,Data!$A$2:$C$223100,3,FALSE))</f>
        <v>FC</v>
      </c>
    </row>
    <row r="745" spans="1:15" x14ac:dyDescent="0.25">
      <c r="A745" t="s">
        <v>9132</v>
      </c>
      <c r="B745" t="s">
        <v>9133</v>
      </c>
      <c r="C745" t="s">
        <v>9137</v>
      </c>
      <c r="D745" t="s">
        <v>9138</v>
      </c>
      <c r="E745" t="s">
        <v>9139</v>
      </c>
      <c r="F745" t="s">
        <v>5</v>
      </c>
      <c r="G745" t="s">
        <v>5</v>
      </c>
      <c r="H745" t="s">
        <v>5</v>
      </c>
      <c r="I745" t="s">
        <v>8985</v>
      </c>
      <c r="J745" t="s">
        <v>90</v>
      </c>
      <c r="K745" s="3">
        <f t="shared" si="22"/>
        <v>0</v>
      </c>
      <c r="L745" s="3">
        <f>IF(ISERROR(VLOOKUP(J745,Lookups!$A$2:$A$16,1,FALSE)),1,0)</f>
        <v>0</v>
      </c>
      <c r="M745" s="3">
        <f>IF(ISERROR(VLOOKUP(D745,Data!$A$2:$D$223100,2,FALSE)),0,1)</f>
        <v>1</v>
      </c>
      <c r="N745" s="3">
        <f t="shared" si="23"/>
        <v>0</v>
      </c>
      <c r="O745" s="3" t="str">
        <f>IF(ISERROR(VLOOKUP(D745,Data!$A$2:$C$223100,3,FALSE)),"INACTIVE",VLOOKUP(D745,Data!$A$2:$C$223100,3,FALSE))</f>
        <v>FC</v>
      </c>
    </row>
    <row r="746" spans="1:15" x14ac:dyDescent="0.25">
      <c r="A746" t="s">
        <v>9132</v>
      </c>
      <c r="B746" t="s">
        <v>9133</v>
      </c>
      <c r="C746" t="s">
        <v>9137</v>
      </c>
      <c r="D746" t="s">
        <v>9138</v>
      </c>
      <c r="E746" t="s">
        <v>9140</v>
      </c>
      <c r="F746" t="s">
        <v>5</v>
      </c>
      <c r="G746" t="s">
        <v>5</v>
      </c>
      <c r="H746" t="s">
        <v>5</v>
      </c>
      <c r="I746" t="s">
        <v>8985</v>
      </c>
      <c r="J746" t="s">
        <v>90</v>
      </c>
      <c r="K746" s="3">
        <f t="shared" si="22"/>
        <v>0</v>
      </c>
      <c r="L746" s="3">
        <f>IF(ISERROR(VLOOKUP(J746,Lookups!$A$2:$A$16,1,FALSE)),1,0)</f>
        <v>0</v>
      </c>
      <c r="M746" s="3">
        <f>IF(ISERROR(VLOOKUP(D746,Data!$A$2:$D$223100,2,FALSE)),0,1)</f>
        <v>1</v>
      </c>
      <c r="N746" s="3">
        <f t="shared" si="23"/>
        <v>0</v>
      </c>
      <c r="O746" s="3" t="str">
        <f>IF(ISERROR(VLOOKUP(D746,Data!$A$2:$C$223100,3,FALSE)),"INACTIVE",VLOOKUP(D746,Data!$A$2:$C$223100,3,FALSE))</f>
        <v>FC</v>
      </c>
    </row>
    <row r="747" spans="1:15" x14ac:dyDescent="0.25">
      <c r="A747" t="s">
        <v>9132</v>
      </c>
      <c r="B747" t="s">
        <v>9133</v>
      </c>
      <c r="C747" t="s">
        <v>9137</v>
      </c>
      <c r="D747" t="s">
        <v>9138</v>
      </c>
      <c r="E747" t="s">
        <v>9141</v>
      </c>
      <c r="F747" t="s">
        <v>5</v>
      </c>
      <c r="G747" t="s">
        <v>5</v>
      </c>
      <c r="H747" t="s">
        <v>5</v>
      </c>
      <c r="I747" t="s">
        <v>8985</v>
      </c>
      <c r="J747" t="s">
        <v>90</v>
      </c>
      <c r="K747" s="3">
        <f t="shared" si="22"/>
        <v>0</v>
      </c>
      <c r="L747" s="3">
        <f>IF(ISERROR(VLOOKUP(J747,Lookups!$A$2:$A$16,1,FALSE)),1,0)</f>
        <v>0</v>
      </c>
      <c r="M747" s="3">
        <f>IF(ISERROR(VLOOKUP(D747,Data!$A$2:$D$223100,2,FALSE)),0,1)</f>
        <v>1</v>
      </c>
      <c r="N747" s="3">
        <f t="shared" si="23"/>
        <v>0</v>
      </c>
      <c r="O747" s="3" t="str">
        <f>IF(ISERROR(VLOOKUP(D747,Data!$A$2:$C$223100,3,FALSE)),"INACTIVE",VLOOKUP(D747,Data!$A$2:$C$223100,3,FALSE))</f>
        <v>FC</v>
      </c>
    </row>
    <row r="748" spans="1:15" x14ac:dyDescent="0.25">
      <c r="A748" t="s">
        <v>1906</v>
      </c>
      <c r="B748" t="s">
        <v>1907</v>
      </c>
      <c r="C748" t="s">
        <v>9142</v>
      </c>
      <c r="D748" t="s">
        <v>9143</v>
      </c>
      <c r="E748" t="s">
        <v>5</v>
      </c>
      <c r="F748" t="s">
        <v>9144</v>
      </c>
      <c r="G748" t="s">
        <v>5</v>
      </c>
      <c r="H748" t="s">
        <v>5</v>
      </c>
      <c r="I748" t="s">
        <v>8985</v>
      </c>
      <c r="J748" t="s">
        <v>573</v>
      </c>
      <c r="K748" s="3">
        <f t="shared" si="22"/>
        <v>0</v>
      </c>
      <c r="L748" s="3">
        <f>IF(ISERROR(VLOOKUP(J748,Lookups!$A$2:$A$16,1,FALSE)),1,0)</f>
        <v>1</v>
      </c>
      <c r="M748" s="3">
        <f>IF(ISERROR(VLOOKUP(D748,Data!$A$2:$D$223100,2,FALSE)),0,1)</f>
        <v>1</v>
      </c>
      <c r="N748" s="3">
        <f t="shared" si="23"/>
        <v>1</v>
      </c>
      <c r="O748" s="3" t="str">
        <f>IF(ISERROR(VLOOKUP(D748,Data!$A$2:$C$223100,3,FALSE)),"INACTIVE",VLOOKUP(D748,Data!$A$2:$C$223100,3,FALSE))</f>
        <v>30+</v>
      </c>
    </row>
    <row r="749" spans="1:15" x14ac:dyDescent="0.25">
      <c r="A749" t="s">
        <v>1906</v>
      </c>
      <c r="B749" t="s">
        <v>1907</v>
      </c>
      <c r="C749" t="s">
        <v>1926</v>
      </c>
      <c r="D749" t="s">
        <v>1927</v>
      </c>
      <c r="E749" t="s">
        <v>5</v>
      </c>
      <c r="F749" t="s">
        <v>9145</v>
      </c>
      <c r="G749" t="s">
        <v>5</v>
      </c>
      <c r="H749" t="s">
        <v>5</v>
      </c>
      <c r="I749" t="s">
        <v>8985</v>
      </c>
      <c r="J749" t="s">
        <v>573</v>
      </c>
      <c r="K749" s="3">
        <f t="shared" si="22"/>
        <v>0</v>
      </c>
      <c r="L749" s="3">
        <f>IF(ISERROR(VLOOKUP(J749,Lookups!$A$2:$A$16,1,FALSE)),1,0)</f>
        <v>1</v>
      </c>
      <c r="M749" s="3">
        <f>IF(ISERROR(VLOOKUP(D749,Data!$A$2:$D$223100,2,FALSE)),0,1)</f>
        <v>1</v>
      </c>
      <c r="N749" s="3">
        <f t="shared" si="23"/>
        <v>1</v>
      </c>
      <c r="O749" s="3" t="str">
        <f>IF(ISERROR(VLOOKUP(D749,Data!$A$2:$C$223100,3,FALSE)),"INACTIVE",VLOOKUP(D749,Data!$A$2:$C$223100,3,FALSE))</f>
        <v>Current</v>
      </c>
    </row>
    <row r="750" spans="1:15" x14ac:dyDescent="0.25">
      <c r="A750" t="s">
        <v>1906</v>
      </c>
      <c r="B750" t="s">
        <v>1907</v>
      </c>
      <c r="C750" t="s">
        <v>1908</v>
      </c>
      <c r="D750" t="s">
        <v>1909</v>
      </c>
      <c r="E750" t="s">
        <v>1910</v>
      </c>
      <c r="F750" t="s">
        <v>5</v>
      </c>
      <c r="G750" t="s">
        <v>5</v>
      </c>
      <c r="H750" t="s">
        <v>5</v>
      </c>
      <c r="I750" t="s">
        <v>8985</v>
      </c>
      <c r="J750" t="s">
        <v>96</v>
      </c>
      <c r="K750" s="3">
        <f t="shared" si="22"/>
        <v>0</v>
      </c>
      <c r="L750" s="3">
        <f>IF(ISERROR(VLOOKUP(J750,Lookups!$A$2:$A$16,1,FALSE)),1,0)</f>
        <v>0</v>
      </c>
      <c r="M750" s="3">
        <f>IF(ISERROR(VLOOKUP(D750,Data!$A$2:$D$223100,2,FALSE)),0,1)</f>
        <v>1</v>
      </c>
      <c r="N750" s="3">
        <f t="shared" si="23"/>
        <v>0</v>
      </c>
      <c r="O750" s="3" t="str">
        <f>IF(ISERROR(VLOOKUP(D750,Data!$A$2:$C$223100,3,FALSE)),"INACTIVE",VLOOKUP(D750,Data!$A$2:$C$223100,3,FALSE))</f>
        <v>Current</v>
      </c>
    </row>
    <row r="751" spans="1:15" x14ac:dyDescent="0.25">
      <c r="A751" t="s">
        <v>1906</v>
      </c>
      <c r="B751" t="s">
        <v>1907</v>
      </c>
      <c r="C751" t="s">
        <v>1908</v>
      </c>
      <c r="D751" t="s">
        <v>1909</v>
      </c>
      <c r="E751" t="s">
        <v>1911</v>
      </c>
      <c r="F751" t="s">
        <v>5</v>
      </c>
      <c r="G751" t="s">
        <v>5</v>
      </c>
      <c r="H751" t="s">
        <v>5</v>
      </c>
      <c r="I751" t="s">
        <v>8985</v>
      </c>
      <c r="J751" t="s">
        <v>96</v>
      </c>
      <c r="K751" s="3">
        <f t="shared" si="22"/>
        <v>0</v>
      </c>
      <c r="L751" s="3">
        <f>IF(ISERROR(VLOOKUP(J751,Lookups!$A$2:$A$16,1,FALSE)),1,0)</f>
        <v>0</v>
      </c>
      <c r="M751" s="3">
        <f>IF(ISERROR(VLOOKUP(D751,Data!$A$2:$D$223100,2,FALSE)),0,1)</f>
        <v>1</v>
      </c>
      <c r="N751" s="3">
        <f t="shared" si="23"/>
        <v>0</v>
      </c>
      <c r="O751" s="3" t="str">
        <f>IF(ISERROR(VLOOKUP(D751,Data!$A$2:$C$223100,3,FALSE)),"INACTIVE",VLOOKUP(D751,Data!$A$2:$C$223100,3,FALSE))</f>
        <v>Current</v>
      </c>
    </row>
    <row r="752" spans="1:15" x14ac:dyDescent="0.25">
      <c r="A752" t="s">
        <v>1906</v>
      </c>
      <c r="B752" t="s">
        <v>1907</v>
      </c>
      <c r="C752" t="s">
        <v>1908</v>
      </c>
      <c r="D752" t="s">
        <v>1909</v>
      </c>
      <c r="E752" t="s">
        <v>1912</v>
      </c>
      <c r="F752" t="s">
        <v>5</v>
      </c>
      <c r="G752" t="s">
        <v>5</v>
      </c>
      <c r="H752" t="s">
        <v>5</v>
      </c>
      <c r="I752" t="s">
        <v>8985</v>
      </c>
      <c r="J752" t="s">
        <v>96</v>
      </c>
      <c r="K752" s="3">
        <f t="shared" si="22"/>
        <v>0</v>
      </c>
      <c r="L752" s="3">
        <f>IF(ISERROR(VLOOKUP(J752,Lookups!$A$2:$A$16,1,FALSE)),1,0)</f>
        <v>0</v>
      </c>
      <c r="M752" s="3">
        <f>IF(ISERROR(VLOOKUP(D752,Data!$A$2:$D$223100,2,FALSE)),0,1)</f>
        <v>1</v>
      </c>
      <c r="N752" s="3">
        <f t="shared" si="23"/>
        <v>0</v>
      </c>
      <c r="O752" s="3" t="str">
        <f>IF(ISERROR(VLOOKUP(D752,Data!$A$2:$C$223100,3,FALSE)),"INACTIVE",VLOOKUP(D752,Data!$A$2:$C$223100,3,FALSE))</f>
        <v>Current</v>
      </c>
    </row>
    <row r="753" spans="1:15" x14ac:dyDescent="0.25">
      <c r="A753" t="s">
        <v>1906</v>
      </c>
      <c r="B753" t="s">
        <v>1907</v>
      </c>
      <c r="C753" t="s">
        <v>1908</v>
      </c>
      <c r="D753" t="s">
        <v>1909</v>
      </c>
      <c r="E753" t="s">
        <v>1913</v>
      </c>
      <c r="F753" t="s">
        <v>5</v>
      </c>
      <c r="G753" t="s">
        <v>5</v>
      </c>
      <c r="H753" t="s">
        <v>5</v>
      </c>
      <c r="I753" t="s">
        <v>8985</v>
      </c>
      <c r="J753" t="s">
        <v>96</v>
      </c>
      <c r="K753" s="3">
        <f t="shared" si="22"/>
        <v>0</v>
      </c>
      <c r="L753" s="3">
        <f>IF(ISERROR(VLOOKUP(J753,Lookups!$A$2:$A$16,1,FALSE)),1,0)</f>
        <v>0</v>
      </c>
      <c r="M753" s="3">
        <f>IF(ISERROR(VLOOKUP(D753,Data!$A$2:$D$223100,2,FALSE)),0,1)</f>
        <v>1</v>
      </c>
      <c r="N753" s="3">
        <f t="shared" si="23"/>
        <v>0</v>
      </c>
      <c r="O753" s="3" t="str">
        <f>IF(ISERROR(VLOOKUP(D753,Data!$A$2:$C$223100,3,FALSE)),"INACTIVE",VLOOKUP(D753,Data!$A$2:$C$223100,3,FALSE))</f>
        <v>Current</v>
      </c>
    </row>
    <row r="754" spans="1:15" x14ac:dyDescent="0.25">
      <c r="A754" t="s">
        <v>1906</v>
      </c>
      <c r="B754" t="s">
        <v>1907</v>
      </c>
      <c r="C754" t="s">
        <v>1914</v>
      </c>
      <c r="D754" t="s">
        <v>1915</v>
      </c>
      <c r="E754" t="s">
        <v>5</v>
      </c>
      <c r="F754" t="s">
        <v>1916</v>
      </c>
      <c r="G754" t="s">
        <v>5</v>
      </c>
      <c r="H754" t="s">
        <v>5</v>
      </c>
      <c r="I754" t="s">
        <v>8985</v>
      </c>
      <c r="J754" t="s">
        <v>573</v>
      </c>
      <c r="K754" s="3">
        <f t="shared" si="22"/>
        <v>0</v>
      </c>
      <c r="L754" s="3">
        <f>IF(ISERROR(VLOOKUP(J754,Lookups!$A$2:$A$16,1,FALSE)),1,0)</f>
        <v>1</v>
      </c>
      <c r="M754" s="3">
        <f>IF(ISERROR(VLOOKUP(D754,Data!$A$2:$D$223100,2,FALSE)),0,1)</f>
        <v>1</v>
      </c>
      <c r="N754" s="3">
        <f t="shared" si="23"/>
        <v>1</v>
      </c>
      <c r="O754" s="3" t="str">
        <f>IF(ISERROR(VLOOKUP(D754,Data!$A$2:$C$223100,3,FALSE)),"INACTIVE",VLOOKUP(D754,Data!$A$2:$C$223100,3,FALSE))</f>
        <v>60+</v>
      </c>
    </row>
    <row r="755" spans="1:15" x14ac:dyDescent="0.25">
      <c r="A755" t="s">
        <v>9067</v>
      </c>
      <c r="B755" t="s">
        <v>9068</v>
      </c>
      <c r="C755" t="s">
        <v>9069</v>
      </c>
      <c r="D755" t="s">
        <v>9070</v>
      </c>
      <c r="E755" t="s">
        <v>9071</v>
      </c>
      <c r="F755" t="s">
        <v>5</v>
      </c>
      <c r="G755" t="s">
        <v>5</v>
      </c>
      <c r="H755" t="s">
        <v>5</v>
      </c>
      <c r="I755" t="s">
        <v>9072</v>
      </c>
      <c r="J755" t="s">
        <v>96</v>
      </c>
      <c r="K755" s="3">
        <f t="shared" si="22"/>
        <v>0</v>
      </c>
      <c r="L755" s="3">
        <f>IF(ISERROR(VLOOKUP(J755,Lookups!$A$2:$A$16,1,FALSE)),1,0)</f>
        <v>0</v>
      </c>
      <c r="M755" s="3">
        <f>IF(ISERROR(VLOOKUP(D755,Data!$A$2:$D$223100,2,FALSE)),0,1)</f>
        <v>1</v>
      </c>
      <c r="N755" s="3">
        <f t="shared" si="23"/>
        <v>0</v>
      </c>
      <c r="O755" s="3" t="str">
        <f>IF(ISERROR(VLOOKUP(D755,Data!$A$2:$C$223100,3,FALSE)),"INACTIVE",VLOOKUP(D755,Data!$A$2:$C$223100,3,FALSE))</f>
        <v>90+</v>
      </c>
    </row>
    <row r="756" spans="1:15" x14ac:dyDescent="0.25">
      <c r="A756" t="s">
        <v>8950</v>
      </c>
      <c r="B756" t="s">
        <v>8951</v>
      </c>
      <c r="C756" t="s">
        <v>8952</v>
      </c>
      <c r="D756" t="s">
        <v>8953</v>
      </c>
      <c r="E756" t="s">
        <v>8954</v>
      </c>
      <c r="F756" t="s">
        <v>8955</v>
      </c>
      <c r="G756" t="s">
        <v>5</v>
      </c>
      <c r="H756" t="s">
        <v>5</v>
      </c>
      <c r="I756" t="s">
        <v>8956</v>
      </c>
      <c r="J756" t="s">
        <v>7</v>
      </c>
      <c r="K756" s="3">
        <f t="shared" si="22"/>
        <v>0</v>
      </c>
      <c r="L756" s="3">
        <f>IF(ISERROR(VLOOKUP(J756,Lookups!$A$2:$A$16,1,FALSE)),1,0)</f>
        <v>1</v>
      </c>
      <c r="M756" s="3">
        <f>IF(ISERROR(VLOOKUP(D756,Data!$A$2:$D$223100,2,FALSE)),0,1)</f>
        <v>1</v>
      </c>
      <c r="N756" s="3">
        <f t="shared" si="23"/>
        <v>1</v>
      </c>
      <c r="O756" s="3" t="str">
        <f>IF(ISERROR(VLOOKUP(D756,Data!$A$2:$C$223100,3,FALSE)),"INACTIVE",VLOOKUP(D756,Data!$A$2:$C$223100,3,FALSE))</f>
        <v>Current</v>
      </c>
    </row>
    <row r="757" spans="1:15" x14ac:dyDescent="0.25">
      <c r="A757" t="s">
        <v>8415</v>
      </c>
      <c r="B757" t="s">
        <v>8416</v>
      </c>
      <c r="C757" t="s">
        <v>8417</v>
      </c>
      <c r="D757" t="s">
        <v>8418</v>
      </c>
      <c r="E757" t="s">
        <v>5</v>
      </c>
      <c r="F757" t="s">
        <v>8419</v>
      </c>
      <c r="G757" t="s">
        <v>5</v>
      </c>
      <c r="H757" t="s">
        <v>5</v>
      </c>
      <c r="I757" t="s">
        <v>8420</v>
      </c>
      <c r="J757" t="s">
        <v>96</v>
      </c>
      <c r="K757" s="3">
        <f t="shared" si="22"/>
        <v>0</v>
      </c>
      <c r="L757" s="3">
        <f>IF(ISERROR(VLOOKUP(J757,Lookups!$A$2:$A$16,1,FALSE)),1,0)</f>
        <v>0</v>
      </c>
      <c r="M757" s="3">
        <f>IF(ISERROR(VLOOKUP(D757,Data!$A$2:$D$223100,2,FALSE)),0,1)</f>
        <v>1</v>
      </c>
      <c r="N757" s="3">
        <f t="shared" si="23"/>
        <v>0</v>
      </c>
      <c r="O757" s="3" t="str">
        <f>IF(ISERROR(VLOOKUP(D757,Data!$A$2:$C$223100,3,FALSE)),"INACTIVE",VLOOKUP(D757,Data!$A$2:$C$223100,3,FALSE))</f>
        <v>Demand Letter</v>
      </c>
    </row>
    <row r="758" spans="1:15" x14ac:dyDescent="0.25">
      <c r="A758" t="s">
        <v>1539</v>
      </c>
      <c r="B758" t="s">
        <v>8942</v>
      </c>
      <c r="C758" t="s">
        <v>8943</v>
      </c>
      <c r="D758" t="s">
        <v>8944</v>
      </c>
      <c r="E758" t="s">
        <v>8945</v>
      </c>
      <c r="F758" t="s">
        <v>5</v>
      </c>
      <c r="G758" t="s">
        <v>5</v>
      </c>
      <c r="H758" t="s">
        <v>5</v>
      </c>
      <c r="I758" t="s">
        <v>8946</v>
      </c>
      <c r="J758" t="s">
        <v>7</v>
      </c>
      <c r="K758" s="3">
        <f t="shared" si="22"/>
        <v>0</v>
      </c>
      <c r="L758" s="3">
        <f>IF(ISERROR(VLOOKUP(J758,Lookups!$A$2:$A$16,1,FALSE)),1,0)</f>
        <v>1</v>
      </c>
      <c r="M758" s="3">
        <f>IF(ISERROR(VLOOKUP(D758,Data!$A$2:$D$223100,2,FALSE)),0,1)</f>
        <v>1</v>
      </c>
      <c r="N758" s="3">
        <f t="shared" si="23"/>
        <v>1</v>
      </c>
      <c r="O758" s="3" t="str">
        <f>IF(ISERROR(VLOOKUP(D758,Data!$A$2:$C$223100,3,FALSE)),"INACTIVE",VLOOKUP(D758,Data!$A$2:$C$223100,3,FALSE))</f>
        <v>Current</v>
      </c>
    </row>
    <row r="759" spans="1:15" x14ac:dyDescent="0.25">
      <c r="A759" t="s">
        <v>1539</v>
      </c>
      <c r="B759" t="s">
        <v>8942</v>
      </c>
      <c r="C759" t="s">
        <v>8947</v>
      </c>
      <c r="D759" t="s">
        <v>8948</v>
      </c>
      <c r="E759" t="s">
        <v>8949</v>
      </c>
      <c r="F759" t="s">
        <v>5</v>
      </c>
      <c r="G759" t="s">
        <v>5</v>
      </c>
      <c r="H759" t="s">
        <v>5</v>
      </c>
      <c r="I759" t="s">
        <v>8946</v>
      </c>
      <c r="J759" t="s">
        <v>7</v>
      </c>
      <c r="K759" s="3">
        <f t="shared" si="22"/>
        <v>0</v>
      </c>
      <c r="L759" s="3">
        <f>IF(ISERROR(VLOOKUP(J759,Lookups!$A$2:$A$16,1,FALSE)),1,0)</f>
        <v>1</v>
      </c>
      <c r="M759" s="3">
        <f>IF(ISERROR(VLOOKUP(D759,Data!$A$2:$D$223100,2,FALSE)),0,1)</f>
        <v>1</v>
      </c>
      <c r="N759" s="3">
        <f t="shared" si="23"/>
        <v>1</v>
      </c>
      <c r="O759" s="3" t="str">
        <f>IF(ISERROR(VLOOKUP(D759,Data!$A$2:$C$223100,3,FALSE)),"INACTIVE",VLOOKUP(D759,Data!$A$2:$C$223100,3,FALSE))</f>
        <v>Current</v>
      </c>
    </row>
    <row r="760" spans="1:15" x14ac:dyDescent="0.25">
      <c r="A760" t="s">
        <v>8963</v>
      </c>
      <c r="B760" t="s">
        <v>8964</v>
      </c>
      <c r="C760" t="s">
        <v>8965</v>
      </c>
      <c r="D760" t="s">
        <v>8966</v>
      </c>
      <c r="E760" t="s">
        <v>8967</v>
      </c>
      <c r="F760" t="s">
        <v>5</v>
      </c>
      <c r="G760" t="s">
        <v>5</v>
      </c>
      <c r="H760" t="s">
        <v>5</v>
      </c>
      <c r="I760" t="s">
        <v>8946</v>
      </c>
      <c r="J760" t="s">
        <v>7</v>
      </c>
      <c r="K760" s="3">
        <f t="shared" si="22"/>
        <v>0</v>
      </c>
      <c r="L760" s="3">
        <f>IF(ISERROR(VLOOKUP(J760,Lookups!$A$2:$A$16,1,FALSE)),1,0)</f>
        <v>1</v>
      </c>
      <c r="M760" s="3">
        <f>IF(ISERROR(VLOOKUP(D760,Data!$A$2:$D$223100,2,FALSE)),0,1)</f>
        <v>0</v>
      </c>
      <c r="N760" s="3">
        <f t="shared" si="23"/>
        <v>0</v>
      </c>
      <c r="O760" s="3" t="str">
        <f>IF(ISERROR(VLOOKUP(D760,Data!$A$2:$C$223100,3,FALSE)),"INACTIVE",VLOOKUP(D760,Data!$A$2:$C$223100,3,FALSE))</f>
        <v>INACTIVE</v>
      </c>
    </row>
    <row r="761" spans="1:15" x14ac:dyDescent="0.25">
      <c r="A761" t="s">
        <v>8963</v>
      </c>
      <c r="B761" t="s">
        <v>8964</v>
      </c>
      <c r="C761" t="s">
        <v>8968</v>
      </c>
      <c r="D761" t="s">
        <v>8969</v>
      </c>
      <c r="E761" t="s">
        <v>8970</v>
      </c>
      <c r="F761" t="s">
        <v>5</v>
      </c>
      <c r="G761" t="s">
        <v>5</v>
      </c>
      <c r="H761" t="s">
        <v>5</v>
      </c>
      <c r="I761" t="s">
        <v>8946</v>
      </c>
      <c r="J761" t="s">
        <v>90</v>
      </c>
      <c r="K761" s="3">
        <f t="shared" si="22"/>
        <v>0</v>
      </c>
      <c r="L761" s="3">
        <f>IF(ISERROR(VLOOKUP(J761,Lookups!$A$2:$A$16,1,FALSE)),1,0)</f>
        <v>0</v>
      </c>
      <c r="M761" s="3">
        <f>IF(ISERROR(VLOOKUP(D761,Data!$A$2:$D$223100,2,FALSE)),0,1)</f>
        <v>1</v>
      </c>
      <c r="N761" s="3">
        <f t="shared" si="23"/>
        <v>0</v>
      </c>
      <c r="O761" s="3" t="str">
        <f>IF(ISERROR(VLOOKUP(D761,Data!$A$2:$C$223100,3,FALSE)),"INACTIVE",VLOOKUP(D761,Data!$A$2:$C$223100,3,FALSE))</f>
        <v>FC</v>
      </c>
    </row>
    <row r="762" spans="1:15" x14ac:dyDescent="0.25">
      <c r="A762" t="s">
        <v>8963</v>
      </c>
      <c r="B762" t="s">
        <v>8964</v>
      </c>
      <c r="C762" t="s">
        <v>8968</v>
      </c>
      <c r="D762" t="s">
        <v>8969</v>
      </c>
      <c r="E762" t="s">
        <v>8971</v>
      </c>
      <c r="F762" t="s">
        <v>5</v>
      </c>
      <c r="G762" t="s">
        <v>5</v>
      </c>
      <c r="H762" t="s">
        <v>5</v>
      </c>
      <c r="I762" t="s">
        <v>8946</v>
      </c>
      <c r="J762" t="s">
        <v>90</v>
      </c>
      <c r="K762" s="3">
        <f t="shared" si="22"/>
        <v>0</v>
      </c>
      <c r="L762" s="3">
        <f>IF(ISERROR(VLOOKUP(J762,Lookups!$A$2:$A$16,1,FALSE)),1,0)</f>
        <v>0</v>
      </c>
      <c r="M762" s="3">
        <f>IF(ISERROR(VLOOKUP(D762,Data!$A$2:$D$223100,2,FALSE)),0,1)</f>
        <v>1</v>
      </c>
      <c r="N762" s="3">
        <f t="shared" si="23"/>
        <v>0</v>
      </c>
      <c r="O762" s="3" t="str">
        <f>IF(ISERROR(VLOOKUP(D762,Data!$A$2:$C$223100,3,FALSE)),"INACTIVE",VLOOKUP(D762,Data!$A$2:$C$223100,3,FALSE))</f>
        <v>FC</v>
      </c>
    </row>
    <row r="763" spans="1:15" x14ac:dyDescent="0.25">
      <c r="A763" t="s">
        <v>8957</v>
      </c>
      <c r="B763" t="s">
        <v>8958</v>
      </c>
      <c r="C763" t="s">
        <v>8959</v>
      </c>
      <c r="D763" t="s">
        <v>8960</v>
      </c>
      <c r="E763" t="s">
        <v>5</v>
      </c>
      <c r="F763" t="s">
        <v>8961</v>
      </c>
      <c r="G763" t="s">
        <v>5</v>
      </c>
      <c r="H763" t="s">
        <v>5</v>
      </c>
      <c r="I763" t="s">
        <v>8962</v>
      </c>
      <c r="J763" t="s">
        <v>7</v>
      </c>
      <c r="K763" s="3">
        <f t="shared" si="22"/>
        <v>0</v>
      </c>
      <c r="L763" s="3">
        <f>IF(ISERROR(VLOOKUP(J763,Lookups!$A$2:$A$16,1,FALSE)),1,0)</f>
        <v>1</v>
      </c>
      <c r="M763" s="3">
        <f>IF(ISERROR(VLOOKUP(D763,Data!$A$2:$D$223100,2,FALSE)),0,1)</f>
        <v>1</v>
      </c>
      <c r="N763" s="3">
        <f t="shared" si="23"/>
        <v>1</v>
      </c>
      <c r="O763" s="3" t="str">
        <f>IF(ISERROR(VLOOKUP(D763,Data!$A$2:$C$223100,3,FALSE)),"INACTIVE",VLOOKUP(D763,Data!$A$2:$C$223100,3,FALSE))</f>
        <v>Current</v>
      </c>
    </row>
    <row r="764" spans="1:15" x14ac:dyDescent="0.25">
      <c r="A764" t="s">
        <v>8280</v>
      </c>
      <c r="B764" t="s">
        <v>8281</v>
      </c>
      <c r="C764" t="s">
        <v>8282</v>
      </c>
      <c r="D764" t="s">
        <v>8283</v>
      </c>
      <c r="E764" t="s">
        <v>5</v>
      </c>
      <c r="F764" t="s">
        <v>8284</v>
      </c>
      <c r="G764" t="s">
        <v>5</v>
      </c>
      <c r="H764" t="s">
        <v>5</v>
      </c>
      <c r="I764" t="s">
        <v>8285</v>
      </c>
      <c r="J764" t="s">
        <v>7</v>
      </c>
      <c r="K764" s="3">
        <f t="shared" si="22"/>
        <v>0</v>
      </c>
      <c r="L764" s="3">
        <f>IF(ISERROR(VLOOKUP(J764,Lookups!$A$2:$A$16,1,FALSE)),1,0)</f>
        <v>1</v>
      </c>
      <c r="M764" s="3">
        <f>IF(ISERROR(VLOOKUP(D764,Data!$A$2:$D$223100,2,FALSE)),0,1)</f>
        <v>1</v>
      </c>
      <c r="N764" s="3">
        <f t="shared" si="23"/>
        <v>1</v>
      </c>
      <c r="O764" s="3" t="str">
        <f>IF(ISERROR(VLOOKUP(D764,Data!$A$2:$C$223100,3,FALSE)),"INACTIVE",VLOOKUP(D764,Data!$A$2:$C$223100,3,FALSE))</f>
        <v>FC</v>
      </c>
    </row>
    <row r="765" spans="1:15" x14ac:dyDescent="0.25">
      <c r="A765" t="s">
        <v>8280</v>
      </c>
      <c r="B765" t="s">
        <v>8281</v>
      </c>
      <c r="C765" t="s">
        <v>8286</v>
      </c>
      <c r="D765" t="s">
        <v>8287</v>
      </c>
      <c r="E765" t="s">
        <v>5</v>
      </c>
      <c r="F765" t="s">
        <v>8288</v>
      </c>
      <c r="G765" t="s">
        <v>5</v>
      </c>
      <c r="H765" t="s">
        <v>5</v>
      </c>
      <c r="I765" t="s">
        <v>8285</v>
      </c>
      <c r="J765" t="s">
        <v>7</v>
      </c>
      <c r="K765" s="3">
        <f t="shared" si="22"/>
        <v>0</v>
      </c>
      <c r="L765" s="3">
        <f>IF(ISERROR(VLOOKUP(J765,Lookups!$A$2:$A$16,1,FALSE)),1,0)</f>
        <v>1</v>
      </c>
      <c r="M765" s="3">
        <f>IF(ISERROR(VLOOKUP(D765,Data!$A$2:$D$223100,2,FALSE)),0,1)</f>
        <v>1</v>
      </c>
      <c r="N765" s="3">
        <f t="shared" si="23"/>
        <v>1</v>
      </c>
      <c r="O765" s="3" t="str">
        <f>IF(ISERROR(VLOOKUP(D765,Data!$A$2:$C$223100,3,FALSE)),"INACTIVE",VLOOKUP(D765,Data!$A$2:$C$223100,3,FALSE))</f>
        <v>Current</v>
      </c>
    </row>
    <row r="766" spans="1:15" x14ac:dyDescent="0.25">
      <c r="A766" t="s">
        <v>8280</v>
      </c>
      <c r="B766" t="s">
        <v>8281</v>
      </c>
      <c r="C766" t="s">
        <v>8289</v>
      </c>
      <c r="D766" t="s">
        <v>8290</v>
      </c>
      <c r="E766" t="s">
        <v>5</v>
      </c>
      <c r="F766" t="s">
        <v>8291</v>
      </c>
      <c r="G766" t="s">
        <v>5</v>
      </c>
      <c r="H766" t="s">
        <v>5</v>
      </c>
      <c r="I766" t="s">
        <v>8285</v>
      </c>
      <c r="J766" t="s">
        <v>7</v>
      </c>
      <c r="K766" s="3">
        <f t="shared" si="22"/>
        <v>0</v>
      </c>
      <c r="L766" s="3">
        <f>IF(ISERROR(VLOOKUP(J766,Lookups!$A$2:$A$16,1,FALSE)),1,0)</f>
        <v>1</v>
      </c>
      <c r="M766" s="3">
        <f>IF(ISERROR(VLOOKUP(D766,Data!$A$2:$D$223100,2,FALSE)),0,1)</f>
        <v>1</v>
      </c>
      <c r="N766" s="3">
        <f t="shared" si="23"/>
        <v>1</v>
      </c>
      <c r="O766" s="3" t="str">
        <f>IF(ISERROR(VLOOKUP(D766,Data!$A$2:$C$223100,3,FALSE)),"INACTIVE",VLOOKUP(D766,Data!$A$2:$C$223100,3,FALSE))</f>
        <v>Demand Letter</v>
      </c>
    </row>
    <row r="767" spans="1:15" x14ac:dyDescent="0.25">
      <c r="A767" t="s">
        <v>8895</v>
      </c>
      <c r="B767" t="s">
        <v>8896</v>
      </c>
      <c r="C767" t="s">
        <v>8897</v>
      </c>
      <c r="D767" t="s">
        <v>8898</v>
      </c>
      <c r="E767" t="s">
        <v>8899</v>
      </c>
      <c r="F767" t="s">
        <v>8900</v>
      </c>
      <c r="G767" t="s">
        <v>5</v>
      </c>
      <c r="H767" t="s">
        <v>5</v>
      </c>
      <c r="I767" t="s">
        <v>8285</v>
      </c>
      <c r="J767" t="s">
        <v>7</v>
      </c>
      <c r="K767" s="3">
        <f t="shared" si="22"/>
        <v>0</v>
      </c>
      <c r="L767" s="3">
        <f>IF(ISERROR(VLOOKUP(J767,Lookups!$A$2:$A$16,1,FALSE)),1,0)</f>
        <v>1</v>
      </c>
      <c r="M767" s="3">
        <f>IF(ISERROR(VLOOKUP(D767,Data!$A$2:$D$223100,2,FALSE)),0,1)</f>
        <v>1</v>
      </c>
      <c r="N767" s="3">
        <f t="shared" si="23"/>
        <v>1</v>
      </c>
      <c r="O767" s="3" t="str">
        <f>IF(ISERROR(VLOOKUP(D767,Data!$A$2:$C$223100,3,FALSE)),"INACTIVE",VLOOKUP(D767,Data!$A$2:$C$223100,3,FALSE))</f>
        <v>Demand Letter</v>
      </c>
    </row>
    <row r="768" spans="1:15" x14ac:dyDescent="0.25">
      <c r="A768" t="s">
        <v>8908</v>
      </c>
      <c r="B768" t="s">
        <v>8909</v>
      </c>
      <c r="C768" t="s">
        <v>8910</v>
      </c>
      <c r="D768" t="s">
        <v>6990</v>
      </c>
      <c r="E768" t="s">
        <v>8911</v>
      </c>
      <c r="F768" t="s">
        <v>5</v>
      </c>
      <c r="G768" t="s">
        <v>5</v>
      </c>
      <c r="H768" t="s">
        <v>5</v>
      </c>
      <c r="I768" t="s">
        <v>8285</v>
      </c>
      <c r="J768" t="s">
        <v>7</v>
      </c>
      <c r="K768" s="3">
        <f t="shared" si="22"/>
        <v>0</v>
      </c>
      <c r="L768" s="3">
        <f>IF(ISERROR(VLOOKUP(J768,Lookups!$A$2:$A$16,1,FALSE)),1,0)</f>
        <v>1</v>
      </c>
      <c r="M768" s="3">
        <f>IF(ISERROR(VLOOKUP(D768,Data!$A$2:$D$223100,2,FALSE)),0,1)</f>
        <v>0</v>
      </c>
      <c r="N768" s="3">
        <f t="shared" si="23"/>
        <v>0</v>
      </c>
      <c r="O768" s="3" t="str">
        <f>IF(ISERROR(VLOOKUP(D768,Data!$A$2:$C$223100,3,FALSE)),"INACTIVE",VLOOKUP(D768,Data!$A$2:$C$223100,3,FALSE))</f>
        <v>INACTIVE</v>
      </c>
    </row>
    <row r="769" spans="1:15" x14ac:dyDescent="0.25">
      <c r="A769" t="s">
        <v>8908</v>
      </c>
      <c r="B769" t="s">
        <v>8909</v>
      </c>
      <c r="C769" t="s">
        <v>8910</v>
      </c>
      <c r="D769" t="s">
        <v>6990</v>
      </c>
      <c r="E769" t="s">
        <v>8912</v>
      </c>
      <c r="F769" t="s">
        <v>5</v>
      </c>
      <c r="G769" t="s">
        <v>5</v>
      </c>
      <c r="H769" t="s">
        <v>5</v>
      </c>
      <c r="I769" t="s">
        <v>8285</v>
      </c>
      <c r="J769" t="s">
        <v>7</v>
      </c>
      <c r="K769" s="3">
        <f t="shared" si="22"/>
        <v>0</v>
      </c>
      <c r="L769" s="3">
        <f>IF(ISERROR(VLOOKUP(J769,Lookups!$A$2:$A$16,1,FALSE)),1,0)</f>
        <v>1</v>
      </c>
      <c r="M769" s="3">
        <f>IF(ISERROR(VLOOKUP(D769,Data!$A$2:$D$223100,2,FALSE)),0,1)</f>
        <v>0</v>
      </c>
      <c r="N769" s="3">
        <f t="shared" si="23"/>
        <v>0</v>
      </c>
      <c r="O769" s="3" t="str">
        <f>IF(ISERROR(VLOOKUP(D769,Data!$A$2:$C$223100,3,FALSE)),"INACTIVE",VLOOKUP(D769,Data!$A$2:$C$223100,3,FALSE))</f>
        <v>INACTIVE</v>
      </c>
    </row>
    <row r="770" spans="1:15" x14ac:dyDescent="0.25">
      <c r="A770" t="s">
        <v>4117</v>
      </c>
      <c r="B770" t="s">
        <v>8934</v>
      </c>
      <c r="C770" t="s">
        <v>8935</v>
      </c>
      <c r="D770" t="s">
        <v>8936</v>
      </c>
      <c r="E770" t="s">
        <v>5</v>
      </c>
      <c r="F770" t="s">
        <v>8937</v>
      </c>
      <c r="G770" t="s">
        <v>5</v>
      </c>
      <c r="H770" t="s">
        <v>5</v>
      </c>
      <c r="I770" t="s">
        <v>8938</v>
      </c>
      <c r="J770" t="s">
        <v>7</v>
      </c>
      <c r="K770" s="3">
        <f t="shared" si="22"/>
        <v>0</v>
      </c>
      <c r="L770" s="3">
        <f>IF(ISERROR(VLOOKUP(J770,Lookups!$A$2:$A$16,1,FALSE)),1,0)</f>
        <v>1</v>
      </c>
      <c r="M770" s="3">
        <f>IF(ISERROR(VLOOKUP(D770,Data!$A$2:$D$223100,2,FALSE)),0,1)</f>
        <v>1</v>
      </c>
      <c r="N770" s="3">
        <f t="shared" si="23"/>
        <v>1</v>
      </c>
      <c r="O770" s="3" t="str">
        <f>IF(ISERROR(VLOOKUP(D770,Data!$A$2:$C$223100,3,FALSE)),"INACTIVE",VLOOKUP(D770,Data!$A$2:$C$223100,3,FALSE))</f>
        <v>BK13</v>
      </c>
    </row>
    <row r="771" spans="1:15" x14ac:dyDescent="0.25">
      <c r="A771" t="s">
        <v>4117</v>
      </c>
      <c r="B771" t="s">
        <v>8934</v>
      </c>
      <c r="C771" t="s">
        <v>8939</v>
      </c>
      <c r="D771" t="s">
        <v>8940</v>
      </c>
      <c r="E771" t="s">
        <v>8941</v>
      </c>
      <c r="F771" t="s">
        <v>5</v>
      </c>
      <c r="G771" t="s">
        <v>5</v>
      </c>
      <c r="H771" t="s">
        <v>5</v>
      </c>
      <c r="I771" t="s">
        <v>8938</v>
      </c>
      <c r="J771" t="s">
        <v>7</v>
      </c>
      <c r="K771" s="3">
        <f t="shared" ref="K771:K834" si="24">IF(ISERROR(FIND("LIEN",A771,1)),0,1)</f>
        <v>0</v>
      </c>
      <c r="L771" s="3">
        <f>IF(ISERROR(VLOOKUP(J771,Lookups!$A$2:$A$16,1,FALSE)),1,0)</f>
        <v>1</v>
      </c>
      <c r="M771" s="3">
        <f>IF(ISERROR(VLOOKUP(D771,Data!$A$2:$D$223100,2,FALSE)),0,1)</f>
        <v>1</v>
      </c>
      <c r="N771" s="3">
        <f t="shared" ref="N771:N834" si="25">IF(M771=0,0,IF(SUM(K771:L771)&gt;0,1,0))</f>
        <v>1</v>
      </c>
      <c r="O771" s="3" t="str">
        <f>IF(ISERROR(VLOOKUP(D771,Data!$A$2:$C$223100,3,FALSE)),"INACTIVE",VLOOKUP(D771,Data!$A$2:$C$223100,3,FALSE))</f>
        <v>60+</v>
      </c>
    </row>
    <row r="772" spans="1:15" x14ac:dyDescent="0.25">
      <c r="A772" t="s">
        <v>8913</v>
      </c>
      <c r="B772" t="s">
        <v>8914</v>
      </c>
      <c r="C772" t="s">
        <v>8915</v>
      </c>
      <c r="D772" t="s">
        <v>8916</v>
      </c>
      <c r="E772" t="s">
        <v>8917</v>
      </c>
      <c r="F772" t="s">
        <v>8917</v>
      </c>
      <c r="G772" t="s">
        <v>5</v>
      </c>
      <c r="H772" t="s">
        <v>5</v>
      </c>
      <c r="I772" t="s">
        <v>8918</v>
      </c>
      <c r="J772" t="s">
        <v>96</v>
      </c>
      <c r="K772" s="3">
        <f t="shared" si="24"/>
        <v>0</v>
      </c>
      <c r="L772" s="3">
        <f>IF(ISERROR(VLOOKUP(J772,Lookups!$A$2:$A$16,1,FALSE)),1,0)</f>
        <v>0</v>
      </c>
      <c r="M772" s="3">
        <f>IF(ISERROR(VLOOKUP(D772,Data!$A$2:$D$223100,2,FALSE)),0,1)</f>
        <v>1</v>
      </c>
      <c r="N772" s="3">
        <f t="shared" si="25"/>
        <v>0</v>
      </c>
      <c r="O772" s="3" t="str">
        <f>IF(ISERROR(VLOOKUP(D772,Data!$A$2:$C$223100,3,FALSE)),"INACTIVE",VLOOKUP(D772,Data!$A$2:$C$223100,3,FALSE))</f>
        <v>180+</v>
      </c>
    </row>
    <row r="773" spans="1:15" x14ac:dyDescent="0.25">
      <c r="A773" t="s">
        <v>8913</v>
      </c>
      <c r="B773" t="s">
        <v>8914</v>
      </c>
      <c r="C773" t="s">
        <v>8919</v>
      </c>
      <c r="D773" t="s">
        <v>8920</v>
      </c>
      <c r="E773" t="s">
        <v>8921</v>
      </c>
      <c r="F773" t="s">
        <v>8921</v>
      </c>
      <c r="G773" t="s">
        <v>5</v>
      </c>
      <c r="H773" t="s">
        <v>5</v>
      </c>
      <c r="I773" t="s">
        <v>8918</v>
      </c>
      <c r="J773" t="s">
        <v>96</v>
      </c>
      <c r="K773" s="3">
        <f t="shared" si="24"/>
        <v>0</v>
      </c>
      <c r="L773" s="3">
        <f>IF(ISERROR(VLOOKUP(J773,Lookups!$A$2:$A$16,1,FALSE)),1,0)</f>
        <v>0</v>
      </c>
      <c r="M773" s="3">
        <f>IF(ISERROR(VLOOKUP(D773,Data!$A$2:$D$223100,2,FALSE)),0,1)</f>
        <v>1</v>
      </c>
      <c r="N773" s="3">
        <f t="shared" si="25"/>
        <v>0</v>
      </c>
      <c r="O773" s="3" t="str">
        <f>IF(ISERROR(VLOOKUP(D773,Data!$A$2:$C$223100,3,FALSE)),"INACTIVE",VLOOKUP(D773,Data!$A$2:$C$223100,3,FALSE))</f>
        <v>Current</v>
      </c>
    </row>
    <row r="774" spans="1:15" x14ac:dyDescent="0.25">
      <c r="A774" t="s">
        <v>8913</v>
      </c>
      <c r="B774" t="s">
        <v>8914</v>
      </c>
      <c r="C774" t="s">
        <v>8919</v>
      </c>
      <c r="D774" t="s">
        <v>8920</v>
      </c>
      <c r="E774" t="s">
        <v>8922</v>
      </c>
      <c r="F774" t="s">
        <v>5</v>
      </c>
      <c r="G774" t="s">
        <v>5</v>
      </c>
      <c r="H774" t="s">
        <v>5</v>
      </c>
      <c r="I774" t="s">
        <v>8918</v>
      </c>
      <c r="J774" t="s">
        <v>96</v>
      </c>
      <c r="K774" s="3">
        <f t="shared" si="24"/>
        <v>0</v>
      </c>
      <c r="L774" s="3">
        <f>IF(ISERROR(VLOOKUP(J774,Lookups!$A$2:$A$16,1,FALSE)),1,0)</f>
        <v>0</v>
      </c>
      <c r="M774" s="3">
        <f>IF(ISERROR(VLOOKUP(D774,Data!$A$2:$D$223100,2,FALSE)),0,1)</f>
        <v>1</v>
      </c>
      <c r="N774" s="3">
        <f t="shared" si="25"/>
        <v>0</v>
      </c>
      <c r="O774" s="3" t="str">
        <f>IF(ISERROR(VLOOKUP(D774,Data!$A$2:$C$223100,3,FALSE)),"INACTIVE",VLOOKUP(D774,Data!$A$2:$C$223100,3,FALSE))</f>
        <v>Current</v>
      </c>
    </row>
    <row r="775" spans="1:15" x14ac:dyDescent="0.25">
      <c r="A775" t="s">
        <v>8913</v>
      </c>
      <c r="B775" t="s">
        <v>8914</v>
      </c>
      <c r="C775" t="s">
        <v>8923</v>
      </c>
      <c r="D775" t="s">
        <v>8924</v>
      </c>
      <c r="E775" t="s">
        <v>8925</v>
      </c>
      <c r="F775" t="s">
        <v>8925</v>
      </c>
      <c r="G775" t="s">
        <v>5</v>
      </c>
      <c r="H775" t="s">
        <v>5</v>
      </c>
      <c r="I775" t="s">
        <v>8918</v>
      </c>
      <c r="J775" t="s">
        <v>96</v>
      </c>
      <c r="K775" s="3">
        <f t="shared" si="24"/>
        <v>0</v>
      </c>
      <c r="L775" s="3">
        <f>IF(ISERROR(VLOOKUP(J775,Lookups!$A$2:$A$16,1,FALSE)),1,0)</f>
        <v>0</v>
      </c>
      <c r="M775" s="3">
        <f>IF(ISERROR(VLOOKUP(D775,Data!$A$2:$D$223100,2,FALSE)),0,1)</f>
        <v>0</v>
      </c>
      <c r="N775" s="3">
        <f t="shared" si="25"/>
        <v>0</v>
      </c>
      <c r="O775" s="3" t="str">
        <f>IF(ISERROR(VLOOKUP(D775,Data!$A$2:$C$223100,3,FALSE)),"INACTIVE",VLOOKUP(D775,Data!$A$2:$C$223100,3,FALSE))</f>
        <v>INACTIVE</v>
      </c>
    </row>
    <row r="776" spans="1:15" x14ac:dyDescent="0.25">
      <c r="A776" t="s">
        <v>8913</v>
      </c>
      <c r="B776" t="s">
        <v>8914</v>
      </c>
      <c r="C776" t="s">
        <v>8926</v>
      </c>
      <c r="D776" t="s">
        <v>8927</v>
      </c>
      <c r="E776" t="s">
        <v>5</v>
      </c>
      <c r="F776" t="s">
        <v>8928</v>
      </c>
      <c r="G776" t="s">
        <v>5</v>
      </c>
      <c r="H776" t="s">
        <v>5</v>
      </c>
      <c r="I776" t="s">
        <v>8918</v>
      </c>
      <c r="J776" t="s">
        <v>96</v>
      </c>
      <c r="K776" s="3">
        <f t="shared" si="24"/>
        <v>0</v>
      </c>
      <c r="L776" s="3">
        <f>IF(ISERROR(VLOOKUP(J776,Lookups!$A$2:$A$16,1,FALSE)),1,0)</f>
        <v>0</v>
      </c>
      <c r="M776" s="3">
        <f>IF(ISERROR(VLOOKUP(D776,Data!$A$2:$D$223100,2,FALSE)),0,1)</f>
        <v>1</v>
      </c>
      <c r="N776" s="3">
        <f t="shared" si="25"/>
        <v>0</v>
      </c>
      <c r="O776" s="3" t="str">
        <f>IF(ISERROR(VLOOKUP(D776,Data!$A$2:$C$223100,3,FALSE)),"INACTIVE",VLOOKUP(D776,Data!$A$2:$C$223100,3,FALSE))</f>
        <v>BK13</v>
      </c>
    </row>
    <row r="777" spans="1:15" x14ac:dyDescent="0.25">
      <c r="A777" t="s">
        <v>8929</v>
      </c>
      <c r="B777" t="s">
        <v>8930</v>
      </c>
      <c r="C777" t="s">
        <v>8931</v>
      </c>
      <c r="D777" t="s">
        <v>8932</v>
      </c>
      <c r="E777" t="s">
        <v>8933</v>
      </c>
      <c r="F777" t="s">
        <v>8933</v>
      </c>
      <c r="G777" t="s">
        <v>5</v>
      </c>
      <c r="H777" t="s">
        <v>5</v>
      </c>
      <c r="I777" t="s">
        <v>8918</v>
      </c>
      <c r="J777" t="s">
        <v>7</v>
      </c>
      <c r="K777" s="3">
        <f t="shared" si="24"/>
        <v>0</v>
      </c>
      <c r="L777" s="3">
        <f>IF(ISERROR(VLOOKUP(J777,Lookups!$A$2:$A$16,1,FALSE)),1,0)</f>
        <v>1</v>
      </c>
      <c r="M777" s="3">
        <f>IF(ISERROR(VLOOKUP(D777,Data!$A$2:$D$223100,2,FALSE)),0,1)</f>
        <v>1</v>
      </c>
      <c r="N777" s="3">
        <f t="shared" si="25"/>
        <v>1</v>
      </c>
      <c r="O777" s="3" t="str">
        <f>IF(ISERROR(VLOOKUP(D777,Data!$A$2:$C$223100,3,FALSE)),"INACTIVE",VLOOKUP(D777,Data!$A$2:$C$223100,3,FALSE))</f>
        <v>FC</v>
      </c>
    </row>
    <row r="778" spans="1:15" x14ac:dyDescent="0.25">
      <c r="A778" t="s">
        <v>8387</v>
      </c>
      <c r="B778" t="s">
        <v>8388</v>
      </c>
      <c r="C778" t="s">
        <v>8389</v>
      </c>
      <c r="D778" t="s">
        <v>8390</v>
      </c>
      <c r="E778" t="s">
        <v>8391</v>
      </c>
      <c r="F778" t="s">
        <v>5</v>
      </c>
      <c r="G778" t="s">
        <v>5</v>
      </c>
      <c r="H778" t="s">
        <v>5</v>
      </c>
      <c r="I778" t="s">
        <v>8392</v>
      </c>
      <c r="J778" t="s">
        <v>90</v>
      </c>
      <c r="K778" s="3">
        <f t="shared" si="24"/>
        <v>0</v>
      </c>
      <c r="L778" s="3">
        <f>IF(ISERROR(VLOOKUP(J778,Lookups!$A$2:$A$16,1,FALSE)),1,0)</f>
        <v>0</v>
      </c>
      <c r="M778" s="3">
        <f>IF(ISERROR(VLOOKUP(D778,Data!$A$2:$D$223100,2,FALSE)),0,1)</f>
        <v>1</v>
      </c>
      <c r="N778" s="3">
        <f t="shared" si="25"/>
        <v>0</v>
      </c>
      <c r="O778" s="3" t="str">
        <f>IF(ISERROR(VLOOKUP(D778,Data!$A$2:$C$223100,3,FALSE)),"INACTIVE",VLOOKUP(D778,Data!$A$2:$C$223100,3,FALSE))</f>
        <v>FC</v>
      </c>
    </row>
    <row r="779" spans="1:15" x14ac:dyDescent="0.25">
      <c r="A779" t="s">
        <v>8387</v>
      </c>
      <c r="B779" t="s">
        <v>8388</v>
      </c>
      <c r="C779" t="s">
        <v>8389</v>
      </c>
      <c r="D779" t="s">
        <v>8390</v>
      </c>
      <c r="E779" t="s">
        <v>8393</v>
      </c>
      <c r="F779" t="s">
        <v>8393</v>
      </c>
      <c r="G779" t="s">
        <v>5</v>
      </c>
      <c r="H779" t="s">
        <v>5</v>
      </c>
      <c r="I779" t="s">
        <v>8392</v>
      </c>
      <c r="J779" t="s">
        <v>90</v>
      </c>
      <c r="K779" s="3">
        <f t="shared" si="24"/>
        <v>0</v>
      </c>
      <c r="L779" s="3">
        <f>IF(ISERROR(VLOOKUP(J779,Lookups!$A$2:$A$16,1,FALSE)),1,0)</f>
        <v>0</v>
      </c>
      <c r="M779" s="3">
        <f>IF(ISERROR(VLOOKUP(D779,Data!$A$2:$D$223100,2,FALSE)),0,1)</f>
        <v>1</v>
      </c>
      <c r="N779" s="3">
        <f t="shared" si="25"/>
        <v>0</v>
      </c>
      <c r="O779" s="3" t="str">
        <f>IF(ISERROR(VLOOKUP(D779,Data!$A$2:$C$223100,3,FALSE)),"INACTIVE",VLOOKUP(D779,Data!$A$2:$C$223100,3,FALSE))</f>
        <v>FC</v>
      </c>
    </row>
    <row r="780" spans="1:15" x14ac:dyDescent="0.25">
      <c r="A780" t="s">
        <v>8258</v>
      </c>
      <c r="B780" t="s">
        <v>8259</v>
      </c>
      <c r="C780" t="s">
        <v>8260</v>
      </c>
      <c r="D780" t="s">
        <v>8261</v>
      </c>
      <c r="E780" t="s">
        <v>8262</v>
      </c>
      <c r="F780" t="s">
        <v>5</v>
      </c>
      <c r="G780" t="s">
        <v>5</v>
      </c>
      <c r="H780" t="s">
        <v>5</v>
      </c>
      <c r="I780" t="s">
        <v>8263</v>
      </c>
      <c r="J780" t="s">
        <v>90</v>
      </c>
      <c r="K780" s="3">
        <f t="shared" si="24"/>
        <v>0</v>
      </c>
      <c r="L780" s="3">
        <f>IF(ISERROR(VLOOKUP(J780,Lookups!$A$2:$A$16,1,FALSE)),1,0)</f>
        <v>0</v>
      </c>
      <c r="M780" s="3">
        <f>IF(ISERROR(VLOOKUP(D780,Data!$A$2:$D$223100,2,FALSE)),0,1)</f>
        <v>0</v>
      </c>
      <c r="N780" s="3">
        <f t="shared" si="25"/>
        <v>0</v>
      </c>
      <c r="O780" s="3" t="str">
        <f>IF(ISERROR(VLOOKUP(D780,Data!$A$2:$C$223100,3,FALSE)),"INACTIVE",VLOOKUP(D780,Data!$A$2:$C$223100,3,FALSE))</f>
        <v>INACTIVE</v>
      </c>
    </row>
    <row r="781" spans="1:15" x14ac:dyDescent="0.25">
      <c r="A781" t="s">
        <v>8258</v>
      </c>
      <c r="B781" t="s">
        <v>8259</v>
      </c>
      <c r="C781" t="s">
        <v>8264</v>
      </c>
      <c r="D781" t="s">
        <v>8265</v>
      </c>
      <c r="E781" t="s">
        <v>8266</v>
      </c>
      <c r="F781" t="s">
        <v>5</v>
      </c>
      <c r="G781" t="s">
        <v>5</v>
      </c>
      <c r="H781" t="s">
        <v>5</v>
      </c>
      <c r="I781" t="s">
        <v>8263</v>
      </c>
      <c r="J781" t="s">
        <v>90</v>
      </c>
      <c r="K781" s="3">
        <f t="shared" si="24"/>
        <v>0</v>
      </c>
      <c r="L781" s="3">
        <f>IF(ISERROR(VLOOKUP(J781,Lookups!$A$2:$A$16,1,FALSE)),1,0)</f>
        <v>0</v>
      </c>
      <c r="M781" s="3">
        <f>IF(ISERROR(VLOOKUP(D781,Data!$A$2:$D$223100,2,FALSE)),0,1)</f>
        <v>0</v>
      </c>
      <c r="N781" s="3">
        <f t="shared" si="25"/>
        <v>0</v>
      </c>
      <c r="O781" s="3" t="str">
        <f>IF(ISERROR(VLOOKUP(D781,Data!$A$2:$C$223100,3,FALSE)),"INACTIVE",VLOOKUP(D781,Data!$A$2:$C$223100,3,FALSE))</f>
        <v>INACTIVE</v>
      </c>
    </row>
    <row r="782" spans="1:15" x14ac:dyDescent="0.25">
      <c r="A782" t="s">
        <v>8370</v>
      </c>
      <c r="B782" t="s">
        <v>8371</v>
      </c>
      <c r="C782" t="s">
        <v>8372</v>
      </c>
      <c r="D782" t="s">
        <v>8373</v>
      </c>
      <c r="E782" t="s">
        <v>8374</v>
      </c>
      <c r="F782" t="s">
        <v>8374</v>
      </c>
      <c r="G782" t="s">
        <v>5</v>
      </c>
      <c r="H782" t="s">
        <v>5</v>
      </c>
      <c r="I782" t="s">
        <v>8263</v>
      </c>
      <c r="J782" t="s">
        <v>7</v>
      </c>
      <c r="K782" s="3">
        <f t="shared" si="24"/>
        <v>0</v>
      </c>
      <c r="L782" s="3">
        <f>IF(ISERROR(VLOOKUP(J782,Lookups!$A$2:$A$16,1,FALSE)),1,0)</f>
        <v>1</v>
      </c>
      <c r="M782" s="3">
        <f>IF(ISERROR(VLOOKUP(D782,Data!$A$2:$D$223100,2,FALSE)),0,1)</f>
        <v>0</v>
      </c>
      <c r="N782" s="3">
        <f t="shared" si="25"/>
        <v>0</v>
      </c>
      <c r="O782" s="3" t="str">
        <f>IF(ISERROR(VLOOKUP(D782,Data!$A$2:$C$223100,3,FALSE)),"INACTIVE",VLOOKUP(D782,Data!$A$2:$C$223100,3,FALSE))</f>
        <v>INACTIVE</v>
      </c>
    </row>
    <row r="783" spans="1:15" x14ac:dyDescent="0.25">
      <c r="A783" t="s">
        <v>8370</v>
      </c>
      <c r="B783" t="s">
        <v>8371</v>
      </c>
      <c r="C783" t="s">
        <v>8375</v>
      </c>
      <c r="D783" t="s">
        <v>8376</v>
      </c>
      <c r="E783" t="s">
        <v>5</v>
      </c>
      <c r="F783" t="s">
        <v>8377</v>
      </c>
      <c r="G783" t="s">
        <v>5</v>
      </c>
      <c r="H783" t="s">
        <v>5</v>
      </c>
      <c r="I783" t="s">
        <v>8263</v>
      </c>
      <c r="J783" t="s">
        <v>7</v>
      </c>
      <c r="K783" s="3">
        <f t="shared" si="24"/>
        <v>0</v>
      </c>
      <c r="L783" s="3">
        <f>IF(ISERROR(VLOOKUP(J783,Lookups!$A$2:$A$16,1,FALSE)),1,0)</f>
        <v>1</v>
      </c>
      <c r="M783" s="3">
        <f>IF(ISERROR(VLOOKUP(D783,Data!$A$2:$D$223100,2,FALSE)),0,1)</f>
        <v>1</v>
      </c>
      <c r="N783" s="3">
        <f t="shared" si="25"/>
        <v>1</v>
      </c>
      <c r="O783" s="3" t="str">
        <f>IF(ISERROR(VLOOKUP(D783,Data!$A$2:$C$223100,3,FALSE)),"INACTIVE",VLOOKUP(D783,Data!$A$2:$C$223100,3,FALSE))</f>
        <v>BK13</v>
      </c>
    </row>
    <row r="784" spans="1:15" x14ac:dyDescent="0.25">
      <c r="A784" t="s">
        <v>8370</v>
      </c>
      <c r="B784" t="s">
        <v>8371</v>
      </c>
      <c r="C784" t="s">
        <v>8378</v>
      </c>
      <c r="D784" t="s">
        <v>8379</v>
      </c>
      <c r="E784" t="s">
        <v>8380</v>
      </c>
      <c r="F784" t="s">
        <v>8380</v>
      </c>
      <c r="G784" t="s">
        <v>5</v>
      </c>
      <c r="H784" t="s">
        <v>5</v>
      </c>
      <c r="I784" t="s">
        <v>8263</v>
      </c>
      <c r="J784" t="s">
        <v>7</v>
      </c>
      <c r="K784" s="3">
        <f t="shared" si="24"/>
        <v>0</v>
      </c>
      <c r="L784" s="3">
        <f>IF(ISERROR(VLOOKUP(J784,Lookups!$A$2:$A$16,1,FALSE)),1,0)</f>
        <v>1</v>
      </c>
      <c r="M784" s="3">
        <f>IF(ISERROR(VLOOKUP(D784,Data!$A$2:$D$223100,2,FALSE)),0,1)</f>
        <v>0</v>
      </c>
      <c r="N784" s="3">
        <f t="shared" si="25"/>
        <v>0</v>
      </c>
      <c r="O784" s="3" t="str">
        <f>IF(ISERROR(VLOOKUP(D784,Data!$A$2:$C$223100,3,FALSE)),"INACTIVE",VLOOKUP(D784,Data!$A$2:$C$223100,3,FALSE))</f>
        <v>INACTIVE</v>
      </c>
    </row>
    <row r="785" spans="1:15" x14ac:dyDescent="0.25">
      <c r="A785" t="s">
        <v>8370</v>
      </c>
      <c r="B785" t="s">
        <v>8371</v>
      </c>
      <c r="C785" t="s">
        <v>8381</v>
      </c>
      <c r="D785" t="s">
        <v>8382</v>
      </c>
      <c r="E785" t="s">
        <v>5</v>
      </c>
      <c r="F785" t="s">
        <v>8383</v>
      </c>
      <c r="G785" t="s">
        <v>5</v>
      </c>
      <c r="H785" t="s">
        <v>5</v>
      </c>
      <c r="I785" t="s">
        <v>8263</v>
      </c>
      <c r="J785" t="s">
        <v>7</v>
      </c>
      <c r="K785" s="3">
        <f t="shared" si="24"/>
        <v>0</v>
      </c>
      <c r="L785" s="3">
        <f>IF(ISERROR(VLOOKUP(J785,Lookups!$A$2:$A$16,1,FALSE)),1,0)</f>
        <v>1</v>
      </c>
      <c r="M785" s="3">
        <f>IF(ISERROR(VLOOKUP(D785,Data!$A$2:$D$223100,2,FALSE)),0,1)</f>
        <v>1</v>
      </c>
      <c r="N785" s="3">
        <f t="shared" si="25"/>
        <v>1</v>
      </c>
      <c r="O785" s="3" t="str">
        <f>IF(ISERROR(VLOOKUP(D785,Data!$A$2:$C$223100,3,FALSE)),"INACTIVE",VLOOKUP(D785,Data!$A$2:$C$223100,3,FALSE))</f>
        <v>FBA</v>
      </c>
    </row>
    <row r="786" spans="1:15" x14ac:dyDescent="0.25">
      <c r="A786" t="s">
        <v>8370</v>
      </c>
      <c r="B786" t="s">
        <v>8371</v>
      </c>
      <c r="C786" t="s">
        <v>8384</v>
      </c>
      <c r="D786" t="s">
        <v>8385</v>
      </c>
      <c r="E786" t="s">
        <v>5</v>
      </c>
      <c r="F786" t="s">
        <v>8386</v>
      </c>
      <c r="G786" t="s">
        <v>5</v>
      </c>
      <c r="H786" t="s">
        <v>5</v>
      </c>
      <c r="I786" t="s">
        <v>8263</v>
      </c>
      <c r="J786" t="s">
        <v>7</v>
      </c>
      <c r="K786" s="3">
        <f t="shared" si="24"/>
        <v>0</v>
      </c>
      <c r="L786" s="3">
        <f>IF(ISERROR(VLOOKUP(J786,Lookups!$A$2:$A$16,1,FALSE)),1,0)</f>
        <v>1</v>
      </c>
      <c r="M786" s="3">
        <f>IF(ISERROR(VLOOKUP(D786,Data!$A$2:$D$223100,2,FALSE)),0,1)</f>
        <v>1</v>
      </c>
      <c r="N786" s="3">
        <f t="shared" si="25"/>
        <v>1</v>
      </c>
      <c r="O786" s="3" t="str">
        <f>IF(ISERROR(VLOOKUP(D786,Data!$A$2:$C$223100,3,FALSE)),"INACTIVE",VLOOKUP(D786,Data!$A$2:$C$223100,3,FALSE))</f>
        <v>Demand Letter</v>
      </c>
    </row>
    <row r="787" spans="1:15" x14ac:dyDescent="0.25">
      <c r="A787" t="s">
        <v>8273</v>
      </c>
      <c r="B787" t="s">
        <v>8274</v>
      </c>
      <c r="C787" t="s">
        <v>8275</v>
      </c>
      <c r="D787" t="s">
        <v>8276</v>
      </c>
      <c r="E787" t="s">
        <v>8277</v>
      </c>
      <c r="F787" t="s">
        <v>5</v>
      </c>
      <c r="G787" t="s">
        <v>5</v>
      </c>
      <c r="H787" t="s">
        <v>5</v>
      </c>
      <c r="I787" t="s">
        <v>8278</v>
      </c>
      <c r="J787" t="s">
        <v>14</v>
      </c>
      <c r="K787" s="3">
        <f t="shared" si="24"/>
        <v>0</v>
      </c>
      <c r="L787" s="3">
        <f>IF(ISERROR(VLOOKUP(J787,Lookups!$A$2:$A$16,1,FALSE)),1,0)</f>
        <v>1</v>
      </c>
      <c r="M787" s="3">
        <f>IF(ISERROR(VLOOKUP(D787,Data!$A$2:$D$223100,2,FALSE)),0,1)</f>
        <v>1</v>
      </c>
      <c r="N787" s="3">
        <f t="shared" si="25"/>
        <v>1</v>
      </c>
      <c r="O787" s="3" t="str">
        <f>IF(ISERROR(VLOOKUP(D787,Data!$A$2:$C$223100,3,FALSE)),"INACTIVE",VLOOKUP(D787,Data!$A$2:$C$223100,3,FALSE))</f>
        <v>Demand Letter</v>
      </c>
    </row>
    <row r="788" spans="1:15" x14ac:dyDescent="0.25">
      <c r="A788" t="s">
        <v>8273</v>
      </c>
      <c r="B788" t="s">
        <v>8274</v>
      </c>
      <c r="C788" t="s">
        <v>8275</v>
      </c>
      <c r="D788" t="s">
        <v>8276</v>
      </c>
      <c r="E788" t="s">
        <v>8279</v>
      </c>
      <c r="F788" t="s">
        <v>5</v>
      </c>
      <c r="G788" t="s">
        <v>5</v>
      </c>
      <c r="H788" t="s">
        <v>5</v>
      </c>
      <c r="I788" t="s">
        <v>8278</v>
      </c>
      <c r="J788" t="s">
        <v>14</v>
      </c>
      <c r="K788" s="3">
        <f t="shared" si="24"/>
        <v>0</v>
      </c>
      <c r="L788" s="3">
        <f>IF(ISERROR(VLOOKUP(J788,Lookups!$A$2:$A$16,1,FALSE)),1,0)</f>
        <v>1</v>
      </c>
      <c r="M788" s="3">
        <f>IF(ISERROR(VLOOKUP(D788,Data!$A$2:$D$223100,2,FALSE)),0,1)</f>
        <v>1</v>
      </c>
      <c r="N788" s="3">
        <f t="shared" si="25"/>
        <v>1</v>
      </c>
      <c r="O788" s="3" t="str">
        <f>IF(ISERROR(VLOOKUP(D788,Data!$A$2:$C$223100,3,FALSE)),"INACTIVE",VLOOKUP(D788,Data!$A$2:$C$223100,3,FALSE))</f>
        <v>Demand Letter</v>
      </c>
    </row>
    <row r="789" spans="1:15" x14ac:dyDescent="0.25">
      <c r="A789" t="s">
        <v>8334</v>
      </c>
      <c r="B789" t="s">
        <v>8335</v>
      </c>
      <c r="C789" t="s">
        <v>8336</v>
      </c>
      <c r="D789" t="s">
        <v>8008</v>
      </c>
      <c r="E789" t="s">
        <v>8337</v>
      </c>
      <c r="F789" t="s">
        <v>5</v>
      </c>
      <c r="G789" t="s">
        <v>5</v>
      </c>
      <c r="H789" t="s">
        <v>5</v>
      </c>
      <c r="I789" t="s">
        <v>8278</v>
      </c>
      <c r="J789" t="s">
        <v>7</v>
      </c>
      <c r="K789" s="3">
        <f t="shared" si="24"/>
        <v>0</v>
      </c>
      <c r="L789" s="3">
        <f>IF(ISERROR(VLOOKUP(J789,Lookups!$A$2:$A$16,1,FALSE)),1,0)</f>
        <v>1</v>
      </c>
      <c r="M789" s="3">
        <f>IF(ISERROR(VLOOKUP(D789,Data!$A$2:$D$223100,2,FALSE)),0,1)</f>
        <v>1</v>
      </c>
      <c r="N789" s="3">
        <f t="shared" si="25"/>
        <v>1</v>
      </c>
      <c r="O789" s="3" t="str">
        <f>IF(ISERROR(VLOOKUP(D789,Data!$A$2:$C$223100,3,FALSE)),"INACTIVE",VLOOKUP(D789,Data!$A$2:$C$223100,3,FALSE))</f>
        <v>Demand Letter</v>
      </c>
    </row>
    <row r="790" spans="1:15" x14ac:dyDescent="0.25">
      <c r="A790" t="s">
        <v>8881</v>
      </c>
      <c r="B790" t="s">
        <v>8882</v>
      </c>
      <c r="C790" t="s">
        <v>8883</v>
      </c>
      <c r="D790" t="s">
        <v>8884</v>
      </c>
      <c r="E790" t="s">
        <v>8885</v>
      </c>
      <c r="F790" t="s">
        <v>5</v>
      </c>
      <c r="G790" t="s">
        <v>5</v>
      </c>
      <c r="H790" t="s">
        <v>5</v>
      </c>
      <c r="I790" t="s">
        <v>8278</v>
      </c>
      <c r="J790" t="s">
        <v>96</v>
      </c>
      <c r="K790" s="3">
        <f t="shared" si="24"/>
        <v>0</v>
      </c>
      <c r="L790" s="3">
        <f>IF(ISERROR(VLOOKUP(J790,Lookups!$A$2:$A$16,1,FALSE)),1,0)</f>
        <v>0</v>
      </c>
      <c r="M790" s="3">
        <f>IF(ISERROR(VLOOKUP(D790,Data!$A$2:$D$223100,2,FALSE)),0,1)</f>
        <v>1</v>
      </c>
      <c r="N790" s="3">
        <f t="shared" si="25"/>
        <v>0</v>
      </c>
      <c r="O790" s="3" t="str">
        <f>IF(ISERROR(VLOOKUP(D790,Data!$A$2:$C$223100,3,FALSE)),"INACTIVE",VLOOKUP(D790,Data!$A$2:$C$223100,3,FALSE))</f>
        <v>30+</v>
      </c>
    </row>
    <row r="791" spans="1:15" x14ac:dyDescent="0.25">
      <c r="A791" t="s">
        <v>8881</v>
      </c>
      <c r="B791" t="s">
        <v>8882</v>
      </c>
      <c r="C791" t="s">
        <v>8886</v>
      </c>
      <c r="D791" t="s">
        <v>8887</v>
      </c>
      <c r="E791" t="s">
        <v>8888</v>
      </c>
      <c r="F791" t="s">
        <v>5</v>
      </c>
      <c r="G791" t="s">
        <v>5</v>
      </c>
      <c r="H791" t="s">
        <v>5</v>
      </c>
      <c r="I791" t="s">
        <v>8278</v>
      </c>
      <c r="J791" t="s">
        <v>90</v>
      </c>
      <c r="K791" s="3">
        <f t="shared" si="24"/>
        <v>0</v>
      </c>
      <c r="L791" s="3">
        <f>IF(ISERROR(VLOOKUP(J791,Lookups!$A$2:$A$16,1,FALSE)),1,0)</f>
        <v>0</v>
      </c>
      <c r="M791" s="3">
        <f>IF(ISERROR(VLOOKUP(D791,Data!$A$2:$D$223100,2,FALSE)),0,1)</f>
        <v>1</v>
      </c>
      <c r="N791" s="3">
        <f t="shared" si="25"/>
        <v>0</v>
      </c>
      <c r="O791" s="3" t="str">
        <f>IF(ISERROR(VLOOKUP(D791,Data!$A$2:$C$223100,3,FALSE)),"INACTIVE",VLOOKUP(D791,Data!$A$2:$C$223100,3,FALSE))</f>
        <v>120+</v>
      </c>
    </row>
    <row r="792" spans="1:15" x14ac:dyDescent="0.25">
      <c r="A792" t="s">
        <v>8881</v>
      </c>
      <c r="B792" t="s">
        <v>8882</v>
      </c>
      <c r="C792" t="s">
        <v>8889</v>
      </c>
      <c r="D792" t="s">
        <v>8890</v>
      </c>
      <c r="E792" t="s">
        <v>8891</v>
      </c>
      <c r="F792" t="s">
        <v>5</v>
      </c>
      <c r="G792" t="s">
        <v>5</v>
      </c>
      <c r="H792" t="s">
        <v>5</v>
      </c>
      <c r="I792" t="s">
        <v>8278</v>
      </c>
      <c r="J792" t="s">
        <v>90</v>
      </c>
      <c r="K792" s="3">
        <f t="shared" si="24"/>
        <v>0</v>
      </c>
      <c r="L792" s="3">
        <f>IF(ISERROR(VLOOKUP(J792,Lookups!$A$2:$A$16,1,FALSE)),1,0)</f>
        <v>0</v>
      </c>
      <c r="M792" s="3">
        <f>IF(ISERROR(VLOOKUP(D792,Data!$A$2:$D$223100,2,FALSE)),0,1)</f>
        <v>1</v>
      </c>
      <c r="N792" s="3">
        <f t="shared" si="25"/>
        <v>0</v>
      </c>
      <c r="O792" s="3" t="str">
        <f>IF(ISERROR(VLOOKUP(D792,Data!$A$2:$C$223100,3,FALSE)),"INACTIVE",VLOOKUP(D792,Data!$A$2:$C$223100,3,FALSE))</f>
        <v>180+</v>
      </c>
    </row>
    <row r="793" spans="1:15" x14ac:dyDescent="0.25">
      <c r="A793" t="s">
        <v>8881</v>
      </c>
      <c r="B793" t="s">
        <v>8882</v>
      </c>
      <c r="C793" t="s">
        <v>8892</v>
      </c>
      <c r="D793" t="s">
        <v>8893</v>
      </c>
      <c r="E793" t="s">
        <v>8894</v>
      </c>
      <c r="F793" t="s">
        <v>5</v>
      </c>
      <c r="G793" t="s">
        <v>5</v>
      </c>
      <c r="H793" t="s">
        <v>5</v>
      </c>
      <c r="I793" t="s">
        <v>8278</v>
      </c>
      <c r="J793" t="s">
        <v>90</v>
      </c>
      <c r="K793" s="3">
        <f t="shared" si="24"/>
        <v>0</v>
      </c>
      <c r="L793" s="3">
        <f>IF(ISERROR(VLOOKUP(J793,Lookups!$A$2:$A$16,1,FALSE)),1,0)</f>
        <v>0</v>
      </c>
      <c r="M793" s="3">
        <f>IF(ISERROR(VLOOKUP(D793,Data!$A$2:$D$223100,2,FALSE)),0,1)</f>
        <v>1</v>
      </c>
      <c r="N793" s="3">
        <f t="shared" si="25"/>
        <v>0</v>
      </c>
      <c r="O793" s="3" t="str">
        <f>IF(ISERROR(VLOOKUP(D793,Data!$A$2:$C$223100,3,FALSE)),"INACTIVE",VLOOKUP(D793,Data!$A$2:$C$223100,3,FALSE))</f>
        <v>Current</v>
      </c>
    </row>
    <row r="794" spans="1:15" x14ac:dyDescent="0.25">
      <c r="A794" t="s">
        <v>8267</v>
      </c>
      <c r="B794" t="s">
        <v>8268</v>
      </c>
      <c r="C794" t="s">
        <v>8269</v>
      </c>
      <c r="D794" t="s">
        <v>8270</v>
      </c>
      <c r="E794" t="s">
        <v>5</v>
      </c>
      <c r="F794" t="s">
        <v>8271</v>
      </c>
      <c r="G794" t="s">
        <v>5</v>
      </c>
      <c r="H794" t="s">
        <v>5</v>
      </c>
      <c r="I794" t="s">
        <v>8272</v>
      </c>
      <c r="J794" t="s">
        <v>96</v>
      </c>
      <c r="K794" s="3">
        <f t="shared" si="24"/>
        <v>0</v>
      </c>
      <c r="L794" s="3">
        <f>IF(ISERROR(VLOOKUP(J794,Lookups!$A$2:$A$16,1,FALSE)),1,0)</f>
        <v>0</v>
      </c>
      <c r="M794" s="3">
        <f>IF(ISERROR(VLOOKUP(D794,Data!$A$2:$D$223100,2,FALSE)),0,1)</f>
        <v>1</v>
      </c>
      <c r="N794" s="3">
        <f t="shared" si="25"/>
        <v>0</v>
      </c>
      <c r="O794" s="3" t="str">
        <f>IF(ISERROR(VLOOKUP(D794,Data!$A$2:$C$223100,3,FALSE)),"INACTIVE",VLOOKUP(D794,Data!$A$2:$C$223100,3,FALSE))</f>
        <v>Current</v>
      </c>
    </row>
    <row r="795" spans="1:15" x14ac:dyDescent="0.25">
      <c r="A795" t="s">
        <v>8876</v>
      </c>
      <c r="B795" t="s">
        <v>8877</v>
      </c>
      <c r="C795" t="s">
        <v>8878</v>
      </c>
      <c r="D795" t="s">
        <v>8879</v>
      </c>
      <c r="E795" t="s">
        <v>8880</v>
      </c>
      <c r="F795" t="s">
        <v>5</v>
      </c>
      <c r="G795" t="s">
        <v>5</v>
      </c>
      <c r="H795" t="s">
        <v>5</v>
      </c>
      <c r="I795" t="s">
        <v>8272</v>
      </c>
      <c r="J795" t="s">
        <v>96</v>
      </c>
      <c r="K795" s="3">
        <f t="shared" si="24"/>
        <v>0</v>
      </c>
      <c r="L795" s="3">
        <f>IF(ISERROR(VLOOKUP(J795,Lookups!$A$2:$A$16,1,FALSE)),1,0)</f>
        <v>0</v>
      </c>
      <c r="M795" s="3">
        <f>IF(ISERROR(VLOOKUP(D795,Data!$A$2:$D$223100,2,FALSE)),0,1)</f>
        <v>1</v>
      </c>
      <c r="N795" s="3">
        <f t="shared" si="25"/>
        <v>0</v>
      </c>
      <c r="O795" s="3" t="str">
        <f>IF(ISERROR(VLOOKUP(D795,Data!$A$2:$C$223100,3,FALSE)),"INACTIVE",VLOOKUP(D795,Data!$A$2:$C$223100,3,FALSE))</f>
        <v>180+</v>
      </c>
    </row>
    <row r="796" spans="1:15" x14ac:dyDescent="0.25">
      <c r="A796" t="s">
        <v>1498</v>
      </c>
      <c r="B796" t="s">
        <v>8901</v>
      </c>
      <c r="C796" t="s">
        <v>8902</v>
      </c>
      <c r="D796" t="s">
        <v>8903</v>
      </c>
      <c r="E796" t="s">
        <v>5</v>
      </c>
      <c r="F796" t="s">
        <v>8904</v>
      </c>
      <c r="G796" t="s">
        <v>5</v>
      </c>
      <c r="H796" t="s">
        <v>5</v>
      </c>
      <c r="I796" t="s">
        <v>8272</v>
      </c>
      <c r="J796" t="s">
        <v>7</v>
      </c>
      <c r="K796" s="3">
        <f t="shared" si="24"/>
        <v>0</v>
      </c>
      <c r="L796" s="3">
        <f>IF(ISERROR(VLOOKUP(J796,Lookups!$A$2:$A$16,1,FALSE)),1,0)</f>
        <v>1</v>
      </c>
      <c r="M796" s="3">
        <f>IF(ISERROR(VLOOKUP(D796,Data!$A$2:$D$223100,2,FALSE)),0,1)</f>
        <v>1</v>
      </c>
      <c r="N796" s="3">
        <f t="shared" si="25"/>
        <v>1</v>
      </c>
      <c r="O796" s="3" t="str">
        <f>IF(ISERROR(VLOOKUP(D796,Data!$A$2:$C$223100,3,FALSE)),"INACTIVE",VLOOKUP(D796,Data!$A$2:$C$223100,3,FALSE))</f>
        <v>Current</v>
      </c>
    </row>
    <row r="797" spans="1:15" x14ac:dyDescent="0.25">
      <c r="A797" t="s">
        <v>1498</v>
      </c>
      <c r="B797" t="s">
        <v>8901</v>
      </c>
      <c r="C797" t="s">
        <v>8905</v>
      </c>
      <c r="D797" t="s">
        <v>8906</v>
      </c>
      <c r="E797" t="s">
        <v>5</v>
      </c>
      <c r="F797" t="s">
        <v>8907</v>
      </c>
      <c r="G797" t="s">
        <v>5</v>
      </c>
      <c r="H797" t="s">
        <v>5</v>
      </c>
      <c r="I797" t="s">
        <v>8272</v>
      </c>
      <c r="J797" t="s">
        <v>7</v>
      </c>
      <c r="K797" s="3">
        <f t="shared" si="24"/>
        <v>0</v>
      </c>
      <c r="L797" s="3">
        <f>IF(ISERROR(VLOOKUP(J797,Lookups!$A$2:$A$16,1,FALSE)),1,0)</f>
        <v>1</v>
      </c>
      <c r="M797" s="3">
        <f>IF(ISERROR(VLOOKUP(D797,Data!$A$2:$D$223100,2,FALSE)),0,1)</f>
        <v>1</v>
      </c>
      <c r="N797" s="3">
        <f t="shared" si="25"/>
        <v>1</v>
      </c>
      <c r="O797" s="3" t="str">
        <f>IF(ISERROR(VLOOKUP(D797,Data!$A$2:$C$223100,3,FALSE)),"INACTIVE",VLOOKUP(D797,Data!$A$2:$C$223100,3,FALSE))</f>
        <v>Current</v>
      </c>
    </row>
    <row r="798" spans="1:15" x14ac:dyDescent="0.25">
      <c r="A798" t="s">
        <v>8168</v>
      </c>
      <c r="B798" t="s">
        <v>8169</v>
      </c>
      <c r="C798" t="s">
        <v>8170</v>
      </c>
      <c r="D798" t="s">
        <v>8171</v>
      </c>
      <c r="E798" t="s">
        <v>8172</v>
      </c>
      <c r="F798" t="s">
        <v>5</v>
      </c>
      <c r="G798" t="s">
        <v>5</v>
      </c>
      <c r="H798" t="s">
        <v>5</v>
      </c>
      <c r="I798" t="s">
        <v>8173</v>
      </c>
      <c r="J798" t="s">
        <v>96</v>
      </c>
      <c r="K798" s="3">
        <f t="shared" si="24"/>
        <v>0</v>
      </c>
      <c r="L798" s="3">
        <f>IF(ISERROR(VLOOKUP(J798,Lookups!$A$2:$A$16,1,FALSE)),1,0)</f>
        <v>0</v>
      </c>
      <c r="M798" s="3">
        <f>IF(ISERROR(VLOOKUP(D798,Data!$A$2:$D$223100,2,FALSE)),0,1)</f>
        <v>1</v>
      </c>
      <c r="N798" s="3">
        <f t="shared" si="25"/>
        <v>0</v>
      </c>
      <c r="O798" s="3" t="str">
        <f>IF(ISERROR(VLOOKUP(D798,Data!$A$2:$C$223100,3,FALSE)),"INACTIVE",VLOOKUP(D798,Data!$A$2:$C$223100,3,FALSE))</f>
        <v>BK13</v>
      </c>
    </row>
    <row r="799" spans="1:15" x14ac:dyDescent="0.25">
      <c r="A799" t="s">
        <v>8168</v>
      </c>
      <c r="B799" t="s">
        <v>8169</v>
      </c>
      <c r="C799" t="s">
        <v>8170</v>
      </c>
      <c r="D799" t="s">
        <v>8171</v>
      </c>
      <c r="E799" t="s">
        <v>8174</v>
      </c>
      <c r="F799" t="s">
        <v>5</v>
      </c>
      <c r="G799" t="s">
        <v>5</v>
      </c>
      <c r="H799" t="s">
        <v>5</v>
      </c>
      <c r="I799" t="s">
        <v>8173</v>
      </c>
      <c r="J799" t="s">
        <v>96</v>
      </c>
      <c r="K799" s="3">
        <f t="shared" si="24"/>
        <v>0</v>
      </c>
      <c r="L799" s="3">
        <f>IF(ISERROR(VLOOKUP(J799,Lookups!$A$2:$A$16,1,FALSE)),1,0)</f>
        <v>0</v>
      </c>
      <c r="M799" s="3">
        <f>IF(ISERROR(VLOOKUP(D799,Data!$A$2:$D$223100,2,FALSE)),0,1)</f>
        <v>1</v>
      </c>
      <c r="N799" s="3">
        <f t="shared" si="25"/>
        <v>0</v>
      </c>
      <c r="O799" s="3" t="str">
        <f>IF(ISERROR(VLOOKUP(D799,Data!$A$2:$C$223100,3,FALSE)),"INACTIVE",VLOOKUP(D799,Data!$A$2:$C$223100,3,FALSE))</f>
        <v>BK13</v>
      </c>
    </row>
    <row r="800" spans="1:15" x14ac:dyDescent="0.25">
      <c r="A800" t="s">
        <v>8168</v>
      </c>
      <c r="B800" t="s">
        <v>8169</v>
      </c>
      <c r="C800" t="s">
        <v>8175</v>
      </c>
      <c r="D800" t="s">
        <v>8176</v>
      </c>
      <c r="E800" t="s">
        <v>8177</v>
      </c>
      <c r="F800" t="s">
        <v>5</v>
      </c>
      <c r="G800" t="s">
        <v>5</v>
      </c>
      <c r="H800" t="s">
        <v>5</v>
      </c>
      <c r="I800" t="s">
        <v>8173</v>
      </c>
      <c r="J800" t="s">
        <v>90</v>
      </c>
      <c r="K800" s="3">
        <f t="shared" si="24"/>
        <v>0</v>
      </c>
      <c r="L800" s="3">
        <f>IF(ISERROR(VLOOKUP(J800,Lookups!$A$2:$A$16,1,FALSE)),1,0)</f>
        <v>0</v>
      </c>
      <c r="M800" s="3">
        <f>IF(ISERROR(VLOOKUP(D800,Data!$A$2:$D$223100,2,FALSE)),0,1)</f>
        <v>1</v>
      </c>
      <c r="N800" s="3">
        <f t="shared" si="25"/>
        <v>0</v>
      </c>
      <c r="O800" s="3" t="str">
        <f>IF(ISERROR(VLOOKUP(D800,Data!$A$2:$C$223100,3,FALSE)),"INACTIVE",VLOOKUP(D800,Data!$A$2:$C$223100,3,FALSE))</f>
        <v>FC</v>
      </c>
    </row>
    <row r="801" spans="1:15" x14ac:dyDescent="0.25">
      <c r="A801" t="s">
        <v>8168</v>
      </c>
      <c r="B801" t="s">
        <v>8169</v>
      </c>
      <c r="C801" t="s">
        <v>8178</v>
      </c>
      <c r="D801" t="s">
        <v>8179</v>
      </c>
      <c r="E801" t="s">
        <v>8180</v>
      </c>
      <c r="F801" t="s">
        <v>5</v>
      </c>
      <c r="G801" t="s">
        <v>5</v>
      </c>
      <c r="H801" t="s">
        <v>5</v>
      </c>
      <c r="I801" t="s">
        <v>8173</v>
      </c>
      <c r="J801" t="s">
        <v>90</v>
      </c>
      <c r="K801" s="3">
        <f t="shared" si="24"/>
        <v>0</v>
      </c>
      <c r="L801" s="3">
        <f>IF(ISERROR(VLOOKUP(J801,Lookups!$A$2:$A$16,1,FALSE)),1,0)</f>
        <v>0</v>
      </c>
      <c r="M801" s="3">
        <f>IF(ISERROR(VLOOKUP(D801,Data!$A$2:$D$223100,2,FALSE)),0,1)</f>
        <v>1</v>
      </c>
      <c r="N801" s="3">
        <f t="shared" si="25"/>
        <v>0</v>
      </c>
      <c r="O801" s="3" t="str">
        <f>IF(ISERROR(VLOOKUP(D801,Data!$A$2:$C$223100,3,FALSE)),"INACTIVE",VLOOKUP(D801,Data!$A$2:$C$223100,3,FALSE))</f>
        <v>90+</v>
      </c>
    </row>
    <row r="802" spans="1:15" x14ac:dyDescent="0.25">
      <c r="A802" t="s">
        <v>8213</v>
      </c>
      <c r="B802" t="s">
        <v>8214</v>
      </c>
      <c r="C802" t="s">
        <v>8215</v>
      </c>
      <c r="D802" t="s">
        <v>8216</v>
      </c>
      <c r="E802" t="s">
        <v>8217</v>
      </c>
      <c r="F802" t="s">
        <v>5</v>
      </c>
      <c r="G802" t="s">
        <v>5</v>
      </c>
      <c r="H802" t="s">
        <v>5</v>
      </c>
      <c r="I802" t="s">
        <v>8173</v>
      </c>
      <c r="J802" t="s">
        <v>7</v>
      </c>
      <c r="K802" s="3">
        <f t="shared" si="24"/>
        <v>0</v>
      </c>
      <c r="L802" s="3">
        <f>IF(ISERROR(VLOOKUP(J802,Lookups!$A$2:$A$16,1,FALSE)),1,0)</f>
        <v>1</v>
      </c>
      <c r="M802" s="3">
        <f>IF(ISERROR(VLOOKUP(D802,Data!$A$2:$D$223100,2,FALSE)),0,1)</f>
        <v>1</v>
      </c>
      <c r="N802" s="3">
        <f t="shared" si="25"/>
        <v>1</v>
      </c>
      <c r="O802" s="3" t="str">
        <f>IF(ISERROR(VLOOKUP(D802,Data!$A$2:$C$223100,3,FALSE)),"INACTIVE",VLOOKUP(D802,Data!$A$2:$C$223100,3,FALSE))</f>
        <v>FC</v>
      </c>
    </row>
    <row r="803" spans="1:15" x14ac:dyDescent="0.25">
      <c r="A803" t="s">
        <v>8213</v>
      </c>
      <c r="B803" t="s">
        <v>8214</v>
      </c>
      <c r="C803" t="s">
        <v>8218</v>
      </c>
      <c r="D803" t="s">
        <v>8219</v>
      </c>
      <c r="E803" t="s">
        <v>8220</v>
      </c>
      <c r="F803" t="s">
        <v>5</v>
      </c>
      <c r="G803" t="s">
        <v>5</v>
      </c>
      <c r="H803" t="s">
        <v>5</v>
      </c>
      <c r="I803" t="s">
        <v>8173</v>
      </c>
      <c r="J803" t="s">
        <v>7</v>
      </c>
      <c r="K803" s="3">
        <f t="shared" si="24"/>
        <v>0</v>
      </c>
      <c r="L803" s="3">
        <f>IF(ISERROR(VLOOKUP(J803,Lookups!$A$2:$A$16,1,FALSE)),1,0)</f>
        <v>1</v>
      </c>
      <c r="M803" s="3">
        <f>IF(ISERROR(VLOOKUP(D803,Data!$A$2:$D$223100,2,FALSE)),0,1)</f>
        <v>1</v>
      </c>
      <c r="N803" s="3">
        <f t="shared" si="25"/>
        <v>1</v>
      </c>
      <c r="O803" s="3" t="str">
        <f>IF(ISERROR(VLOOKUP(D803,Data!$A$2:$C$223100,3,FALSE)),"INACTIVE",VLOOKUP(D803,Data!$A$2:$C$223100,3,FALSE))</f>
        <v>Demand Letter</v>
      </c>
    </row>
    <row r="804" spans="1:15" x14ac:dyDescent="0.25">
      <c r="A804" t="s">
        <v>8213</v>
      </c>
      <c r="B804" t="s">
        <v>8214</v>
      </c>
      <c r="C804" t="s">
        <v>8221</v>
      </c>
      <c r="D804" t="s">
        <v>8222</v>
      </c>
      <c r="E804" t="s">
        <v>8223</v>
      </c>
      <c r="F804" t="s">
        <v>5</v>
      </c>
      <c r="G804" t="s">
        <v>5</v>
      </c>
      <c r="H804" t="s">
        <v>5</v>
      </c>
      <c r="I804" t="s">
        <v>8173</v>
      </c>
      <c r="J804" t="s">
        <v>7</v>
      </c>
      <c r="K804" s="3">
        <f t="shared" si="24"/>
        <v>0</v>
      </c>
      <c r="L804" s="3">
        <f>IF(ISERROR(VLOOKUP(J804,Lookups!$A$2:$A$16,1,FALSE)),1,0)</f>
        <v>1</v>
      </c>
      <c r="M804" s="3">
        <f>IF(ISERROR(VLOOKUP(D804,Data!$A$2:$D$223100,2,FALSE)),0,1)</f>
        <v>1</v>
      </c>
      <c r="N804" s="3">
        <f t="shared" si="25"/>
        <v>1</v>
      </c>
      <c r="O804" s="3" t="str">
        <f>IF(ISERROR(VLOOKUP(D804,Data!$A$2:$C$223100,3,FALSE)),"INACTIVE",VLOOKUP(D804,Data!$A$2:$C$223100,3,FALSE))</f>
        <v>FBA</v>
      </c>
    </row>
    <row r="805" spans="1:15" x14ac:dyDescent="0.25">
      <c r="A805" t="s">
        <v>8213</v>
      </c>
      <c r="B805" t="s">
        <v>8214</v>
      </c>
      <c r="C805" t="s">
        <v>8224</v>
      </c>
      <c r="D805" t="s">
        <v>8225</v>
      </c>
      <c r="E805" t="s">
        <v>8226</v>
      </c>
      <c r="F805" t="s">
        <v>5</v>
      </c>
      <c r="G805" t="s">
        <v>5</v>
      </c>
      <c r="H805" t="s">
        <v>5</v>
      </c>
      <c r="I805" t="s">
        <v>8173</v>
      </c>
      <c r="J805" t="s">
        <v>7</v>
      </c>
      <c r="K805" s="3">
        <f t="shared" si="24"/>
        <v>0</v>
      </c>
      <c r="L805" s="3">
        <f>IF(ISERROR(VLOOKUP(J805,Lookups!$A$2:$A$16,1,FALSE)),1,0)</f>
        <v>1</v>
      </c>
      <c r="M805" s="3">
        <f>IF(ISERROR(VLOOKUP(D805,Data!$A$2:$D$223100,2,FALSE)),0,1)</f>
        <v>1</v>
      </c>
      <c r="N805" s="3">
        <f t="shared" si="25"/>
        <v>1</v>
      </c>
      <c r="O805" s="3" t="str">
        <f>IF(ISERROR(VLOOKUP(D805,Data!$A$2:$C$223100,3,FALSE)),"INACTIVE",VLOOKUP(D805,Data!$A$2:$C$223100,3,FALSE))</f>
        <v>BK13</v>
      </c>
    </row>
    <row r="806" spans="1:15" x14ac:dyDescent="0.25">
      <c r="A806" t="s">
        <v>8358</v>
      </c>
      <c r="B806" t="s">
        <v>8359</v>
      </c>
      <c r="C806" t="s">
        <v>8360</v>
      </c>
      <c r="D806" t="s">
        <v>8361</v>
      </c>
      <c r="E806" t="s">
        <v>8362</v>
      </c>
      <c r="F806" t="s">
        <v>5</v>
      </c>
      <c r="G806" t="s">
        <v>5</v>
      </c>
      <c r="H806" t="s">
        <v>5</v>
      </c>
      <c r="I806" t="s">
        <v>8173</v>
      </c>
      <c r="J806" t="s">
        <v>90</v>
      </c>
      <c r="K806" s="3">
        <f t="shared" si="24"/>
        <v>0</v>
      </c>
      <c r="L806" s="3">
        <f>IF(ISERROR(VLOOKUP(J806,Lookups!$A$2:$A$16,1,FALSE)),1,0)</f>
        <v>0</v>
      </c>
      <c r="M806" s="3">
        <f>IF(ISERROR(VLOOKUP(D806,Data!$A$2:$D$223100,2,FALSE)),0,1)</f>
        <v>1</v>
      </c>
      <c r="N806" s="3">
        <f t="shared" si="25"/>
        <v>0</v>
      </c>
      <c r="O806" s="3" t="str">
        <f>IF(ISERROR(VLOOKUP(D806,Data!$A$2:$C$223100,3,FALSE)),"INACTIVE",VLOOKUP(D806,Data!$A$2:$C$223100,3,FALSE))</f>
        <v>30+</v>
      </c>
    </row>
    <row r="807" spans="1:15" x14ac:dyDescent="0.25">
      <c r="A807" t="s">
        <v>8358</v>
      </c>
      <c r="B807" t="s">
        <v>8359</v>
      </c>
      <c r="C807" t="s">
        <v>8360</v>
      </c>
      <c r="D807" t="s">
        <v>8361</v>
      </c>
      <c r="E807" t="s">
        <v>8363</v>
      </c>
      <c r="F807" t="s">
        <v>5</v>
      </c>
      <c r="G807" t="s">
        <v>5</v>
      </c>
      <c r="H807" t="s">
        <v>5</v>
      </c>
      <c r="I807" t="s">
        <v>8173</v>
      </c>
      <c r="J807" t="s">
        <v>90</v>
      </c>
      <c r="K807" s="3">
        <f t="shared" si="24"/>
        <v>0</v>
      </c>
      <c r="L807" s="3">
        <f>IF(ISERROR(VLOOKUP(J807,Lookups!$A$2:$A$16,1,FALSE)),1,0)</f>
        <v>0</v>
      </c>
      <c r="M807" s="3">
        <f>IF(ISERROR(VLOOKUP(D807,Data!$A$2:$D$223100,2,FALSE)),0,1)</f>
        <v>1</v>
      </c>
      <c r="N807" s="3">
        <f t="shared" si="25"/>
        <v>0</v>
      </c>
      <c r="O807" s="3" t="str">
        <f>IF(ISERROR(VLOOKUP(D807,Data!$A$2:$C$223100,3,FALSE)),"INACTIVE",VLOOKUP(D807,Data!$A$2:$C$223100,3,FALSE))</f>
        <v>30+</v>
      </c>
    </row>
    <row r="808" spans="1:15" x14ac:dyDescent="0.25">
      <c r="A808" t="s">
        <v>8648</v>
      </c>
      <c r="B808" t="s">
        <v>8649</v>
      </c>
      <c r="C808" t="s">
        <v>8170</v>
      </c>
      <c r="D808" t="s">
        <v>8171</v>
      </c>
      <c r="E808" t="s">
        <v>8650</v>
      </c>
      <c r="F808" t="s">
        <v>5</v>
      </c>
      <c r="G808" t="s">
        <v>5</v>
      </c>
      <c r="H808" t="s">
        <v>5</v>
      </c>
      <c r="I808" t="s">
        <v>8173</v>
      </c>
      <c r="J808" t="s">
        <v>96</v>
      </c>
      <c r="K808" s="3">
        <f t="shared" si="24"/>
        <v>0</v>
      </c>
      <c r="L808" s="3">
        <f>IF(ISERROR(VLOOKUP(J808,Lookups!$A$2:$A$16,1,FALSE)),1,0)</f>
        <v>0</v>
      </c>
      <c r="M808" s="3">
        <f>IF(ISERROR(VLOOKUP(D808,Data!$A$2:$D$223100,2,FALSE)),0,1)</f>
        <v>1</v>
      </c>
      <c r="N808" s="3">
        <f t="shared" si="25"/>
        <v>0</v>
      </c>
      <c r="O808" s="3" t="str">
        <f>IF(ISERROR(VLOOKUP(D808,Data!$A$2:$C$223100,3,FALSE)),"INACTIVE",VLOOKUP(D808,Data!$A$2:$C$223100,3,FALSE))</f>
        <v>BK13</v>
      </c>
    </row>
    <row r="809" spans="1:15" x14ac:dyDescent="0.25">
      <c r="A809" t="s">
        <v>8648</v>
      </c>
      <c r="B809" t="s">
        <v>8649</v>
      </c>
      <c r="C809" t="s">
        <v>8170</v>
      </c>
      <c r="D809" t="s">
        <v>8171</v>
      </c>
      <c r="E809" t="s">
        <v>8651</v>
      </c>
      <c r="F809" t="s">
        <v>5</v>
      </c>
      <c r="G809" t="s">
        <v>5</v>
      </c>
      <c r="H809" t="s">
        <v>5</v>
      </c>
      <c r="I809" t="s">
        <v>8173</v>
      </c>
      <c r="J809" t="s">
        <v>96</v>
      </c>
      <c r="K809" s="3">
        <f t="shared" si="24"/>
        <v>0</v>
      </c>
      <c r="L809" s="3">
        <f>IF(ISERROR(VLOOKUP(J809,Lookups!$A$2:$A$16,1,FALSE)),1,0)</f>
        <v>0</v>
      </c>
      <c r="M809" s="3">
        <f>IF(ISERROR(VLOOKUP(D809,Data!$A$2:$D$223100,2,FALSE)),0,1)</f>
        <v>1</v>
      </c>
      <c r="N809" s="3">
        <f t="shared" si="25"/>
        <v>0</v>
      </c>
      <c r="O809" s="3" t="str">
        <f>IF(ISERROR(VLOOKUP(D809,Data!$A$2:$C$223100,3,FALSE)),"INACTIVE",VLOOKUP(D809,Data!$A$2:$C$223100,3,FALSE))</f>
        <v>BK13</v>
      </c>
    </row>
    <row r="810" spans="1:15" x14ac:dyDescent="0.25">
      <c r="A810" t="s">
        <v>8648</v>
      </c>
      <c r="B810" t="s">
        <v>8649</v>
      </c>
      <c r="C810" t="s">
        <v>8304</v>
      </c>
      <c r="D810" t="s">
        <v>8305</v>
      </c>
      <c r="E810" t="s">
        <v>8652</v>
      </c>
      <c r="F810" t="s">
        <v>5</v>
      </c>
      <c r="G810" t="s">
        <v>5</v>
      </c>
      <c r="H810" t="s">
        <v>5</v>
      </c>
      <c r="I810" t="s">
        <v>8173</v>
      </c>
      <c r="J810" t="s">
        <v>90</v>
      </c>
      <c r="K810" s="3">
        <f t="shared" si="24"/>
        <v>0</v>
      </c>
      <c r="L810" s="3">
        <f>IF(ISERROR(VLOOKUP(J810,Lookups!$A$2:$A$16,1,FALSE)),1,0)</f>
        <v>0</v>
      </c>
      <c r="M810" s="3">
        <f>IF(ISERROR(VLOOKUP(D810,Data!$A$2:$D$223100,2,FALSE)),0,1)</f>
        <v>1</v>
      </c>
      <c r="N810" s="3">
        <f t="shared" si="25"/>
        <v>0</v>
      </c>
      <c r="O810" s="3" t="str">
        <f>IF(ISERROR(VLOOKUP(D810,Data!$A$2:$C$223100,3,FALSE)),"INACTIVE",VLOOKUP(D810,Data!$A$2:$C$223100,3,FALSE))</f>
        <v>BK13</v>
      </c>
    </row>
    <row r="811" spans="1:15" x14ac:dyDescent="0.25">
      <c r="A811" t="s">
        <v>8181</v>
      </c>
      <c r="B811" t="s">
        <v>8182</v>
      </c>
      <c r="C811" t="s">
        <v>8183</v>
      </c>
      <c r="D811" t="s">
        <v>8184</v>
      </c>
      <c r="E811" t="s">
        <v>5</v>
      </c>
      <c r="F811" t="s">
        <v>8185</v>
      </c>
      <c r="G811" t="s">
        <v>5</v>
      </c>
      <c r="H811" t="s">
        <v>5</v>
      </c>
      <c r="I811" t="s">
        <v>8186</v>
      </c>
      <c r="J811" t="s">
        <v>96</v>
      </c>
      <c r="K811" s="3">
        <f t="shared" si="24"/>
        <v>0</v>
      </c>
      <c r="L811" s="3">
        <f>IF(ISERROR(VLOOKUP(J811,Lookups!$A$2:$A$16,1,FALSE)),1,0)</f>
        <v>0</v>
      </c>
      <c r="M811" s="3">
        <f>IF(ISERROR(VLOOKUP(D811,Data!$A$2:$D$223100,2,FALSE)),0,1)</f>
        <v>1</v>
      </c>
      <c r="N811" s="3">
        <f t="shared" si="25"/>
        <v>0</v>
      </c>
      <c r="O811" s="3" t="str">
        <f>IF(ISERROR(VLOOKUP(D811,Data!$A$2:$C$223100,3,FALSE)),"INACTIVE",VLOOKUP(D811,Data!$A$2:$C$223100,3,FALSE))</f>
        <v>Current</v>
      </c>
    </row>
    <row r="812" spans="1:15" x14ac:dyDescent="0.25">
      <c r="A812" t="s">
        <v>8181</v>
      </c>
      <c r="B812" t="s">
        <v>8182</v>
      </c>
      <c r="C812" t="s">
        <v>8187</v>
      </c>
      <c r="D812" t="s">
        <v>8188</v>
      </c>
      <c r="E812" t="s">
        <v>5</v>
      </c>
      <c r="F812" t="s">
        <v>8189</v>
      </c>
      <c r="G812" t="s">
        <v>5</v>
      </c>
      <c r="H812" t="s">
        <v>5</v>
      </c>
      <c r="I812" t="s">
        <v>8186</v>
      </c>
      <c r="J812" t="s">
        <v>96</v>
      </c>
      <c r="K812" s="3">
        <f t="shared" si="24"/>
        <v>0</v>
      </c>
      <c r="L812" s="3">
        <f>IF(ISERROR(VLOOKUP(J812,Lookups!$A$2:$A$16,1,FALSE)),1,0)</f>
        <v>0</v>
      </c>
      <c r="M812" s="3">
        <f>IF(ISERROR(VLOOKUP(D812,Data!$A$2:$D$223100,2,FALSE)),0,1)</f>
        <v>1</v>
      </c>
      <c r="N812" s="3">
        <f t="shared" si="25"/>
        <v>0</v>
      </c>
      <c r="O812" s="3" t="str">
        <f>IF(ISERROR(VLOOKUP(D812,Data!$A$2:$C$223100,3,FALSE)),"INACTIVE",VLOOKUP(D812,Data!$A$2:$C$223100,3,FALSE))</f>
        <v>Demand Letter</v>
      </c>
    </row>
    <row r="813" spans="1:15" x14ac:dyDescent="0.25">
      <c r="A813" t="s">
        <v>8190</v>
      </c>
      <c r="B813" t="s">
        <v>8191</v>
      </c>
      <c r="C813" t="s">
        <v>8192</v>
      </c>
      <c r="D813" t="s">
        <v>8193</v>
      </c>
      <c r="E813" t="s">
        <v>5</v>
      </c>
      <c r="F813" t="s">
        <v>8194</v>
      </c>
      <c r="G813" t="s">
        <v>5</v>
      </c>
      <c r="H813" t="s">
        <v>5</v>
      </c>
      <c r="I813" t="s">
        <v>8186</v>
      </c>
      <c r="J813" t="s">
        <v>7</v>
      </c>
      <c r="K813" s="3">
        <f t="shared" si="24"/>
        <v>0</v>
      </c>
      <c r="L813" s="3">
        <f>IF(ISERROR(VLOOKUP(J813,Lookups!$A$2:$A$16,1,FALSE)),1,0)</f>
        <v>1</v>
      </c>
      <c r="M813" s="3">
        <f>IF(ISERROR(VLOOKUP(D813,Data!$A$2:$D$223100,2,FALSE)),0,1)</f>
        <v>0</v>
      </c>
      <c r="N813" s="3">
        <f t="shared" si="25"/>
        <v>0</v>
      </c>
      <c r="O813" s="3" t="str">
        <f>IF(ISERROR(VLOOKUP(D813,Data!$A$2:$C$223100,3,FALSE)),"INACTIVE",VLOOKUP(D813,Data!$A$2:$C$223100,3,FALSE))</f>
        <v>INACTIVE</v>
      </c>
    </row>
    <row r="814" spans="1:15" x14ac:dyDescent="0.25">
      <c r="A814" t="s">
        <v>8190</v>
      </c>
      <c r="B814" t="s">
        <v>8191</v>
      </c>
      <c r="C814" t="s">
        <v>8195</v>
      </c>
      <c r="D814" t="s">
        <v>8196</v>
      </c>
      <c r="E814" t="s">
        <v>5</v>
      </c>
      <c r="F814" t="s">
        <v>8197</v>
      </c>
      <c r="G814" t="s">
        <v>5</v>
      </c>
      <c r="H814" t="s">
        <v>5</v>
      </c>
      <c r="I814" t="s">
        <v>8186</v>
      </c>
      <c r="J814" t="s">
        <v>7</v>
      </c>
      <c r="K814" s="3">
        <f t="shared" si="24"/>
        <v>0</v>
      </c>
      <c r="L814" s="3">
        <f>IF(ISERROR(VLOOKUP(J814,Lookups!$A$2:$A$16,1,FALSE)),1,0)</f>
        <v>1</v>
      </c>
      <c r="M814" s="3">
        <f>IF(ISERROR(VLOOKUP(D814,Data!$A$2:$D$223100,2,FALSE)),0,1)</f>
        <v>1</v>
      </c>
      <c r="N814" s="3">
        <f t="shared" si="25"/>
        <v>1</v>
      </c>
      <c r="O814" s="3" t="str">
        <f>IF(ISERROR(VLOOKUP(D814,Data!$A$2:$C$223100,3,FALSE)),"INACTIVE",VLOOKUP(D814,Data!$A$2:$C$223100,3,FALSE))</f>
        <v>Current</v>
      </c>
    </row>
    <row r="815" spans="1:15" x14ac:dyDescent="0.25">
      <c r="A815" t="s">
        <v>8190</v>
      </c>
      <c r="B815" t="s">
        <v>8191</v>
      </c>
      <c r="C815" t="s">
        <v>8198</v>
      </c>
      <c r="D815" t="s">
        <v>8199</v>
      </c>
      <c r="E815" t="s">
        <v>5</v>
      </c>
      <c r="F815" t="s">
        <v>8200</v>
      </c>
      <c r="G815" t="s">
        <v>5</v>
      </c>
      <c r="H815" t="s">
        <v>5</v>
      </c>
      <c r="I815" t="s">
        <v>8186</v>
      </c>
      <c r="J815" t="s">
        <v>7</v>
      </c>
      <c r="K815" s="3">
        <f t="shared" si="24"/>
        <v>0</v>
      </c>
      <c r="L815" s="3">
        <f>IF(ISERROR(VLOOKUP(J815,Lookups!$A$2:$A$16,1,FALSE)),1,0)</f>
        <v>1</v>
      </c>
      <c r="M815" s="3">
        <f>IF(ISERROR(VLOOKUP(D815,Data!$A$2:$D$223100,2,FALSE)),0,1)</f>
        <v>1</v>
      </c>
      <c r="N815" s="3">
        <f t="shared" si="25"/>
        <v>1</v>
      </c>
      <c r="O815" s="3" t="str">
        <f>IF(ISERROR(VLOOKUP(D815,Data!$A$2:$C$223100,3,FALSE)),"INACTIVE",VLOOKUP(D815,Data!$A$2:$C$223100,3,FALSE))</f>
        <v>60+</v>
      </c>
    </row>
    <row r="816" spans="1:15" x14ac:dyDescent="0.25">
      <c r="A816" t="s">
        <v>8190</v>
      </c>
      <c r="B816" t="s">
        <v>8191</v>
      </c>
      <c r="C816" t="s">
        <v>8201</v>
      </c>
      <c r="D816" t="s">
        <v>8202</v>
      </c>
      <c r="E816" t="s">
        <v>8203</v>
      </c>
      <c r="F816" t="s">
        <v>8203</v>
      </c>
      <c r="G816" t="s">
        <v>5</v>
      </c>
      <c r="H816" t="s">
        <v>5</v>
      </c>
      <c r="I816" t="s">
        <v>8186</v>
      </c>
      <c r="J816" t="s">
        <v>7</v>
      </c>
      <c r="K816" s="3">
        <f t="shared" si="24"/>
        <v>0</v>
      </c>
      <c r="L816" s="3">
        <f>IF(ISERROR(VLOOKUP(J816,Lookups!$A$2:$A$16,1,FALSE)),1,0)</f>
        <v>1</v>
      </c>
      <c r="M816" s="3">
        <f>IF(ISERROR(VLOOKUP(D816,Data!$A$2:$D$223100,2,FALSE)),0,1)</f>
        <v>1</v>
      </c>
      <c r="N816" s="3">
        <f t="shared" si="25"/>
        <v>1</v>
      </c>
      <c r="O816" s="3" t="str">
        <f>IF(ISERROR(VLOOKUP(D816,Data!$A$2:$C$223100,3,FALSE)),"INACTIVE",VLOOKUP(D816,Data!$A$2:$C$223100,3,FALSE))</f>
        <v>30+</v>
      </c>
    </row>
    <row r="817" spans="1:15" x14ac:dyDescent="0.25">
      <c r="A817" t="s">
        <v>8190</v>
      </c>
      <c r="B817" t="s">
        <v>8191</v>
      </c>
      <c r="C817" t="s">
        <v>8204</v>
      </c>
      <c r="D817" t="s">
        <v>8205</v>
      </c>
      <c r="E817" t="s">
        <v>5</v>
      </c>
      <c r="F817" t="s">
        <v>8206</v>
      </c>
      <c r="G817" t="s">
        <v>5</v>
      </c>
      <c r="H817" t="s">
        <v>5</v>
      </c>
      <c r="I817" t="s">
        <v>8186</v>
      </c>
      <c r="J817" t="s">
        <v>7</v>
      </c>
      <c r="K817" s="3">
        <f t="shared" si="24"/>
        <v>0</v>
      </c>
      <c r="L817" s="3">
        <f>IF(ISERROR(VLOOKUP(J817,Lookups!$A$2:$A$16,1,FALSE)),1,0)</f>
        <v>1</v>
      </c>
      <c r="M817" s="3">
        <f>IF(ISERROR(VLOOKUP(D817,Data!$A$2:$D$223100,2,FALSE)),0,1)</f>
        <v>1</v>
      </c>
      <c r="N817" s="3">
        <f t="shared" si="25"/>
        <v>1</v>
      </c>
      <c r="O817" s="3" t="str">
        <f>IF(ISERROR(VLOOKUP(D817,Data!$A$2:$C$223100,3,FALSE)),"INACTIVE",VLOOKUP(D817,Data!$A$2:$C$223100,3,FALSE))</f>
        <v>Current</v>
      </c>
    </row>
    <row r="818" spans="1:15" x14ac:dyDescent="0.25">
      <c r="A818" t="s">
        <v>8190</v>
      </c>
      <c r="B818" t="s">
        <v>8191</v>
      </c>
      <c r="C818" t="s">
        <v>8207</v>
      </c>
      <c r="D818" t="s">
        <v>8208</v>
      </c>
      <c r="E818" t="s">
        <v>5</v>
      </c>
      <c r="F818" t="s">
        <v>8209</v>
      </c>
      <c r="G818" t="s">
        <v>5</v>
      </c>
      <c r="H818" t="s">
        <v>5</v>
      </c>
      <c r="I818" t="s">
        <v>8186</v>
      </c>
      <c r="J818" t="s">
        <v>7</v>
      </c>
      <c r="K818" s="3">
        <f t="shared" si="24"/>
        <v>0</v>
      </c>
      <c r="L818" s="3">
        <f>IF(ISERROR(VLOOKUP(J818,Lookups!$A$2:$A$16,1,FALSE)),1,0)</f>
        <v>1</v>
      </c>
      <c r="M818" s="3">
        <f>IF(ISERROR(VLOOKUP(D818,Data!$A$2:$D$223100,2,FALSE)),0,1)</f>
        <v>1</v>
      </c>
      <c r="N818" s="3">
        <f t="shared" si="25"/>
        <v>1</v>
      </c>
      <c r="O818" s="3" t="str">
        <f>IF(ISERROR(VLOOKUP(D818,Data!$A$2:$C$223100,3,FALSE)),"INACTIVE",VLOOKUP(D818,Data!$A$2:$C$223100,3,FALSE))</f>
        <v>Current</v>
      </c>
    </row>
    <row r="819" spans="1:15" x14ac:dyDescent="0.25">
      <c r="A819" t="s">
        <v>8190</v>
      </c>
      <c r="B819" t="s">
        <v>8191</v>
      </c>
      <c r="C819" t="s">
        <v>8210</v>
      </c>
      <c r="D819" t="s">
        <v>8211</v>
      </c>
      <c r="E819" t="s">
        <v>5</v>
      </c>
      <c r="F819" t="s">
        <v>8212</v>
      </c>
      <c r="G819" t="s">
        <v>5</v>
      </c>
      <c r="H819" t="s">
        <v>5</v>
      </c>
      <c r="I819" t="s">
        <v>8186</v>
      </c>
      <c r="J819" t="s">
        <v>7</v>
      </c>
      <c r="K819" s="3">
        <f t="shared" si="24"/>
        <v>0</v>
      </c>
      <c r="L819" s="3">
        <f>IF(ISERROR(VLOOKUP(J819,Lookups!$A$2:$A$16,1,FALSE)),1,0)</f>
        <v>1</v>
      </c>
      <c r="M819" s="3">
        <f>IF(ISERROR(VLOOKUP(D819,Data!$A$2:$D$223100,2,FALSE)),0,1)</f>
        <v>1</v>
      </c>
      <c r="N819" s="3">
        <f t="shared" si="25"/>
        <v>1</v>
      </c>
      <c r="O819" s="3" t="str">
        <f>IF(ISERROR(VLOOKUP(D819,Data!$A$2:$C$223100,3,FALSE)),"INACTIVE",VLOOKUP(D819,Data!$A$2:$C$223100,3,FALSE))</f>
        <v>30+</v>
      </c>
    </row>
    <row r="820" spans="1:15" x14ac:dyDescent="0.25">
      <c r="A820" t="s">
        <v>8364</v>
      </c>
      <c r="B820" t="s">
        <v>8365</v>
      </c>
      <c r="C820" t="s">
        <v>8366</v>
      </c>
      <c r="D820" t="s">
        <v>8367</v>
      </c>
      <c r="E820" t="s">
        <v>8368</v>
      </c>
      <c r="F820" t="s">
        <v>5</v>
      </c>
      <c r="G820" t="s">
        <v>5</v>
      </c>
      <c r="H820" t="s">
        <v>5</v>
      </c>
      <c r="I820" t="s">
        <v>8186</v>
      </c>
      <c r="J820" t="s">
        <v>90</v>
      </c>
      <c r="K820" s="3">
        <f t="shared" si="24"/>
        <v>0</v>
      </c>
      <c r="L820" s="3">
        <f>IF(ISERROR(VLOOKUP(J820,Lookups!$A$2:$A$16,1,FALSE)),1,0)</f>
        <v>0</v>
      </c>
      <c r="M820" s="3">
        <f>IF(ISERROR(VLOOKUP(D820,Data!$A$2:$D$223100,2,FALSE)),0,1)</f>
        <v>1</v>
      </c>
      <c r="N820" s="3">
        <f t="shared" si="25"/>
        <v>0</v>
      </c>
      <c r="O820" s="3" t="str">
        <f>IF(ISERROR(VLOOKUP(D820,Data!$A$2:$C$223100,3,FALSE)),"INACTIVE",VLOOKUP(D820,Data!$A$2:$C$223100,3,FALSE))</f>
        <v>Current</v>
      </c>
    </row>
    <row r="821" spans="1:15" x14ac:dyDescent="0.25">
      <c r="A821" t="s">
        <v>8364</v>
      </c>
      <c r="B821" t="s">
        <v>8365</v>
      </c>
      <c r="C821" t="s">
        <v>8366</v>
      </c>
      <c r="D821" t="s">
        <v>8367</v>
      </c>
      <c r="E821" t="s">
        <v>8369</v>
      </c>
      <c r="F821" t="s">
        <v>5</v>
      </c>
      <c r="G821" t="s">
        <v>5</v>
      </c>
      <c r="H821" t="s">
        <v>5</v>
      </c>
      <c r="I821" t="s">
        <v>8186</v>
      </c>
      <c r="J821" t="s">
        <v>90</v>
      </c>
      <c r="K821" s="3">
        <f t="shared" si="24"/>
        <v>0</v>
      </c>
      <c r="L821" s="3">
        <f>IF(ISERROR(VLOOKUP(J821,Lookups!$A$2:$A$16,1,FALSE)),1,0)</f>
        <v>0</v>
      </c>
      <c r="M821" s="3">
        <f>IF(ISERROR(VLOOKUP(D821,Data!$A$2:$D$223100,2,FALSE)),0,1)</f>
        <v>1</v>
      </c>
      <c r="N821" s="3">
        <f t="shared" si="25"/>
        <v>0</v>
      </c>
      <c r="O821" s="3" t="str">
        <f>IF(ISERROR(VLOOKUP(D821,Data!$A$2:$C$223100,3,FALSE)),"INACTIVE",VLOOKUP(D821,Data!$A$2:$C$223100,3,FALSE))</f>
        <v>Current</v>
      </c>
    </row>
    <row r="822" spans="1:15" x14ac:dyDescent="0.25">
      <c r="A822" t="s">
        <v>8870</v>
      </c>
      <c r="B822" t="s">
        <v>8871</v>
      </c>
      <c r="C822" t="s">
        <v>8872</v>
      </c>
      <c r="D822" t="s">
        <v>8873</v>
      </c>
      <c r="E822" t="s">
        <v>8874</v>
      </c>
      <c r="F822" t="s">
        <v>8874</v>
      </c>
      <c r="G822" t="s">
        <v>5</v>
      </c>
      <c r="H822" t="s">
        <v>5</v>
      </c>
      <c r="I822" t="s">
        <v>8875</v>
      </c>
      <c r="J822" t="s">
        <v>14</v>
      </c>
      <c r="K822" s="3">
        <f t="shared" si="24"/>
        <v>0</v>
      </c>
      <c r="L822" s="3">
        <f>IF(ISERROR(VLOOKUP(J822,Lookups!$A$2:$A$16,1,FALSE)),1,0)</f>
        <v>1</v>
      </c>
      <c r="M822" s="3">
        <f>IF(ISERROR(VLOOKUP(D822,Data!$A$2:$D$223100,2,FALSE)),0,1)</f>
        <v>0</v>
      </c>
      <c r="N822" s="3">
        <f t="shared" si="25"/>
        <v>0</v>
      </c>
      <c r="O822" s="3" t="str">
        <f>IF(ISERROR(VLOOKUP(D822,Data!$A$2:$C$223100,3,FALSE)),"INACTIVE",VLOOKUP(D822,Data!$A$2:$C$223100,3,FALSE))</f>
        <v>INACTIVE</v>
      </c>
    </row>
    <row r="823" spans="1:15" x14ac:dyDescent="0.25">
      <c r="A823" t="s">
        <v>2107</v>
      </c>
      <c r="B823" t="s">
        <v>8227</v>
      </c>
      <c r="C823" t="s">
        <v>8228</v>
      </c>
      <c r="D823" t="s">
        <v>8229</v>
      </c>
      <c r="E823" t="s">
        <v>5</v>
      </c>
      <c r="F823" t="s">
        <v>8230</v>
      </c>
      <c r="G823" t="s">
        <v>5</v>
      </c>
      <c r="H823" t="s">
        <v>5</v>
      </c>
      <c r="I823" t="s">
        <v>8231</v>
      </c>
      <c r="J823" t="s">
        <v>7</v>
      </c>
      <c r="K823" s="3">
        <f t="shared" si="24"/>
        <v>0</v>
      </c>
      <c r="L823" s="3">
        <f>IF(ISERROR(VLOOKUP(J823,Lookups!$A$2:$A$16,1,FALSE)),1,0)</f>
        <v>1</v>
      </c>
      <c r="M823" s="3">
        <f>IF(ISERROR(VLOOKUP(D823,Data!$A$2:$D$223100,2,FALSE)),0,1)</f>
        <v>1</v>
      </c>
      <c r="N823" s="3">
        <f t="shared" si="25"/>
        <v>1</v>
      </c>
      <c r="O823" s="3" t="str">
        <f>IF(ISERROR(VLOOKUP(D823,Data!$A$2:$C$223100,3,FALSE)),"INACTIVE",VLOOKUP(D823,Data!$A$2:$C$223100,3,FALSE))</f>
        <v>Current</v>
      </c>
    </row>
    <row r="824" spans="1:15" x14ac:dyDescent="0.25">
      <c r="A824" t="s">
        <v>2107</v>
      </c>
      <c r="B824" t="s">
        <v>8227</v>
      </c>
      <c r="C824" t="s">
        <v>8232</v>
      </c>
      <c r="D824" t="s">
        <v>8233</v>
      </c>
      <c r="E824" t="s">
        <v>5</v>
      </c>
      <c r="F824" t="s">
        <v>8234</v>
      </c>
      <c r="G824" t="s">
        <v>5</v>
      </c>
      <c r="H824" t="s">
        <v>5</v>
      </c>
      <c r="I824" t="s">
        <v>8231</v>
      </c>
      <c r="J824" t="s">
        <v>7</v>
      </c>
      <c r="K824" s="3">
        <f t="shared" si="24"/>
        <v>0</v>
      </c>
      <c r="L824" s="3">
        <f>IF(ISERROR(VLOOKUP(J824,Lookups!$A$2:$A$16,1,FALSE)),1,0)</f>
        <v>1</v>
      </c>
      <c r="M824" s="3">
        <f>IF(ISERROR(VLOOKUP(D824,Data!$A$2:$D$223100,2,FALSE)),0,1)</f>
        <v>1</v>
      </c>
      <c r="N824" s="3">
        <f t="shared" si="25"/>
        <v>1</v>
      </c>
      <c r="O824" s="3" t="str">
        <f>IF(ISERROR(VLOOKUP(D824,Data!$A$2:$C$223100,3,FALSE)),"INACTIVE",VLOOKUP(D824,Data!$A$2:$C$223100,3,FALSE))</f>
        <v>30+</v>
      </c>
    </row>
    <row r="825" spans="1:15" x14ac:dyDescent="0.25">
      <c r="A825" t="s">
        <v>2107</v>
      </c>
      <c r="B825" t="s">
        <v>8227</v>
      </c>
      <c r="C825" t="s">
        <v>8235</v>
      </c>
      <c r="D825" t="s">
        <v>8236</v>
      </c>
      <c r="E825" t="s">
        <v>5</v>
      </c>
      <c r="F825" t="s">
        <v>8237</v>
      </c>
      <c r="G825" t="s">
        <v>5</v>
      </c>
      <c r="H825" t="s">
        <v>5</v>
      </c>
      <c r="I825" t="s">
        <v>8231</v>
      </c>
      <c r="J825" t="s">
        <v>7</v>
      </c>
      <c r="K825" s="3">
        <f t="shared" si="24"/>
        <v>0</v>
      </c>
      <c r="L825" s="3">
        <f>IF(ISERROR(VLOOKUP(J825,Lookups!$A$2:$A$16,1,FALSE)),1,0)</f>
        <v>1</v>
      </c>
      <c r="M825" s="3">
        <f>IF(ISERROR(VLOOKUP(D825,Data!$A$2:$D$223100,2,FALSE)),0,1)</f>
        <v>1</v>
      </c>
      <c r="N825" s="3">
        <f t="shared" si="25"/>
        <v>1</v>
      </c>
      <c r="O825" s="3" t="str">
        <f>IF(ISERROR(VLOOKUP(D825,Data!$A$2:$C$223100,3,FALSE)),"INACTIVE",VLOOKUP(D825,Data!$A$2:$C$223100,3,FALSE))</f>
        <v>Current</v>
      </c>
    </row>
    <row r="826" spans="1:15" x14ac:dyDescent="0.25">
      <c r="A826" t="s">
        <v>2107</v>
      </c>
      <c r="B826" t="s">
        <v>8227</v>
      </c>
      <c r="C826" t="s">
        <v>8238</v>
      </c>
      <c r="D826" t="s">
        <v>8239</v>
      </c>
      <c r="E826" t="s">
        <v>5</v>
      </c>
      <c r="F826" t="s">
        <v>8240</v>
      </c>
      <c r="G826" t="s">
        <v>5</v>
      </c>
      <c r="H826" t="s">
        <v>5</v>
      </c>
      <c r="I826" t="s">
        <v>8231</v>
      </c>
      <c r="J826" t="s">
        <v>7</v>
      </c>
      <c r="K826" s="3">
        <f t="shared" si="24"/>
        <v>0</v>
      </c>
      <c r="L826" s="3">
        <f>IF(ISERROR(VLOOKUP(J826,Lookups!$A$2:$A$16,1,FALSE)),1,0)</f>
        <v>1</v>
      </c>
      <c r="M826" s="3">
        <f>IF(ISERROR(VLOOKUP(D826,Data!$A$2:$D$223100,2,FALSE)),0,1)</f>
        <v>1</v>
      </c>
      <c r="N826" s="3">
        <f t="shared" si="25"/>
        <v>1</v>
      </c>
      <c r="O826" s="3" t="str">
        <f>IF(ISERROR(VLOOKUP(D826,Data!$A$2:$C$223100,3,FALSE)),"INACTIVE",VLOOKUP(D826,Data!$A$2:$C$223100,3,FALSE))</f>
        <v>30+</v>
      </c>
    </row>
    <row r="827" spans="1:15" x14ac:dyDescent="0.25">
      <c r="A827" t="s">
        <v>2107</v>
      </c>
      <c r="B827" t="s">
        <v>8227</v>
      </c>
      <c r="C827" t="s">
        <v>8241</v>
      </c>
      <c r="D827" t="s">
        <v>8242</v>
      </c>
      <c r="E827" t="s">
        <v>5</v>
      </c>
      <c r="F827" t="s">
        <v>8243</v>
      </c>
      <c r="G827" t="s">
        <v>5</v>
      </c>
      <c r="H827" t="s">
        <v>5</v>
      </c>
      <c r="I827" t="s">
        <v>8231</v>
      </c>
      <c r="J827" t="s">
        <v>7</v>
      </c>
      <c r="K827" s="3">
        <f t="shared" si="24"/>
        <v>0</v>
      </c>
      <c r="L827" s="3">
        <f>IF(ISERROR(VLOOKUP(J827,Lookups!$A$2:$A$16,1,FALSE)),1,0)</f>
        <v>1</v>
      </c>
      <c r="M827" s="3">
        <f>IF(ISERROR(VLOOKUP(D827,Data!$A$2:$D$223100,2,FALSE)),0,1)</f>
        <v>1</v>
      </c>
      <c r="N827" s="3">
        <f t="shared" si="25"/>
        <v>1</v>
      </c>
      <c r="O827" s="3" t="str">
        <f>IF(ISERROR(VLOOKUP(D827,Data!$A$2:$C$223100,3,FALSE)),"INACTIVE",VLOOKUP(D827,Data!$A$2:$C$223100,3,FALSE))</f>
        <v>BK13</v>
      </c>
    </row>
    <row r="828" spans="1:15" x14ac:dyDescent="0.25">
      <c r="A828" t="s">
        <v>2107</v>
      </c>
      <c r="B828" t="s">
        <v>8227</v>
      </c>
      <c r="C828" t="s">
        <v>8244</v>
      </c>
      <c r="D828" t="s">
        <v>8245</v>
      </c>
      <c r="E828" t="s">
        <v>5</v>
      </c>
      <c r="F828" t="s">
        <v>8246</v>
      </c>
      <c r="G828" t="s">
        <v>5</v>
      </c>
      <c r="H828" t="s">
        <v>5</v>
      </c>
      <c r="I828" t="s">
        <v>8231</v>
      </c>
      <c r="J828" t="s">
        <v>7</v>
      </c>
      <c r="K828" s="3">
        <f t="shared" si="24"/>
        <v>0</v>
      </c>
      <c r="L828" s="3">
        <f>IF(ISERROR(VLOOKUP(J828,Lookups!$A$2:$A$16,1,FALSE)),1,0)</f>
        <v>1</v>
      </c>
      <c r="M828" s="3">
        <f>IF(ISERROR(VLOOKUP(D828,Data!$A$2:$D$223100,2,FALSE)),0,1)</f>
        <v>1</v>
      </c>
      <c r="N828" s="3">
        <f t="shared" si="25"/>
        <v>1</v>
      </c>
      <c r="O828" s="3" t="str">
        <f>IF(ISERROR(VLOOKUP(D828,Data!$A$2:$C$223100,3,FALSE)),"INACTIVE",VLOOKUP(D828,Data!$A$2:$C$223100,3,FALSE))</f>
        <v>Current</v>
      </c>
    </row>
    <row r="829" spans="1:15" x14ac:dyDescent="0.25">
      <c r="A829" t="s">
        <v>2107</v>
      </c>
      <c r="B829" t="s">
        <v>8227</v>
      </c>
      <c r="C829" t="s">
        <v>8247</v>
      </c>
      <c r="D829" t="s">
        <v>8248</v>
      </c>
      <c r="E829" t="s">
        <v>5</v>
      </c>
      <c r="F829" t="s">
        <v>8249</v>
      </c>
      <c r="G829" t="s">
        <v>5</v>
      </c>
      <c r="H829" t="s">
        <v>5</v>
      </c>
      <c r="I829" t="s">
        <v>8231</v>
      </c>
      <c r="J829" t="s">
        <v>7</v>
      </c>
      <c r="K829" s="3">
        <f t="shared" si="24"/>
        <v>0</v>
      </c>
      <c r="L829" s="3">
        <f>IF(ISERROR(VLOOKUP(J829,Lookups!$A$2:$A$16,1,FALSE)),1,0)</f>
        <v>1</v>
      </c>
      <c r="M829" s="3">
        <f>IF(ISERROR(VLOOKUP(D829,Data!$A$2:$D$223100,2,FALSE)),0,1)</f>
        <v>1</v>
      </c>
      <c r="N829" s="3">
        <f t="shared" si="25"/>
        <v>1</v>
      </c>
      <c r="O829" s="3" t="str">
        <f>IF(ISERROR(VLOOKUP(D829,Data!$A$2:$C$223100,3,FALSE)),"INACTIVE",VLOOKUP(D829,Data!$A$2:$C$223100,3,FALSE))</f>
        <v>Current</v>
      </c>
    </row>
    <row r="830" spans="1:15" x14ac:dyDescent="0.25">
      <c r="A830" t="s">
        <v>2107</v>
      </c>
      <c r="B830" t="s">
        <v>8227</v>
      </c>
      <c r="C830" t="s">
        <v>8250</v>
      </c>
      <c r="D830" t="s">
        <v>8251</v>
      </c>
      <c r="E830" t="s">
        <v>5</v>
      </c>
      <c r="F830" t="s">
        <v>8252</v>
      </c>
      <c r="G830" t="s">
        <v>5</v>
      </c>
      <c r="H830" t="s">
        <v>5</v>
      </c>
      <c r="I830" t="s">
        <v>8231</v>
      </c>
      <c r="J830" t="s">
        <v>7</v>
      </c>
      <c r="K830" s="3">
        <f t="shared" si="24"/>
        <v>0</v>
      </c>
      <c r="L830" s="3">
        <f>IF(ISERROR(VLOOKUP(J830,Lookups!$A$2:$A$16,1,FALSE)),1,0)</f>
        <v>1</v>
      </c>
      <c r="M830" s="3">
        <f>IF(ISERROR(VLOOKUP(D830,Data!$A$2:$D$223100,2,FALSE)),0,1)</f>
        <v>1</v>
      </c>
      <c r="N830" s="3">
        <f t="shared" si="25"/>
        <v>1</v>
      </c>
      <c r="O830" s="3" t="str">
        <f>IF(ISERROR(VLOOKUP(D830,Data!$A$2:$C$223100,3,FALSE)),"INACTIVE",VLOOKUP(D830,Data!$A$2:$C$223100,3,FALSE))</f>
        <v>Current</v>
      </c>
    </row>
    <row r="831" spans="1:15" x14ac:dyDescent="0.25">
      <c r="A831" t="s">
        <v>8348</v>
      </c>
      <c r="B831" t="s">
        <v>8349</v>
      </c>
      <c r="C831" t="s">
        <v>8350</v>
      </c>
      <c r="D831" t="s">
        <v>8351</v>
      </c>
      <c r="E831" t="s">
        <v>8352</v>
      </c>
      <c r="F831" t="s">
        <v>5</v>
      </c>
      <c r="G831" t="s">
        <v>5</v>
      </c>
      <c r="H831" t="s">
        <v>5</v>
      </c>
      <c r="I831" t="s">
        <v>8231</v>
      </c>
      <c r="J831" t="s">
        <v>96</v>
      </c>
      <c r="K831" s="3">
        <f t="shared" si="24"/>
        <v>0</v>
      </c>
      <c r="L831" s="3">
        <f>IF(ISERROR(VLOOKUP(J831,Lookups!$A$2:$A$16,1,FALSE)),1,0)</f>
        <v>0</v>
      </c>
      <c r="M831" s="3">
        <f>IF(ISERROR(VLOOKUP(D831,Data!$A$2:$D$223100,2,FALSE)),0,1)</f>
        <v>1</v>
      </c>
      <c r="N831" s="3">
        <f t="shared" si="25"/>
        <v>0</v>
      </c>
      <c r="O831" s="3" t="str">
        <f>IF(ISERROR(VLOOKUP(D831,Data!$A$2:$C$223100,3,FALSE)),"INACTIVE",VLOOKUP(D831,Data!$A$2:$C$223100,3,FALSE))</f>
        <v>30+</v>
      </c>
    </row>
    <row r="832" spans="1:15" x14ac:dyDescent="0.25">
      <c r="A832" t="s">
        <v>8348</v>
      </c>
      <c r="B832" t="s">
        <v>8349</v>
      </c>
      <c r="C832" t="s">
        <v>8350</v>
      </c>
      <c r="D832" t="s">
        <v>8351</v>
      </c>
      <c r="E832" t="s">
        <v>8353</v>
      </c>
      <c r="F832" t="s">
        <v>8353</v>
      </c>
      <c r="G832" t="s">
        <v>5</v>
      </c>
      <c r="H832" t="s">
        <v>5</v>
      </c>
      <c r="I832" t="s">
        <v>8231</v>
      </c>
      <c r="J832" t="s">
        <v>96</v>
      </c>
      <c r="K832" s="3">
        <f t="shared" si="24"/>
        <v>0</v>
      </c>
      <c r="L832" s="3">
        <f>IF(ISERROR(VLOOKUP(J832,Lookups!$A$2:$A$16,1,FALSE)),1,0)</f>
        <v>0</v>
      </c>
      <c r="M832" s="3">
        <f>IF(ISERROR(VLOOKUP(D832,Data!$A$2:$D$223100,2,FALSE)),0,1)</f>
        <v>1</v>
      </c>
      <c r="N832" s="3">
        <f t="shared" si="25"/>
        <v>0</v>
      </c>
      <c r="O832" s="3" t="str">
        <f>IF(ISERROR(VLOOKUP(D832,Data!$A$2:$C$223100,3,FALSE)),"INACTIVE",VLOOKUP(D832,Data!$A$2:$C$223100,3,FALSE))</f>
        <v>30+</v>
      </c>
    </row>
    <row r="833" spans="1:15" x14ac:dyDescent="0.25">
      <c r="A833" t="s">
        <v>8394</v>
      </c>
      <c r="B833" t="s">
        <v>8395</v>
      </c>
      <c r="C833" t="s">
        <v>8396</v>
      </c>
      <c r="D833" t="s">
        <v>8397</v>
      </c>
      <c r="E833" t="s">
        <v>5</v>
      </c>
      <c r="F833" t="s">
        <v>8398</v>
      </c>
      <c r="G833" t="s">
        <v>5</v>
      </c>
      <c r="H833" t="s">
        <v>5</v>
      </c>
      <c r="I833" t="s">
        <v>8231</v>
      </c>
      <c r="J833" t="s">
        <v>573</v>
      </c>
      <c r="K833" s="3">
        <f t="shared" si="24"/>
        <v>0</v>
      </c>
      <c r="L833" s="3">
        <f>IF(ISERROR(VLOOKUP(J833,Lookups!$A$2:$A$16,1,FALSE)),1,0)</f>
        <v>1</v>
      </c>
      <c r="M833" s="3">
        <f>IF(ISERROR(VLOOKUP(D833,Data!$A$2:$D$223100,2,FALSE)),0,1)</f>
        <v>1</v>
      </c>
      <c r="N833" s="3">
        <f t="shared" si="25"/>
        <v>1</v>
      </c>
      <c r="O833" s="3" t="str">
        <f>IF(ISERROR(VLOOKUP(D833,Data!$A$2:$C$223100,3,FALSE)),"INACTIVE",VLOOKUP(D833,Data!$A$2:$C$223100,3,FALSE))</f>
        <v>Demand Letter</v>
      </c>
    </row>
    <row r="834" spans="1:15" x14ac:dyDescent="0.25">
      <c r="A834" t="s">
        <v>8399</v>
      </c>
      <c r="B834" t="s">
        <v>8400</v>
      </c>
      <c r="C834" t="s">
        <v>8401</v>
      </c>
      <c r="D834" t="s">
        <v>8402</v>
      </c>
      <c r="E834" t="s">
        <v>8403</v>
      </c>
      <c r="F834" t="s">
        <v>5</v>
      </c>
      <c r="G834" t="s">
        <v>5</v>
      </c>
      <c r="H834" t="s">
        <v>5</v>
      </c>
      <c r="I834" t="s">
        <v>8404</v>
      </c>
      <c r="J834" t="s">
        <v>96</v>
      </c>
      <c r="K834" s="3">
        <f t="shared" si="24"/>
        <v>0</v>
      </c>
      <c r="L834" s="3">
        <f>IF(ISERROR(VLOOKUP(J834,Lookups!$A$2:$A$16,1,FALSE)),1,0)</f>
        <v>0</v>
      </c>
      <c r="M834" s="3">
        <f>IF(ISERROR(VLOOKUP(D834,Data!$A$2:$D$223100,2,FALSE)),0,1)</f>
        <v>1</v>
      </c>
      <c r="N834" s="3">
        <f t="shared" si="25"/>
        <v>0</v>
      </c>
      <c r="O834" s="3" t="str">
        <f>IF(ISERROR(VLOOKUP(D834,Data!$A$2:$C$223100,3,FALSE)),"INACTIVE",VLOOKUP(D834,Data!$A$2:$C$223100,3,FALSE))</f>
        <v>180+</v>
      </c>
    </row>
    <row r="835" spans="1:15" x14ac:dyDescent="0.25">
      <c r="A835" t="s">
        <v>8399</v>
      </c>
      <c r="B835" t="s">
        <v>8400</v>
      </c>
      <c r="C835" t="s">
        <v>8405</v>
      </c>
      <c r="D835" t="s">
        <v>8406</v>
      </c>
      <c r="E835" t="s">
        <v>8407</v>
      </c>
      <c r="F835" t="s">
        <v>5</v>
      </c>
      <c r="G835" t="s">
        <v>5</v>
      </c>
      <c r="H835" t="s">
        <v>5</v>
      </c>
      <c r="I835" t="s">
        <v>8404</v>
      </c>
      <c r="J835" t="s">
        <v>7</v>
      </c>
      <c r="K835" s="3">
        <f t="shared" ref="K835:K898" si="26">IF(ISERROR(FIND("LIEN",A835,1)),0,1)</f>
        <v>0</v>
      </c>
      <c r="L835" s="3">
        <f>IF(ISERROR(VLOOKUP(J835,Lookups!$A$2:$A$16,1,FALSE)),1,0)</f>
        <v>1</v>
      </c>
      <c r="M835" s="3">
        <f>IF(ISERROR(VLOOKUP(D835,Data!$A$2:$D$223100,2,FALSE)),0,1)</f>
        <v>1</v>
      </c>
      <c r="N835" s="3">
        <f t="shared" ref="N835:N898" si="27">IF(M835=0,0,IF(SUM(K835:L835)&gt;0,1,0))</f>
        <v>1</v>
      </c>
      <c r="O835" s="3" t="str">
        <f>IF(ISERROR(VLOOKUP(D835,Data!$A$2:$C$223100,3,FALSE)),"INACTIVE",VLOOKUP(D835,Data!$A$2:$C$223100,3,FALSE))</f>
        <v>BK13</v>
      </c>
    </row>
    <row r="836" spans="1:15" x14ac:dyDescent="0.25">
      <c r="A836" t="s">
        <v>8399</v>
      </c>
      <c r="B836" t="s">
        <v>8400</v>
      </c>
      <c r="C836" t="s">
        <v>8405</v>
      </c>
      <c r="D836" t="s">
        <v>8406</v>
      </c>
      <c r="E836" t="s">
        <v>8408</v>
      </c>
      <c r="F836" t="s">
        <v>5</v>
      </c>
      <c r="G836" t="s">
        <v>5</v>
      </c>
      <c r="H836" t="s">
        <v>5</v>
      </c>
      <c r="I836" t="s">
        <v>8404</v>
      </c>
      <c r="J836" t="s">
        <v>7</v>
      </c>
      <c r="K836" s="3">
        <f t="shared" si="26"/>
        <v>0</v>
      </c>
      <c r="L836" s="3">
        <f>IF(ISERROR(VLOOKUP(J836,Lookups!$A$2:$A$16,1,FALSE)),1,0)</f>
        <v>1</v>
      </c>
      <c r="M836" s="3">
        <f>IF(ISERROR(VLOOKUP(D836,Data!$A$2:$D$223100,2,FALSE)),0,1)</f>
        <v>1</v>
      </c>
      <c r="N836" s="3">
        <f t="shared" si="27"/>
        <v>1</v>
      </c>
      <c r="O836" s="3" t="str">
        <f>IF(ISERROR(VLOOKUP(D836,Data!$A$2:$C$223100,3,FALSE)),"INACTIVE",VLOOKUP(D836,Data!$A$2:$C$223100,3,FALSE))</f>
        <v>BK13</v>
      </c>
    </row>
    <row r="837" spans="1:15" x14ac:dyDescent="0.25">
      <c r="A837" t="s">
        <v>8399</v>
      </c>
      <c r="B837" t="s">
        <v>8400</v>
      </c>
      <c r="C837" t="s">
        <v>8409</v>
      </c>
      <c r="D837" t="s">
        <v>8410</v>
      </c>
      <c r="E837" t="s">
        <v>8411</v>
      </c>
      <c r="F837" t="s">
        <v>5</v>
      </c>
      <c r="G837" t="s">
        <v>5</v>
      </c>
      <c r="H837" t="s">
        <v>5</v>
      </c>
      <c r="I837" t="s">
        <v>8404</v>
      </c>
      <c r="J837" t="s">
        <v>96</v>
      </c>
      <c r="K837" s="3">
        <f t="shared" si="26"/>
        <v>0</v>
      </c>
      <c r="L837" s="3">
        <f>IF(ISERROR(VLOOKUP(J837,Lookups!$A$2:$A$16,1,FALSE)),1,0)</f>
        <v>0</v>
      </c>
      <c r="M837" s="3">
        <f>IF(ISERROR(VLOOKUP(D837,Data!$A$2:$D$223100,2,FALSE)),0,1)</f>
        <v>1</v>
      </c>
      <c r="N837" s="3">
        <f t="shared" si="27"/>
        <v>0</v>
      </c>
      <c r="O837" s="3" t="str">
        <f>IF(ISERROR(VLOOKUP(D837,Data!$A$2:$C$223100,3,FALSE)),"INACTIVE",VLOOKUP(D837,Data!$A$2:$C$223100,3,FALSE))</f>
        <v>60+</v>
      </c>
    </row>
    <row r="838" spans="1:15" x14ac:dyDescent="0.25">
      <c r="A838" t="s">
        <v>8399</v>
      </c>
      <c r="B838" t="s">
        <v>8400</v>
      </c>
      <c r="C838" t="s">
        <v>8412</v>
      </c>
      <c r="D838" t="s">
        <v>8413</v>
      </c>
      <c r="E838" t="s">
        <v>8414</v>
      </c>
      <c r="F838" t="s">
        <v>5</v>
      </c>
      <c r="G838" t="s">
        <v>5</v>
      </c>
      <c r="H838" t="s">
        <v>5</v>
      </c>
      <c r="I838" t="s">
        <v>8404</v>
      </c>
      <c r="J838" t="s">
        <v>96</v>
      </c>
      <c r="K838" s="3">
        <f t="shared" si="26"/>
        <v>0</v>
      </c>
      <c r="L838" s="3">
        <f>IF(ISERROR(VLOOKUP(J838,Lookups!$A$2:$A$16,1,FALSE)),1,0)</f>
        <v>0</v>
      </c>
      <c r="M838" s="3">
        <f>IF(ISERROR(VLOOKUP(D838,Data!$A$2:$D$223100,2,FALSE)),0,1)</f>
        <v>1</v>
      </c>
      <c r="N838" s="3">
        <f t="shared" si="27"/>
        <v>0</v>
      </c>
      <c r="O838" s="3" t="str">
        <f>IF(ISERROR(VLOOKUP(D838,Data!$A$2:$C$223100,3,FALSE)),"INACTIVE",VLOOKUP(D838,Data!$A$2:$C$223100,3,FALSE))</f>
        <v>Current</v>
      </c>
    </row>
    <row r="839" spans="1:15" x14ac:dyDescent="0.25">
      <c r="A839" t="s">
        <v>8292</v>
      </c>
      <c r="B839" t="s">
        <v>8293</v>
      </c>
      <c r="C839" t="s">
        <v>8170</v>
      </c>
      <c r="D839" t="s">
        <v>8171</v>
      </c>
      <c r="E839" t="s">
        <v>8294</v>
      </c>
      <c r="F839" t="s">
        <v>5</v>
      </c>
      <c r="G839" t="s">
        <v>5</v>
      </c>
      <c r="H839" t="s">
        <v>5</v>
      </c>
      <c r="I839" t="s">
        <v>8295</v>
      </c>
      <c r="J839" t="s">
        <v>96</v>
      </c>
      <c r="K839" s="3">
        <f t="shared" si="26"/>
        <v>0</v>
      </c>
      <c r="L839" s="3">
        <f>IF(ISERROR(VLOOKUP(J839,Lookups!$A$2:$A$16,1,FALSE)),1,0)</f>
        <v>0</v>
      </c>
      <c r="M839" s="3">
        <f>IF(ISERROR(VLOOKUP(D839,Data!$A$2:$D$223100,2,FALSE)),0,1)</f>
        <v>1</v>
      </c>
      <c r="N839" s="3">
        <f t="shared" si="27"/>
        <v>0</v>
      </c>
      <c r="O839" s="3" t="str">
        <f>IF(ISERROR(VLOOKUP(D839,Data!$A$2:$C$223100,3,FALSE)),"INACTIVE",VLOOKUP(D839,Data!$A$2:$C$223100,3,FALSE))</f>
        <v>BK13</v>
      </c>
    </row>
    <row r="840" spans="1:15" x14ac:dyDescent="0.25">
      <c r="A840" t="s">
        <v>8292</v>
      </c>
      <c r="B840" t="s">
        <v>8293</v>
      </c>
      <c r="C840" t="s">
        <v>8170</v>
      </c>
      <c r="D840" t="s">
        <v>8171</v>
      </c>
      <c r="E840" t="s">
        <v>8296</v>
      </c>
      <c r="F840" t="s">
        <v>5</v>
      </c>
      <c r="G840" t="s">
        <v>5</v>
      </c>
      <c r="H840" t="s">
        <v>5</v>
      </c>
      <c r="I840" t="s">
        <v>8295</v>
      </c>
      <c r="J840" t="s">
        <v>96</v>
      </c>
      <c r="K840" s="3">
        <f t="shared" si="26"/>
        <v>0</v>
      </c>
      <c r="L840" s="3">
        <f>IF(ISERROR(VLOOKUP(J840,Lookups!$A$2:$A$16,1,FALSE)),1,0)</f>
        <v>0</v>
      </c>
      <c r="M840" s="3">
        <f>IF(ISERROR(VLOOKUP(D840,Data!$A$2:$D$223100,2,FALSE)),0,1)</f>
        <v>1</v>
      </c>
      <c r="N840" s="3">
        <f t="shared" si="27"/>
        <v>0</v>
      </c>
      <c r="O840" s="3" t="str">
        <f>IF(ISERROR(VLOOKUP(D840,Data!$A$2:$C$223100,3,FALSE)),"INACTIVE",VLOOKUP(D840,Data!$A$2:$C$223100,3,FALSE))</f>
        <v>BK13</v>
      </c>
    </row>
    <row r="841" spans="1:15" x14ac:dyDescent="0.25">
      <c r="A841" t="s">
        <v>8292</v>
      </c>
      <c r="B841" t="s">
        <v>8293</v>
      </c>
      <c r="C841" t="s">
        <v>8297</v>
      </c>
      <c r="D841" t="s">
        <v>8298</v>
      </c>
      <c r="E841" t="s">
        <v>8299</v>
      </c>
      <c r="F841" t="s">
        <v>5</v>
      </c>
      <c r="G841" t="s">
        <v>5</v>
      </c>
      <c r="H841" t="s">
        <v>5</v>
      </c>
      <c r="I841" t="s">
        <v>8295</v>
      </c>
      <c r="J841" t="s">
        <v>96</v>
      </c>
      <c r="K841" s="3">
        <f t="shared" si="26"/>
        <v>0</v>
      </c>
      <c r="L841" s="3">
        <f>IF(ISERROR(VLOOKUP(J841,Lookups!$A$2:$A$16,1,FALSE)),1,0)</f>
        <v>0</v>
      </c>
      <c r="M841" s="3">
        <f>IF(ISERROR(VLOOKUP(D841,Data!$A$2:$D$223100,2,FALSE)),0,1)</f>
        <v>0</v>
      </c>
      <c r="N841" s="3">
        <f t="shared" si="27"/>
        <v>0</v>
      </c>
      <c r="O841" s="3" t="str">
        <f>IF(ISERROR(VLOOKUP(D841,Data!$A$2:$C$223100,3,FALSE)),"INACTIVE",VLOOKUP(D841,Data!$A$2:$C$223100,3,FALSE))</f>
        <v>INACTIVE</v>
      </c>
    </row>
    <row r="842" spans="1:15" x14ac:dyDescent="0.25">
      <c r="A842" t="s">
        <v>8292</v>
      </c>
      <c r="B842" t="s">
        <v>8293</v>
      </c>
      <c r="C842" t="s">
        <v>8297</v>
      </c>
      <c r="D842" t="s">
        <v>8298</v>
      </c>
      <c r="E842" t="s">
        <v>8300</v>
      </c>
      <c r="F842" t="s">
        <v>5</v>
      </c>
      <c r="G842" t="s">
        <v>5</v>
      </c>
      <c r="H842" t="s">
        <v>5</v>
      </c>
      <c r="I842" t="s">
        <v>8295</v>
      </c>
      <c r="J842" t="s">
        <v>96</v>
      </c>
      <c r="K842" s="3">
        <f t="shared" si="26"/>
        <v>0</v>
      </c>
      <c r="L842" s="3">
        <f>IF(ISERROR(VLOOKUP(J842,Lookups!$A$2:$A$16,1,FALSE)),1,0)</f>
        <v>0</v>
      </c>
      <c r="M842" s="3">
        <f>IF(ISERROR(VLOOKUP(D842,Data!$A$2:$D$223100,2,FALSE)),0,1)</f>
        <v>0</v>
      </c>
      <c r="N842" s="3">
        <f t="shared" si="27"/>
        <v>0</v>
      </c>
      <c r="O842" s="3" t="str">
        <f>IF(ISERROR(VLOOKUP(D842,Data!$A$2:$C$223100,3,FALSE)),"INACTIVE",VLOOKUP(D842,Data!$A$2:$C$223100,3,FALSE))</f>
        <v>INACTIVE</v>
      </c>
    </row>
    <row r="843" spans="1:15" x14ac:dyDescent="0.25">
      <c r="A843" t="s">
        <v>8292</v>
      </c>
      <c r="B843" t="s">
        <v>8293</v>
      </c>
      <c r="C843" t="s">
        <v>8297</v>
      </c>
      <c r="D843" t="s">
        <v>8298</v>
      </c>
      <c r="E843" t="s">
        <v>8301</v>
      </c>
      <c r="F843" t="s">
        <v>5</v>
      </c>
      <c r="G843" t="s">
        <v>5</v>
      </c>
      <c r="H843" t="s">
        <v>5</v>
      </c>
      <c r="I843" t="s">
        <v>8295</v>
      </c>
      <c r="J843" t="s">
        <v>96</v>
      </c>
      <c r="K843" s="3">
        <f t="shared" si="26"/>
        <v>0</v>
      </c>
      <c r="L843" s="3">
        <f>IF(ISERROR(VLOOKUP(J843,Lookups!$A$2:$A$16,1,FALSE)),1,0)</f>
        <v>0</v>
      </c>
      <c r="M843" s="3">
        <f>IF(ISERROR(VLOOKUP(D843,Data!$A$2:$D$223100,2,FALSE)),0,1)</f>
        <v>0</v>
      </c>
      <c r="N843" s="3">
        <f t="shared" si="27"/>
        <v>0</v>
      </c>
      <c r="O843" s="3" t="str">
        <f>IF(ISERROR(VLOOKUP(D843,Data!$A$2:$C$223100,3,FALSE)),"INACTIVE",VLOOKUP(D843,Data!$A$2:$C$223100,3,FALSE))</f>
        <v>INACTIVE</v>
      </c>
    </row>
    <row r="844" spans="1:15" x14ac:dyDescent="0.25">
      <c r="A844" t="s">
        <v>8292</v>
      </c>
      <c r="B844" t="s">
        <v>8293</v>
      </c>
      <c r="C844" t="s">
        <v>8297</v>
      </c>
      <c r="D844" t="s">
        <v>8298</v>
      </c>
      <c r="E844" t="s">
        <v>8302</v>
      </c>
      <c r="F844" t="s">
        <v>5</v>
      </c>
      <c r="G844" t="s">
        <v>5</v>
      </c>
      <c r="H844" t="s">
        <v>5</v>
      </c>
      <c r="I844" t="s">
        <v>8295</v>
      </c>
      <c r="J844" t="s">
        <v>96</v>
      </c>
      <c r="K844" s="3">
        <f t="shared" si="26"/>
        <v>0</v>
      </c>
      <c r="L844" s="3">
        <f>IF(ISERROR(VLOOKUP(J844,Lookups!$A$2:$A$16,1,FALSE)),1,0)</f>
        <v>0</v>
      </c>
      <c r="M844" s="3">
        <f>IF(ISERROR(VLOOKUP(D844,Data!$A$2:$D$223100,2,FALSE)),0,1)</f>
        <v>0</v>
      </c>
      <c r="N844" s="3">
        <f t="shared" si="27"/>
        <v>0</v>
      </c>
      <c r="O844" s="3" t="str">
        <f>IF(ISERROR(VLOOKUP(D844,Data!$A$2:$C$223100,3,FALSE)),"INACTIVE",VLOOKUP(D844,Data!$A$2:$C$223100,3,FALSE))</f>
        <v>INACTIVE</v>
      </c>
    </row>
    <row r="845" spans="1:15" x14ac:dyDescent="0.25">
      <c r="A845" t="s">
        <v>8292</v>
      </c>
      <c r="B845" t="s">
        <v>8293</v>
      </c>
      <c r="C845" t="s">
        <v>8175</v>
      </c>
      <c r="D845" t="s">
        <v>8176</v>
      </c>
      <c r="E845" t="s">
        <v>8303</v>
      </c>
      <c r="F845" t="s">
        <v>5</v>
      </c>
      <c r="G845" t="s">
        <v>5</v>
      </c>
      <c r="H845" t="s">
        <v>5</v>
      </c>
      <c r="I845" t="s">
        <v>8295</v>
      </c>
      <c r="J845" t="s">
        <v>14</v>
      </c>
      <c r="K845" s="3">
        <f t="shared" si="26"/>
        <v>0</v>
      </c>
      <c r="L845" s="3">
        <f>IF(ISERROR(VLOOKUP(J845,Lookups!$A$2:$A$16,1,FALSE)),1,0)</f>
        <v>1</v>
      </c>
      <c r="M845" s="3">
        <f>IF(ISERROR(VLOOKUP(D845,Data!$A$2:$D$223100,2,FALSE)),0,1)</f>
        <v>1</v>
      </c>
      <c r="N845" s="3">
        <f t="shared" si="27"/>
        <v>1</v>
      </c>
      <c r="O845" s="3" t="str">
        <f>IF(ISERROR(VLOOKUP(D845,Data!$A$2:$C$223100,3,FALSE)),"INACTIVE",VLOOKUP(D845,Data!$A$2:$C$223100,3,FALSE))</f>
        <v>FC</v>
      </c>
    </row>
    <row r="846" spans="1:15" x14ac:dyDescent="0.25">
      <c r="A846" t="s">
        <v>8292</v>
      </c>
      <c r="B846" t="s">
        <v>8293</v>
      </c>
      <c r="C846" t="s">
        <v>8304</v>
      </c>
      <c r="D846" t="s">
        <v>8305</v>
      </c>
      <c r="E846" t="s">
        <v>8306</v>
      </c>
      <c r="F846" t="s">
        <v>5</v>
      </c>
      <c r="G846" t="s">
        <v>5</v>
      </c>
      <c r="H846" t="s">
        <v>5</v>
      </c>
      <c r="I846" t="s">
        <v>8295</v>
      </c>
      <c r="J846" t="s">
        <v>14</v>
      </c>
      <c r="K846" s="3">
        <f t="shared" si="26"/>
        <v>0</v>
      </c>
      <c r="L846" s="3">
        <f>IF(ISERROR(VLOOKUP(J846,Lookups!$A$2:$A$16,1,FALSE)),1,0)</f>
        <v>1</v>
      </c>
      <c r="M846" s="3">
        <f>IF(ISERROR(VLOOKUP(D846,Data!$A$2:$D$223100,2,FALSE)),0,1)</f>
        <v>1</v>
      </c>
      <c r="N846" s="3">
        <f t="shared" si="27"/>
        <v>1</v>
      </c>
      <c r="O846" s="3" t="str">
        <f>IF(ISERROR(VLOOKUP(D846,Data!$A$2:$C$223100,3,FALSE)),"INACTIVE",VLOOKUP(D846,Data!$A$2:$C$223100,3,FALSE))</f>
        <v>BK13</v>
      </c>
    </row>
    <row r="847" spans="1:15" x14ac:dyDescent="0.25">
      <c r="A847" t="s">
        <v>8307</v>
      </c>
      <c r="B847" t="s">
        <v>8308</v>
      </c>
      <c r="C847" t="s">
        <v>8309</v>
      </c>
      <c r="D847" t="s">
        <v>8310</v>
      </c>
      <c r="E847" t="s">
        <v>8311</v>
      </c>
      <c r="F847" t="s">
        <v>5</v>
      </c>
      <c r="G847" t="s">
        <v>5</v>
      </c>
      <c r="H847" t="s">
        <v>5</v>
      </c>
      <c r="I847" t="s">
        <v>8295</v>
      </c>
      <c r="J847" t="s">
        <v>90</v>
      </c>
      <c r="K847" s="3">
        <f t="shared" si="26"/>
        <v>0</v>
      </c>
      <c r="L847" s="3">
        <f>IF(ISERROR(VLOOKUP(J847,Lookups!$A$2:$A$16,1,FALSE)),1,0)</f>
        <v>0</v>
      </c>
      <c r="M847" s="3">
        <f>IF(ISERROR(VLOOKUP(D847,Data!$A$2:$D$223100,2,FALSE)),0,1)</f>
        <v>1</v>
      </c>
      <c r="N847" s="3">
        <f t="shared" si="27"/>
        <v>0</v>
      </c>
      <c r="O847" s="3" t="str">
        <f>IF(ISERROR(VLOOKUP(D847,Data!$A$2:$C$223100,3,FALSE)),"INACTIVE",VLOOKUP(D847,Data!$A$2:$C$223100,3,FALSE))</f>
        <v>BK13</v>
      </c>
    </row>
    <row r="848" spans="1:15" x14ac:dyDescent="0.25">
      <c r="A848" t="s">
        <v>8307</v>
      </c>
      <c r="B848" t="s">
        <v>8308</v>
      </c>
      <c r="C848" t="s">
        <v>8312</v>
      </c>
      <c r="D848" t="s">
        <v>8313</v>
      </c>
      <c r="E848" t="s">
        <v>8314</v>
      </c>
      <c r="F848" t="s">
        <v>5</v>
      </c>
      <c r="G848" t="s">
        <v>5</v>
      </c>
      <c r="H848" t="s">
        <v>5</v>
      </c>
      <c r="I848" t="s">
        <v>8295</v>
      </c>
      <c r="J848" t="s">
        <v>96</v>
      </c>
      <c r="K848" s="3">
        <f t="shared" si="26"/>
        <v>0</v>
      </c>
      <c r="L848" s="3">
        <f>IF(ISERROR(VLOOKUP(J848,Lookups!$A$2:$A$16,1,FALSE)),1,0)</f>
        <v>0</v>
      </c>
      <c r="M848" s="3">
        <f>IF(ISERROR(VLOOKUP(D848,Data!$A$2:$D$223100,2,FALSE)),0,1)</f>
        <v>1</v>
      </c>
      <c r="N848" s="3">
        <f t="shared" si="27"/>
        <v>0</v>
      </c>
      <c r="O848" s="3" t="str">
        <f>IF(ISERROR(VLOOKUP(D848,Data!$A$2:$C$223100,3,FALSE)),"INACTIVE",VLOOKUP(D848,Data!$A$2:$C$223100,3,FALSE))</f>
        <v>180+</v>
      </c>
    </row>
    <row r="849" spans="1:15" x14ac:dyDescent="0.25">
      <c r="A849" t="s">
        <v>8307</v>
      </c>
      <c r="B849" t="s">
        <v>8308</v>
      </c>
      <c r="C849" t="s">
        <v>8312</v>
      </c>
      <c r="D849" t="s">
        <v>8313</v>
      </c>
      <c r="E849" t="s">
        <v>8315</v>
      </c>
      <c r="F849" t="s">
        <v>5</v>
      </c>
      <c r="G849" t="s">
        <v>5</v>
      </c>
      <c r="H849" t="s">
        <v>5</v>
      </c>
      <c r="I849" t="s">
        <v>8295</v>
      </c>
      <c r="J849" t="s">
        <v>96</v>
      </c>
      <c r="K849" s="3">
        <f t="shared" si="26"/>
        <v>0</v>
      </c>
      <c r="L849" s="3">
        <f>IF(ISERROR(VLOOKUP(J849,Lookups!$A$2:$A$16,1,FALSE)),1,0)</f>
        <v>0</v>
      </c>
      <c r="M849" s="3">
        <f>IF(ISERROR(VLOOKUP(D849,Data!$A$2:$D$223100,2,FALSE)),0,1)</f>
        <v>1</v>
      </c>
      <c r="N849" s="3">
        <f t="shared" si="27"/>
        <v>0</v>
      </c>
      <c r="O849" s="3" t="str">
        <f>IF(ISERROR(VLOOKUP(D849,Data!$A$2:$C$223100,3,FALSE)),"INACTIVE",VLOOKUP(D849,Data!$A$2:$C$223100,3,FALSE))</f>
        <v>180+</v>
      </c>
    </row>
    <row r="850" spans="1:15" x14ac:dyDescent="0.25">
      <c r="A850" t="s">
        <v>8307</v>
      </c>
      <c r="B850" t="s">
        <v>8308</v>
      </c>
      <c r="C850" t="s">
        <v>8312</v>
      </c>
      <c r="D850" t="s">
        <v>8313</v>
      </c>
      <c r="E850" t="s">
        <v>8316</v>
      </c>
      <c r="F850" t="s">
        <v>5</v>
      </c>
      <c r="G850" t="s">
        <v>5</v>
      </c>
      <c r="H850" t="s">
        <v>5</v>
      </c>
      <c r="I850" t="s">
        <v>8295</v>
      </c>
      <c r="J850" t="s">
        <v>96</v>
      </c>
      <c r="K850" s="3">
        <f t="shared" si="26"/>
        <v>0</v>
      </c>
      <c r="L850" s="3">
        <f>IF(ISERROR(VLOOKUP(J850,Lookups!$A$2:$A$16,1,FALSE)),1,0)</f>
        <v>0</v>
      </c>
      <c r="M850" s="3">
        <f>IF(ISERROR(VLOOKUP(D850,Data!$A$2:$D$223100,2,FALSE)),0,1)</f>
        <v>1</v>
      </c>
      <c r="N850" s="3">
        <f t="shared" si="27"/>
        <v>0</v>
      </c>
      <c r="O850" s="3" t="str">
        <f>IF(ISERROR(VLOOKUP(D850,Data!$A$2:$C$223100,3,FALSE)),"INACTIVE",VLOOKUP(D850,Data!$A$2:$C$223100,3,FALSE))</f>
        <v>180+</v>
      </c>
    </row>
    <row r="851" spans="1:15" x14ac:dyDescent="0.25">
      <c r="A851" t="s">
        <v>8307</v>
      </c>
      <c r="B851" t="s">
        <v>8308</v>
      </c>
      <c r="C851" t="s">
        <v>8317</v>
      </c>
      <c r="D851" t="s">
        <v>8318</v>
      </c>
      <c r="E851" t="s">
        <v>8319</v>
      </c>
      <c r="F851" t="s">
        <v>5</v>
      </c>
      <c r="G851" t="s">
        <v>5</v>
      </c>
      <c r="H851" t="s">
        <v>5</v>
      </c>
      <c r="I851" t="s">
        <v>8295</v>
      </c>
      <c r="J851" t="s">
        <v>90</v>
      </c>
      <c r="K851" s="3">
        <f t="shared" si="26"/>
        <v>0</v>
      </c>
      <c r="L851" s="3">
        <f>IF(ISERROR(VLOOKUP(J851,Lookups!$A$2:$A$16,1,FALSE)),1,0)</f>
        <v>0</v>
      </c>
      <c r="M851" s="3">
        <f>IF(ISERROR(VLOOKUP(D851,Data!$A$2:$D$223100,2,FALSE)),0,1)</f>
        <v>0</v>
      </c>
      <c r="N851" s="3">
        <f t="shared" si="27"/>
        <v>0</v>
      </c>
      <c r="O851" s="3" t="str">
        <f>IF(ISERROR(VLOOKUP(D851,Data!$A$2:$C$223100,3,FALSE)),"INACTIVE",VLOOKUP(D851,Data!$A$2:$C$223100,3,FALSE))</f>
        <v>INACTIVE</v>
      </c>
    </row>
    <row r="852" spans="1:15" x14ac:dyDescent="0.25">
      <c r="A852" t="s">
        <v>8320</v>
      </c>
      <c r="B852" t="s">
        <v>8321</v>
      </c>
      <c r="C852" t="s">
        <v>8322</v>
      </c>
      <c r="D852" t="s">
        <v>8323</v>
      </c>
      <c r="E852" t="s">
        <v>8324</v>
      </c>
      <c r="F852" t="s">
        <v>5</v>
      </c>
      <c r="G852" t="s">
        <v>5</v>
      </c>
      <c r="H852" t="s">
        <v>5</v>
      </c>
      <c r="I852" t="s">
        <v>8325</v>
      </c>
      <c r="J852" t="s">
        <v>7</v>
      </c>
      <c r="K852" s="3">
        <f t="shared" si="26"/>
        <v>0</v>
      </c>
      <c r="L852" s="3">
        <f>IF(ISERROR(VLOOKUP(J852,Lookups!$A$2:$A$16,1,FALSE)),1,0)</f>
        <v>1</v>
      </c>
      <c r="M852" s="3">
        <f>IF(ISERROR(VLOOKUP(D852,Data!$A$2:$D$223100,2,FALSE)),0,1)</f>
        <v>1</v>
      </c>
      <c r="N852" s="3">
        <f t="shared" si="27"/>
        <v>1</v>
      </c>
      <c r="O852" s="3" t="str">
        <f>IF(ISERROR(VLOOKUP(D852,Data!$A$2:$C$223100,3,FALSE)),"INACTIVE",VLOOKUP(D852,Data!$A$2:$C$223100,3,FALSE))</f>
        <v>FC</v>
      </c>
    </row>
    <row r="853" spans="1:15" x14ac:dyDescent="0.25">
      <c r="A853" t="s">
        <v>8326</v>
      </c>
      <c r="B853" t="s">
        <v>8327</v>
      </c>
      <c r="C853" t="s">
        <v>8328</v>
      </c>
      <c r="D853" t="s">
        <v>8329</v>
      </c>
      <c r="E853" t="s">
        <v>8330</v>
      </c>
      <c r="F853" t="s">
        <v>5</v>
      </c>
      <c r="G853" t="s">
        <v>5</v>
      </c>
      <c r="H853" t="s">
        <v>5</v>
      </c>
      <c r="I853" t="s">
        <v>8325</v>
      </c>
      <c r="J853" t="s">
        <v>7</v>
      </c>
      <c r="K853" s="3">
        <f t="shared" si="26"/>
        <v>0</v>
      </c>
      <c r="L853" s="3">
        <f>IF(ISERROR(VLOOKUP(J853,Lookups!$A$2:$A$16,1,FALSE)),1,0)</f>
        <v>1</v>
      </c>
      <c r="M853" s="3">
        <f>IF(ISERROR(VLOOKUP(D853,Data!$A$2:$D$223100,2,FALSE)),0,1)</f>
        <v>0</v>
      </c>
      <c r="N853" s="3">
        <f t="shared" si="27"/>
        <v>0</v>
      </c>
      <c r="O853" s="3" t="str">
        <f>IF(ISERROR(VLOOKUP(D853,Data!$A$2:$C$223100,3,FALSE)),"INACTIVE",VLOOKUP(D853,Data!$A$2:$C$223100,3,FALSE))</f>
        <v>INACTIVE</v>
      </c>
    </row>
    <row r="854" spans="1:15" x14ac:dyDescent="0.25">
      <c r="A854" t="s">
        <v>8326</v>
      </c>
      <c r="B854" t="s">
        <v>8327</v>
      </c>
      <c r="C854" t="s">
        <v>8331</v>
      </c>
      <c r="D854" t="s">
        <v>8332</v>
      </c>
      <c r="E854" t="s">
        <v>8333</v>
      </c>
      <c r="F854" t="s">
        <v>5</v>
      </c>
      <c r="G854" t="s">
        <v>5</v>
      </c>
      <c r="H854" t="s">
        <v>5</v>
      </c>
      <c r="I854" t="s">
        <v>8325</v>
      </c>
      <c r="J854" t="s">
        <v>7</v>
      </c>
      <c r="K854" s="3">
        <f t="shared" si="26"/>
        <v>0</v>
      </c>
      <c r="L854" s="3">
        <f>IF(ISERROR(VLOOKUP(J854,Lookups!$A$2:$A$16,1,FALSE)),1,0)</f>
        <v>1</v>
      </c>
      <c r="M854" s="3">
        <f>IF(ISERROR(VLOOKUP(D854,Data!$A$2:$D$223100,2,FALSE)),0,1)</f>
        <v>0</v>
      </c>
      <c r="N854" s="3">
        <f t="shared" si="27"/>
        <v>0</v>
      </c>
      <c r="O854" s="3" t="str">
        <f>IF(ISERROR(VLOOKUP(D854,Data!$A$2:$C$223100,3,FALSE)),"INACTIVE",VLOOKUP(D854,Data!$A$2:$C$223100,3,FALSE))</f>
        <v>INACTIVE</v>
      </c>
    </row>
    <row r="855" spans="1:15" x14ac:dyDescent="0.25">
      <c r="A855" t="s">
        <v>4530</v>
      </c>
      <c r="B855" t="s">
        <v>8354</v>
      </c>
      <c r="C855" t="s">
        <v>8355</v>
      </c>
      <c r="D855" t="s">
        <v>8356</v>
      </c>
      <c r="E855" t="s">
        <v>8357</v>
      </c>
      <c r="F855" t="s">
        <v>5</v>
      </c>
      <c r="G855" t="s">
        <v>5</v>
      </c>
      <c r="H855" t="s">
        <v>5</v>
      </c>
      <c r="I855" t="s">
        <v>8325</v>
      </c>
      <c r="J855" t="s">
        <v>7</v>
      </c>
      <c r="K855" s="3">
        <f t="shared" si="26"/>
        <v>0</v>
      </c>
      <c r="L855" s="3">
        <f>IF(ISERROR(VLOOKUP(J855,Lookups!$A$2:$A$16,1,FALSE)),1,0)</f>
        <v>1</v>
      </c>
      <c r="M855" s="3">
        <f>IF(ISERROR(VLOOKUP(D855,Data!$A$2:$D$223100,2,FALSE)),0,1)</f>
        <v>1</v>
      </c>
      <c r="N855" s="3">
        <f t="shared" si="27"/>
        <v>1</v>
      </c>
      <c r="O855" s="3" t="str">
        <f>IF(ISERROR(VLOOKUP(D855,Data!$A$2:$C$223100,3,FALSE)),"INACTIVE",VLOOKUP(D855,Data!$A$2:$C$223100,3,FALSE))</f>
        <v>Current</v>
      </c>
    </row>
    <row r="856" spans="1:15" x14ac:dyDescent="0.25">
      <c r="A856" t="s">
        <v>8038</v>
      </c>
      <c r="B856" t="s">
        <v>8039</v>
      </c>
      <c r="C856" t="s">
        <v>8040</v>
      </c>
      <c r="D856" t="s">
        <v>8041</v>
      </c>
      <c r="E856" t="s">
        <v>8042</v>
      </c>
      <c r="F856" t="s">
        <v>5</v>
      </c>
      <c r="G856" t="s">
        <v>5</v>
      </c>
      <c r="H856" t="s">
        <v>5</v>
      </c>
      <c r="I856" t="s">
        <v>8043</v>
      </c>
      <c r="J856" t="s">
        <v>96</v>
      </c>
      <c r="K856" s="3">
        <f t="shared" si="26"/>
        <v>0</v>
      </c>
      <c r="L856" s="3">
        <f>IF(ISERROR(VLOOKUP(J856,Lookups!$A$2:$A$16,1,FALSE)),1,0)</f>
        <v>0</v>
      </c>
      <c r="M856" s="3">
        <f>IF(ISERROR(VLOOKUP(D856,Data!$A$2:$D$223100,2,FALSE)),0,1)</f>
        <v>1</v>
      </c>
      <c r="N856" s="3">
        <f t="shared" si="27"/>
        <v>0</v>
      </c>
      <c r="O856" s="3" t="str">
        <f>IF(ISERROR(VLOOKUP(D856,Data!$A$2:$C$223100,3,FALSE)),"INACTIVE",VLOOKUP(D856,Data!$A$2:$C$223100,3,FALSE))</f>
        <v>30+</v>
      </c>
    </row>
    <row r="857" spans="1:15" x14ac:dyDescent="0.25">
      <c r="A857" t="s">
        <v>8038</v>
      </c>
      <c r="B857" t="s">
        <v>8039</v>
      </c>
      <c r="C857" t="s">
        <v>8044</v>
      </c>
      <c r="D857" t="s">
        <v>8045</v>
      </c>
      <c r="E857" t="s">
        <v>4918</v>
      </c>
      <c r="F857" t="s">
        <v>5</v>
      </c>
      <c r="G857" t="s">
        <v>5</v>
      </c>
      <c r="H857" t="s">
        <v>5</v>
      </c>
      <c r="I857" t="s">
        <v>8043</v>
      </c>
      <c r="J857" t="s">
        <v>90</v>
      </c>
      <c r="K857" s="3">
        <f t="shared" si="26"/>
        <v>0</v>
      </c>
      <c r="L857" s="3">
        <f>IF(ISERROR(VLOOKUP(J857,Lookups!$A$2:$A$16,1,FALSE)),1,0)</f>
        <v>0</v>
      </c>
      <c r="M857" s="3">
        <f>IF(ISERROR(VLOOKUP(D857,Data!$A$2:$D$223100,2,FALSE)),0,1)</f>
        <v>1</v>
      </c>
      <c r="N857" s="3">
        <f t="shared" si="27"/>
        <v>0</v>
      </c>
      <c r="O857" s="3" t="str">
        <f>IF(ISERROR(VLOOKUP(D857,Data!$A$2:$C$223100,3,FALSE)),"INACTIVE",VLOOKUP(D857,Data!$A$2:$C$223100,3,FALSE))</f>
        <v>BK13</v>
      </c>
    </row>
    <row r="858" spans="1:15" x14ac:dyDescent="0.25">
      <c r="A858" t="s">
        <v>8038</v>
      </c>
      <c r="B858" t="s">
        <v>8039</v>
      </c>
      <c r="C858" t="s">
        <v>8044</v>
      </c>
      <c r="D858" t="s">
        <v>8045</v>
      </c>
      <c r="E858" t="s">
        <v>8046</v>
      </c>
      <c r="F858" t="s">
        <v>5</v>
      </c>
      <c r="G858" t="s">
        <v>5</v>
      </c>
      <c r="H858" t="s">
        <v>5</v>
      </c>
      <c r="I858" t="s">
        <v>8043</v>
      </c>
      <c r="J858" t="s">
        <v>90</v>
      </c>
      <c r="K858" s="3">
        <f t="shared" si="26"/>
        <v>0</v>
      </c>
      <c r="L858" s="3">
        <f>IF(ISERROR(VLOOKUP(J858,Lookups!$A$2:$A$16,1,FALSE)),1,0)</f>
        <v>0</v>
      </c>
      <c r="M858" s="3">
        <f>IF(ISERROR(VLOOKUP(D858,Data!$A$2:$D$223100,2,FALSE)),0,1)</f>
        <v>1</v>
      </c>
      <c r="N858" s="3">
        <f t="shared" si="27"/>
        <v>0</v>
      </c>
      <c r="O858" s="3" t="str">
        <f>IF(ISERROR(VLOOKUP(D858,Data!$A$2:$C$223100,3,FALSE)),"INACTIVE",VLOOKUP(D858,Data!$A$2:$C$223100,3,FALSE))</f>
        <v>BK13</v>
      </c>
    </row>
    <row r="859" spans="1:15" x14ac:dyDescent="0.25">
      <c r="A859" t="s">
        <v>8338</v>
      </c>
      <c r="B859" t="s">
        <v>8339</v>
      </c>
      <c r="C859" t="s">
        <v>8340</v>
      </c>
      <c r="D859" t="s">
        <v>8341</v>
      </c>
      <c r="E859" t="s">
        <v>8342</v>
      </c>
      <c r="F859" t="s">
        <v>5</v>
      </c>
      <c r="G859" t="s">
        <v>5</v>
      </c>
      <c r="H859" t="s">
        <v>5</v>
      </c>
      <c r="I859" t="s">
        <v>8043</v>
      </c>
      <c r="J859" t="s">
        <v>96</v>
      </c>
      <c r="K859" s="3">
        <f t="shared" si="26"/>
        <v>0</v>
      </c>
      <c r="L859" s="3">
        <f>IF(ISERROR(VLOOKUP(J859,Lookups!$A$2:$A$16,1,FALSE)),1,0)</f>
        <v>0</v>
      </c>
      <c r="M859" s="3">
        <f>IF(ISERROR(VLOOKUP(D859,Data!$A$2:$D$223100,2,FALSE)),0,1)</f>
        <v>1</v>
      </c>
      <c r="N859" s="3">
        <f t="shared" si="27"/>
        <v>0</v>
      </c>
      <c r="O859" s="3" t="str">
        <f>IF(ISERROR(VLOOKUP(D859,Data!$A$2:$C$223100,3,FALSE)),"INACTIVE",VLOOKUP(D859,Data!$A$2:$C$223100,3,FALSE))</f>
        <v>FC</v>
      </c>
    </row>
    <row r="860" spans="1:15" x14ac:dyDescent="0.25">
      <c r="A860" t="s">
        <v>8338</v>
      </c>
      <c r="B860" t="s">
        <v>8339</v>
      </c>
      <c r="C860" t="s">
        <v>8343</v>
      </c>
      <c r="D860" t="s">
        <v>8344</v>
      </c>
      <c r="E860" t="s">
        <v>8345</v>
      </c>
      <c r="F860" t="s">
        <v>5</v>
      </c>
      <c r="G860" t="s">
        <v>5</v>
      </c>
      <c r="H860" t="s">
        <v>5</v>
      </c>
      <c r="I860" t="s">
        <v>8043</v>
      </c>
      <c r="J860" t="s">
        <v>96</v>
      </c>
      <c r="K860" s="3">
        <f t="shared" si="26"/>
        <v>0</v>
      </c>
      <c r="L860" s="3">
        <f>IF(ISERROR(VLOOKUP(J860,Lookups!$A$2:$A$16,1,FALSE)),1,0)</f>
        <v>0</v>
      </c>
      <c r="M860" s="3">
        <f>IF(ISERROR(VLOOKUP(D860,Data!$A$2:$D$223100,2,FALSE)),0,1)</f>
        <v>1</v>
      </c>
      <c r="N860" s="3">
        <f t="shared" si="27"/>
        <v>0</v>
      </c>
      <c r="O860" s="3" t="str">
        <f>IF(ISERROR(VLOOKUP(D860,Data!$A$2:$C$223100,3,FALSE)),"INACTIVE",VLOOKUP(D860,Data!$A$2:$C$223100,3,FALSE))</f>
        <v>FC</v>
      </c>
    </row>
    <row r="861" spans="1:15" x14ac:dyDescent="0.25">
      <c r="A861" t="s">
        <v>8338</v>
      </c>
      <c r="B861" t="s">
        <v>8339</v>
      </c>
      <c r="C861" t="s">
        <v>8343</v>
      </c>
      <c r="D861" t="s">
        <v>8344</v>
      </c>
      <c r="E861" t="s">
        <v>8346</v>
      </c>
      <c r="F861" t="s">
        <v>5</v>
      </c>
      <c r="G861" t="s">
        <v>5</v>
      </c>
      <c r="H861" t="s">
        <v>5</v>
      </c>
      <c r="I861" t="s">
        <v>8043</v>
      </c>
      <c r="J861" t="s">
        <v>96</v>
      </c>
      <c r="K861" s="3">
        <f t="shared" si="26"/>
        <v>0</v>
      </c>
      <c r="L861" s="3">
        <f>IF(ISERROR(VLOOKUP(J861,Lookups!$A$2:$A$16,1,FALSE)),1,0)</f>
        <v>0</v>
      </c>
      <c r="M861" s="3">
        <f>IF(ISERROR(VLOOKUP(D861,Data!$A$2:$D$223100,2,FALSE)),0,1)</f>
        <v>1</v>
      </c>
      <c r="N861" s="3">
        <f t="shared" si="27"/>
        <v>0</v>
      </c>
      <c r="O861" s="3" t="str">
        <f>IF(ISERROR(VLOOKUP(D861,Data!$A$2:$C$223100,3,FALSE)),"INACTIVE",VLOOKUP(D861,Data!$A$2:$C$223100,3,FALSE))</f>
        <v>FC</v>
      </c>
    </row>
    <row r="862" spans="1:15" x14ac:dyDescent="0.25">
      <c r="A862" t="s">
        <v>8338</v>
      </c>
      <c r="B862" t="s">
        <v>8339</v>
      </c>
      <c r="C862" t="s">
        <v>8343</v>
      </c>
      <c r="D862" t="s">
        <v>8344</v>
      </c>
      <c r="E862" t="s">
        <v>8347</v>
      </c>
      <c r="F862" t="s">
        <v>5</v>
      </c>
      <c r="G862" t="s">
        <v>5</v>
      </c>
      <c r="H862" t="s">
        <v>5</v>
      </c>
      <c r="I862" t="s">
        <v>8043</v>
      </c>
      <c r="J862" t="s">
        <v>96</v>
      </c>
      <c r="K862" s="3">
        <f t="shared" si="26"/>
        <v>0</v>
      </c>
      <c r="L862" s="3">
        <f>IF(ISERROR(VLOOKUP(J862,Lookups!$A$2:$A$16,1,FALSE)),1,0)</f>
        <v>0</v>
      </c>
      <c r="M862" s="3">
        <f>IF(ISERROR(VLOOKUP(D862,Data!$A$2:$D$223100,2,FALSE)),0,1)</f>
        <v>1</v>
      </c>
      <c r="N862" s="3">
        <f t="shared" si="27"/>
        <v>0</v>
      </c>
      <c r="O862" s="3" t="str">
        <f>IF(ISERROR(VLOOKUP(D862,Data!$A$2:$C$223100,3,FALSE)),"INACTIVE",VLOOKUP(D862,Data!$A$2:$C$223100,3,FALSE))</f>
        <v>FC</v>
      </c>
    </row>
    <row r="863" spans="1:15" x14ac:dyDescent="0.25">
      <c r="A863" t="s">
        <v>7538</v>
      </c>
      <c r="B863" t="s">
        <v>7539</v>
      </c>
      <c r="C863" t="s">
        <v>7540</v>
      </c>
      <c r="D863" t="s">
        <v>7541</v>
      </c>
      <c r="E863" t="s">
        <v>5</v>
      </c>
      <c r="F863" t="s">
        <v>5</v>
      </c>
      <c r="G863" t="s">
        <v>5</v>
      </c>
      <c r="H863" t="s">
        <v>7120</v>
      </c>
      <c r="I863" t="s">
        <v>7542</v>
      </c>
      <c r="J863" t="s">
        <v>96</v>
      </c>
      <c r="K863" s="3">
        <f t="shared" si="26"/>
        <v>0</v>
      </c>
      <c r="L863" s="3">
        <f>IF(ISERROR(VLOOKUP(J863,Lookups!$A$2:$A$16,1,FALSE)),1,0)</f>
        <v>0</v>
      </c>
      <c r="M863" s="3">
        <f>IF(ISERROR(VLOOKUP(D863,Data!$A$2:$D$223100,2,FALSE)),0,1)</f>
        <v>0</v>
      </c>
      <c r="N863" s="3">
        <f t="shared" si="27"/>
        <v>0</v>
      </c>
      <c r="O863" s="3" t="str">
        <f>IF(ISERROR(VLOOKUP(D863,Data!$A$2:$C$223100,3,FALSE)),"INACTIVE",VLOOKUP(D863,Data!$A$2:$C$223100,3,FALSE))</f>
        <v>INACTIVE</v>
      </c>
    </row>
    <row r="864" spans="1:15" x14ac:dyDescent="0.25">
      <c r="A864" t="s">
        <v>8103</v>
      </c>
      <c r="B864" t="s">
        <v>8104</v>
      </c>
      <c r="C864" t="s">
        <v>8105</v>
      </c>
      <c r="D864" t="s">
        <v>8106</v>
      </c>
      <c r="E864" t="s">
        <v>8107</v>
      </c>
      <c r="F864" t="s">
        <v>5</v>
      </c>
      <c r="G864" t="s">
        <v>5</v>
      </c>
      <c r="H864" t="s">
        <v>5</v>
      </c>
      <c r="I864" t="s">
        <v>8108</v>
      </c>
      <c r="J864" t="s">
        <v>14</v>
      </c>
      <c r="K864" s="3">
        <f t="shared" si="26"/>
        <v>0</v>
      </c>
      <c r="L864" s="3">
        <f>IF(ISERROR(VLOOKUP(J864,Lookups!$A$2:$A$16,1,FALSE)),1,0)</f>
        <v>1</v>
      </c>
      <c r="M864" s="3">
        <f>IF(ISERROR(VLOOKUP(D864,Data!$A$2:$D$223100,2,FALSE)),0,1)</f>
        <v>1</v>
      </c>
      <c r="N864" s="3">
        <f t="shared" si="27"/>
        <v>1</v>
      </c>
      <c r="O864" s="3" t="str">
        <f>IF(ISERROR(VLOOKUP(D864,Data!$A$2:$C$223100,3,FALSE)),"INACTIVE",VLOOKUP(D864,Data!$A$2:$C$223100,3,FALSE))</f>
        <v>Current</v>
      </c>
    </row>
    <row r="865" spans="1:15" x14ac:dyDescent="0.25">
      <c r="A865" t="s">
        <v>7105</v>
      </c>
      <c r="B865" t="s">
        <v>8158</v>
      </c>
      <c r="C865" t="s">
        <v>8159</v>
      </c>
      <c r="D865" t="s">
        <v>8160</v>
      </c>
      <c r="E865" t="s">
        <v>8161</v>
      </c>
      <c r="F865" t="s">
        <v>5</v>
      </c>
      <c r="G865" t="s">
        <v>5</v>
      </c>
      <c r="H865" t="s">
        <v>5</v>
      </c>
      <c r="I865" t="s">
        <v>8162</v>
      </c>
      <c r="J865" t="s">
        <v>36</v>
      </c>
      <c r="K865" s="3">
        <f t="shared" si="26"/>
        <v>0</v>
      </c>
      <c r="L865" s="3">
        <f>IF(ISERROR(VLOOKUP(J865,Lookups!$A$2:$A$16,1,FALSE)),1,0)</f>
        <v>1</v>
      </c>
      <c r="M865" s="3">
        <f>IF(ISERROR(VLOOKUP(D865,Data!$A$2:$D$223100,2,FALSE)),0,1)</f>
        <v>1</v>
      </c>
      <c r="N865" s="3">
        <f t="shared" si="27"/>
        <v>1</v>
      </c>
      <c r="O865" s="3" t="str">
        <f>IF(ISERROR(VLOOKUP(D865,Data!$A$2:$C$223100,3,FALSE)),"INACTIVE",VLOOKUP(D865,Data!$A$2:$C$223100,3,FALSE))</f>
        <v>60+</v>
      </c>
    </row>
    <row r="866" spans="1:15" x14ac:dyDescent="0.25">
      <c r="A866" t="s">
        <v>8163</v>
      </c>
      <c r="B866" t="s">
        <v>8164</v>
      </c>
      <c r="C866" t="s">
        <v>8165</v>
      </c>
      <c r="D866" t="s">
        <v>8166</v>
      </c>
      <c r="E866" t="s">
        <v>8167</v>
      </c>
      <c r="F866" t="s">
        <v>5</v>
      </c>
      <c r="G866" t="s">
        <v>5</v>
      </c>
      <c r="H866" t="s">
        <v>5</v>
      </c>
      <c r="I866" t="s">
        <v>8162</v>
      </c>
      <c r="J866" t="s">
        <v>36</v>
      </c>
      <c r="K866" s="3">
        <f t="shared" si="26"/>
        <v>0</v>
      </c>
      <c r="L866" s="3">
        <f>IF(ISERROR(VLOOKUP(J866,Lookups!$A$2:$A$16,1,FALSE)),1,0)</f>
        <v>1</v>
      </c>
      <c r="M866" s="3">
        <f>IF(ISERROR(VLOOKUP(D866,Data!$A$2:$D$223100,2,FALSE)),0,1)</f>
        <v>1</v>
      </c>
      <c r="N866" s="3">
        <f t="shared" si="27"/>
        <v>1</v>
      </c>
      <c r="O866" s="3" t="str">
        <f>IF(ISERROR(VLOOKUP(D866,Data!$A$2:$C$223100,3,FALSE)),"INACTIVE",VLOOKUP(D866,Data!$A$2:$C$223100,3,FALSE))</f>
        <v>Demand Letter</v>
      </c>
    </row>
    <row r="867" spans="1:15" x14ac:dyDescent="0.25">
      <c r="A867" t="s">
        <v>8253</v>
      </c>
      <c r="B867" t="s">
        <v>8254</v>
      </c>
      <c r="C867" t="s">
        <v>8255</v>
      </c>
      <c r="D867" t="s">
        <v>8256</v>
      </c>
      <c r="E867" t="s">
        <v>8257</v>
      </c>
      <c r="F867" t="s">
        <v>5</v>
      </c>
      <c r="G867" t="s">
        <v>5</v>
      </c>
      <c r="H867" t="s">
        <v>5</v>
      </c>
      <c r="I867" t="s">
        <v>8162</v>
      </c>
      <c r="J867" t="s">
        <v>90</v>
      </c>
      <c r="K867" s="3">
        <f t="shared" si="26"/>
        <v>0</v>
      </c>
      <c r="L867" s="3">
        <f>IF(ISERROR(VLOOKUP(J867,Lookups!$A$2:$A$16,1,FALSE)),1,0)</f>
        <v>0</v>
      </c>
      <c r="M867" s="3">
        <f>IF(ISERROR(VLOOKUP(D867,Data!$A$2:$D$223100,2,FALSE)),0,1)</f>
        <v>1</v>
      </c>
      <c r="N867" s="3">
        <f t="shared" si="27"/>
        <v>0</v>
      </c>
      <c r="O867" s="3" t="str">
        <f>IF(ISERROR(VLOOKUP(D867,Data!$A$2:$C$223100,3,FALSE)),"INACTIVE",VLOOKUP(D867,Data!$A$2:$C$223100,3,FALSE))</f>
        <v>FC</v>
      </c>
    </row>
    <row r="868" spans="1:15" x14ac:dyDescent="0.25">
      <c r="A868" t="s">
        <v>8109</v>
      </c>
      <c r="B868" t="s">
        <v>8110</v>
      </c>
      <c r="C868" t="s">
        <v>8111</v>
      </c>
      <c r="D868" t="s">
        <v>8112</v>
      </c>
      <c r="E868" t="s">
        <v>5</v>
      </c>
      <c r="F868" t="s">
        <v>8113</v>
      </c>
      <c r="G868" t="s">
        <v>5</v>
      </c>
      <c r="H868" t="s">
        <v>5</v>
      </c>
      <c r="I868" t="s">
        <v>8114</v>
      </c>
      <c r="J868" t="s">
        <v>14</v>
      </c>
      <c r="K868" s="3">
        <f t="shared" si="26"/>
        <v>0</v>
      </c>
      <c r="L868" s="3">
        <f>IF(ISERROR(VLOOKUP(J868,Lookups!$A$2:$A$16,1,FALSE)),1,0)</f>
        <v>1</v>
      </c>
      <c r="M868" s="3">
        <f>IF(ISERROR(VLOOKUP(D868,Data!$A$2:$D$223100,2,FALSE)),0,1)</f>
        <v>1</v>
      </c>
      <c r="N868" s="3">
        <f t="shared" si="27"/>
        <v>1</v>
      </c>
      <c r="O868" s="3" t="str">
        <f>IF(ISERROR(VLOOKUP(D868,Data!$A$2:$C$223100,3,FALSE)),"INACTIVE",VLOOKUP(D868,Data!$A$2:$C$223100,3,FALSE))</f>
        <v>FBA</v>
      </c>
    </row>
    <row r="869" spans="1:15" x14ac:dyDescent="0.25">
      <c r="A869" t="s">
        <v>8115</v>
      </c>
      <c r="B869" t="s">
        <v>8116</v>
      </c>
      <c r="C869" t="s">
        <v>8117</v>
      </c>
      <c r="D869" t="s">
        <v>8118</v>
      </c>
      <c r="E869" t="s">
        <v>5</v>
      </c>
      <c r="F869" t="s">
        <v>8119</v>
      </c>
      <c r="G869" t="s">
        <v>5</v>
      </c>
      <c r="H869" t="s">
        <v>5</v>
      </c>
      <c r="I869" t="s">
        <v>8120</v>
      </c>
      <c r="J869" t="s">
        <v>14</v>
      </c>
      <c r="K869" s="3">
        <f t="shared" si="26"/>
        <v>0</v>
      </c>
      <c r="L869" s="3">
        <f>IF(ISERROR(VLOOKUP(J869,Lookups!$A$2:$A$16,1,FALSE)),1,0)</f>
        <v>1</v>
      </c>
      <c r="M869" s="3">
        <f>IF(ISERROR(VLOOKUP(D869,Data!$A$2:$D$223100,2,FALSE)),0,1)</f>
        <v>1</v>
      </c>
      <c r="N869" s="3">
        <f t="shared" si="27"/>
        <v>1</v>
      </c>
      <c r="O869" s="3" t="str">
        <f>IF(ISERROR(VLOOKUP(D869,Data!$A$2:$C$223100,3,FALSE)),"INACTIVE",VLOOKUP(D869,Data!$A$2:$C$223100,3,FALSE))</f>
        <v>Current</v>
      </c>
    </row>
    <row r="870" spans="1:15" x14ac:dyDescent="0.25">
      <c r="A870" t="s">
        <v>8115</v>
      </c>
      <c r="B870" t="s">
        <v>8116</v>
      </c>
      <c r="C870" t="s">
        <v>8121</v>
      </c>
      <c r="D870" t="s">
        <v>8122</v>
      </c>
      <c r="E870" t="s">
        <v>8123</v>
      </c>
      <c r="F870" t="s">
        <v>8124</v>
      </c>
      <c r="G870" t="s">
        <v>5</v>
      </c>
      <c r="H870" t="s">
        <v>5</v>
      </c>
      <c r="I870" t="s">
        <v>8120</v>
      </c>
      <c r="J870" t="s">
        <v>7</v>
      </c>
      <c r="K870" s="3">
        <f t="shared" si="26"/>
        <v>0</v>
      </c>
      <c r="L870" s="3">
        <f>IF(ISERROR(VLOOKUP(J870,Lookups!$A$2:$A$16,1,FALSE)),1,0)</f>
        <v>1</v>
      </c>
      <c r="M870" s="3">
        <f>IF(ISERROR(VLOOKUP(D870,Data!$A$2:$D$223100,2,FALSE)),0,1)</f>
        <v>0</v>
      </c>
      <c r="N870" s="3">
        <f t="shared" si="27"/>
        <v>0</v>
      </c>
      <c r="O870" s="3" t="str">
        <f>IF(ISERROR(VLOOKUP(D870,Data!$A$2:$C$223100,3,FALSE)),"INACTIVE",VLOOKUP(D870,Data!$A$2:$C$223100,3,FALSE))</f>
        <v>INACTIVE</v>
      </c>
    </row>
    <row r="871" spans="1:15" x14ac:dyDescent="0.25">
      <c r="A871" t="s">
        <v>8115</v>
      </c>
      <c r="B871" t="s">
        <v>8116</v>
      </c>
      <c r="C871" t="s">
        <v>8121</v>
      </c>
      <c r="D871" t="s">
        <v>8122</v>
      </c>
      <c r="E871" t="s">
        <v>8125</v>
      </c>
      <c r="F871" t="s">
        <v>8126</v>
      </c>
      <c r="G871" t="s">
        <v>5</v>
      </c>
      <c r="H871" t="s">
        <v>5</v>
      </c>
      <c r="I871" t="s">
        <v>8120</v>
      </c>
      <c r="J871" t="s">
        <v>7</v>
      </c>
      <c r="K871" s="3">
        <f t="shared" si="26"/>
        <v>0</v>
      </c>
      <c r="L871" s="3">
        <f>IF(ISERROR(VLOOKUP(J871,Lookups!$A$2:$A$16,1,FALSE)),1,0)</f>
        <v>1</v>
      </c>
      <c r="M871" s="3">
        <f>IF(ISERROR(VLOOKUP(D871,Data!$A$2:$D$223100,2,FALSE)),0,1)</f>
        <v>0</v>
      </c>
      <c r="N871" s="3">
        <f t="shared" si="27"/>
        <v>0</v>
      </c>
      <c r="O871" s="3" t="str">
        <f>IF(ISERROR(VLOOKUP(D871,Data!$A$2:$C$223100,3,FALSE)),"INACTIVE",VLOOKUP(D871,Data!$A$2:$C$223100,3,FALSE))</f>
        <v>INACTIVE</v>
      </c>
    </row>
    <row r="872" spans="1:15" x14ac:dyDescent="0.25">
      <c r="A872" t="s">
        <v>8115</v>
      </c>
      <c r="B872" t="s">
        <v>8116</v>
      </c>
      <c r="C872" t="s">
        <v>8127</v>
      </c>
      <c r="D872" t="s">
        <v>8128</v>
      </c>
      <c r="E872" t="s">
        <v>5</v>
      </c>
      <c r="F872" t="s">
        <v>8129</v>
      </c>
      <c r="G872" t="s">
        <v>5</v>
      </c>
      <c r="H872" t="s">
        <v>5</v>
      </c>
      <c r="I872" t="s">
        <v>8120</v>
      </c>
      <c r="J872" t="s">
        <v>14</v>
      </c>
      <c r="K872" s="3">
        <f t="shared" si="26"/>
        <v>0</v>
      </c>
      <c r="L872" s="3">
        <f>IF(ISERROR(VLOOKUP(J872,Lookups!$A$2:$A$16,1,FALSE)),1,0)</f>
        <v>1</v>
      </c>
      <c r="M872" s="3">
        <f>IF(ISERROR(VLOOKUP(D872,Data!$A$2:$D$223100,2,FALSE)),0,1)</f>
        <v>1</v>
      </c>
      <c r="N872" s="3">
        <f t="shared" si="27"/>
        <v>1</v>
      </c>
      <c r="O872" s="3" t="str">
        <f>IF(ISERROR(VLOOKUP(D872,Data!$A$2:$C$223100,3,FALSE)),"INACTIVE",VLOOKUP(D872,Data!$A$2:$C$223100,3,FALSE))</f>
        <v>90+</v>
      </c>
    </row>
    <row r="873" spans="1:15" x14ac:dyDescent="0.25">
      <c r="A873" t="s">
        <v>8115</v>
      </c>
      <c r="B873" t="s">
        <v>8116</v>
      </c>
      <c r="C873" t="s">
        <v>8130</v>
      </c>
      <c r="D873" t="s">
        <v>8131</v>
      </c>
      <c r="E873" t="s">
        <v>5</v>
      </c>
      <c r="F873" t="s">
        <v>8132</v>
      </c>
      <c r="G873" t="s">
        <v>5</v>
      </c>
      <c r="H873" t="s">
        <v>5</v>
      </c>
      <c r="I873" t="s">
        <v>8120</v>
      </c>
      <c r="J873" t="s">
        <v>7</v>
      </c>
      <c r="K873" s="3">
        <f t="shared" si="26"/>
        <v>0</v>
      </c>
      <c r="L873" s="3">
        <f>IF(ISERROR(VLOOKUP(J873,Lookups!$A$2:$A$16,1,FALSE)),1,0)</f>
        <v>1</v>
      </c>
      <c r="M873" s="3">
        <f>IF(ISERROR(VLOOKUP(D873,Data!$A$2:$D$223100,2,FALSE)),0,1)</f>
        <v>1</v>
      </c>
      <c r="N873" s="3">
        <f t="shared" si="27"/>
        <v>1</v>
      </c>
      <c r="O873" s="3" t="str">
        <f>IF(ISERROR(VLOOKUP(D873,Data!$A$2:$C$223100,3,FALSE)),"INACTIVE",VLOOKUP(D873,Data!$A$2:$C$223100,3,FALSE))</f>
        <v>FC</v>
      </c>
    </row>
    <row r="874" spans="1:15" x14ac:dyDescent="0.25">
      <c r="A874" t="s">
        <v>8115</v>
      </c>
      <c r="B874" t="s">
        <v>8116</v>
      </c>
      <c r="C874" t="s">
        <v>8130</v>
      </c>
      <c r="D874" t="s">
        <v>8131</v>
      </c>
      <c r="E874" t="s">
        <v>8133</v>
      </c>
      <c r="F874" t="s">
        <v>8133</v>
      </c>
      <c r="G874" t="s">
        <v>5</v>
      </c>
      <c r="H874" t="s">
        <v>5</v>
      </c>
      <c r="I874" t="s">
        <v>8120</v>
      </c>
      <c r="J874" t="s">
        <v>7</v>
      </c>
      <c r="K874" s="3">
        <f t="shared" si="26"/>
        <v>0</v>
      </c>
      <c r="L874" s="3">
        <f>IF(ISERROR(VLOOKUP(J874,Lookups!$A$2:$A$16,1,FALSE)),1,0)</f>
        <v>1</v>
      </c>
      <c r="M874" s="3">
        <f>IF(ISERROR(VLOOKUP(D874,Data!$A$2:$D$223100,2,FALSE)),0,1)</f>
        <v>1</v>
      </c>
      <c r="N874" s="3">
        <f t="shared" si="27"/>
        <v>1</v>
      </c>
      <c r="O874" s="3" t="str">
        <f>IF(ISERROR(VLOOKUP(D874,Data!$A$2:$C$223100,3,FALSE)),"INACTIVE",VLOOKUP(D874,Data!$A$2:$C$223100,3,FALSE))</f>
        <v>FC</v>
      </c>
    </row>
    <row r="875" spans="1:15" x14ac:dyDescent="0.25">
      <c r="A875" t="s">
        <v>8115</v>
      </c>
      <c r="B875" t="s">
        <v>8116</v>
      </c>
      <c r="C875" t="s">
        <v>8134</v>
      </c>
      <c r="D875" t="s">
        <v>8135</v>
      </c>
      <c r="E875" t="s">
        <v>5</v>
      </c>
      <c r="F875" t="s">
        <v>8136</v>
      </c>
      <c r="G875" t="s">
        <v>5</v>
      </c>
      <c r="H875" t="s">
        <v>5</v>
      </c>
      <c r="I875" t="s">
        <v>8120</v>
      </c>
      <c r="J875" t="s">
        <v>14</v>
      </c>
      <c r="K875" s="3">
        <f t="shared" si="26"/>
        <v>0</v>
      </c>
      <c r="L875" s="3">
        <f>IF(ISERROR(VLOOKUP(J875,Lookups!$A$2:$A$16,1,FALSE)),1,0)</f>
        <v>1</v>
      </c>
      <c r="M875" s="3">
        <f>IF(ISERROR(VLOOKUP(D875,Data!$A$2:$D$223100,2,FALSE)),0,1)</f>
        <v>1</v>
      </c>
      <c r="N875" s="3">
        <f t="shared" si="27"/>
        <v>1</v>
      </c>
      <c r="O875" s="3" t="str">
        <f>IF(ISERROR(VLOOKUP(D875,Data!$A$2:$C$223100,3,FALSE)),"INACTIVE",VLOOKUP(D875,Data!$A$2:$C$223100,3,FALSE))</f>
        <v>FC</v>
      </c>
    </row>
    <row r="876" spans="1:15" x14ac:dyDescent="0.25">
      <c r="A876" t="s">
        <v>8144</v>
      </c>
      <c r="B876" t="s">
        <v>8145</v>
      </c>
      <c r="C876" t="s">
        <v>8146</v>
      </c>
      <c r="D876" t="s">
        <v>8147</v>
      </c>
      <c r="E876" t="s">
        <v>8148</v>
      </c>
      <c r="F876" t="s">
        <v>8148</v>
      </c>
      <c r="G876" t="s">
        <v>5</v>
      </c>
      <c r="H876" t="s">
        <v>5</v>
      </c>
      <c r="I876" t="s">
        <v>8149</v>
      </c>
      <c r="J876" t="s">
        <v>14</v>
      </c>
      <c r="K876" s="3">
        <f t="shared" si="26"/>
        <v>0</v>
      </c>
      <c r="L876" s="3">
        <f>IF(ISERROR(VLOOKUP(J876,Lookups!$A$2:$A$16,1,FALSE)),1,0)</f>
        <v>1</v>
      </c>
      <c r="M876" s="3">
        <f>IF(ISERROR(VLOOKUP(D876,Data!$A$2:$D$223100,2,FALSE)),0,1)</f>
        <v>1</v>
      </c>
      <c r="N876" s="3">
        <f t="shared" si="27"/>
        <v>1</v>
      </c>
      <c r="O876" s="3" t="str">
        <f>IF(ISERROR(VLOOKUP(D876,Data!$A$2:$C$223100,3,FALSE)),"INACTIVE",VLOOKUP(D876,Data!$A$2:$C$223100,3,FALSE))</f>
        <v>FC</v>
      </c>
    </row>
    <row r="877" spans="1:15" x14ac:dyDescent="0.25">
      <c r="A877" t="s">
        <v>8144</v>
      </c>
      <c r="B877" t="s">
        <v>8145</v>
      </c>
      <c r="C877" t="s">
        <v>8150</v>
      </c>
      <c r="D877" t="s">
        <v>8151</v>
      </c>
      <c r="E877" t="s">
        <v>8152</v>
      </c>
      <c r="F877" t="s">
        <v>8152</v>
      </c>
      <c r="G877" t="s">
        <v>5</v>
      </c>
      <c r="H877" t="s">
        <v>5</v>
      </c>
      <c r="I877" t="s">
        <v>8149</v>
      </c>
      <c r="J877" t="s">
        <v>14</v>
      </c>
      <c r="K877" s="3">
        <f t="shared" si="26"/>
        <v>0</v>
      </c>
      <c r="L877" s="3">
        <f>IF(ISERROR(VLOOKUP(J877,Lookups!$A$2:$A$16,1,FALSE)),1,0)</f>
        <v>1</v>
      </c>
      <c r="M877" s="3">
        <f>IF(ISERROR(VLOOKUP(D877,Data!$A$2:$D$223100,2,FALSE)),0,1)</f>
        <v>1</v>
      </c>
      <c r="N877" s="3">
        <f t="shared" si="27"/>
        <v>1</v>
      </c>
      <c r="O877" s="3" t="str">
        <f>IF(ISERROR(VLOOKUP(D877,Data!$A$2:$C$223100,3,FALSE)),"INACTIVE",VLOOKUP(D877,Data!$A$2:$C$223100,3,FALSE))</f>
        <v>FC</v>
      </c>
    </row>
    <row r="878" spans="1:15" x14ac:dyDescent="0.25">
      <c r="A878" t="s">
        <v>8153</v>
      </c>
      <c r="B878" t="s">
        <v>8154</v>
      </c>
      <c r="C878" t="s">
        <v>8155</v>
      </c>
      <c r="D878" t="s">
        <v>8156</v>
      </c>
      <c r="E878" t="s">
        <v>5</v>
      </c>
      <c r="F878" t="s">
        <v>8157</v>
      </c>
      <c r="G878" t="s">
        <v>5</v>
      </c>
      <c r="H878" t="s">
        <v>5</v>
      </c>
      <c r="I878" t="s">
        <v>8149</v>
      </c>
      <c r="J878" t="s">
        <v>14</v>
      </c>
      <c r="K878" s="3">
        <f t="shared" si="26"/>
        <v>0</v>
      </c>
      <c r="L878" s="3">
        <f>IF(ISERROR(VLOOKUP(J878,Lookups!$A$2:$A$16,1,FALSE)),1,0)</f>
        <v>1</v>
      </c>
      <c r="M878" s="3">
        <f>IF(ISERROR(VLOOKUP(D878,Data!$A$2:$D$223100,2,FALSE)),0,1)</f>
        <v>1</v>
      </c>
      <c r="N878" s="3">
        <f t="shared" si="27"/>
        <v>1</v>
      </c>
      <c r="O878" s="3" t="str">
        <f>IF(ISERROR(VLOOKUP(D878,Data!$A$2:$C$223100,3,FALSE)),"INACTIVE",VLOOKUP(D878,Data!$A$2:$C$223100,3,FALSE))</f>
        <v>90+</v>
      </c>
    </row>
    <row r="879" spans="1:15" x14ac:dyDescent="0.25">
      <c r="A879" t="s">
        <v>8137</v>
      </c>
      <c r="B879" t="s">
        <v>8138</v>
      </c>
      <c r="C879" t="s">
        <v>8139</v>
      </c>
      <c r="D879" t="s">
        <v>8140</v>
      </c>
      <c r="E879" t="s">
        <v>8141</v>
      </c>
      <c r="F879" t="s">
        <v>8142</v>
      </c>
      <c r="G879" t="s">
        <v>5</v>
      </c>
      <c r="H879" t="s">
        <v>5</v>
      </c>
      <c r="I879" t="s">
        <v>8143</v>
      </c>
      <c r="J879" t="s">
        <v>14</v>
      </c>
      <c r="K879" s="3">
        <f t="shared" si="26"/>
        <v>0</v>
      </c>
      <c r="L879" s="3">
        <f>IF(ISERROR(VLOOKUP(J879,Lookups!$A$2:$A$16,1,FALSE)),1,0)</f>
        <v>1</v>
      </c>
      <c r="M879" s="3">
        <f>IF(ISERROR(VLOOKUP(D879,Data!$A$2:$D$223100,2,FALSE)),0,1)</f>
        <v>1</v>
      </c>
      <c r="N879" s="3">
        <f t="shared" si="27"/>
        <v>1</v>
      </c>
      <c r="O879" s="3" t="str">
        <f>IF(ISERROR(VLOOKUP(D879,Data!$A$2:$C$223100,3,FALSE)),"INACTIVE",VLOOKUP(D879,Data!$A$2:$C$223100,3,FALSE))</f>
        <v>Demand Letter</v>
      </c>
    </row>
    <row r="880" spans="1:15" x14ac:dyDescent="0.25">
      <c r="A880" t="s">
        <v>7387</v>
      </c>
      <c r="B880" t="s">
        <v>7388</v>
      </c>
      <c r="C880" t="s">
        <v>7389</v>
      </c>
      <c r="D880" t="s">
        <v>7390</v>
      </c>
      <c r="E880" t="s">
        <v>5</v>
      </c>
      <c r="F880" t="s">
        <v>5</v>
      </c>
      <c r="G880" t="s">
        <v>7391</v>
      </c>
      <c r="H880" t="s">
        <v>7392</v>
      </c>
      <c r="I880" t="s">
        <v>7393</v>
      </c>
      <c r="J880" t="s">
        <v>7</v>
      </c>
      <c r="K880" s="3">
        <f t="shared" si="26"/>
        <v>0</v>
      </c>
      <c r="L880" s="3">
        <f>IF(ISERROR(VLOOKUP(J880,Lookups!$A$2:$A$16,1,FALSE)),1,0)</f>
        <v>1</v>
      </c>
      <c r="M880" s="3">
        <f>IF(ISERROR(VLOOKUP(D880,Data!$A$2:$D$223100,2,FALSE)),0,1)</f>
        <v>1</v>
      </c>
      <c r="N880" s="3">
        <f t="shared" si="27"/>
        <v>1</v>
      </c>
      <c r="O880" s="3" t="str">
        <f>IF(ISERROR(VLOOKUP(D880,Data!$A$2:$C$223100,3,FALSE)),"INACTIVE",VLOOKUP(D880,Data!$A$2:$C$223100,3,FALSE))</f>
        <v>Current</v>
      </c>
    </row>
    <row r="881" spans="1:15" x14ac:dyDescent="0.25">
      <c r="A881" t="s">
        <v>7543</v>
      </c>
      <c r="B881" t="s">
        <v>7544</v>
      </c>
      <c r="C881" t="s">
        <v>7545</v>
      </c>
      <c r="D881" t="s">
        <v>7546</v>
      </c>
      <c r="E881" t="s">
        <v>5</v>
      </c>
      <c r="F881" t="s">
        <v>5</v>
      </c>
      <c r="G881" t="s">
        <v>5</v>
      </c>
      <c r="H881" t="s">
        <v>7547</v>
      </c>
      <c r="I881" t="s">
        <v>7393</v>
      </c>
      <c r="J881" t="s">
        <v>7</v>
      </c>
      <c r="K881" s="3">
        <f t="shared" si="26"/>
        <v>0</v>
      </c>
      <c r="L881" s="3">
        <f>IF(ISERROR(VLOOKUP(J881,Lookups!$A$2:$A$16,1,FALSE)),1,0)</f>
        <v>1</v>
      </c>
      <c r="M881" s="3">
        <f>IF(ISERROR(VLOOKUP(D881,Data!$A$2:$D$223100,2,FALSE)),0,1)</f>
        <v>1</v>
      </c>
      <c r="N881" s="3">
        <f t="shared" si="27"/>
        <v>1</v>
      </c>
      <c r="O881" s="3" t="str">
        <f>IF(ISERROR(VLOOKUP(D881,Data!$A$2:$C$223100,3,FALSE)),"INACTIVE",VLOOKUP(D881,Data!$A$2:$C$223100,3,FALSE))</f>
        <v>Current</v>
      </c>
    </row>
    <row r="882" spans="1:15" x14ac:dyDescent="0.25">
      <c r="A882" t="s">
        <v>7543</v>
      </c>
      <c r="B882" t="s">
        <v>7544</v>
      </c>
      <c r="C882" t="s">
        <v>7548</v>
      </c>
      <c r="D882" t="s">
        <v>7549</v>
      </c>
      <c r="E882" t="s">
        <v>5</v>
      </c>
      <c r="F882" t="s">
        <v>5</v>
      </c>
      <c r="G882" t="s">
        <v>5</v>
      </c>
      <c r="H882" t="s">
        <v>7550</v>
      </c>
      <c r="I882" t="s">
        <v>7393</v>
      </c>
      <c r="J882" t="s">
        <v>7</v>
      </c>
      <c r="K882" s="3">
        <f t="shared" si="26"/>
        <v>0</v>
      </c>
      <c r="L882" s="3">
        <f>IF(ISERROR(VLOOKUP(J882,Lookups!$A$2:$A$16,1,FALSE)),1,0)</f>
        <v>1</v>
      </c>
      <c r="M882" s="3">
        <f>IF(ISERROR(VLOOKUP(D882,Data!$A$2:$D$223100,2,FALSE)),0,1)</f>
        <v>1</v>
      </c>
      <c r="N882" s="3">
        <f t="shared" si="27"/>
        <v>1</v>
      </c>
      <c r="O882" s="3" t="str">
        <f>IF(ISERROR(VLOOKUP(D882,Data!$A$2:$C$223100,3,FALSE)),"INACTIVE",VLOOKUP(D882,Data!$A$2:$C$223100,3,FALSE))</f>
        <v>180+</v>
      </c>
    </row>
    <row r="883" spans="1:15" x14ac:dyDescent="0.25">
      <c r="A883" t="s">
        <v>7543</v>
      </c>
      <c r="B883" t="s">
        <v>7544</v>
      </c>
      <c r="C883" t="s">
        <v>7548</v>
      </c>
      <c r="D883" t="s">
        <v>7551</v>
      </c>
      <c r="E883" t="s">
        <v>5</v>
      </c>
      <c r="F883" t="s">
        <v>5</v>
      </c>
      <c r="G883" t="s">
        <v>5</v>
      </c>
      <c r="H883" t="s">
        <v>7550</v>
      </c>
      <c r="I883" t="s">
        <v>7393</v>
      </c>
      <c r="J883" t="s">
        <v>7</v>
      </c>
      <c r="K883" s="3">
        <f t="shared" si="26"/>
        <v>0</v>
      </c>
      <c r="L883" s="3">
        <f>IF(ISERROR(VLOOKUP(J883,Lookups!$A$2:$A$16,1,FALSE)),1,0)</f>
        <v>1</v>
      </c>
      <c r="M883" s="3">
        <f>IF(ISERROR(VLOOKUP(D883,Data!$A$2:$D$223100,2,FALSE)),0,1)</f>
        <v>1</v>
      </c>
      <c r="N883" s="3">
        <f t="shared" si="27"/>
        <v>1</v>
      </c>
      <c r="O883" s="3" t="str">
        <f>IF(ISERROR(VLOOKUP(D883,Data!$A$2:$C$223100,3,FALSE)),"INACTIVE",VLOOKUP(D883,Data!$A$2:$C$223100,3,FALSE))</f>
        <v>Current</v>
      </c>
    </row>
    <row r="884" spans="1:15" x14ac:dyDescent="0.25">
      <c r="A884" t="s">
        <v>7567</v>
      </c>
      <c r="B884" t="s">
        <v>7568</v>
      </c>
      <c r="C884" t="s">
        <v>7569</v>
      </c>
      <c r="D884" t="s">
        <v>7570</v>
      </c>
      <c r="E884" t="s">
        <v>5</v>
      </c>
      <c r="F884" t="s">
        <v>5</v>
      </c>
      <c r="G884" t="s">
        <v>5</v>
      </c>
      <c r="H884" t="s">
        <v>7120</v>
      </c>
      <c r="I884" t="s">
        <v>7393</v>
      </c>
      <c r="J884" t="s">
        <v>96</v>
      </c>
      <c r="K884" s="3">
        <f t="shared" si="26"/>
        <v>0</v>
      </c>
      <c r="L884" s="3">
        <f>IF(ISERROR(VLOOKUP(J884,Lookups!$A$2:$A$16,1,FALSE)),1,0)</f>
        <v>0</v>
      </c>
      <c r="M884" s="3">
        <f>IF(ISERROR(VLOOKUP(D884,Data!$A$2:$D$223100,2,FALSE)),0,1)</f>
        <v>1</v>
      </c>
      <c r="N884" s="3">
        <f t="shared" si="27"/>
        <v>0</v>
      </c>
      <c r="O884" s="3" t="str">
        <f>IF(ISERROR(VLOOKUP(D884,Data!$A$2:$C$223100,3,FALSE)),"INACTIVE",VLOOKUP(D884,Data!$A$2:$C$223100,3,FALSE))</f>
        <v>60+</v>
      </c>
    </row>
    <row r="885" spans="1:15" x14ac:dyDescent="0.25">
      <c r="A885" t="s">
        <v>7581</v>
      </c>
      <c r="B885" t="s">
        <v>7582</v>
      </c>
      <c r="C885" t="s">
        <v>7583</v>
      </c>
      <c r="D885" t="s">
        <v>7584</v>
      </c>
      <c r="E885" t="s">
        <v>5</v>
      </c>
      <c r="F885" t="s">
        <v>7585</v>
      </c>
      <c r="G885" t="s">
        <v>7586</v>
      </c>
      <c r="H885" t="s">
        <v>7586</v>
      </c>
      <c r="I885" t="s">
        <v>7393</v>
      </c>
      <c r="J885" t="s">
        <v>7</v>
      </c>
      <c r="K885" s="3">
        <f t="shared" si="26"/>
        <v>0</v>
      </c>
      <c r="L885" s="3">
        <f>IF(ISERROR(VLOOKUP(J885,Lookups!$A$2:$A$16,1,FALSE)),1,0)</f>
        <v>1</v>
      </c>
      <c r="M885" s="3">
        <f>IF(ISERROR(VLOOKUP(D885,Data!$A$2:$D$223100,2,FALSE)),0,1)</f>
        <v>0</v>
      </c>
      <c r="N885" s="3">
        <f t="shared" si="27"/>
        <v>0</v>
      </c>
      <c r="O885" s="3" t="str">
        <f>IF(ISERROR(VLOOKUP(D885,Data!$A$2:$C$223100,3,FALSE)),"INACTIVE",VLOOKUP(D885,Data!$A$2:$C$223100,3,FALSE))</f>
        <v>INACTIVE</v>
      </c>
    </row>
    <row r="886" spans="1:15" x14ac:dyDescent="0.25">
      <c r="A886" t="s">
        <v>7637</v>
      </c>
      <c r="B886" t="s">
        <v>7638</v>
      </c>
      <c r="C886" t="s">
        <v>7639</v>
      </c>
      <c r="D886" t="s">
        <v>7640</v>
      </c>
      <c r="E886" t="s">
        <v>5</v>
      </c>
      <c r="F886" t="s">
        <v>5</v>
      </c>
      <c r="G886" t="s">
        <v>5</v>
      </c>
      <c r="H886" t="s">
        <v>7641</v>
      </c>
      <c r="I886" t="s">
        <v>7393</v>
      </c>
      <c r="J886" t="s">
        <v>7</v>
      </c>
      <c r="K886" s="3">
        <f t="shared" si="26"/>
        <v>0</v>
      </c>
      <c r="L886" s="3">
        <f>IF(ISERROR(VLOOKUP(J886,Lookups!$A$2:$A$16,1,FALSE)),1,0)</f>
        <v>1</v>
      </c>
      <c r="M886" s="3">
        <f>IF(ISERROR(VLOOKUP(D886,Data!$A$2:$D$223100,2,FALSE)),0,1)</f>
        <v>1</v>
      </c>
      <c r="N886" s="3">
        <f t="shared" si="27"/>
        <v>1</v>
      </c>
      <c r="O886" s="3" t="str">
        <f>IF(ISERROR(VLOOKUP(D886,Data!$A$2:$C$223100,3,FALSE)),"INACTIVE",VLOOKUP(D886,Data!$A$2:$C$223100,3,FALSE))</f>
        <v>Current</v>
      </c>
    </row>
    <row r="887" spans="1:15" x14ac:dyDescent="0.25">
      <c r="A887" t="s">
        <v>7637</v>
      </c>
      <c r="B887" t="s">
        <v>7638</v>
      </c>
      <c r="C887" t="s">
        <v>7642</v>
      </c>
      <c r="D887" t="s">
        <v>7643</v>
      </c>
      <c r="E887" t="s">
        <v>5</v>
      </c>
      <c r="F887" t="s">
        <v>5</v>
      </c>
      <c r="G887" t="s">
        <v>5</v>
      </c>
      <c r="H887" t="s">
        <v>7644</v>
      </c>
      <c r="I887" t="s">
        <v>7393</v>
      </c>
      <c r="J887" t="s">
        <v>7</v>
      </c>
      <c r="K887" s="3">
        <f t="shared" si="26"/>
        <v>0</v>
      </c>
      <c r="L887" s="3">
        <f>IF(ISERROR(VLOOKUP(J887,Lookups!$A$2:$A$16,1,FALSE)),1,0)</f>
        <v>1</v>
      </c>
      <c r="M887" s="3">
        <f>IF(ISERROR(VLOOKUP(D887,Data!$A$2:$D$223100,2,FALSE)),0,1)</f>
        <v>1</v>
      </c>
      <c r="N887" s="3">
        <f t="shared" si="27"/>
        <v>1</v>
      </c>
      <c r="O887" s="3" t="str">
        <f>IF(ISERROR(VLOOKUP(D887,Data!$A$2:$C$223100,3,FALSE)),"INACTIVE",VLOOKUP(D887,Data!$A$2:$C$223100,3,FALSE))</f>
        <v>120+</v>
      </c>
    </row>
    <row r="888" spans="1:15" x14ac:dyDescent="0.25">
      <c r="A888" t="s">
        <v>7637</v>
      </c>
      <c r="B888" t="s">
        <v>7638</v>
      </c>
      <c r="C888" t="s">
        <v>7645</v>
      </c>
      <c r="D888" t="s">
        <v>7646</v>
      </c>
      <c r="E888" t="s">
        <v>5</v>
      </c>
      <c r="F888" t="s">
        <v>5</v>
      </c>
      <c r="G888" t="s">
        <v>5</v>
      </c>
      <c r="H888" t="s">
        <v>7647</v>
      </c>
      <c r="I888" t="s">
        <v>7393</v>
      </c>
      <c r="J888" t="s">
        <v>7</v>
      </c>
      <c r="K888" s="3">
        <f t="shared" si="26"/>
        <v>0</v>
      </c>
      <c r="L888" s="3">
        <f>IF(ISERROR(VLOOKUP(J888,Lookups!$A$2:$A$16,1,FALSE)),1,0)</f>
        <v>1</v>
      </c>
      <c r="M888" s="3">
        <f>IF(ISERROR(VLOOKUP(D888,Data!$A$2:$D$223100,2,FALSE)),0,1)</f>
        <v>1</v>
      </c>
      <c r="N888" s="3">
        <f t="shared" si="27"/>
        <v>1</v>
      </c>
      <c r="O888" s="3" t="str">
        <f>IF(ISERROR(VLOOKUP(D888,Data!$A$2:$C$223100,3,FALSE)),"INACTIVE",VLOOKUP(D888,Data!$A$2:$C$223100,3,FALSE))</f>
        <v>Current</v>
      </c>
    </row>
    <row r="889" spans="1:15" x14ac:dyDescent="0.25">
      <c r="A889" t="s">
        <v>7637</v>
      </c>
      <c r="B889" t="s">
        <v>7638</v>
      </c>
      <c r="C889" t="s">
        <v>7648</v>
      </c>
      <c r="D889" t="s">
        <v>7649</v>
      </c>
      <c r="E889" t="s">
        <v>5</v>
      </c>
      <c r="F889" t="s">
        <v>5</v>
      </c>
      <c r="G889" t="s">
        <v>5</v>
      </c>
      <c r="H889" t="s">
        <v>7650</v>
      </c>
      <c r="I889" t="s">
        <v>7393</v>
      </c>
      <c r="J889" t="s">
        <v>7</v>
      </c>
      <c r="K889" s="3">
        <f t="shared" si="26"/>
        <v>0</v>
      </c>
      <c r="L889" s="3">
        <f>IF(ISERROR(VLOOKUP(J889,Lookups!$A$2:$A$16,1,FALSE)),1,0)</f>
        <v>1</v>
      </c>
      <c r="M889" s="3">
        <f>IF(ISERROR(VLOOKUP(D889,Data!$A$2:$D$223100,2,FALSE)),0,1)</f>
        <v>1</v>
      </c>
      <c r="N889" s="3">
        <f t="shared" si="27"/>
        <v>1</v>
      </c>
      <c r="O889" s="3" t="str">
        <f>IF(ISERROR(VLOOKUP(D889,Data!$A$2:$C$223100,3,FALSE)),"INACTIVE",VLOOKUP(D889,Data!$A$2:$C$223100,3,FALSE))</f>
        <v>BK13</v>
      </c>
    </row>
    <row r="890" spans="1:15" x14ac:dyDescent="0.25">
      <c r="A890" t="s">
        <v>7658</v>
      </c>
      <c r="B890" t="s">
        <v>7659</v>
      </c>
      <c r="C890" t="s">
        <v>7660</v>
      </c>
      <c r="D890" t="s">
        <v>7661</v>
      </c>
      <c r="E890" t="s">
        <v>5</v>
      </c>
      <c r="F890" t="s">
        <v>5</v>
      </c>
      <c r="G890" t="s">
        <v>7662</v>
      </c>
      <c r="H890" t="s">
        <v>7663</v>
      </c>
      <c r="I890" t="s">
        <v>7393</v>
      </c>
      <c r="J890" t="s">
        <v>7</v>
      </c>
      <c r="K890" s="3">
        <f t="shared" si="26"/>
        <v>0</v>
      </c>
      <c r="L890" s="3">
        <f>IF(ISERROR(VLOOKUP(J890,Lookups!$A$2:$A$16,1,FALSE)),1,0)</f>
        <v>1</v>
      </c>
      <c r="M890" s="3">
        <f>IF(ISERROR(VLOOKUP(D890,Data!$A$2:$D$223100,2,FALSE)),0,1)</f>
        <v>1</v>
      </c>
      <c r="N890" s="3">
        <f t="shared" si="27"/>
        <v>1</v>
      </c>
      <c r="O890" s="3" t="str">
        <f>IF(ISERROR(VLOOKUP(D890,Data!$A$2:$C$223100,3,FALSE)),"INACTIVE",VLOOKUP(D890,Data!$A$2:$C$223100,3,FALSE))</f>
        <v>Current</v>
      </c>
    </row>
    <row r="891" spans="1:15" x14ac:dyDescent="0.25">
      <c r="A891" t="s">
        <v>7658</v>
      </c>
      <c r="B891" t="s">
        <v>7659</v>
      </c>
      <c r="C891" t="s">
        <v>7664</v>
      </c>
      <c r="D891" t="s">
        <v>7665</v>
      </c>
      <c r="E891" t="s">
        <v>5</v>
      </c>
      <c r="F891" t="s">
        <v>5</v>
      </c>
      <c r="G891" t="s">
        <v>7666</v>
      </c>
      <c r="H891" t="s">
        <v>7667</v>
      </c>
      <c r="I891" t="s">
        <v>7393</v>
      </c>
      <c r="J891" t="s">
        <v>7</v>
      </c>
      <c r="K891" s="3">
        <f t="shared" si="26"/>
        <v>0</v>
      </c>
      <c r="L891" s="3">
        <f>IF(ISERROR(VLOOKUP(J891,Lookups!$A$2:$A$16,1,FALSE)),1,0)</f>
        <v>1</v>
      </c>
      <c r="M891" s="3">
        <f>IF(ISERROR(VLOOKUP(D891,Data!$A$2:$D$223100,2,FALSE)),0,1)</f>
        <v>1</v>
      </c>
      <c r="N891" s="3">
        <f t="shared" si="27"/>
        <v>1</v>
      </c>
      <c r="O891" s="3" t="str">
        <f>IF(ISERROR(VLOOKUP(D891,Data!$A$2:$C$223100,3,FALSE)),"INACTIVE",VLOOKUP(D891,Data!$A$2:$C$223100,3,FALSE))</f>
        <v>60+</v>
      </c>
    </row>
    <row r="892" spans="1:15" x14ac:dyDescent="0.25">
      <c r="A892" t="s">
        <v>7658</v>
      </c>
      <c r="B892" t="s">
        <v>7659</v>
      </c>
      <c r="C892" t="s">
        <v>7668</v>
      </c>
      <c r="D892" t="s">
        <v>7669</v>
      </c>
      <c r="E892" t="s">
        <v>5</v>
      </c>
      <c r="F892" t="s">
        <v>5</v>
      </c>
      <c r="G892" t="s">
        <v>7670</v>
      </c>
      <c r="H892" t="s">
        <v>7671</v>
      </c>
      <c r="I892" t="s">
        <v>7393</v>
      </c>
      <c r="J892" t="s">
        <v>7</v>
      </c>
      <c r="K892" s="3">
        <f t="shared" si="26"/>
        <v>0</v>
      </c>
      <c r="L892" s="3">
        <f>IF(ISERROR(VLOOKUP(J892,Lookups!$A$2:$A$16,1,FALSE)),1,0)</f>
        <v>1</v>
      </c>
      <c r="M892" s="3">
        <f>IF(ISERROR(VLOOKUP(D892,Data!$A$2:$D$223100,2,FALSE)),0,1)</f>
        <v>1</v>
      </c>
      <c r="N892" s="3">
        <f t="shared" si="27"/>
        <v>1</v>
      </c>
      <c r="O892" s="3" t="str">
        <f>IF(ISERROR(VLOOKUP(D892,Data!$A$2:$C$223100,3,FALSE)),"INACTIVE",VLOOKUP(D892,Data!$A$2:$C$223100,3,FALSE))</f>
        <v>Current</v>
      </c>
    </row>
    <row r="893" spans="1:15" x14ac:dyDescent="0.25">
      <c r="A893" t="s">
        <v>7672</v>
      </c>
      <c r="B893" t="s">
        <v>7673</v>
      </c>
      <c r="C893" t="s">
        <v>7674</v>
      </c>
      <c r="D893" t="s">
        <v>7675</v>
      </c>
      <c r="E893" t="s">
        <v>5</v>
      </c>
      <c r="F893" t="s">
        <v>5</v>
      </c>
      <c r="G893" t="s">
        <v>7676</v>
      </c>
      <c r="H893" t="s">
        <v>7677</v>
      </c>
      <c r="I893" t="s">
        <v>7393</v>
      </c>
      <c r="J893" t="s">
        <v>7</v>
      </c>
      <c r="K893" s="3">
        <f t="shared" si="26"/>
        <v>0</v>
      </c>
      <c r="L893" s="3">
        <f>IF(ISERROR(VLOOKUP(J893,Lookups!$A$2:$A$16,1,FALSE)),1,0)</f>
        <v>1</v>
      </c>
      <c r="M893" s="3">
        <f>IF(ISERROR(VLOOKUP(D893,Data!$A$2:$D$223100,2,FALSE)),0,1)</f>
        <v>1</v>
      </c>
      <c r="N893" s="3">
        <f t="shared" si="27"/>
        <v>1</v>
      </c>
      <c r="O893" s="3" t="str">
        <f>IF(ISERROR(VLOOKUP(D893,Data!$A$2:$C$223100,3,FALSE)),"INACTIVE",VLOOKUP(D893,Data!$A$2:$C$223100,3,FALSE))</f>
        <v>Current</v>
      </c>
    </row>
    <row r="894" spans="1:15" x14ac:dyDescent="0.25">
      <c r="A894" t="s">
        <v>7678</v>
      </c>
      <c r="B894" t="s">
        <v>7679</v>
      </c>
      <c r="C894" t="s">
        <v>7680</v>
      </c>
      <c r="D894" t="s">
        <v>7681</v>
      </c>
      <c r="E894" t="s">
        <v>5</v>
      </c>
      <c r="F894" t="s">
        <v>4287</v>
      </c>
      <c r="G894" t="s">
        <v>7682</v>
      </c>
      <c r="H894" t="s">
        <v>7683</v>
      </c>
      <c r="I894" t="s">
        <v>7393</v>
      </c>
      <c r="J894" t="s">
        <v>7</v>
      </c>
      <c r="K894" s="3">
        <f t="shared" si="26"/>
        <v>0</v>
      </c>
      <c r="L894" s="3">
        <f>IF(ISERROR(VLOOKUP(J894,Lookups!$A$2:$A$16,1,FALSE)),1,0)</f>
        <v>1</v>
      </c>
      <c r="M894" s="3">
        <f>IF(ISERROR(VLOOKUP(D894,Data!$A$2:$D$223100,2,FALSE)),0,1)</f>
        <v>1</v>
      </c>
      <c r="N894" s="3">
        <f t="shared" si="27"/>
        <v>1</v>
      </c>
      <c r="O894" s="3" t="str">
        <f>IF(ISERROR(VLOOKUP(D894,Data!$A$2:$C$223100,3,FALSE)),"INACTIVE",VLOOKUP(D894,Data!$A$2:$C$223100,3,FALSE))</f>
        <v>120+</v>
      </c>
    </row>
    <row r="895" spans="1:15" x14ac:dyDescent="0.25">
      <c r="A895" t="s">
        <v>7747</v>
      </c>
      <c r="B895" t="s">
        <v>7748</v>
      </c>
      <c r="C895" t="s">
        <v>7749</v>
      </c>
      <c r="D895" t="s">
        <v>7750</v>
      </c>
      <c r="E895" t="s">
        <v>5</v>
      </c>
      <c r="F895" t="s">
        <v>5</v>
      </c>
      <c r="G895" t="s">
        <v>5</v>
      </c>
      <c r="H895" t="s">
        <v>7751</v>
      </c>
      <c r="I895" t="s">
        <v>7393</v>
      </c>
      <c r="J895" t="s">
        <v>7</v>
      </c>
      <c r="K895" s="3">
        <f t="shared" si="26"/>
        <v>0</v>
      </c>
      <c r="L895" s="3">
        <f>IF(ISERROR(VLOOKUP(J895,Lookups!$A$2:$A$16,1,FALSE)),1,0)</f>
        <v>1</v>
      </c>
      <c r="M895" s="3">
        <f>IF(ISERROR(VLOOKUP(D895,Data!$A$2:$D$223100,2,FALSE)),0,1)</f>
        <v>1</v>
      </c>
      <c r="N895" s="3">
        <f t="shared" si="27"/>
        <v>1</v>
      </c>
      <c r="O895" s="3" t="str">
        <f>IF(ISERROR(VLOOKUP(D895,Data!$A$2:$C$223100,3,FALSE)),"INACTIVE",VLOOKUP(D895,Data!$A$2:$C$223100,3,FALSE))</f>
        <v>FC</v>
      </c>
    </row>
    <row r="896" spans="1:15" x14ac:dyDescent="0.25">
      <c r="A896" t="s">
        <v>7781</v>
      </c>
      <c r="B896" t="s">
        <v>7782</v>
      </c>
      <c r="C896" t="s">
        <v>7783</v>
      </c>
      <c r="D896" t="s">
        <v>7784</v>
      </c>
      <c r="E896" t="s">
        <v>5</v>
      </c>
      <c r="F896" t="s">
        <v>5</v>
      </c>
      <c r="G896" t="s">
        <v>5</v>
      </c>
      <c r="H896" t="s">
        <v>7785</v>
      </c>
      <c r="I896" t="s">
        <v>7393</v>
      </c>
      <c r="J896" t="s">
        <v>7</v>
      </c>
      <c r="K896" s="3">
        <f t="shared" si="26"/>
        <v>0</v>
      </c>
      <c r="L896" s="3">
        <f>IF(ISERROR(VLOOKUP(J896,Lookups!$A$2:$A$16,1,FALSE)),1,0)</f>
        <v>1</v>
      </c>
      <c r="M896" s="3">
        <f>IF(ISERROR(VLOOKUP(D896,Data!$A$2:$D$223100,2,FALSE)),0,1)</f>
        <v>0</v>
      </c>
      <c r="N896" s="3">
        <f t="shared" si="27"/>
        <v>0</v>
      </c>
      <c r="O896" s="3" t="str">
        <f>IF(ISERROR(VLOOKUP(D896,Data!$A$2:$C$223100,3,FALSE)),"INACTIVE",VLOOKUP(D896,Data!$A$2:$C$223100,3,FALSE))</f>
        <v>INACTIVE</v>
      </c>
    </row>
    <row r="897" spans="1:15" x14ac:dyDescent="0.25">
      <c r="A897" t="s">
        <v>7861</v>
      </c>
      <c r="B897" t="s">
        <v>7862</v>
      </c>
      <c r="C897" t="s">
        <v>7863</v>
      </c>
      <c r="D897" t="s">
        <v>7864</v>
      </c>
      <c r="E897" t="s">
        <v>5</v>
      </c>
      <c r="F897" t="s">
        <v>5</v>
      </c>
      <c r="G897" t="s">
        <v>5</v>
      </c>
      <c r="H897" t="s">
        <v>7865</v>
      </c>
      <c r="I897" t="s">
        <v>7393</v>
      </c>
      <c r="J897" t="s">
        <v>7</v>
      </c>
      <c r="K897" s="3">
        <f t="shared" si="26"/>
        <v>0</v>
      </c>
      <c r="L897" s="3">
        <f>IF(ISERROR(VLOOKUP(J897,Lookups!$A$2:$A$16,1,FALSE)),1,0)</f>
        <v>1</v>
      </c>
      <c r="M897" s="3">
        <f>IF(ISERROR(VLOOKUP(D897,Data!$A$2:$D$223100,2,FALSE)),0,1)</f>
        <v>0</v>
      </c>
      <c r="N897" s="3">
        <f t="shared" si="27"/>
        <v>0</v>
      </c>
      <c r="O897" s="3" t="str">
        <f>IF(ISERROR(VLOOKUP(D897,Data!$A$2:$C$223100,3,FALSE)),"INACTIVE",VLOOKUP(D897,Data!$A$2:$C$223100,3,FALSE))</f>
        <v>INACTIVE</v>
      </c>
    </row>
    <row r="898" spans="1:15" x14ac:dyDescent="0.25">
      <c r="A898" t="s">
        <v>7889</v>
      </c>
      <c r="B898" t="s">
        <v>7890</v>
      </c>
      <c r="C898" t="s">
        <v>7891</v>
      </c>
      <c r="D898" t="s">
        <v>7892</v>
      </c>
      <c r="E898" t="s">
        <v>5</v>
      </c>
      <c r="F898" t="s">
        <v>5</v>
      </c>
      <c r="G898" t="s">
        <v>7893</v>
      </c>
      <c r="H898" t="s">
        <v>7894</v>
      </c>
      <c r="I898" t="s">
        <v>7393</v>
      </c>
      <c r="J898" t="s">
        <v>7</v>
      </c>
      <c r="K898" s="3">
        <f t="shared" si="26"/>
        <v>0</v>
      </c>
      <c r="L898" s="3">
        <f>IF(ISERROR(VLOOKUP(J898,Lookups!$A$2:$A$16,1,FALSE)),1,0)</f>
        <v>1</v>
      </c>
      <c r="M898" s="3">
        <f>IF(ISERROR(VLOOKUP(D898,Data!$A$2:$D$223100,2,FALSE)),0,1)</f>
        <v>1</v>
      </c>
      <c r="N898" s="3">
        <f t="shared" si="27"/>
        <v>1</v>
      </c>
      <c r="O898" s="3" t="str">
        <f>IF(ISERROR(VLOOKUP(D898,Data!$A$2:$C$223100,3,FALSE)),"INACTIVE",VLOOKUP(D898,Data!$A$2:$C$223100,3,FALSE))</f>
        <v>Current</v>
      </c>
    </row>
    <row r="899" spans="1:15" x14ac:dyDescent="0.25">
      <c r="A899" t="s">
        <v>7889</v>
      </c>
      <c r="B899" t="s">
        <v>7890</v>
      </c>
      <c r="C899" t="s">
        <v>7895</v>
      </c>
      <c r="D899" t="s">
        <v>7896</v>
      </c>
      <c r="E899" t="s">
        <v>5</v>
      </c>
      <c r="F899" t="s">
        <v>5</v>
      </c>
      <c r="G899" t="s">
        <v>5</v>
      </c>
      <c r="H899" t="s">
        <v>7897</v>
      </c>
      <c r="I899" t="s">
        <v>7393</v>
      </c>
      <c r="J899" t="s">
        <v>7</v>
      </c>
      <c r="K899" s="3">
        <f t="shared" ref="K899:K962" si="28">IF(ISERROR(FIND("LIEN",A899,1)),0,1)</f>
        <v>0</v>
      </c>
      <c r="L899" s="3">
        <f>IF(ISERROR(VLOOKUP(J899,Lookups!$A$2:$A$16,1,FALSE)),1,0)</f>
        <v>1</v>
      </c>
      <c r="M899" s="3">
        <f>IF(ISERROR(VLOOKUP(D899,Data!$A$2:$D$223100,2,FALSE)),0,1)</f>
        <v>1</v>
      </c>
      <c r="N899" s="3">
        <f t="shared" ref="N899:N962" si="29">IF(M899=0,0,IF(SUM(K899:L899)&gt;0,1,0))</f>
        <v>1</v>
      </c>
      <c r="O899" s="3" t="str">
        <f>IF(ISERROR(VLOOKUP(D899,Data!$A$2:$C$223100,3,FALSE)),"INACTIVE",VLOOKUP(D899,Data!$A$2:$C$223100,3,FALSE))</f>
        <v>Current</v>
      </c>
    </row>
    <row r="900" spans="1:15" x14ac:dyDescent="0.25">
      <c r="A900" t="s">
        <v>7910</v>
      </c>
      <c r="B900" t="s">
        <v>7911</v>
      </c>
      <c r="C900" t="s">
        <v>7912</v>
      </c>
      <c r="D900" t="s">
        <v>7913</v>
      </c>
      <c r="E900" t="s">
        <v>5</v>
      </c>
      <c r="F900" t="s">
        <v>5</v>
      </c>
      <c r="G900" t="s">
        <v>5</v>
      </c>
      <c r="H900" t="s">
        <v>7120</v>
      </c>
      <c r="I900" t="s">
        <v>7393</v>
      </c>
      <c r="J900" t="s">
        <v>96</v>
      </c>
      <c r="K900" s="3">
        <f t="shared" si="28"/>
        <v>0</v>
      </c>
      <c r="L900" s="3">
        <f>IF(ISERROR(VLOOKUP(J900,Lookups!$A$2:$A$16,1,FALSE)),1,0)</f>
        <v>0</v>
      </c>
      <c r="M900" s="3">
        <f>IF(ISERROR(VLOOKUP(D900,Data!$A$2:$D$223100,2,FALSE)),0,1)</f>
        <v>1</v>
      </c>
      <c r="N900" s="3">
        <f t="shared" si="29"/>
        <v>0</v>
      </c>
      <c r="O900" s="3" t="str">
        <f>IF(ISERROR(VLOOKUP(D900,Data!$A$2:$C$223100,3,FALSE)),"INACTIVE",VLOOKUP(D900,Data!$A$2:$C$223100,3,FALSE))</f>
        <v>60+</v>
      </c>
    </row>
    <row r="901" spans="1:15" x14ac:dyDescent="0.25">
      <c r="A901" t="s">
        <v>7922</v>
      </c>
      <c r="B901" t="s">
        <v>7923</v>
      </c>
      <c r="C901" t="s">
        <v>7924</v>
      </c>
      <c r="D901" t="s">
        <v>7925</v>
      </c>
      <c r="E901" t="s">
        <v>5</v>
      </c>
      <c r="F901" t="s">
        <v>5</v>
      </c>
      <c r="G901" t="s">
        <v>7926</v>
      </c>
      <c r="H901" t="s">
        <v>7927</v>
      </c>
      <c r="I901" t="s">
        <v>7393</v>
      </c>
      <c r="J901" t="s">
        <v>7</v>
      </c>
      <c r="K901" s="3">
        <f t="shared" si="28"/>
        <v>0</v>
      </c>
      <c r="L901" s="3">
        <f>IF(ISERROR(VLOOKUP(J901,Lookups!$A$2:$A$16,1,FALSE)),1,0)</f>
        <v>1</v>
      </c>
      <c r="M901" s="3">
        <f>IF(ISERROR(VLOOKUP(D901,Data!$A$2:$D$223100,2,FALSE)),0,1)</f>
        <v>1</v>
      </c>
      <c r="N901" s="3">
        <f t="shared" si="29"/>
        <v>1</v>
      </c>
      <c r="O901" s="3" t="str">
        <f>IF(ISERROR(VLOOKUP(D901,Data!$A$2:$C$223100,3,FALSE)),"INACTIVE",VLOOKUP(D901,Data!$A$2:$C$223100,3,FALSE))</f>
        <v>BK13</v>
      </c>
    </row>
    <row r="902" spans="1:15" x14ac:dyDescent="0.25">
      <c r="A902" t="s">
        <v>7922</v>
      </c>
      <c r="B902" t="s">
        <v>7923</v>
      </c>
      <c r="C902" t="s">
        <v>7928</v>
      </c>
      <c r="D902" t="s">
        <v>7929</v>
      </c>
      <c r="E902" t="s">
        <v>5</v>
      </c>
      <c r="F902" t="s">
        <v>5</v>
      </c>
      <c r="G902" t="s">
        <v>7930</v>
      </c>
      <c r="H902" t="s">
        <v>7931</v>
      </c>
      <c r="I902" t="s">
        <v>7393</v>
      </c>
      <c r="J902" t="s">
        <v>7</v>
      </c>
      <c r="K902" s="3">
        <f t="shared" si="28"/>
        <v>0</v>
      </c>
      <c r="L902" s="3">
        <f>IF(ISERROR(VLOOKUP(J902,Lookups!$A$2:$A$16,1,FALSE)),1,0)</f>
        <v>1</v>
      </c>
      <c r="M902" s="3">
        <f>IF(ISERROR(VLOOKUP(D902,Data!$A$2:$D$223100,2,FALSE)),0,1)</f>
        <v>1</v>
      </c>
      <c r="N902" s="3">
        <f t="shared" si="29"/>
        <v>1</v>
      </c>
      <c r="O902" s="3" t="str">
        <f>IF(ISERROR(VLOOKUP(D902,Data!$A$2:$C$223100,3,FALSE)),"INACTIVE",VLOOKUP(D902,Data!$A$2:$C$223100,3,FALSE))</f>
        <v>Current</v>
      </c>
    </row>
    <row r="903" spans="1:15" x14ac:dyDescent="0.25">
      <c r="A903" t="s">
        <v>7936</v>
      </c>
      <c r="B903" t="s">
        <v>7937</v>
      </c>
      <c r="C903" t="s">
        <v>7938</v>
      </c>
      <c r="D903" t="s">
        <v>7939</v>
      </c>
      <c r="E903" t="s">
        <v>5</v>
      </c>
      <c r="F903" t="s">
        <v>5</v>
      </c>
      <c r="G903" t="s">
        <v>5</v>
      </c>
      <c r="H903" t="s">
        <v>7940</v>
      </c>
      <c r="I903" t="s">
        <v>7393</v>
      </c>
      <c r="J903" t="s">
        <v>7</v>
      </c>
      <c r="K903" s="3">
        <f t="shared" si="28"/>
        <v>0</v>
      </c>
      <c r="L903" s="3">
        <f>IF(ISERROR(VLOOKUP(J903,Lookups!$A$2:$A$16,1,FALSE)),1,0)</f>
        <v>1</v>
      </c>
      <c r="M903" s="3">
        <f>IF(ISERROR(VLOOKUP(D903,Data!$A$2:$D$223100,2,FALSE)),0,1)</f>
        <v>1</v>
      </c>
      <c r="N903" s="3">
        <f t="shared" si="29"/>
        <v>1</v>
      </c>
      <c r="O903" s="3" t="str">
        <f>IF(ISERROR(VLOOKUP(D903,Data!$A$2:$C$223100,3,FALSE)),"INACTIVE",VLOOKUP(D903,Data!$A$2:$C$223100,3,FALSE))</f>
        <v>FBA</v>
      </c>
    </row>
    <row r="904" spans="1:15" x14ac:dyDescent="0.25">
      <c r="A904" t="s">
        <v>7941</v>
      </c>
      <c r="B904" t="s">
        <v>7942</v>
      </c>
      <c r="C904" t="s">
        <v>7943</v>
      </c>
      <c r="D904" t="s">
        <v>7944</v>
      </c>
      <c r="E904" t="s">
        <v>5</v>
      </c>
      <c r="F904" t="s">
        <v>5</v>
      </c>
      <c r="G904" t="s">
        <v>7945</v>
      </c>
      <c r="H904" t="s">
        <v>7946</v>
      </c>
      <c r="I904" t="s">
        <v>7393</v>
      </c>
      <c r="J904" t="s">
        <v>7</v>
      </c>
      <c r="K904" s="3">
        <f t="shared" si="28"/>
        <v>0</v>
      </c>
      <c r="L904" s="3">
        <f>IF(ISERROR(VLOOKUP(J904,Lookups!$A$2:$A$16,1,FALSE)),1,0)</f>
        <v>1</v>
      </c>
      <c r="M904" s="3">
        <f>IF(ISERROR(VLOOKUP(D904,Data!$A$2:$D$223100,2,FALSE)),0,1)</f>
        <v>1</v>
      </c>
      <c r="N904" s="3">
        <f t="shared" si="29"/>
        <v>1</v>
      </c>
      <c r="O904" s="3" t="str">
        <f>IF(ISERROR(VLOOKUP(D904,Data!$A$2:$C$223100,3,FALSE)),"INACTIVE",VLOOKUP(D904,Data!$A$2:$C$223100,3,FALSE))</f>
        <v>FC</v>
      </c>
    </row>
    <row r="905" spans="1:15" x14ac:dyDescent="0.25">
      <c r="A905" t="s">
        <v>7957</v>
      </c>
      <c r="B905" t="s">
        <v>7958</v>
      </c>
      <c r="C905" t="s">
        <v>7959</v>
      </c>
      <c r="D905" t="s">
        <v>7960</v>
      </c>
      <c r="E905" t="s">
        <v>5</v>
      </c>
      <c r="F905" t="s">
        <v>5</v>
      </c>
      <c r="G905" t="s">
        <v>5</v>
      </c>
      <c r="H905" t="s">
        <v>7961</v>
      </c>
      <c r="I905" t="s">
        <v>7393</v>
      </c>
      <c r="J905" t="s">
        <v>7</v>
      </c>
      <c r="K905" s="3">
        <f t="shared" si="28"/>
        <v>0</v>
      </c>
      <c r="L905" s="3">
        <f>IF(ISERROR(VLOOKUP(J905,Lookups!$A$2:$A$16,1,FALSE)),1,0)</f>
        <v>1</v>
      </c>
      <c r="M905" s="3">
        <f>IF(ISERROR(VLOOKUP(D905,Data!$A$2:$D$223100,2,FALSE)),0,1)</f>
        <v>1</v>
      </c>
      <c r="N905" s="3">
        <f t="shared" si="29"/>
        <v>1</v>
      </c>
      <c r="O905" s="3" t="str">
        <f>IF(ISERROR(VLOOKUP(D905,Data!$A$2:$C$223100,3,FALSE)),"INACTIVE",VLOOKUP(D905,Data!$A$2:$C$223100,3,FALSE))</f>
        <v>FC</v>
      </c>
    </row>
    <row r="906" spans="1:15" x14ac:dyDescent="0.25">
      <c r="A906" t="s">
        <v>7957</v>
      </c>
      <c r="B906" t="s">
        <v>7958</v>
      </c>
      <c r="C906" t="s">
        <v>7962</v>
      </c>
      <c r="D906" t="s">
        <v>7960</v>
      </c>
      <c r="E906" t="s">
        <v>5</v>
      </c>
      <c r="F906" t="s">
        <v>5</v>
      </c>
      <c r="G906" t="s">
        <v>5</v>
      </c>
      <c r="H906" t="s">
        <v>7963</v>
      </c>
      <c r="I906" t="s">
        <v>7393</v>
      </c>
      <c r="J906" t="s">
        <v>7</v>
      </c>
      <c r="K906" s="3">
        <f t="shared" si="28"/>
        <v>0</v>
      </c>
      <c r="L906" s="3">
        <f>IF(ISERROR(VLOOKUP(J906,Lookups!$A$2:$A$16,1,FALSE)),1,0)</f>
        <v>1</v>
      </c>
      <c r="M906" s="3">
        <f>IF(ISERROR(VLOOKUP(D906,Data!$A$2:$D$223100,2,FALSE)),0,1)</f>
        <v>1</v>
      </c>
      <c r="N906" s="3">
        <f t="shared" si="29"/>
        <v>1</v>
      </c>
      <c r="O906" s="3" t="str">
        <f>IF(ISERROR(VLOOKUP(D906,Data!$A$2:$C$223100,3,FALSE)),"INACTIVE",VLOOKUP(D906,Data!$A$2:$C$223100,3,FALSE))</f>
        <v>FC</v>
      </c>
    </row>
    <row r="907" spans="1:15" x14ac:dyDescent="0.25">
      <c r="A907" t="s">
        <v>7957</v>
      </c>
      <c r="B907" t="s">
        <v>7958</v>
      </c>
      <c r="C907" t="s">
        <v>7964</v>
      </c>
      <c r="D907" t="s">
        <v>7960</v>
      </c>
      <c r="E907" t="s">
        <v>5</v>
      </c>
      <c r="F907" t="s">
        <v>5</v>
      </c>
      <c r="G907" t="s">
        <v>5</v>
      </c>
      <c r="H907" t="s">
        <v>7965</v>
      </c>
      <c r="I907" t="s">
        <v>7393</v>
      </c>
      <c r="J907" t="s">
        <v>7</v>
      </c>
      <c r="K907" s="3">
        <f t="shared" si="28"/>
        <v>0</v>
      </c>
      <c r="L907" s="3">
        <f>IF(ISERROR(VLOOKUP(J907,Lookups!$A$2:$A$16,1,FALSE)),1,0)</f>
        <v>1</v>
      </c>
      <c r="M907" s="3">
        <f>IF(ISERROR(VLOOKUP(D907,Data!$A$2:$D$223100,2,FALSE)),0,1)</f>
        <v>1</v>
      </c>
      <c r="N907" s="3">
        <f t="shared" si="29"/>
        <v>1</v>
      </c>
      <c r="O907" s="3" t="str">
        <f>IF(ISERROR(VLOOKUP(D907,Data!$A$2:$C$223100,3,FALSE)),"INACTIVE",VLOOKUP(D907,Data!$A$2:$C$223100,3,FALSE))</f>
        <v>FC</v>
      </c>
    </row>
    <row r="908" spans="1:15" x14ac:dyDescent="0.25">
      <c r="A908" t="s">
        <v>7957</v>
      </c>
      <c r="B908" t="s">
        <v>7958</v>
      </c>
      <c r="C908" t="s">
        <v>7966</v>
      </c>
      <c r="D908" t="s">
        <v>7960</v>
      </c>
      <c r="E908" t="s">
        <v>5</v>
      </c>
      <c r="F908" t="s">
        <v>5</v>
      </c>
      <c r="G908" t="s">
        <v>5</v>
      </c>
      <c r="H908" t="s">
        <v>7967</v>
      </c>
      <c r="I908" t="s">
        <v>7393</v>
      </c>
      <c r="J908" t="s">
        <v>7</v>
      </c>
      <c r="K908" s="3">
        <f t="shared" si="28"/>
        <v>0</v>
      </c>
      <c r="L908" s="3">
        <f>IF(ISERROR(VLOOKUP(J908,Lookups!$A$2:$A$16,1,FALSE)),1,0)</f>
        <v>1</v>
      </c>
      <c r="M908" s="3">
        <f>IF(ISERROR(VLOOKUP(D908,Data!$A$2:$D$223100,2,FALSE)),0,1)</f>
        <v>1</v>
      </c>
      <c r="N908" s="3">
        <f t="shared" si="29"/>
        <v>1</v>
      </c>
      <c r="O908" s="3" t="str">
        <f>IF(ISERROR(VLOOKUP(D908,Data!$A$2:$C$223100,3,FALSE)),"INACTIVE",VLOOKUP(D908,Data!$A$2:$C$223100,3,FALSE))</f>
        <v>FC</v>
      </c>
    </row>
    <row r="909" spans="1:15" x14ac:dyDescent="0.25">
      <c r="A909" t="s">
        <v>7978</v>
      </c>
      <c r="B909" t="s">
        <v>7979</v>
      </c>
      <c r="C909" t="s">
        <v>7980</v>
      </c>
      <c r="D909" t="s">
        <v>7981</v>
      </c>
      <c r="E909" t="s">
        <v>5</v>
      </c>
      <c r="F909" t="s">
        <v>5</v>
      </c>
      <c r="G909" t="s">
        <v>5</v>
      </c>
      <c r="H909" t="s">
        <v>7982</v>
      </c>
      <c r="I909" t="s">
        <v>7393</v>
      </c>
      <c r="J909" t="s">
        <v>7</v>
      </c>
      <c r="K909" s="3">
        <f t="shared" si="28"/>
        <v>0</v>
      </c>
      <c r="L909" s="3">
        <f>IF(ISERROR(VLOOKUP(J909,Lookups!$A$2:$A$16,1,FALSE)),1,0)</f>
        <v>1</v>
      </c>
      <c r="M909" s="3">
        <f>IF(ISERROR(VLOOKUP(D909,Data!$A$2:$D$223100,2,FALSE)),0,1)</f>
        <v>1</v>
      </c>
      <c r="N909" s="3">
        <f t="shared" si="29"/>
        <v>1</v>
      </c>
      <c r="O909" s="3" t="str">
        <f>IF(ISERROR(VLOOKUP(D909,Data!$A$2:$C$223100,3,FALSE)),"INACTIVE",VLOOKUP(D909,Data!$A$2:$C$223100,3,FALSE))</f>
        <v>Demand Letter</v>
      </c>
    </row>
    <row r="910" spans="1:15" x14ac:dyDescent="0.25">
      <c r="A910" t="s">
        <v>7988</v>
      </c>
      <c r="B910" t="s">
        <v>7989</v>
      </c>
      <c r="C910" t="s">
        <v>7990</v>
      </c>
      <c r="D910" t="s">
        <v>7991</v>
      </c>
      <c r="E910" t="s">
        <v>5</v>
      </c>
      <c r="F910" t="s">
        <v>5</v>
      </c>
      <c r="G910" t="s">
        <v>7992</v>
      </c>
      <c r="H910" t="s">
        <v>7993</v>
      </c>
      <c r="I910" t="s">
        <v>7393</v>
      </c>
      <c r="J910" t="s">
        <v>7</v>
      </c>
      <c r="K910" s="3">
        <f t="shared" si="28"/>
        <v>0</v>
      </c>
      <c r="L910" s="3">
        <f>IF(ISERROR(VLOOKUP(J910,Lookups!$A$2:$A$16,1,FALSE)),1,0)</f>
        <v>1</v>
      </c>
      <c r="M910" s="3">
        <f>IF(ISERROR(VLOOKUP(D910,Data!$A$2:$D$223100,2,FALSE)),0,1)</f>
        <v>1</v>
      </c>
      <c r="N910" s="3">
        <f t="shared" si="29"/>
        <v>1</v>
      </c>
      <c r="O910" s="3" t="str">
        <f>IF(ISERROR(VLOOKUP(D910,Data!$A$2:$C$223100,3,FALSE)),"INACTIVE",VLOOKUP(D910,Data!$A$2:$C$223100,3,FALSE))</f>
        <v>Current</v>
      </c>
    </row>
    <row r="911" spans="1:15" x14ac:dyDescent="0.25">
      <c r="A911" t="s">
        <v>7855</v>
      </c>
      <c r="B911" t="s">
        <v>7856</v>
      </c>
      <c r="C911" t="s">
        <v>7857</v>
      </c>
      <c r="D911" t="s">
        <v>7858</v>
      </c>
      <c r="E911" t="s">
        <v>5</v>
      </c>
      <c r="F911" t="s">
        <v>5</v>
      </c>
      <c r="G911" t="s">
        <v>5</v>
      </c>
      <c r="H911" t="s">
        <v>7859</v>
      </c>
      <c r="I911" t="s">
        <v>7860</v>
      </c>
      <c r="J911" t="s">
        <v>7</v>
      </c>
      <c r="K911" s="3">
        <f t="shared" si="28"/>
        <v>0</v>
      </c>
      <c r="L911" s="3">
        <f>IF(ISERROR(VLOOKUP(J911,Lookups!$A$2:$A$16,1,FALSE)),1,0)</f>
        <v>1</v>
      </c>
      <c r="M911" s="3">
        <f>IF(ISERROR(VLOOKUP(D911,Data!$A$2:$D$223100,2,FALSE)),0,1)</f>
        <v>1</v>
      </c>
      <c r="N911" s="3">
        <f t="shared" si="29"/>
        <v>1</v>
      </c>
      <c r="O911" s="3" t="str">
        <f>IF(ISERROR(VLOOKUP(D911,Data!$A$2:$C$223100,3,FALSE)),"INACTIVE",VLOOKUP(D911,Data!$A$2:$C$223100,3,FALSE))</f>
        <v>BK13</v>
      </c>
    </row>
    <row r="912" spans="1:15" x14ac:dyDescent="0.25">
      <c r="A912" t="s">
        <v>7623</v>
      </c>
      <c r="B912" t="s">
        <v>7624</v>
      </c>
      <c r="C912" t="s">
        <v>7625</v>
      </c>
      <c r="D912" t="s">
        <v>7626</v>
      </c>
      <c r="E912" t="s">
        <v>5</v>
      </c>
      <c r="F912" t="s">
        <v>5</v>
      </c>
      <c r="G912" t="s">
        <v>7627</v>
      </c>
      <c r="H912" t="s">
        <v>7628</v>
      </c>
      <c r="I912" t="s">
        <v>7629</v>
      </c>
      <c r="J912" t="s">
        <v>7</v>
      </c>
      <c r="K912" s="3">
        <f t="shared" si="28"/>
        <v>0</v>
      </c>
      <c r="L912" s="3">
        <f>IF(ISERROR(VLOOKUP(J912,Lookups!$A$2:$A$16,1,FALSE)),1,0)</f>
        <v>1</v>
      </c>
      <c r="M912" s="3">
        <f>IF(ISERROR(VLOOKUP(D912,Data!$A$2:$D$223100,2,FALSE)),0,1)</f>
        <v>1</v>
      </c>
      <c r="N912" s="3">
        <f t="shared" si="29"/>
        <v>1</v>
      </c>
      <c r="O912" s="3" t="str">
        <f>IF(ISERROR(VLOOKUP(D912,Data!$A$2:$C$223100,3,FALSE)),"INACTIVE",VLOOKUP(D912,Data!$A$2:$C$223100,3,FALSE))</f>
        <v>FC</v>
      </c>
    </row>
    <row r="913" spans="1:15" x14ac:dyDescent="0.25">
      <c r="A913" t="s">
        <v>7703</v>
      </c>
      <c r="B913" t="s">
        <v>7704</v>
      </c>
      <c r="C913" t="s">
        <v>7705</v>
      </c>
      <c r="D913" t="s">
        <v>7706</v>
      </c>
      <c r="E913" t="s">
        <v>7707</v>
      </c>
      <c r="F913" t="s">
        <v>7708</v>
      </c>
      <c r="G913" t="s">
        <v>7709</v>
      </c>
      <c r="H913" t="s">
        <v>7710</v>
      </c>
      <c r="I913" t="s">
        <v>7629</v>
      </c>
      <c r="J913" t="s">
        <v>7</v>
      </c>
      <c r="K913" s="3">
        <f t="shared" si="28"/>
        <v>0</v>
      </c>
      <c r="L913" s="3">
        <f>IF(ISERROR(VLOOKUP(J913,Lookups!$A$2:$A$16,1,FALSE)),1,0)</f>
        <v>1</v>
      </c>
      <c r="M913" s="3">
        <f>IF(ISERROR(VLOOKUP(D913,Data!$A$2:$D$223100,2,FALSE)),0,1)</f>
        <v>1</v>
      </c>
      <c r="N913" s="3">
        <f t="shared" si="29"/>
        <v>1</v>
      </c>
      <c r="O913" s="3" t="str">
        <f>IF(ISERROR(VLOOKUP(D913,Data!$A$2:$C$223100,3,FALSE)),"INACTIVE",VLOOKUP(D913,Data!$A$2:$C$223100,3,FALSE))</f>
        <v>BK13</v>
      </c>
    </row>
    <row r="914" spans="1:15" x14ac:dyDescent="0.25">
      <c r="A914" t="s">
        <v>7703</v>
      </c>
      <c r="B914" t="s">
        <v>7704</v>
      </c>
      <c r="C914" t="s">
        <v>7711</v>
      </c>
      <c r="D914" t="s">
        <v>7712</v>
      </c>
      <c r="E914" t="s">
        <v>5</v>
      </c>
      <c r="F914" t="s">
        <v>5</v>
      </c>
      <c r="G914" t="s">
        <v>5</v>
      </c>
      <c r="H914" t="s">
        <v>7120</v>
      </c>
      <c r="I914" t="s">
        <v>7629</v>
      </c>
      <c r="J914" t="s">
        <v>96</v>
      </c>
      <c r="K914" s="3">
        <f t="shared" si="28"/>
        <v>0</v>
      </c>
      <c r="L914" s="3">
        <f>IF(ISERROR(VLOOKUP(J914,Lookups!$A$2:$A$16,1,FALSE)),1,0)</f>
        <v>0</v>
      </c>
      <c r="M914" s="3">
        <f>IF(ISERROR(VLOOKUP(D914,Data!$A$2:$D$223100,2,FALSE)),0,1)</f>
        <v>0</v>
      </c>
      <c r="N914" s="3">
        <f t="shared" si="29"/>
        <v>0</v>
      </c>
      <c r="O914" s="3" t="str">
        <f>IF(ISERROR(VLOOKUP(D914,Data!$A$2:$C$223100,3,FALSE)),"INACTIVE",VLOOKUP(D914,Data!$A$2:$C$223100,3,FALSE))</f>
        <v>INACTIVE</v>
      </c>
    </row>
    <row r="915" spans="1:15" x14ac:dyDescent="0.25">
      <c r="A915" t="s">
        <v>7731</v>
      </c>
      <c r="B915" t="s">
        <v>7732</v>
      </c>
      <c r="C915" t="s">
        <v>7733</v>
      </c>
      <c r="D915" t="s">
        <v>7734</v>
      </c>
      <c r="E915" t="s">
        <v>5</v>
      </c>
      <c r="F915" t="s">
        <v>5</v>
      </c>
      <c r="G915" t="s">
        <v>5</v>
      </c>
      <c r="H915" t="s">
        <v>7735</v>
      </c>
      <c r="I915" t="s">
        <v>7629</v>
      </c>
      <c r="J915" t="s">
        <v>7</v>
      </c>
      <c r="K915" s="3">
        <f t="shared" si="28"/>
        <v>0</v>
      </c>
      <c r="L915" s="3">
        <f>IF(ISERROR(VLOOKUP(J915,Lookups!$A$2:$A$16,1,FALSE)),1,0)</f>
        <v>1</v>
      </c>
      <c r="M915" s="3">
        <f>IF(ISERROR(VLOOKUP(D915,Data!$A$2:$D$223100,2,FALSE)),0,1)</f>
        <v>1</v>
      </c>
      <c r="N915" s="3">
        <f t="shared" si="29"/>
        <v>1</v>
      </c>
      <c r="O915" s="3" t="str">
        <f>IF(ISERROR(VLOOKUP(D915,Data!$A$2:$C$223100,3,FALSE)),"INACTIVE",VLOOKUP(D915,Data!$A$2:$C$223100,3,FALSE))</f>
        <v>Current</v>
      </c>
    </row>
    <row r="916" spans="1:15" x14ac:dyDescent="0.25">
      <c r="A916" t="s">
        <v>7776</v>
      </c>
      <c r="B916" t="s">
        <v>7777</v>
      </c>
      <c r="C916" t="s">
        <v>7778</v>
      </c>
      <c r="D916" t="s">
        <v>7779</v>
      </c>
      <c r="E916" t="s">
        <v>5</v>
      </c>
      <c r="F916" t="s">
        <v>5</v>
      </c>
      <c r="G916" t="s">
        <v>5</v>
      </c>
      <c r="H916" t="s">
        <v>7780</v>
      </c>
      <c r="I916" t="s">
        <v>7629</v>
      </c>
      <c r="J916" t="s">
        <v>7</v>
      </c>
      <c r="K916" s="3">
        <f t="shared" si="28"/>
        <v>0</v>
      </c>
      <c r="L916" s="3">
        <f>IF(ISERROR(VLOOKUP(J916,Lookups!$A$2:$A$16,1,FALSE)),1,0)</f>
        <v>1</v>
      </c>
      <c r="M916" s="3">
        <f>IF(ISERROR(VLOOKUP(D916,Data!$A$2:$D$223100,2,FALSE)),0,1)</f>
        <v>1</v>
      </c>
      <c r="N916" s="3">
        <f t="shared" si="29"/>
        <v>1</v>
      </c>
      <c r="O916" s="3" t="str">
        <f>IF(ISERROR(VLOOKUP(D916,Data!$A$2:$C$223100,3,FALSE)),"INACTIVE",VLOOKUP(D916,Data!$A$2:$C$223100,3,FALSE))</f>
        <v>BK13</v>
      </c>
    </row>
    <row r="917" spans="1:15" x14ac:dyDescent="0.25">
      <c r="A917" t="s">
        <v>7819</v>
      </c>
      <c r="B917" t="s">
        <v>7820</v>
      </c>
      <c r="C917" t="s">
        <v>7821</v>
      </c>
      <c r="D917" t="s">
        <v>7822</v>
      </c>
      <c r="E917" t="s">
        <v>5</v>
      </c>
      <c r="F917" t="s">
        <v>5</v>
      </c>
      <c r="G917" t="s">
        <v>7823</v>
      </c>
      <c r="H917" t="s">
        <v>7824</v>
      </c>
      <c r="I917" t="s">
        <v>7629</v>
      </c>
      <c r="J917" t="s">
        <v>7</v>
      </c>
      <c r="K917" s="3">
        <f t="shared" si="28"/>
        <v>0</v>
      </c>
      <c r="L917" s="3">
        <f>IF(ISERROR(VLOOKUP(J917,Lookups!$A$2:$A$16,1,FALSE)),1,0)</f>
        <v>1</v>
      </c>
      <c r="M917" s="3">
        <f>IF(ISERROR(VLOOKUP(D917,Data!$A$2:$D$223100,2,FALSE)),0,1)</f>
        <v>1</v>
      </c>
      <c r="N917" s="3">
        <f t="shared" si="29"/>
        <v>1</v>
      </c>
      <c r="O917" s="3" t="str">
        <f>IF(ISERROR(VLOOKUP(D917,Data!$A$2:$C$223100,3,FALSE)),"INACTIVE",VLOOKUP(D917,Data!$A$2:$C$223100,3,FALSE))</f>
        <v>Current</v>
      </c>
    </row>
    <row r="918" spans="1:15" x14ac:dyDescent="0.25">
      <c r="A918" t="s">
        <v>7819</v>
      </c>
      <c r="B918" t="s">
        <v>7820</v>
      </c>
      <c r="C918" t="s">
        <v>7825</v>
      </c>
      <c r="D918" t="s">
        <v>7826</v>
      </c>
      <c r="E918" t="s">
        <v>5</v>
      </c>
      <c r="F918" t="s">
        <v>5</v>
      </c>
      <c r="G918" t="s">
        <v>5</v>
      </c>
      <c r="H918" t="s">
        <v>7120</v>
      </c>
      <c r="I918" t="s">
        <v>7629</v>
      </c>
      <c r="J918" t="s">
        <v>96</v>
      </c>
      <c r="K918" s="3">
        <f t="shared" si="28"/>
        <v>0</v>
      </c>
      <c r="L918" s="3">
        <f>IF(ISERROR(VLOOKUP(J918,Lookups!$A$2:$A$16,1,FALSE)),1,0)</f>
        <v>0</v>
      </c>
      <c r="M918" s="3">
        <f>IF(ISERROR(VLOOKUP(D918,Data!$A$2:$D$223100,2,FALSE)),0,1)</f>
        <v>1</v>
      </c>
      <c r="N918" s="3">
        <f t="shared" si="29"/>
        <v>0</v>
      </c>
      <c r="O918" s="3" t="str">
        <f>IF(ISERROR(VLOOKUP(D918,Data!$A$2:$C$223100,3,FALSE)),"INACTIVE",VLOOKUP(D918,Data!$A$2:$C$223100,3,FALSE))</f>
        <v>180+</v>
      </c>
    </row>
    <row r="919" spans="1:15" x14ac:dyDescent="0.25">
      <c r="A919" t="s">
        <v>7831</v>
      </c>
      <c r="B919" t="s">
        <v>7832</v>
      </c>
      <c r="C919" t="s">
        <v>7833</v>
      </c>
      <c r="D919" t="s">
        <v>7834</v>
      </c>
      <c r="E919" t="s">
        <v>5</v>
      </c>
      <c r="F919" t="s">
        <v>5</v>
      </c>
      <c r="G919" t="s">
        <v>5</v>
      </c>
      <c r="H919" t="s">
        <v>7120</v>
      </c>
      <c r="I919" t="s">
        <v>7629</v>
      </c>
      <c r="J919" t="s">
        <v>96</v>
      </c>
      <c r="K919" s="3">
        <f t="shared" si="28"/>
        <v>0</v>
      </c>
      <c r="L919" s="3">
        <f>IF(ISERROR(VLOOKUP(J919,Lookups!$A$2:$A$16,1,FALSE)),1,0)</f>
        <v>0</v>
      </c>
      <c r="M919" s="3">
        <f>IF(ISERROR(VLOOKUP(D919,Data!$A$2:$D$223100,2,FALSE)),0,1)</f>
        <v>1</v>
      </c>
      <c r="N919" s="3">
        <f t="shared" si="29"/>
        <v>0</v>
      </c>
      <c r="O919" s="3" t="str">
        <f>IF(ISERROR(VLOOKUP(D919,Data!$A$2:$C$223100,3,FALSE)),"INACTIVE",VLOOKUP(D919,Data!$A$2:$C$223100,3,FALSE))</f>
        <v>120+</v>
      </c>
    </row>
    <row r="920" spans="1:15" x14ac:dyDescent="0.25">
      <c r="A920" t="s">
        <v>7844</v>
      </c>
      <c r="B920" t="s">
        <v>7845</v>
      </c>
      <c r="C920" t="s">
        <v>7846</v>
      </c>
      <c r="D920" t="s">
        <v>7847</v>
      </c>
      <c r="E920" t="s">
        <v>5</v>
      </c>
      <c r="F920" t="s">
        <v>5</v>
      </c>
      <c r="G920" t="s">
        <v>5</v>
      </c>
      <c r="H920" t="s">
        <v>7848</v>
      </c>
      <c r="I920" t="s">
        <v>7629</v>
      </c>
      <c r="J920" t="s">
        <v>7</v>
      </c>
      <c r="K920" s="3">
        <f t="shared" si="28"/>
        <v>0</v>
      </c>
      <c r="L920" s="3">
        <f>IF(ISERROR(VLOOKUP(J920,Lookups!$A$2:$A$16,1,FALSE)),1,0)</f>
        <v>1</v>
      </c>
      <c r="M920" s="3">
        <f>IF(ISERROR(VLOOKUP(D920,Data!$A$2:$D$223100,2,FALSE)),0,1)</f>
        <v>0</v>
      </c>
      <c r="N920" s="3">
        <f t="shared" si="29"/>
        <v>0</v>
      </c>
      <c r="O920" s="3" t="str">
        <f>IF(ISERROR(VLOOKUP(D920,Data!$A$2:$C$223100,3,FALSE)),"INACTIVE",VLOOKUP(D920,Data!$A$2:$C$223100,3,FALSE))</f>
        <v>INACTIVE</v>
      </c>
    </row>
    <row r="921" spans="1:15" x14ac:dyDescent="0.25">
      <c r="A921" t="s">
        <v>7875</v>
      </c>
      <c r="B921" t="s">
        <v>7876</v>
      </c>
      <c r="C921" t="s">
        <v>7877</v>
      </c>
      <c r="D921" t="s">
        <v>7878</v>
      </c>
      <c r="E921" t="s">
        <v>5</v>
      </c>
      <c r="F921" t="s">
        <v>5</v>
      </c>
      <c r="G921" t="s">
        <v>5</v>
      </c>
      <c r="H921" t="s">
        <v>7120</v>
      </c>
      <c r="I921" t="s">
        <v>7629</v>
      </c>
      <c r="J921" t="s">
        <v>96</v>
      </c>
      <c r="K921" s="3">
        <f t="shared" si="28"/>
        <v>0</v>
      </c>
      <c r="L921" s="3">
        <f>IF(ISERROR(VLOOKUP(J921,Lookups!$A$2:$A$16,1,FALSE)),1,0)</f>
        <v>0</v>
      </c>
      <c r="M921" s="3">
        <f>IF(ISERROR(VLOOKUP(D921,Data!$A$2:$D$223100,2,FALSE)),0,1)</f>
        <v>1</v>
      </c>
      <c r="N921" s="3">
        <f t="shared" si="29"/>
        <v>0</v>
      </c>
      <c r="O921" s="3" t="str">
        <f>IF(ISERROR(VLOOKUP(D921,Data!$A$2:$C$223100,3,FALSE)),"INACTIVE",VLOOKUP(D921,Data!$A$2:$C$223100,3,FALSE))</f>
        <v>FC</v>
      </c>
    </row>
    <row r="922" spans="1:15" x14ac:dyDescent="0.25">
      <c r="A922" t="s">
        <v>7898</v>
      </c>
      <c r="B922" t="s">
        <v>7899</v>
      </c>
      <c r="C922" t="s">
        <v>7900</v>
      </c>
      <c r="D922" t="s">
        <v>7901</v>
      </c>
      <c r="E922" t="s">
        <v>5</v>
      </c>
      <c r="F922" t="s">
        <v>5</v>
      </c>
      <c r="G922" t="s">
        <v>5</v>
      </c>
      <c r="H922" t="s">
        <v>7902</v>
      </c>
      <c r="I922" t="s">
        <v>7629</v>
      </c>
      <c r="J922" t="s">
        <v>7</v>
      </c>
      <c r="K922" s="3">
        <f t="shared" si="28"/>
        <v>0</v>
      </c>
      <c r="L922" s="3">
        <f>IF(ISERROR(VLOOKUP(J922,Lookups!$A$2:$A$16,1,FALSE)),1,0)</f>
        <v>1</v>
      </c>
      <c r="M922" s="3">
        <f>IF(ISERROR(VLOOKUP(D922,Data!$A$2:$D$223100,2,FALSE)),0,1)</f>
        <v>1</v>
      </c>
      <c r="N922" s="3">
        <f t="shared" si="29"/>
        <v>1</v>
      </c>
      <c r="O922" s="3" t="str">
        <f>IF(ISERROR(VLOOKUP(D922,Data!$A$2:$C$223100,3,FALSE)),"INACTIVE",VLOOKUP(D922,Data!$A$2:$C$223100,3,FALSE))</f>
        <v>Current</v>
      </c>
    </row>
    <row r="923" spans="1:15" x14ac:dyDescent="0.25">
      <c r="A923" t="s">
        <v>7898</v>
      </c>
      <c r="B923" t="s">
        <v>7899</v>
      </c>
      <c r="C923" t="s">
        <v>7903</v>
      </c>
      <c r="D923" t="s">
        <v>7904</v>
      </c>
      <c r="E923" t="s">
        <v>5</v>
      </c>
      <c r="F923" t="s">
        <v>5</v>
      </c>
      <c r="G923" t="s">
        <v>5</v>
      </c>
      <c r="H923" t="s">
        <v>7905</v>
      </c>
      <c r="I923" t="s">
        <v>7629</v>
      </c>
      <c r="J923" t="s">
        <v>7</v>
      </c>
      <c r="K923" s="3">
        <f t="shared" si="28"/>
        <v>0</v>
      </c>
      <c r="L923" s="3">
        <f>IF(ISERROR(VLOOKUP(J923,Lookups!$A$2:$A$16,1,FALSE)),1,0)</f>
        <v>1</v>
      </c>
      <c r="M923" s="3">
        <f>IF(ISERROR(VLOOKUP(D923,Data!$A$2:$D$223100,2,FALSE)),0,1)</f>
        <v>1</v>
      </c>
      <c r="N923" s="3">
        <f t="shared" si="29"/>
        <v>1</v>
      </c>
      <c r="O923" s="3" t="str">
        <f>IF(ISERROR(VLOOKUP(D923,Data!$A$2:$C$223100,3,FALSE)),"INACTIVE",VLOOKUP(D923,Data!$A$2:$C$223100,3,FALSE))</f>
        <v>Current</v>
      </c>
    </row>
    <row r="924" spans="1:15" x14ac:dyDescent="0.25">
      <c r="A924" t="s">
        <v>7932</v>
      </c>
      <c r="B924" t="s">
        <v>7933</v>
      </c>
      <c r="C924" t="s">
        <v>7934</v>
      </c>
      <c r="D924" t="s">
        <v>7935</v>
      </c>
      <c r="E924" t="s">
        <v>5</v>
      </c>
      <c r="F924" t="s">
        <v>5</v>
      </c>
      <c r="G924" t="s">
        <v>5</v>
      </c>
      <c r="H924" t="s">
        <v>7120</v>
      </c>
      <c r="I924" t="s">
        <v>7629</v>
      </c>
      <c r="J924" t="s">
        <v>96</v>
      </c>
      <c r="K924" s="3">
        <f t="shared" si="28"/>
        <v>0</v>
      </c>
      <c r="L924" s="3">
        <f>IF(ISERROR(VLOOKUP(J924,Lookups!$A$2:$A$16,1,FALSE)),1,0)</f>
        <v>0</v>
      </c>
      <c r="M924" s="3">
        <f>IF(ISERROR(VLOOKUP(D924,Data!$A$2:$D$223100,2,FALSE)),0,1)</f>
        <v>1</v>
      </c>
      <c r="N924" s="3">
        <f t="shared" si="29"/>
        <v>0</v>
      </c>
      <c r="O924" s="3" t="str">
        <f>IF(ISERROR(VLOOKUP(D924,Data!$A$2:$C$223100,3,FALSE)),"INACTIVE",VLOOKUP(D924,Data!$A$2:$C$223100,3,FALSE))</f>
        <v>180+</v>
      </c>
    </row>
    <row r="925" spans="1:15" x14ac:dyDescent="0.25">
      <c r="A925" t="s">
        <v>7983</v>
      </c>
      <c r="B925" t="s">
        <v>7984</v>
      </c>
      <c r="C925" t="s">
        <v>7985</v>
      </c>
      <c r="D925" t="s">
        <v>7986</v>
      </c>
      <c r="E925" t="s">
        <v>5</v>
      </c>
      <c r="F925" t="s">
        <v>5</v>
      </c>
      <c r="G925" t="s">
        <v>5</v>
      </c>
      <c r="H925" t="s">
        <v>7987</v>
      </c>
      <c r="I925" t="s">
        <v>7629</v>
      </c>
      <c r="J925" t="s">
        <v>7</v>
      </c>
      <c r="K925" s="3">
        <f t="shared" si="28"/>
        <v>0</v>
      </c>
      <c r="L925" s="3">
        <f>IF(ISERROR(VLOOKUP(J925,Lookups!$A$2:$A$16,1,FALSE)),1,0)</f>
        <v>1</v>
      </c>
      <c r="M925" s="3">
        <f>IF(ISERROR(VLOOKUP(D925,Data!$A$2:$D$223100,2,FALSE)),0,1)</f>
        <v>1</v>
      </c>
      <c r="N925" s="3">
        <f t="shared" si="29"/>
        <v>1</v>
      </c>
      <c r="O925" s="3" t="str">
        <f>IF(ISERROR(VLOOKUP(D925,Data!$A$2:$C$223100,3,FALSE)),"INACTIVE",VLOOKUP(D925,Data!$A$2:$C$223100,3,FALSE))</f>
        <v>Current</v>
      </c>
    </row>
    <row r="926" spans="1:15" x14ac:dyDescent="0.25">
      <c r="A926" t="s">
        <v>8047</v>
      </c>
      <c r="B926" t="s">
        <v>8048</v>
      </c>
      <c r="C926" t="s">
        <v>8049</v>
      </c>
      <c r="D926" t="s">
        <v>8050</v>
      </c>
      <c r="E926" t="s">
        <v>8051</v>
      </c>
      <c r="F926" t="s">
        <v>8052</v>
      </c>
      <c r="G926" t="s">
        <v>5</v>
      </c>
      <c r="H926" t="s">
        <v>5</v>
      </c>
      <c r="I926" t="s">
        <v>7629</v>
      </c>
      <c r="J926" t="s">
        <v>96</v>
      </c>
      <c r="K926" s="3">
        <f t="shared" si="28"/>
        <v>0</v>
      </c>
      <c r="L926" s="3">
        <f>IF(ISERROR(VLOOKUP(J926,Lookups!$A$2:$A$16,1,FALSE)),1,0)</f>
        <v>0</v>
      </c>
      <c r="M926" s="3">
        <f>IF(ISERROR(VLOOKUP(D926,Data!$A$2:$D$223100,2,FALSE)),0,1)</f>
        <v>1</v>
      </c>
      <c r="N926" s="3">
        <f t="shared" si="29"/>
        <v>0</v>
      </c>
      <c r="O926" s="3" t="str">
        <f>IF(ISERROR(VLOOKUP(D926,Data!$A$2:$C$223100,3,FALSE)),"INACTIVE",VLOOKUP(D926,Data!$A$2:$C$223100,3,FALSE))</f>
        <v>FC</v>
      </c>
    </row>
    <row r="927" spans="1:15" x14ac:dyDescent="0.25">
      <c r="A927" t="s">
        <v>8047</v>
      </c>
      <c r="B927" t="s">
        <v>8048</v>
      </c>
      <c r="C927" t="s">
        <v>8049</v>
      </c>
      <c r="D927" t="s">
        <v>8050</v>
      </c>
      <c r="E927" t="s">
        <v>8053</v>
      </c>
      <c r="F927" t="s">
        <v>8054</v>
      </c>
      <c r="G927" t="s">
        <v>5</v>
      </c>
      <c r="H927" t="s">
        <v>5</v>
      </c>
      <c r="I927" t="s">
        <v>7629</v>
      </c>
      <c r="J927" t="s">
        <v>96</v>
      </c>
      <c r="K927" s="3">
        <f t="shared" si="28"/>
        <v>0</v>
      </c>
      <c r="L927" s="3">
        <f>IF(ISERROR(VLOOKUP(J927,Lookups!$A$2:$A$16,1,FALSE)),1,0)</f>
        <v>0</v>
      </c>
      <c r="M927" s="3">
        <f>IF(ISERROR(VLOOKUP(D927,Data!$A$2:$D$223100,2,FALSE)),0,1)</f>
        <v>1</v>
      </c>
      <c r="N927" s="3">
        <f t="shared" si="29"/>
        <v>0</v>
      </c>
      <c r="O927" s="3" t="str">
        <f>IF(ISERROR(VLOOKUP(D927,Data!$A$2:$C$223100,3,FALSE)),"INACTIVE",VLOOKUP(D927,Data!$A$2:$C$223100,3,FALSE))</f>
        <v>FC</v>
      </c>
    </row>
    <row r="928" spans="1:15" x14ac:dyDescent="0.25">
      <c r="A928" t="s">
        <v>8047</v>
      </c>
      <c r="B928" t="s">
        <v>8048</v>
      </c>
      <c r="C928" t="s">
        <v>8055</v>
      </c>
      <c r="D928" t="s">
        <v>8050</v>
      </c>
      <c r="E928" t="s">
        <v>8056</v>
      </c>
      <c r="F928" t="s">
        <v>8057</v>
      </c>
      <c r="G928" t="s">
        <v>5</v>
      </c>
      <c r="H928" t="s">
        <v>5</v>
      </c>
      <c r="I928" t="s">
        <v>7629</v>
      </c>
      <c r="J928" t="s">
        <v>96</v>
      </c>
      <c r="K928" s="3">
        <f t="shared" si="28"/>
        <v>0</v>
      </c>
      <c r="L928" s="3">
        <f>IF(ISERROR(VLOOKUP(J928,Lookups!$A$2:$A$16,1,FALSE)),1,0)</f>
        <v>0</v>
      </c>
      <c r="M928" s="3">
        <f>IF(ISERROR(VLOOKUP(D928,Data!$A$2:$D$223100,2,FALSE)),0,1)</f>
        <v>1</v>
      </c>
      <c r="N928" s="3">
        <f t="shared" si="29"/>
        <v>0</v>
      </c>
      <c r="O928" s="3" t="str">
        <f>IF(ISERROR(VLOOKUP(D928,Data!$A$2:$C$223100,3,FALSE)),"INACTIVE",VLOOKUP(D928,Data!$A$2:$C$223100,3,FALSE))</f>
        <v>FC</v>
      </c>
    </row>
    <row r="929" spans="1:15" x14ac:dyDescent="0.25">
      <c r="A929" t="s">
        <v>8047</v>
      </c>
      <c r="B929" t="s">
        <v>8048</v>
      </c>
      <c r="C929" t="s">
        <v>8055</v>
      </c>
      <c r="D929" t="s">
        <v>8050</v>
      </c>
      <c r="E929" t="s">
        <v>8058</v>
      </c>
      <c r="F929" t="s">
        <v>8059</v>
      </c>
      <c r="G929" t="s">
        <v>5</v>
      </c>
      <c r="H929" t="s">
        <v>5</v>
      </c>
      <c r="I929" t="s">
        <v>7629</v>
      </c>
      <c r="J929" t="s">
        <v>96</v>
      </c>
      <c r="K929" s="3">
        <f t="shared" si="28"/>
        <v>0</v>
      </c>
      <c r="L929" s="3">
        <f>IF(ISERROR(VLOOKUP(J929,Lookups!$A$2:$A$16,1,FALSE)),1,0)</f>
        <v>0</v>
      </c>
      <c r="M929" s="3">
        <f>IF(ISERROR(VLOOKUP(D929,Data!$A$2:$D$223100,2,FALSE)),0,1)</f>
        <v>1</v>
      </c>
      <c r="N929" s="3">
        <f t="shared" si="29"/>
        <v>0</v>
      </c>
      <c r="O929" s="3" t="str">
        <f>IF(ISERROR(VLOOKUP(D929,Data!$A$2:$C$223100,3,FALSE)),"INACTIVE",VLOOKUP(D929,Data!$A$2:$C$223100,3,FALSE))</f>
        <v>FC</v>
      </c>
    </row>
    <row r="930" spans="1:15" x14ac:dyDescent="0.25">
      <c r="A930" t="s">
        <v>8047</v>
      </c>
      <c r="B930" t="s">
        <v>8048</v>
      </c>
      <c r="C930" t="s">
        <v>8060</v>
      </c>
      <c r="D930" t="s">
        <v>8061</v>
      </c>
      <c r="E930" t="s">
        <v>8062</v>
      </c>
      <c r="F930" t="s">
        <v>8063</v>
      </c>
      <c r="G930" t="s">
        <v>5</v>
      </c>
      <c r="H930" t="s">
        <v>5</v>
      </c>
      <c r="I930" t="s">
        <v>7629</v>
      </c>
      <c r="J930" t="s">
        <v>96</v>
      </c>
      <c r="K930" s="3">
        <f t="shared" si="28"/>
        <v>0</v>
      </c>
      <c r="L930" s="3">
        <f>IF(ISERROR(VLOOKUP(J930,Lookups!$A$2:$A$16,1,FALSE)),1,0)</f>
        <v>0</v>
      </c>
      <c r="M930" s="3">
        <f>IF(ISERROR(VLOOKUP(D930,Data!$A$2:$D$223100,2,FALSE)),0,1)</f>
        <v>1</v>
      </c>
      <c r="N930" s="3">
        <f t="shared" si="29"/>
        <v>0</v>
      </c>
      <c r="O930" s="3" t="str">
        <f>IF(ISERROR(VLOOKUP(D930,Data!$A$2:$C$223100,3,FALSE)),"INACTIVE",VLOOKUP(D930,Data!$A$2:$C$223100,3,FALSE))</f>
        <v>BK11</v>
      </c>
    </row>
    <row r="931" spans="1:15" x14ac:dyDescent="0.25">
      <c r="A931" t="s">
        <v>8047</v>
      </c>
      <c r="B931" t="s">
        <v>8048</v>
      </c>
      <c r="C931" t="s">
        <v>8064</v>
      </c>
      <c r="D931" t="s">
        <v>8065</v>
      </c>
      <c r="E931" t="s">
        <v>8066</v>
      </c>
      <c r="F931" t="s">
        <v>8067</v>
      </c>
      <c r="G931" t="s">
        <v>5</v>
      </c>
      <c r="H931" t="s">
        <v>5</v>
      </c>
      <c r="I931" t="s">
        <v>7629</v>
      </c>
      <c r="J931" t="s">
        <v>96</v>
      </c>
      <c r="K931" s="3">
        <f t="shared" si="28"/>
        <v>0</v>
      </c>
      <c r="L931" s="3">
        <f>IF(ISERROR(VLOOKUP(J931,Lookups!$A$2:$A$16,1,FALSE)),1,0)</f>
        <v>0</v>
      </c>
      <c r="M931" s="3">
        <f>IF(ISERROR(VLOOKUP(D931,Data!$A$2:$D$223100,2,FALSE)),0,1)</f>
        <v>1</v>
      </c>
      <c r="N931" s="3">
        <f t="shared" si="29"/>
        <v>0</v>
      </c>
      <c r="O931" s="3" t="str">
        <f>IF(ISERROR(VLOOKUP(D931,Data!$A$2:$C$223100,3,FALSE)),"INACTIVE",VLOOKUP(D931,Data!$A$2:$C$223100,3,FALSE))</f>
        <v>FBA</v>
      </c>
    </row>
    <row r="932" spans="1:15" x14ac:dyDescent="0.25">
      <c r="A932" t="s">
        <v>8047</v>
      </c>
      <c r="B932" t="s">
        <v>8048</v>
      </c>
      <c r="C932" t="s">
        <v>8068</v>
      </c>
      <c r="D932" t="s">
        <v>8069</v>
      </c>
      <c r="E932" t="s">
        <v>8070</v>
      </c>
      <c r="F932" t="s">
        <v>8071</v>
      </c>
      <c r="G932" t="s">
        <v>5</v>
      </c>
      <c r="H932" t="s">
        <v>5</v>
      </c>
      <c r="I932" t="s">
        <v>7629</v>
      </c>
      <c r="J932" t="s">
        <v>96</v>
      </c>
      <c r="K932" s="3">
        <f t="shared" si="28"/>
        <v>0</v>
      </c>
      <c r="L932" s="3">
        <f>IF(ISERROR(VLOOKUP(J932,Lookups!$A$2:$A$16,1,FALSE)),1,0)</f>
        <v>0</v>
      </c>
      <c r="M932" s="3">
        <f>IF(ISERROR(VLOOKUP(D932,Data!$A$2:$D$223100,2,FALSE)),0,1)</f>
        <v>1</v>
      </c>
      <c r="N932" s="3">
        <f t="shared" si="29"/>
        <v>0</v>
      </c>
      <c r="O932" s="3" t="str">
        <f>IF(ISERROR(VLOOKUP(D932,Data!$A$2:$C$223100,3,FALSE)),"INACTIVE",VLOOKUP(D932,Data!$A$2:$C$223100,3,FALSE))</f>
        <v>FC</v>
      </c>
    </row>
    <row r="933" spans="1:15" x14ac:dyDescent="0.25">
      <c r="A933" t="s">
        <v>8047</v>
      </c>
      <c r="B933" t="s">
        <v>8048</v>
      </c>
      <c r="C933" t="s">
        <v>8072</v>
      </c>
      <c r="D933" t="s">
        <v>8073</v>
      </c>
      <c r="E933" t="s">
        <v>8074</v>
      </c>
      <c r="F933" t="s">
        <v>8075</v>
      </c>
      <c r="G933" t="s">
        <v>5</v>
      </c>
      <c r="H933" t="s">
        <v>5</v>
      </c>
      <c r="I933" t="s">
        <v>7629</v>
      </c>
      <c r="J933" t="s">
        <v>96</v>
      </c>
      <c r="K933" s="3">
        <f t="shared" si="28"/>
        <v>0</v>
      </c>
      <c r="L933" s="3">
        <f>IF(ISERROR(VLOOKUP(J933,Lookups!$A$2:$A$16,1,FALSE)),1,0)</f>
        <v>0</v>
      </c>
      <c r="M933" s="3">
        <f>IF(ISERROR(VLOOKUP(D933,Data!$A$2:$D$223100,2,FALSE)),0,1)</f>
        <v>0</v>
      </c>
      <c r="N933" s="3">
        <f t="shared" si="29"/>
        <v>0</v>
      </c>
      <c r="O933" s="3" t="str">
        <f>IF(ISERROR(VLOOKUP(D933,Data!$A$2:$C$223100,3,FALSE)),"INACTIVE",VLOOKUP(D933,Data!$A$2:$C$223100,3,FALSE))</f>
        <v>INACTIVE</v>
      </c>
    </row>
    <row r="934" spans="1:15" x14ac:dyDescent="0.25">
      <c r="A934" t="s">
        <v>8047</v>
      </c>
      <c r="B934" t="s">
        <v>8048</v>
      </c>
      <c r="C934" t="s">
        <v>8076</v>
      </c>
      <c r="D934" t="s">
        <v>8077</v>
      </c>
      <c r="E934" t="s">
        <v>8078</v>
      </c>
      <c r="F934" t="s">
        <v>8079</v>
      </c>
      <c r="G934" t="s">
        <v>5</v>
      </c>
      <c r="H934" t="s">
        <v>5</v>
      </c>
      <c r="I934" t="s">
        <v>7629</v>
      </c>
      <c r="J934" t="s">
        <v>96</v>
      </c>
      <c r="K934" s="3">
        <f t="shared" si="28"/>
        <v>0</v>
      </c>
      <c r="L934" s="3">
        <f>IF(ISERROR(VLOOKUP(J934,Lookups!$A$2:$A$16,1,FALSE)),1,0)</f>
        <v>0</v>
      </c>
      <c r="M934" s="3">
        <f>IF(ISERROR(VLOOKUP(D934,Data!$A$2:$D$223100,2,FALSE)),0,1)</f>
        <v>1</v>
      </c>
      <c r="N934" s="3">
        <f t="shared" si="29"/>
        <v>0</v>
      </c>
      <c r="O934" s="3" t="str">
        <f>IF(ISERROR(VLOOKUP(D934,Data!$A$2:$C$223100,3,FALSE)),"INACTIVE",VLOOKUP(D934,Data!$A$2:$C$223100,3,FALSE))</f>
        <v>FBA</v>
      </c>
    </row>
    <row r="935" spans="1:15" x14ac:dyDescent="0.25">
      <c r="A935" t="s">
        <v>8047</v>
      </c>
      <c r="B935" t="s">
        <v>8048</v>
      </c>
      <c r="C935" t="s">
        <v>8076</v>
      </c>
      <c r="D935" t="s">
        <v>8077</v>
      </c>
      <c r="E935" t="s">
        <v>8080</v>
      </c>
      <c r="F935" t="s">
        <v>8081</v>
      </c>
      <c r="G935" t="s">
        <v>5</v>
      </c>
      <c r="H935" t="s">
        <v>5</v>
      </c>
      <c r="I935" t="s">
        <v>7629</v>
      </c>
      <c r="J935" t="s">
        <v>96</v>
      </c>
      <c r="K935" s="3">
        <f t="shared" si="28"/>
        <v>0</v>
      </c>
      <c r="L935" s="3">
        <f>IF(ISERROR(VLOOKUP(J935,Lookups!$A$2:$A$16,1,FALSE)),1,0)</f>
        <v>0</v>
      </c>
      <c r="M935" s="3">
        <f>IF(ISERROR(VLOOKUP(D935,Data!$A$2:$D$223100,2,FALSE)),0,1)</f>
        <v>1</v>
      </c>
      <c r="N935" s="3">
        <f t="shared" si="29"/>
        <v>0</v>
      </c>
      <c r="O935" s="3" t="str">
        <f>IF(ISERROR(VLOOKUP(D935,Data!$A$2:$C$223100,3,FALSE)),"INACTIVE",VLOOKUP(D935,Data!$A$2:$C$223100,3,FALSE))</f>
        <v>FBA</v>
      </c>
    </row>
    <row r="936" spans="1:15" x14ac:dyDescent="0.25">
      <c r="A936" t="s">
        <v>8047</v>
      </c>
      <c r="B936" t="s">
        <v>8048</v>
      </c>
      <c r="C936" t="s">
        <v>8076</v>
      </c>
      <c r="D936" t="s">
        <v>8077</v>
      </c>
      <c r="E936" t="s">
        <v>8082</v>
      </c>
      <c r="F936" t="s">
        <v>8083</v>
      </c>
      <c r="G936" t="s">
        <v>5</v>
      </c>
      <c r="H936" t="s">
        <v>5</v>
      </c>
      <c r="I936" t="s">
        <v>7629</v>
      </c>
      <c r="J936" t="s">
        <v>96</v>
      </c>
      <c r="K936" s="3">
        <f t="shared" si="28"/>
        <v>0</v>
      </c>
      <c r="L936" s="3">
        <f>IF(ISERROR(VLOOKUP(J936,Lookups!$A$2:$A$16,1,FALSE)),1,0)</f>
        <v>0</v>
      </c>
      <c r="M936" s="3">
        <f>IF(ISERROR(VLOOKUP(D936,Data!$A$2:$D$223100,2,FALSE)),0,1)</f>
        <v>1</v>
      </c>
      <c r="N936" s="3">
        <f t="shared" si="29"/>
        <v>0</v>
      </c>
      <c r="O936" s="3" t="str">
        <f>IF(ISERROR(VLOOKUP(D936,Data!$A$2:$C$223100,3,FALSE)),"INACTIVE",VLOOKUP(D936,Data!$A$2:$C$223100,3,FALSE))</f>
        <v>FBA</v>
      </c>
    </row>
    <row r="937" spans="1:15" x14ac:dyDescent="0.25">
      <c r="A937" t="s">
        <v>8047</v>
      </c>
      <c r="B937" t="s">
        <v>8048</v>
      </c>
      <c r="C937" t="s">
        <v>8084</v>
      </c>
      <c r="D937" t="s">
        <v>8085</v>
      </c>
      <c r="E937" t="s">
        <v>5</v>
      </c>
      <c r="F937" t="s">
        <v>8086</v>
      </c>
      <c r="G937" t="s">
        <v>5</v>
      </c>
      <c r="H937" t="s">
        <v>5</v>
      </c>
      <c r="I937" t="s">
        <v>7629</v>
      </c>
      <c r="J937" t="s">
        <v>96</v>
      </c>
      <c r="K937" s="3">
        <f t="shared" si="28"/>
        <v>0</v>
      </c>
      <c r="L937" s="3">
        <f>IF(ISERROR(VLOOKUP(J937,Lookups!$A$2:$A$16,1,FALSE)),1,0)</f>
        <v>0</v>
      </c>
      <c r="M937" s="3">
        <f>IF(ISERROR(VLOOKUP(D937,Data!$A$2:$D$223100,2,FALSE)),0,1)</f>
        <v>1</v>
      </c>
      <c r="N937" s="3">
        <f t="shared" si="29"/>
        <v>0</v>
      </c>
      <c r="O937" s="3" t="str">
        <f>IF(ISERROR(VLOOKUP(D937,Data!$A$2:$C$223100,3,FALSE)),"INACTIVE",VLOOKUP(D937,Data!$A$2:$C$223100,3,FALSE))</f>
        <v>30+</v>
      </c>
    </row>
    <row r="938" spans="1:15" x14ac:dyDescent="0.25">
      <c r="A938" t="s">
        <v>8047</v>
      </c>
      <c r="B938" t="s">
        <v>8048</v>
      </c>
      <c r="C938" t="s">
        <v>8087</v>
      </c>
      <c r="D938" t="s">
        <v>8088</v>
      </c>
      <c r="E938" t="s">
        <v>8089</v>
      </c>
      <c r="F938" t="s">
        <v>8090</v>
      </c>
      <c r="G938" t="s">
        <v>5</v>
      </c>
      <c r="H938" t="s">
        <v>5</v>
      </c>
      <c r="I938" t="s">
        <v>7629</v>
      </c>
      <c r="J938" t="s">
        <v>96</v>
      </c>
      <c r="K938" s="3">
        <f t="shared" si="28"/>
        <v>0</v>
      </c>
      <c r="L938" s="3">
        <f>IF(ISERROR(VLOOKUP(J938,Lookups!$A$2:$A$16,1,FALSE)),1,0)</f>
        <v>0</v>
      </c>
      <c r="M938" s="3">
        <f>IF(ISERROR(VLOOKUP(D938,Data!$A$2:$D$223100,2,FALSE)),0,1)</f>
        <v>1</v>
      </c>
      <c r="N938" s="3">
        <f t="shared" si="29"/>
        <v>0</v>
      </c>
      <c r="O938" s="3" t="str">
        <f>IF(ISERROR(VLOOKUP(D938,Data!$A$2:$C$223100,3,FALSE)),"INACTIVE",VLOOKUP(D938,Data!$A$2:$C$223100,3,FALSE))</f>
        <v>FC</v>
      </c>
    </row>
    <row r="939" spans="1:15" x14ac:dyDescent="0.25">
      <c r="A939" t="s">
        <v>7290</v>
      </c>
      <c r="B939" t="s">
        <v>7291</v>
      </c>
      <c r="C939" t="s">
        <v>7292</v>
      </c>
      <c r="D939" t="s">
        <v>7293</v>
      </c>
      <c r="E939" t="s">
        <v>7294</v>
      </c>
      <c r="F939" t="s">
        <v>5</v>
      </c>
      <c r="G939" t="s">
        <v>5</v>
      </c>
      <c r="H939" t="s">
        <v>5</v>
      </c>
      <c r="I939" t="s">
        <v>7295</v>
      </c>
      <c r="J939" t="s">
        <v>7</v>
      </c>
      <c r="K939" s="3">
        <f t="shared" si="28"/>
        <v>0</v>
      </c>
      <c r="L939" s="3">
        <f>IF(ISERROR(VLOOKUP(J939,Lookups!$A$2:$A$16,1,FALSE)),1,0)</f>
        <v>1</v>
      </c>
      <c r="M939" s="3">
        <f>IF(ISERROR(VLOOKUP(D939,Data!$A$2:$D$223100,2,FALSE)),0,1)</f>
        <v>1</v>
      </c>
      <c r="N939" s="3">
        <f t="shared" si="29"/>
        <v>1</v>
      </c>
      <c r="O939" s="3" t="str">
        <f>IF(ISERROR(VLOOKUP(D939,Data!$A$2:$C$223100,3,FALSE)),"INACTIVE",VLOOKUP(D939,Data!$A$2:$C$223100,3,FALSE))</f>
        <v>FC</v>
      </c>
    </row>
    <row r="940" spans="1:15" x14ac:dyDescent="0.25">
      <c r="A940" t="s">
        <v>7587</v>
      </c>
      <c r="B940" t="s">
        <v>7588</v>
      </c>
      <c r="C940" t="s">
        <v>7589</v>
      </c>
      <c r="D940" t="s">
        <v>7590</v>
      </c>
      <c r="E940" t="s">
        <v>5</v>
      </c>
      <c r="F940" t="s">
        <v>5</v>
      </c>
      <c r="G940" t="s">
        <v>5</v>
      </c>
      <c r="H940" t="s">
        <v>7120</v>
      </c>
      <c r="I940" t="s">
        <v>7295</v>
      </c>
      <c r="J940" t="s">
        <v>96</v>
      </c>
      <c r="K940" s="3">
        <f t="shared" si="28"/>
        <v>0</v>
      </c>
      <c r="L940" s="3">
        <f>IF(ISERROR(VLOOKUP(J940,Lookups!$A$2:$A$16,1,FALSE)),1,0)</f>
        <v>0</v>
      </c>
      <c r="M940" s="3">
        <f>IF(ISERROR(VLOOKUP(D940,Data!$A$2:$D$223100,2,FALSE)),0,1)</f>
        <v>1</v>
      </c>
      <c r="N940" s="3">
        <f t="shared" si="29"/>
        <v>0</v>
      </c>
      <c r="O940" s="3" t="str">
        <f>IF(ISERROR(VLOOKUP(D940,Data!$A$2:$C$223100,3,FALSE)),"INACTIVE",VLOOKUP(D940,Data!$A$2:$C$223100,3,FALSE))</f>
        <v>FC</v>
      </c>
    </row>
    <row r="941" spans="1:15" x14ac:dyDescent="0.25">
      <c r="A941" t="s">
        <v>7587</v>
      </c>
      <c r="B941" t="s">
        <v>7588</v>
      </c>
      <c r="C941" t="s">
        <v>7591</v>
      </c>
      <c r="D941" t="s">
        <v>7592</v>
      </c>
      <c r="E941" t="s">
        <v>5</v>
      </c>
      <c r="F941" t="s">
        <v>5</v>
      </c>
      <c r="G941" t="s">
        <v>5</v>
      </c>
      <c r="H941" t="s">
        <v>7120</v>
      </c>
      <c r="I941" t="s">
        <v>7295</v>
      </c>
      <c r="J941" t="s">
        <v>96</v>
      </c>
      <c r="K941" s="3">
        <f t="shared" si="28"/>
        <v>0</v>
      </c>
      <c r="L941" s="3">
        <f>IF(ISERROR(VLOOKUP(J941,Lookups!$A$2:$A$16,1,FALSE)),1,0)</f>
        <v>0</v>
      </c>
      <c r="M941" s="3">
        <f>IF(ISERROR(VLOOKUP(D941,Data!$A$2:$D$223100,2,FALSE)),0,1)</f>
        <v>1</v>
      </c>
      <c r="N941" s="3">
        <f t="shared" si="29"/>
        <v>0</v>
      </c>
      <c r="O941" s="3" t="str">
        <f>IF(ISERROR(VLOOKUP(D941,Data!$A$2:$C$223100,3,FALSE)),"INACTIVE",VLOOKUP(D941,Data!$A$2:$C$223100,3,FALSE))</f>
        <v>30+</v>
      </c>
    </row>
    <row r="942" spans="1:15" x14ac:dyDescent="0.25">
      <c r="A942" t="s">
        <v>7609</v>
      </c>
      <c r="B942" t="s">
        <v>7610</v>
      </c>
      <c r="C942" t="s">
        <v>7611</v>
      </c>
      <c r="D942" t="s">
        <v>7612</v>
      </c>
      <c r="E942" t="s">
        <v>5</v>
      </c>
      <c r="F942" t="s">
        <v>5</v>
      </c>
      <c r="G942" t="s">
        <v>7613</v>
      </c>
      <c r="H942" t="s">
        <v>7614</v>
      </c>
      <c r="I942" t="s">
        <v>7295</v>
      </c>
      <c r="J942" t="s">
        <v>7</v>
      </c>
      <c r="K942" s="3">
        <f t="shared" si="28"/>
        <v>0</v>
      </c>
      <c r="L942" s="3">
        <f>IF(ISERROR(VLOOKUP(J942,Lookups!$A$2:$A$16,1,FALSE)),1,0)</f>
        <v>1</v>
      </c>
      <c r="M942" s="3">
        <f>IF(ISERROR(VLOOKUP(D942,Data!$A$2:$D$223100,2,FALSE)),0,1)</f>
        <v>1</v>
      </c>
      <c r="N942" s="3">
        <f t="shared" si="29"/>
        <v>1</v>
      </c>
      <c r="O942" s="3" t="str">
        <f>IF(ISERROR(VLOOKUP(D942,Data!$A$2:$C$223100,3,FALSE)),"INACTIVE",VLOOKUP(D942,Data!$A$2:$C$223100,3,FALSE))</f>
        <v>180+</v>
      </c>
    </row>
    <row r="943" spans="1:15" x14ac:dyDescent="0.25">
      <c r="A943" t="s">
        <v>7651</v>
      </c>
      <c r="B943" t="s">
        <v>7652</v>
      </c>
      <c r="C943" t="s">
        <v>7653</v>
      </c>
      <c r="D943" t="s">
        <v>7654</v>
      </c>
      <c r="E943" t="s">
        <v>5</v>
      </c>
      <c r="F943" t="s">
        <v>7655</v>
      </c>
      <c r="G943" t="s">
        <v>7656</v>
      </c>
      <c r="H943" t="s">
        <v>7657</v>
      </c>
      <c r="I943" t="s">
        <v>7295</v>
      </c>
      <c r="J943" t="s">
        <v>7</v>
      </c>
      <c r="K943" s="3">
        <f t="shared" si="28"/>
        <v>0</v>
      </c>
      <c r="L943" s="3">
        <f>IF(ISERROR(VLOOKUP(J943,Lookups!$A$2:$A$16,1,FALSE)),1,0)</f>
        <v>1</v>
      </c>
      <c r="M943" s="3">
        <f>IF(ISERROR(VLOOKUP(D943,Data!$A$2:$D$223100,2,FALSE)),0,1)</f>
        <v>1</v>
      </c>
      <c r="N943" s="3">
        <f t="shared" si="29"/>
        <v>1</v>
      </c>
      <c r="O943" s="3" t="str">
        <f>IF(ISERROR(VLOOKUP(D943,Data!$A$2:$C$223100,3,FALSE)),"INACTIVE",VLOOKUP(D943,Data!$A$2:$C$223100,3,FALSE))</f>
        <v>180+</v>
      </c>
    </row>
    <row r="944" spans="1:15" x14ac:dyDescent="0.25">
      <c r="A944" t="s">
        <v>7805</v>
      </c>
      <c r="B944" t="s">
        <v>7806</v>
      </c>
      <c r="C944" t="s">
        <v>7807</v>
      </c>
      <c r="D944" t="s">
        <v>7808</v>
      </c>
      <c r="E944" t="s">
        <v>5</v>
      </c>
      <c r="F944" t="s">
        <v>5</v>
      </c>
      <c r="G944" t="s">
        <v>5</v>
      </c>
      <c r="H944" t="s">
        <v>7809</v>
      </c>
      <c r="I944" t="s">
        <v>7295</v>
      </c>
      <c r="J944" t="s">
        <v>7</v>
      </c>
      <c r="K944" s="3">
        <f t="shared" si="28"/>
        <v>0</v>
      </c>
      <c r="L944" s="3">
        <f>IF(ISERROR(VLOOKUP(J944,Lookups!$A$2:$A$16,1,FALSE)),1,0)</f>
        <v>1</v>
      </c>
      <c r="M944" s="3">
        <f>IF(ISERROR(VLOOKUP(D944,Data!$A$2:$D$223100,2,FALSE)),0,1)</f>
        <v>1</v>
      </c>
      <c r="N944" s="3">
        <f t="shared" si="29"/>
        <v>1</v>
      </c>
      <c r="O944" s="3" t="str">
        <f>IF(ISERROR(VLOOKUP(D944,Data!$A$2:$C$223100,3,FALSE)),"INACTIVE",VLOOKUP(D944,Data!$A$2:$C$223100,3,FALSE))</f>
        <v>Current</v>
      </c>
    </row>
    <row r="945" spans="1:15" x14ac:dyDescent="0.25">
      <c r="A945" t="s">
        <v>7805</v>
      </c>
      <c r="B945" t="s">
        <v>7806</v>
      </c>
      <c r="C945" t="s">
        <v>7810</v>
      </c>
      <c r="D945" t="s">
        <v>7811</v>
      </c>
      <c r="E945" t="s">
        <v>5</v>
      </c>
      <c r="F945" t="s">
        <v>5</v>
      </c>
      <c r="G945" t="s">
        <v>5</v>
      </c>
      <c r="H945" t="s">
        <v>7120</v>
      </c>
      <c r="I945" t="s">
        <v>7295</v>
      </c>
      <c r="J945" t="s">
        <v>96</v>
      </c>
      <c r="K945" s="3">
        <f t="shared" si="28"/>
        <v>0</v>
      </c>
      <c r="L945" s="3">
        <f>IF(ISERROR(VLOOKUP(J945,Lookups!$A$2:$A$16,1,FALSE)),1,0)</f>
        <v>0</v>
      </c>
      <c r="M945" s="3">
        <f>IF(ISERROR(VLOOKUP(D945,Data!$A$2:$D$223100,2,FALSE)),0,1)</f>
        <v>1</v>
      </c>
      <c r="N945" s="3">
        <f t="shared" si="29"/>
        <v>0</v>
      </c>
      <c r="O945" s="3" t="str">
        <f>IF(ISERROR(VLOOKUP(D945,Data!$A$2:$C$223100,3,FALSE)),"INACTIVE",VLOOKUP(D945,Data!$A$2:$C$223100,3,FALSE))</f>
        <v>180+</v>
      </c>
    </row>
    <row r="946" spans="1:15" x14ac:dyDescent="0.25">
      <c r="A946" t="s">
        <v>7805</v>
      </c>
      <c r="B946" t="s">
        <v>7806</v>
      </c>
      <c r="C946" t="s">
        <v>7810</v>
      </c>
      <c r="D946" t="s">
        <v>7812</v>
      </c>
      <c r="E946" t="s">
        <v>5</v>
      </c>
      <c r="F946" t="s">
        <v>5</v>
      </c>
      <c r="G946" t="s">
        <v>5</v>
      </c>
      <c r="H946" t="s">
        <v>7120</v>
      </c>
      <c r="I946" t="s">
        <v>7295</v>
      </c>
      <c r="J946" t="s">
        <v>96</v>
      </c>
      <c r="K946" s="3">
        <f t="shared" si="28"/>
        <v>0</v>
      </c>
      <c r="L946" s="3">
        <f>IF(ISERROR(VLOOKUP(J946,Lookups!$A$2:$A$16,1,FALSE)),1,0)</f>
        <v>0</v>
      </c>
      <c r="M946" s="3">
        <f>IF(ISERROR(VLOOKUP(D946,Data!$A$2:$D$223100,2,FALSE)),0,1)</f>
        <v>1</v>
      </c>
      <c r="N946" s="3">
        <f t="shared" si="29"/>
        <v>0</v>
      </c>
      <c r="O946" s="3" t="str">
        <f>IF(ISERROR(VLOOKUP(D946,Data!$A$2:$C$223100,3,FALSE)),"INACTIVE",VLOOKUP(D946,Data!$A$2:$C$223100,3,FALSE))</f>
        <v>Current</v>
      </c>
    </row>
    <row r="947" spans="1:15" x14ac:dyDescent="0.25">
      <c r="A947" t="s">
        <v>7805</v>
      </c>
      <c r="B947" t="s">
        <v>7806</v>
      </c>
      <c r="C947" t="s">
        <v>7813</v>
      </c>
      <c r="D947" t="s">
        <v>7814</v>
      </c>
      <c r="E947" t="s">
        <v>5</v>
      </c>
      <c r="F947" t="s">
        <v>5</v>
      </c>
      <c r="G947" t="s">
        <v>5</v>
      </c>
      <c r="H947" t="s">
        <v>7815</v>
      </c>
      <c r="I947" t="s">
        <v>7295</v>
      </c>
      <c r="J947" t="s">
        <v>7</v>
      </c>
      <c r="K947" s="3">
        <f t="shared" si="28"/>
        <v>0</v>
      </c>
      <c r="L947" s="3">
        <f>IF(ISERROR(VLOOKUP(J947,Lookups!$A$2:$A$16,1,FALSE)),1,0)</f>
        <v>1</v>
      </c>
      <c r="M947" s="3">
        <f>IF(ISERROR(VLOOKUP(D947,Data!$A$2:$D$223100,2,FALSE)),0,1)</f>
        <v>1</v>
      </c>
      <c r="N947" s="3">
        <f t="shared" si="29"/>
        <v>1</v>
      </c>
      <c r="O947" s="3" t="str">
        <f>IF(ISERROR(VLOOKUP(D947,Data!$A$2:$C$223100,3,FALSE)),"INACTIVE",VLOOKUP(D947,Data!$A$2:$C$223100,3,FALSE))</f>
        <v>180+</v>
      </c>
    </row>
    <row r="948" spans="1:15" x14ac:dyDescent="0.25">
      <c r="A948" t="s">
        <v>7805</v>
      </c>
      <c r="B948" t="s">
        <v>7806</v>
      </c>
      <c r="C948" t="s">
        <v>7816</v>
      </c>
      <c r="D948" t="s">
        <v>7817</v>
      </c>
      <c r="E948" t="s">
        <v>5</v>
      </c>
      <c r="F948" t="s">
        <v>5</v>
      </c>
      <c r="G948" t="s">
        <v>5</v>
      </c>
      <c r="H948" t="s">
        <v>7818</v>
      </c>
      <c r="I948" t="s">
        <v>7295</v>
      </c>
      <c r="J948" t="s">
        <v>7</v>
      </c>
      <c r="K948" s="3">
        <f t="shared" si="28"/>
        <v>0</v>
      </c>
      <c r="L948" s="3">
        <f>IF(ISERROR(VLOOKUP(J948,Lookups!$A$2:$A$16,1,FALSE)),1,0)</f>
        <v>1</v>
      </c>
      <c r="M948" s="3">
        <f>IF(ISERROR(VLOOKUP(D948,Data!$A$2:$D$223100,2,FALSE)),0,1)</f>
        <v>0</v>
      </c>
      <c r="N948" s="3">
        <f t="shared" si="29"/>
        <v>0</v>
      </c>
      <c r="O948" s="3" t="str">
        <f>IF(ISERROR(VLOOKUP(D948,Data!$A$2:$C$223100,3,FALSE)),"INACTIVE",VLOOKUP(D948,Data!$A$2:$C$223100,3,FALSE))</f>
        <v>INACTIVE</v>
      </c>
    </row>
    <row r="949" spans="1:15" x14ac:dyDescent="0.25">
      <c r="A949" t="s">
        <v>7884</v>
      </c>
      <c r="B949" t="s">
        <v>7885</v>
      </c>
      <c r="C949" t="s">
        <v>7886</v>
      </c>
      <c r="D949" t="s">
        <v>7887</v>
      </c>
      <c r="E949" t="s">
        <v>5</v>
      </c>
      <c r="F949" t="s">
        <v>5</v>
      </c>
      <c r="G949" t="s">
        <v>5</v>
      </c>
      <c r="H949" t="s">
        <v>7888</v>
      </c>
      <c r="I949" t="s">
        <v>7295</v>
      </c>
      <c r="J949" t="s">
        <v>7</v>
      </c>
      <c r="K949" s="3">
        <f t="shared" si="28"/>
        <v>0</v>
      </c>
      <c r="L949" s="3">
        <f>IF(ISERROR(VLOOKUP(J949,Lookups!$A$2:$A$16,1,FALSE)),1,0)</f>
        <v>1</v>
      </c>
      <c r="M949" s="3">
        <f>IF(ISERROR(VLOOKUP(D949,Data!$A$2:$D$223100,2,FALSE)),0,1)</f>
        <v>1</v>
      </c>
      <c r="N949" s="3">
        <f t="shared" si="29"/>
        <v>1</v>
      </c>
      <c r="O949" s="3" t="str">
        <f>IF(ISERROR(VLOOKUP(D949,Data!$A$2:$C$223100,3,FALSE)),"INACTIVE",VLOOKUP(D949,Data!$A$2:$C$223100,3,FALSE))</f>
        <v>180+</v>
      </c>
    </row>
    <row r="950" spans="1:15" x14ac:dyDescent="0.25">
      <c r="A950" t="s">
        <v>7968</v>
      </c>
      <c r="B950" t="s">
        <v>7969</v>
      </c>
      <c r="C950" t="s">
        <v>7970</v>
      </c>
      <c r="D950" t="s">
        <v>7971</v>
      </c>
      <c r="E950" t="s">
        <v>5</v>
      </c>
      <c r="F950" t="s">
        <v>5</v>
      </c>
      <c r="G950" t="s">
        <v>7972</v>
      </c>
      <c r="H950" t="s">
        <v>7973</v>
      </c>
      <c r="I950" t="s">
        <v>7295</v>
      </c>
      <c r="J950" t="s">
        <v>7</v>
      </c>
      <c r="K950" s="3">
        <f t="shared" si="28"/>
        <v>0</v>
      </c>
      <c r="L950" s="3">
        <f>IF(ISERROR(VLOOKUP(J950,Lookups!$A$2:$A$16,1,FALSE)),1,0)</f>
        <v>1</v>
      </c>
      <c r="M950" s="3">
        <f>IF(ISERROR(VLOOKUP(D950,Data!$A$2:$D$223100,2,FALSE)),0,1)</f>
        <v>1</v>
      </c>
      <c r="N950" s="3">
        <f t="shared" si="29"/>
        <v>1</v>
      </c>
      <c r="O950" s="3" t="str">
        <f>IF(ISERROR(VLOOKUP(D950,Data!$A$2:$C$223100,3,FALSE)),"INACTIVE",VLOOKUP(D950,Data!$A$2:$C$223100,3,FALSE))</f>
        <v>Current</v>
      </c>
    </row>
    <row r="951" spans="1:15" x14ac:dyDescent="0.25">
      <c r="A951" t="s">
        <v>7968</v>
      </c>
      <c r="B951" t="s">
        <v>7969</v>
      </c>
      <c r="C951" t="s">
        <v>7974</v>
      </c>
      <c r="D951" t="s">
        <v>7975</v>
      </c>
      <c r="E951" t="s">
        <v>5</v>
      </c>
      <c r="F951" t="s">
        <v>5</v>
      </c>
      <c r="G951" t="s">
        <v>7976</v>
      </c>
      <c r="H951" t="s">
        <v>7977</v>
      </c>
      <c r="I951" t="s">
        <v>7295</v>
      </c>
      <c r="J951" t="s">
        <v>96</v>
      </c>
      <c r="K951" s="3">
        <f t="shared" si="28"/>
        <v>0</v>
      </c>
      <c r="L951" s="3">
        <f>IF(ISERROR(VLOOKUP(J951,Lookups!$A$2:$A$16,1,FALSE)),1,0)</f>
        <v>0</v>
      </c>
      <c r="M951" s="3">
        <f>IF(ISERROR(VLOOKUP(D951,Data!$A$2:$D$223100,2,FALSE)),0,1)</f>
        <v>1</v>
      </c>
      <c r="N951" s="3">
        <f t="shared" si="29"/>
        <v>0</v>
      </c>
      <c r="O951" s="3" t="str">
        <f>IF(ISERROR(VLOOKUP(D951,Data!$A$2:$C$223100,3,FALSE)),"INACTIVE",VLOOKUP(D951,Data!$A$2:$C$223100,3,FALSE))</f>
        <v>Current</v>
      </c>
    </row>
    <row r="952" spans="1:15" x14ac:dyDescent="0.25">
      <c r="A952" t="s">
        <v>8091</v>
      </c>
      <c r="B952" t="s">
        <v>8092</v>
      </c>
      <c r="C952" t="s">
        <v>8093</v>
      </c>
      <c r="D952" t="s">
        <v>8094</v>
      </c>
      <c r="E952" t="s">
        <v>5</v>
      </c>
      <c r="F952" t="s">
        <v>8095</v>
      </c>
      <c r="G952" t="s">
        <v>5</v>
      </c>
      <c r="H952" t="s">
        <v>5</v>
      </c>
      <c r="I952" t="s">
        <v>7295</v>
      </c>
      <c r="J952" t="s">
        <v>96</v>
      </c>
      <c r="K952" s="3">
        <f t="shared" si="28"/>
        <v>0</v>
      </c>
      <c r="L952" s="3">
        <f>IF(ISERROR(VLOOKUP(J952,Lookups!$A$2:$A$16,1,FALSE)),1,0)</f>
        <v>0</v>
      </c>
      <c r="M952" s="3">
        <f>IF(ISERROR(VLOOKUP(D952,Data!$A$2:$D$223100,2,FALSE)),0,1)</f>
        <v>1</v>
      </c>
      <c r="N952" s="3">
        <f t="shared" si="29"/>
        <v>0</v>
      </c>
      <c r="O952" s="3" t="str">
        <f>IF(ISERROR(VLOOKUP(D952,Data!$A$2:$C$223100,3,FALSE)),"INACTIVE",VLOOKUP(D952,Data!$A$2:$C$223100,3,FALSE))</f>
        <v>180+</v>
      </c>
    </row>
    <row r="953" spans="1:15" x14ac:dyDescent="0.25">
      <c r="A953" t="s">
        <v>8091</v>
      </c>
      <c r="B953" t="s">
        <v>8092</v>
      </c>
      <c r="C953" t="s">
        <v>8093</v>
      </c>
      <c r="D953" t="s">
        <v>8094</v>
      </c>
      <c r="E953" t="s">
        <v>5</v>
      </c>
      <c r="F953" t="s">
        <v>8096</v>
      </c>
      <c r="G953" t="s">
        <v>5</v>
      </c>
      <c r="H953" t="s">
        <v>5</v>
      </c>
      <c r="I953" t="s">
        <v>7295</v>
      </c>
      <c r="J953" t="s">
        <v>96</v>
      </c>
      <c r="K953" s="3">
        <f t="shared" si="28"/>
        <v>0</v>
      </c>
      <c r="L953" s="3">
        <f>IF(ISERROR(VLOOKUP(J953,Lookups!$A$2:$A$16,1,FALSE)),1,0)</f>
        <v>0</v>
      </c>
      <c r="M953" s="3">
        <f>IF(ISERROR(VLOOKUP(D953,Data!$A$2:$D$223100,2,FALSE)),0,1)</f>
        <v>1</v>
      </c>
      <c r="N953" s="3">
        <f t="shared" si="29"/>
        <v>0</v>
      </c>
      <c r="O953" s="3" t="str">
        <f>IF(ISERROR(VLOOKUP(D953,Data!$A$2:$C$223100,3,FALSE)),"INACTIVE",VLOOKUP(D953,Data!$A$2:$C$223100,3,FALSE))</f>
        <v>180+</v>
      </c>
    </row>
    <row r="954" spans="1:15" x14ac:dyDescent="0.25">
      <c r="A954" t="s">
        <v>8091</v>
      </c>
      <c r="B954" t="s">
        <v>8092</v>
      </c>
      <c r="C954" t="s">
        <v>8097</v>
      </c>
      <c r="D954" t="s">
        <v>8098</v>
      </c>
      <c r="E954" t="s">
        <v>5</v>
      </c>
      <c r="F954" t="s">
        <v>8099</v>
      </c>
      <c r="G954" t="s">
        <v>5</v>
      </c>
      <c r="H954" t="s">
        <v>5</v>
      </c>
      <c r="I954" t="s">
        <v>7295</v>
      </c>
      <c r="J954" t="s">
        <v>96</v>
      </c>
      <c r="K954" s="3">
        <f t="shared" si="28"/>
        <v>0</v>
      </c>
      <c r="L954" s="3">
        <f>IF(ISERROR(VLOOKUP(J954,Lookups!$A$2:$A$16,1,FALSE)),1,0)</f>
        <v>0</v>
      </c>
      <c r="M954" s="3">
        <f>IF(ISERROR(VLOOKUP(D954,Data!$A$2:$D$223100,2,FALSE)),0,1)</f>
        <v>1</v>
      </c>
      <c r="N954" s="3">
        <f t="shared" si="29"/>
        <v>0</v>
      </c>
      <c r="O954" s="3" t="str">
        <f>IF(ISERROR(VLOOKUP(D954,Data!$A$2:$C$223100,3,FALSE)),"INACTIVE",VLOOKUP(D954,Data!$A$2:$C$223100,3,FALSE))</f>
        <v>Current</v>
      </c>
    </row>
    <row r="955" spans="1:15" x14ac:dyDescent="0.25">
      <c r="A955" t="s">
        <v>8091</v>
      </c>
      <c r="B955" t="s">
        <v>8092</v>
      </c>
      <c r="C955" t="s">
        <v>8100</v>
      </c>
      <c r="D955" t="s">
        <v>8101</v>
      </c>
      <c r="E955" t="s">
        <v>5</v>
      </c>
      <c r="F955" t="s">
        <v>8102</v>
      </c>
      <c r="G955" t="s">
        <v>5</v>
      </c>
      <c r="H955" t="s">
        <v>5</v>
      </c>
      <c r="I955" t="s">
        <v>7295</v>
      </c>
      <c r="J955" t="s">
        <v>96</v>
      </c>
      <c r="K955" s="3">
        <f t="shared" si="28"/>
        <v>0</v>
      </c>
      <c r="L955" s="3">
        <f>IF(ISERROR(VLOOKUP(J955,Lookups!$A$2:$A$16,1,FALSE)),1,0)</f>
        <v>0</v>
      </c>
      <c r="M955" s="3">
        <f>IF(ISERROR(VLOOKUP(D955,Data!$A$2:$D$223100,2,FALSE)),0,1)</f>
        <v>1</v>
      </c>
      <c r="N955" s="3">
        <f t="shared" si="29"/>
        <v>0</v>
      </c>
      <c r="O955" s="3" t="str">
        <f>IF(ISERROR(VLOOKUP(D955,Data!$A$2:$C$223100,3,FALSE)),"INACTIVE",VLOOKUP(D955,Data!$A$2:$C$223100,3,FALSE))</f>
        <v>150+</v>
      </c>
    </row>
    <row r="956" spans="1:15" x14ac:dyDescent="0.25">
      <c r="A956" t="s">
        <v>7552</v>
      </c>
      <c r="B956" t="s">
        <v>7553</v>
      </c>
      <c r="C956" t="s">
        <v>7554</v>
      </c>
      <c r="D956" t="s">
        <v>7555</v>
      </c>
      <c r="E956" t="s">
        <v>5</v>
      </c>
      <c r="F956" t="s">
        <v>5</v>
      </c>
      <c r="G956" t="s">
        <v>5</v>
      </c>
      <c r="H956" t="s">
        <v>7556</v>
      </c>
      <c r="I956" t="s">
        <v>7557</v>
      </c>
      <c r="J956" t="s">
        <v>7</v>
      </c>
      <c r="K956" s="3">
        <f t="shared" si="28"/>
        <v>0</v>
      </c>
      <c r="L956" s="3">
        <f>IF(ISERROR(VLOOKUP(J956,Lookups!$A$2:$A$16,1,FALSE)),1,0)</f>
        <v>1</v>
      </c>
      <c r="M956" s="3">
        <f>IF(ISERROR(VLOOKUP(D956,Data!$A$2:$D$223100,2,FALSE)),0,1)</f>
        <v>1</v>
      </c>
      <c r="N956" s="3">
        <f t="shared" si="29"/>
        <v>1</v>
      </c>
      <c r="O956" s="3" t="str">
        <f>IF(ISERROR(VLOOKUP(D956,Data!$A$2:$C$223100,3,FALSE)),"INACTIVE",VLOOKUP(D956,Data!$A$2:$C$223100,3,FALSE))</f>
        <v>180+</v>
      </c>
    </row>
    <row r="957" spans="1:15" x14ac:dyDescent="0.25">
      <c r="A957" t="s">
        <v>7558</v>
      </c>
      <c r="B957" t="s">
        <v>7559</v>
      </c>
      <c r="C957" t="s">
        <v>7560</v>
      </c>
      <c r="D957" t="s">
        <v>7561</v>
      </c>
      <c r="E957" t="s">
        <v>5</v>
      </c>
      <c r="F957" t="s">
        <v>5</v>
      </c>
      <c r="G957" t="s">
        <v>5</v>
      </c>
      <c r="H957" t="s">
        <v>7562</v>
      </c>
      <c r="I957" t="s">
        <v>7557</v>
      </c>
      <c r="J957" t="s">
        <v>7</v>
      </c>
      <c r="K957" s="3">
        <f t="shared" si="28"/>
        <v>0</v>
      </c>
      <c r="L957" s="3">
        <f>IF(ISERROR(VLOOKUP(J957,Lookups!$A$2:$A$16,1,FALSE)),1,0)</f>
        <v>1</v>
      </c>
      <c r="M957" s="3">
        <f>IF(ISERROR(VLOOKUP(D957,Data!$A$2:$D$223100,2,FALSE)),0,1)</f>
        <v>1</v>
      </c>
      <c r="N957" s="3">
        <f t="shared" si="29"/>
        <v>1</v>
      </c>
      <c r="O957" s="3" t="str">
        <f>IF(ISERROR(VLOOKUP(D957,Data!$A$2:$C$223100,3,FALSE)),"INACTIVE",VLOOKUP(D957,Data!$A$2:$C$223100,3,FALSE))</f>
        <v>Current</v>
      </c>
    </row>
    <row r="958" spans="1:15" x14ac:dyDescent="0.25">
      <c r="A958" t="s">
        <v>7563</v>
      </c>
      <c r="B958" t="s">
        <v>7564</v>
      </c>
      <c r="C958" t="s">
        <v>7565</v>
      </c>
      <c r="D958" t="s">
        <v>7566</v>
      </c>
      <c r="E958" t="s">
        <v>5</v>
      </c>
      <c r="F958" t="s">
        <v>5</v>
      </c>
      <c r="G958" t="s">
        <v>5</v>
      </c>
      <c r="H958" t="s">
        <v>7120</v>
      </c>
      <c r="I958" t="s">
        <v>7557</v>
      </c>
      <c r="J958" t="s">
        <v>96</v>
      </c>
      <c r="K958" s="3">
        <f t="shared" si="28"/>
        <v>0</v>
      </c>
      <c r="L958" s="3">
        <f>IF(ISERROR(VLOOKUP(J958,Lookups!$A$2:$A$16,1,FALSE)),1,0)</f>
        <v>0</v>
      </c>
      <c r="M958" s="3">
        <f>IF(ISERROR(VLOOKUP(D958,Data!$A$2:$D$223100,2,FALSE)),0,1)</f>
        <v>1</v>
      </c>
      <c r="N958" s="3">
        <f t="shared" si="29"/>
        <v>0</v>
      </c>
      <c r="O958" s="3" t="str">
        <f>IF(ISERROR(VLOOKUP(D958,Data!$A$2:$C$223100,3,FALSE)),"INACTIVE",VLOOKUP(D958,Data!$A$2:$C$223100,3,FALSE))</f>
        <v>90+</v>
      </c>
    </row>
    <row r="959" spans="1:15" x14ac:dyDescent="0.25">
      <c r="A959" t="s">
        <v>7768</v>
      </c>
      <c r="B959" t="s">
        <v>7769</v>
      </c>
      <c r="C959" t="s">
        <v>7770</v>
      </c>
      <c r="D959" t="s">
        <v>7771</v>
      </c>
      <c r="E959" t="s">
        <v>5</v>
      </c>
      <c r="F959" t="s">
        <v>5</v>
      </c>
      <c r="G959" t="s">
        <v>5</v>
      </c>
      <c r="H959" t="s">
        <v>7772</v>
      </c>
      <c r="I959" t="s">
        <v>7557</v>
      </c>
      <c r="J959" t="s">
        <v>7</v>
      </c>
      <c r="K959" s="3">
        <f t="shared" si="28"/>
        <v>0</v>
      </c>
      <c r="L959" s="3">
        <f>IF(ISERROR(VLOOKUP(J959,Lookups!$A$2:$A$16,1,FALSE)),1,0)</f>
        <v>1</v>
      </c>
      <c r="M959" s="3">
        <f>IF(ISERROR(VLOOKUP(D959,Data!$A$2:$D$223100,2,FALSE)),0,1)</f>
        <v>1</v>
      </c>
      <c r="N959" s="3">
        <f t="shared" si="29"/>
        <v>1</v>
      </c>
      <c r="O959" s="3" t="str">
        <f>IF(ISERROR(VLOOKUP(D959,Data!$A$2:$C$223100,3,FALSE)),"INACTIVE",VLOOKUP(D959,Data!$A$2:$C$223100,3,FALSE))</f>
        <v>Current</v>
      </c>
    </row>
    <row r="960" spans="1:15" x14ac:dyDescent="0.25">
      <c r="A960" t="s">
        <v>7768</v>
      </c>
      <c r="B960" t="s">
        <v>7769</v>
      </c>
      <c r="C960" t="s">
        <v>7773</v>
      </c>
      <c r="D960" t="s">
        <v>7774</v>
      </c>
      <c r="E960" t="s">
        <v>5</v>
      </c>
      <c r="F960" t="s">
        <v>5</v>
      </c>
      <c r="G960" t="s">
        <v>4945</v>
      </c>
      <c r="H960" t="s">
        <v>7775</v>
      </c>
      <c r="I960" t="s">
        <v>7557</v>
      </c>
      <c r="J960" t="s">
        <v>7</v>
      </c>
      <c r="K960" s="3">
        <f t="shared" si="28"/>
        <v>0</v>
      </c>
      <c r="L960" s="3">
        <f>IF(ISERROR(VLOOKUP(J960,Lookups!$A$2:$A$16,1,FALSE)),1,0)</f>
        <v>1</v>
      </c>
      <c r="M960" s="3">
        <f>IF(ISERROR(VLOOKUP(D960,Data!$A$2:$D$223100,2,FALSE)),0,1)</f>
        <v>1</v>
      </c>
      <c r="N960" s="3">
        <f t="shared" si="29"/>
        <v>1</v>
      </c>
      <c r="O960" s="3" t="str">
        <f>IF(ISERROR(VLOOKUP(D960,Data!$A$2:$C$223100,3,FALSE)),"INACTIVE",VLOOKUP(D960,Data!$A$2:$C$223100,3,FALSE))</f>
        <v>180+</v>
      </c>
    </row>
    <row r="961" spans="1:15" x14ac:dyDescent="0.25">
      <c r="A961" t="s">
        <v>7800</v>
      </c>
      <c r="B961" t="s">
        <v>7801</v>
      </c>
      <c r="C961" t="s">
        <v>7802</v>
      </c>
      <c r="D961" t="s">
        <v>7803</v>
      </c>
      <c r="E961" t="s">
        <v>5</v>
      </c>
      <c r="F961" t="s">
        <v>5</v>
      </c>
      <c r="G961" t="s">
        <v>5</v>
      </c>
      <c r="H961" t="s">
        <v>7804</v>
      </c>
      <c r="I961" t="s">
        <v>7557</v>
      </c>
      <c r="J961" t="s">
        <v>7</v>
      </c>
      <c r="K961" s="3">
        <f t="shared" si="28"/>
        <v>0</v>
      </c>
      <c r="L961" s="3">
        <f>IF(ISERROR(VLOOKUP(J961,Lookups!$A$2:$A$16,1,FALSE)),1,0)</f>
        <v>1</v>
      </c>
      <c r="M961" s="3">
        <f>IF(ISERROR(VLOOKUP(D961,Data!$A$2:$D$223100,2,FALSE)),0,1)</f>
        <v>0</v>
      </c>
      <c r="N961" s="3">
        <f t="shared" si="29"/>
        <v>0</v>
      </c>
      <c r="O961" s="3" t="str">
        <f>IF(ISERROR(VLOOKUP(D961,Data!$A$2:$C$223100,3,FALSE)),"INACTIVE",VLOOKUP(D961,Data!$A$2:$C$223100,3,FALSE))</f>
        <v>INACTIVE</v>
      </c>
    </row>
    <row r="962" spans="1:15" x14ac:dyDescent="0.25">
      <c r="A962" t="s">
        <v>7914</v>
      </c>
      <c r="B962" t="s">
        <v>7915</v>
      </c>
      <c r="C962" t="s">
        <v>7916</v>
      </c>
      <c r="D962" t="s">
        <v>7917</v>
      </c>
      <c r="E962" t="s">
        <v>5</v>
      </c>
      <c r="F962" t="s">
        <v>5</v>
      </c>
      <c r="G962" t="s">
        <v>5</v>
      </c>
      <c r="H962" t="s">
        <v>7918</v>
      </c>
      <c r="I962" t="s">
        <v>7557</v>
      </c>
      <c r="J962" t="s">
        <v>7</v>
      </c>
      <c r="K962" s="3">
        <f t="shared" si="28"/>
        <v>0</v>
      </c>
      <c r="L962" s="3">
        <f>IF(ISERROR(VLOOKUP(J962,Lookups!$A$2:$A$16,1,FALSE)),1,0)</f>
        <v>1</v>
      </c>
      <c r="M962" s="3">
        <f>IF(ISERROR(VLOOKUP(D962,Data!$A$2:$D$223100,2,FALSE)),0,1)</f>
        <v>1</v>
      </c>
      <c r="N962" s="3">
        <f t="shared" si="29"/>
        <v>1</v>
      </c>
      <c r="O962" s="3" t="str">
        <f>IF(ISERROR(VLOOKUP(D962,Data!$A$2:$C$223100,3,FALSE)),"INACTIVE",VLOOKUP(D962,Data!$A$2:$C$223100,3,FALSE))</f>
        <v>Current</v>
      </c>
    </row>
    <row r="963" spans="1:15" x14ac:dyDescent="0.25">
      <c r="A963" t="s">
        <v>7914</v>
      </c>
      <c r="B963" t="s">
        <v>7915</v>
      </c>
      <c r="C963" t="s">
        <v>7919</v>
      </c>
      <c r="D963" t="s">
        <v>7920</v>
      </c>
      <c r="E963" t="s">
        <v>5</v>
      </c>
      <c r="F963" t="s">
        <v>5</v>
      </c>
      <c r="G963" t="s">
        <v>5</v>
      </c>
      <c r="H963" t="s">
        <v>7921</v>
      </c>
      <c r="I963" t="s">
        <v>7557</v>
      </c>
      <c r="J963" t="s">
        <v>7</v>
      </c>
      <c r="K963" s="3">
        <f t="shared" ref="K963:K1026" si="30">IF(ISERROR(FIND("LIEN",A963,1)),0,1)</f>
        <v>0</v>
      </c>
      <c r="L963" s="3">
        <f>IF(ISERROR(VLOOKUP(J963,Lookups!$A$2:$A$16,1,FALSE)),1,0)</f>
        <v>1</v>
      </c>
      <c r="M963" s="3">
        <f>IF(ISERROR(VLOOKUP(D963,Data!$A$2:$D$223100,2,FALSE)),0,1)</f>
        <v>1</v>
      </c>
      <c r="N963" s="3">
        <f t="shared" ref="N963:N1026" si="31">IF(M963=0,0,IF(SUM(K963:L963)&gt;0,1,0))</f>
        <v>1</v>
      </c>
      <c r="O963" s="3" t="str">
        <f>IF(ISERROR(VLOOKUP(D963,Data!$A$2:$C$223100,3,FALSE)),"INACTIVE",VLOOKUP(D963,Data!$A$2:$C$223100,3,FALSE))</f>
        <v>Current</v>
      </c>
    </row>
    <row r="964" spans="1:15" x14ac:dyDescent="0.25">
      <c r="A964" t="s">
        <v>7571</v>
      </c>
      <c r="B964" t="s">
        <v>7572</v>
      </c>
      <c r="C964" t="s">
        <v>7573</v>
      </c>
      <c r="D964" t="s">
        <v>7574</v>
      </c>
      <c r="E964" t="s">
        <v>5</v>
      </c>
      <c r="F964" t="s">
        <v>5</v>
      </c>
      <c r="G964" t="s">
        <v>5</v>
      </c>
      <c r="H964" t="s">
        <v>7120</v>
      </c>
      <c r="I964" t="s">
        <v>7575</v>
      </c>
      <c r="J964" t="s">
        <v>96</v>
      </c>
      <c r="K964" s="3">
        <f t="shared" si="30"/>
        <v>0</v>
      </c>
      <c r="L964" s="3">
        <f>IF(ISERROR(VLOOKUP(J964,Lookups!$A$2:$A$16,1,FALSE)),1,0)</f>
        <v>0</v>
      </c>
      <c r="M964" s="3">
        <f>IF(ISERROR(VLOOKUP(D964,Data!$A$2:$D$223100,2,FALSE)),0,1)</f>
        <v>1</v>
      </c>
      <c r="N964" s="3">
        <f t="shared" si="31"/>
        <v>0</v>
      </c>
      <c r="O964" s="3" t="str">
        <f>IF(ISERROR(VLOOKUP(D964,Data!$A$2:$C$223100,3,FALSE)),"INACTIVE",VLOOKUP(D964,Data!$A$2:$C$223100,3,FALSE))</f>
        <v>60+</v>
      </c>
    </row>
    <row r="965" spans="1:15" x14ac:dyDescent="0.25">
      <c r="A965" t="s">
        <v>7571</v>
      </c>
      <c r="B965" t="s">
        <v>7572</v>
      </c>
      <c r="C965" t="s">
        <v>7576</v>
      </c>
      <c r="D965" t="s">
        <v>7577</v>
      </c>
      <c r="E965" t="s">
        <v>7578</v>
      </c>
      <c r="F965" t="s">
        <v>7578</v>
      </c>
      <c r="G965" t="s">
        <v>7579</v>
      </c>
      <c r="H965" t="s">
        <v>7580</v>
      </c>
      <c r="I965" t="s">
        <v>7575</v>
      </c>
      <c r="J965" t="s">
        <v>96</v>
      </c>
      <c r="K965" s="3">
        <f t="shared" si="30"/>
        <v>0</v>
      </c>
      <c r="L965" s="3">
        <f>IF(ISERROR(VLOOKUP(J965,Lookups!$A$2:$A$16,1,FALSE)),1,0)</f>
        <v>0</v>
      </c>
      <c r="M965" s="3">
        <f>IF(ISERROR(VLOOKUP(D965,Data!$A$2:$D$223100,2,FALSE)),0,1)</f>
        <v>1</v>
      </c>
      <c r="N965" s="3">
        <f t="shared" si="31"/>
        <v>0</v>
      </c>
      <c r="O965" s="3" t="str">
        <f>IF(ISERROR(VLOOKUP(D965,Data!$A$2:$C$223100,3,FALSE)),"INACTIVE",VLOOKUP(D965,Data!$A$2:$C$223100,3,FALSE))</f>
        <v>180+</v>
      </c>
    </row>
    <row r="966" spans="1:15" x14ac:dyDescent="0.25">
      <c r="A966" t="s">
        <v>7720</v>
      </c>
      <c r="B966" t="s">
        <v>7721</v>
      </c>
      <c r="C966" t="s">
        <v>7722</v>
      </c>
      <c r="D966" t="s">
        <v>7723</v>
      </c>
      <c r="E966" t="s">
        <v>5</v>
      </c>
      <c r="F966" t="s">
        <v>5</v>
      </c>
      <c r="G966" t="s">
        <v>5</v>
      </c>
      <c r="H966" t="s">
        <v>7724</v>
      </c>
      <c r="I966" t="s">
        <v>7575</v>
      </c>
      <c r="J966" t="s">
        <v>7</v>
      </c>
      <c r="K966" s="3">
        <f t="shared" si="30"/>
        <v>0</v>
      </c>
      <c r="L966" s="3">
        <f>IF(ISERROR(VLOOKUP(J966,Lookups!$A$2:$A$16,1,FALSE)),1,0)</f>
        <v>1</v>
      </c>
      <c r="M966" s="3">
        <f>IF(ISERROR(VLOOKUP(D966,Data!$A$2:$D$223100,2,FALSE)),0,1)</f>
        <v>1</v>
      </c>
      <c r="N966" s="3">
        <f t="shared" si="31"/>
        <v>1</v>
      </c>
      <c r="O966" s="3" t="str">
        <f>IF(ISERROR(VLOOKUP(D966,Data!$A$2:$C$223100,3,FALSE)),"INACTIVE",VLOOKUP(D966,Data!$A$2:$C$223100,3,FALSE))</f>
        <v>Current</v>
      </c>
    </row>
    <row r="967" spans="1:15" x14ac:dyDescent="0.25">
      <c r="A967" t="s">
        <v>7743</v>
      </c>
      <c r="B967" t="s">
        <v>7744</v>
      </c>
      <c r="C967" t="s">
        <v>7745</v>
      </c>
      <c r="D967" t="s">
        <v>7746</v>
      </c>
      <c r="E967" t="s">
        <v>5</v>
      </c>
      <c r="F967" t="s">
        <v>5</v>
      </c>
      <c r="G967" t="s">
        <v>5</v>
      </c>
      <c r="H967" t="s">
        <v>7120</v>
      </c>
      <c r="I967" t="s">
        <v>7575</v>
      </c>
      <c r="J967" t="s">
        <v>96</v>
      </c>
      <c r="K967" s="3">
        <f t="shared" si="30"/>
        <v>0</v>
      </c>
      <c r="L967" s="3">
        <f>IF(ISERROR(VLOOKUP(J967,Lookups!$A$2:$A$16,1,FALSE)),1,0)</f>
        <v>0</v>
      </c>
      <c r="M967" s="3">
        <f>IF(ISERROR(VLOOKUP(D967,Data!$A$2:$D$223100,2,FALSE)),0,1)</f>
        <v>1</v>
      </c>
      <c r="N967" s="3">
        <f t="shared" si="31"/>
        <v>0</v>
      </c>
      <c r="O967" s="3" t="str">
        <f>IF(ISERROR(VLOOKUP(D967,Data!$A$2:$C$223100,3,FALSE)),"INACTIVE",VLOOKUP(D967,Data!$A$2:$C$223100,3,FALSE))</f>
        <v>FC</v>
      </c>
    </row>
    <row r="968" spans="1:15" x14ac:dyDescent="0.25">
      <c r="A968" t="s">
        <v>7827</v>
      </c>
      <c r="B968" t="s">
        <v>7828</v>
      </c>
      <c r="C968" t="s">
        <v>7829</v>
      </c>
      <c r="D968" t="s">
        <v>7830</v>
      </c>
      <c r="E968" t="s">
        <v>5</v>
      </c>
      <c r="F968" t="s">
        <v>5</v>
      </c>
      <c r="G968" t="s">
        <v>5</v>
      </c>
      <c r="H968" t="s">
        <v>7120</v>
      </c>
      <c r="I968" t="s">
        <v>7575</v>
      </c>
      <c r="J968" t="s">
        <v>96</v>
      </c>
      <c r="K968" s="3">
        <f t="shared" si="30"/>
        <v>0</v>
      </c>
      <c r="L968" s="3">
        <f>IF(ISERROR(VLOOKUP(J968,Lookups!$A$2:$A$16,1,FALSE)),1,0)</f>
        <v>0</v>
      </c>
      <c r="M968" s="3">
        <f>IF(ISERROR(VLOOKUP(D968,Data!$A$2:$D$223100,2,FALSE)),0,1)</f>
        <v>1</v>
      </c>
      <c r="N968" s="3">
        <f t="shared" si="31"/>
        <v>0</v>
      </c>
      <c r="O968" s="3" t="str">
        <f>IF(ISERROR(VLOOKUP(D968,Data!$A$2:$C$223100,3,FALSE)),"INACTIVE",VLOOKUP(D968,Data!$A$2:$C$223100,3,FALSE))</f>
        <v>90+</v>
      </c>
    </row>
    <row r="969" spans="1:15" x14ac:dyDescent="0.25">
      <c r="A969" t="s">
        <v>7840</v>
      </c>
      <c r="B969" t="s">
        <v>7841</v>
      </c>
      <c r="C969" t="s">
        <v>7842</v>
      </c>
      <c r="D969" t="s">
        <v>7843</v>
      </c>
      <c r="E969" t="s">
        <v>5</v>
      </c>
      <c r="F969" t="s">
        <v>5</v>
      </c>
      <c r="G969" t="s">
        <v>5</v>
      </c>
      <c r="H969" t="s">
        <v>7120</v>
      </c>
      <c r="I969" t="s">
        <v>7575</v>
      </c>
      <c r="J969" t="s">
        <v>96</v>
      </c>
      <c r="K969" s="3">
        <f t="shared" si="30"/>
        <v>0</v>
      </c>
      <c r="L969" s="3">
        <f>IF(ISERROR(VLOOKUP(J969,Lookups!$A$2:$A$16,1,FALSE)),1,0)</f>
        <v>0</v>
      </c>
      <c r="M969" s="3">
        <f>IF(ISERROR(VLOOKUP(D969,Data!$A$2:$D$223100,2,FALSE)),0,1)</f>
        <v>1</v>
      </c>
      <c r="N969" s="3">
        <f t="shared" si="31"/>
        <v>0</v>
      </c>
      <c r="O969" s="3" t="str">
        <f>IF(ISERROR(VLOOKUP(D969,Data!$A$2:$C$223100,3,FALSE)),"INACTIVE",VLOOKUP(D969,Data!$A$2:$C$223100,3,FALSE))</f>
        <v>60+</v>
      </c>
    </row>
    <row r="970" spans="1:15" x14ac:dyDescent="0.25">
      <c r="A970" t="s">
        <v>7866</v>
      </c>
      <c r="B970" t="s">
        <v>7867</v>
      </c>
      <c r="C970" t="s">
        <v>7868</v>
      </c>
      <c r="D970" t="s">
        <v>7869</v>
      </c>
      <c r="E970" t="s">
        <v>5</v>
      </c>
      <c r="F970" t="s">
        <v>5</v>
      </c>
      <c r="G970" t="s">
        <v>5</v>
      </c>
      <c r="H970" t="s">
        <v>7120</v>
      </c>
      <c r="I970" t="s">
        <v>7575</v>
      </c>
      <c r="J970" t="s">
        <v>96</v>
      </c>
      <c r="K970" s="3">
        <f t="shared" si="30"/>
        <v>0</v>
      </c>
      <c r="L970" s="3">
        <f>IF(ISERROR(VLOOKUP(J970,Lookups!$A$2:$A$16,1,FALSE)),1,0)</f>
        <v>0</v>
      </c>
      <c r="M970" s="3">
        <f>IF(ISERROR(VLOOKUP(D970,Data!$A$2:$D$223100,2,FALSE)),0,1)</f>
        <v>1</v>
      </c>
      <c r="N970" s="3">
        <f t="shared" si="31"/>
        <v>0</v>
      </c>
      <c r="O970" s="3" t="str">
        <f>IF(ISERROR(VLOOKUP(D970,Data!$A$2:$C$223100,3,FALSE)),"INACTIVE",VLOOKUP(D970,Data!$A$2:$C$223100,3,FALSE))</f>
        <v>FBA</v>
      </c>
    </row>
    <row r="971" spans="1:15" x14ac:dyDescent="0.25">
      <c r="A971" t="s">
        <v>7451</v>
      </c>
      <c r="B971" t="s">
        <v>7452</v>
      </c>
      <c r="C971" t="s">
        <v>7453</v>
      </c>
      <c r="D971" t="s">
        <v>7454</v>
      </c>
      <c r="E971" t="s">
        <v>5</v>
      </c>
      <c r="F971" t="s">
        <v>5</v>
      </c>
      <c r="G971" t="s">
        <v>7455</v>
      </c>
      <c r="H971" t="s">
        <v>7456</v>
      </c>
      <c r="I971" t="s">
        <v>7457</v>
      </c>
      <c r="J971" t="s">
        <v>7</v>
      </c>
      <c r="K971" s="3">
        <f t="shared" si="30"/>
        <v>0</v>
      </c>
      <c r="L971" s="3">
        <f>IF(ISERROR(VLOOKUP(J971,Lookups!$A$2:$A$16,1,FALSE)),1,0)</f>
        <v>1</v>
      </c>
      <c r="M971" s="3">
        <f>IF(ISERROR(VLOOKUP(D971,Data!$A$2:$D$223100,2,FALSE)),0,1)</f>
        <v>1</v>
      </c>
      <c r="N971" s="3">
        <f t="shared" si="31"/>
        <v>1</v>
      </c>
      <c r="O971" s="3" t="str">
        <f>IF(ISERROR(VLOOKUP(D971,Data!$A$2:$C$223100,3,FALSE)),"INACTIVE",VLOOKUP(D971,Data!$A$2:$C$223100,3,FALSE))</f>
        <v>Current</v>
      </c>
    </row>
    <row r="972" spans="1:15" x14ac:dyDescent="0.25">
      <c r="A972" t="s">
        <v>7713</v>
      </c>
      <c r="B972" t="s">
        <v>7714</v>
      </c>
      <c r="C972" t="s">
        <v>7715</v>
      </c>
      <c r="D972" t="s">
        <v>7716</v>
      </c>
      <c r="E972" t="s">
        <v>5</v>
      </c>
      <c r="F972" t="s">
        <v>5</v>
      </c>
      <c r="G972" t="s">
        <v>7717</v>
      </c>
      <c r="H972" t="s">
        <v>5</v>
      </c>
      <c r="I972" t="s">
        <v>7457</v>
      </c>
      <c r="J972" t="s">
        <v>7</v>
      </c>
      <c r="K972" s="3">
        <f t="shared" si="30"/>
        <v>0</v>
      </c>
      <c r="L972" s="3">
        <f>IF(ISERROR(VLOOKUP(J972,Lookups!$A$2:$A$16,1,FALSE)),1,0)</f>
        <v>1</v>
      </c>
      <c r="M972" s="3">
        <f>IF(ISERROR(VLOOKUP(D972,Data!$A$2:$D$223100,2,FALSE)),0,1)</f>
        <v>1</v>
      </c>
      <c r="N972" s="3">
        <f t="shared" si="31"/>
        <v>1</v>
      </c>
      <c r="O972" s="3" t="str">
        <f>IF(ISERROR(VLOOKUP(D972,Data!$A$2:$C$223100,3,FALSE)),"INACTIVE",VLOOKUP(D972,Data!$A$2:$C$223100,3,FALSE))</f>
        <v>FBA</v>
      </c>
    </row>
    <row r="973" spans="1:15" x14ac:dyDescent="0.25">
      <c r="A973" t="s">
        <v>7713</v>
      </c>
      <c r="B973" t="s">
        <v>7714</v>
      </c>
      <c r="C973" t="s">
        <v>7718</v>
      </c>
      <c r="D973" t="s">
        <v>7719</v>
      </c>
      <c r="E973" t="s">
        <v>5</v>
      </c>
      <c r="F973" t="s">
        <v>5</v>
      </c>
      <c r="G973" t="s">
        <v>5</v>
      </c>
      <c r="H973" t="s">
        <v>7120</v>
      </c>
      <c r="I973" t="s">
        <v>7457</v>
      </c>
      <c r="J973" t="s">
        <v>96</v>
      </c>
      <c r="K973" s="3">
        <f t="shared" si="30"/>
        <v>0</v>
      </c>
      <c r="L973" s="3">
        <f>IF(ISERROR(VLOOKUP(J973,Lookups!$A$2:$A$16,1,FALSE)),1,0)</f>
        <v>0</v>
      </c>
      <c r="M973" s="3">
        <f>IF(ISERROR(VLOOKUP(D973,Data!$A$2:$D$223100,2,FALSE)),0,1)</f>
        <v>1</v>
      </c>
      <c r="N973" s="3">
        <f t="shared" si="31"/>
        <v>0</v>
      </c>
      <c r="O973" s="3" t="str">
        <f>IF(ISERROR(VLOOKUP(D973,Data!$A$2:$C$223100,3,FALSE)),"INACTIVE",VLOOKUP(D973,Data!$A$2:$C$223100,3,FALSE))</f>
        <v>180+</v>
      </c>
    </row>
    <row r="974" spans="1:15" x14ac:dyDescent="0.25">
      <c r="A974" t="s">
        <v>7947</v>
      </c>
      <c r="B974" t="s">
        <v>7948</v>
      </c>
      <c r="C974" t="s">
        <v>7949</v>
      </c>
      <c r="D974" t="s">
        <v>7950</v>
      </c>
      <c r="E974" t="s">
        <v>5</v>
      </c>
      <c r="F974" t="s">
        <v>5</v>
      </c>
      <c r="G974" t="s">
        <v>7951</v>
      </c>
      <c r="H974" t="s">
        <v>7952</v>
      </c>
      <c r="I974" t="s">
        <v>7457</v>
      </c>
      <c r="J974" t="s">
        <v>7</v>
      </c>
      <c r="K974" s="3">
        <f t="shared" si="30"/>
        <v>0</v>
      </c>
      <c r="L974" s="3">
        <f>IF(ISERROR(VLOOKUP(J974,Lookups!$A$2:$A$16,1,FALSE)),1,0)</f>
        <v>1</v>
      </c>
      <c r="M974" s="3">
        <f>IF(ISERROR(VLOOKUP(D974,Data!$A$2:$D$223100,2,FALSE)),0,1)</f>
        <v>0</v>
      </c>
      <c r="N974" s="3">
        <f t="shared" si="31"/>
        <v>0</v>
      </c>
      <c r="O974" s="3" t="str">
        <f>IF(ISERROR(VLOOKUP(D974,Data!$A$2:$C$223100,3,FALSE)),"INACTIVE",VLOOKUP(D974,Data!$A$2:$C$223100,3,FALSE))</f>
        <v>INACTIVE</v>
      </c>
    </row>
    <row r="975" spans="1:15" x14ac:dyDescent="0.25">
      <c r="A975" t="s">
        <v>7467</v>
      </c>
      <c r="B975" t="s">
        <v>7468</v>
      </c>
      <c r="C975" t="s">
        <v>7469</v>
      </c>
      <c r="D975" t="s">
        <v>7470</v>
      </c>
      <c r="E975" t="s">
        <v>5</v>
      </c>
      <c r="F975" t="s">
        <v>5</v>
      </c>
      <c r="G975" t="s">
        <v>5</v>
      </c>
      <c r="H975" t="s">
        <v>7471</v>
      </c>
      <c r="I975" t="s">
        <v>7472</v>
      </c>
      <c r="J975" t="s">
        <v>7</v>
      </c>
      <c r="K975" s="3">
        <f t="shared" si="30"/>
        <v>0</v>
      </c>
      <c r="L975" s="3">
        <f>IF(ISERROR(VLOOKUP(J975,Lookups!$A$2:$A$16,1,FALSE)),1,0)</f>
        <v>1</v>
      </c>
      <c r="M975" s="3">
        <f>IF(ISERROR(VLOOKUP(D975,Data!$A$2:$D$223100,2,FALSE)),0,1)</f>
        <v>1</v>
      </c>
      <c r="N975" s="3">
        <f t="shared" si="31"/>
        <v>1</v>
      </c>
      <c r="O975" s="3" t="str">
        <f>IF(ISERROR(VLOOKUP(D975,Data!$A$2:$C$223100,3,FALSE)),"INACTIVE",VLOOKUP(D975,Data!$A$2:$C$223100,3,FALSE))</f>
        <v>Current</v>
      </c>
    </row>
    <row r="976" spans="1:15" x14ac:dyDescent="0.25">
      <c r="A976" t="s">
        <v>7467</v>
      </c>
      <c r="B976" t="s">
        <v>7468</v>
      </c>
      <c r="C976" t="s">
        <v>7473</v>
      </c>
      <c r="D976" t="s">
        <v>7474</v>
      </c>
      <c r="E976" t="s">
        <v>5</v>
      </c>
      <c r="F976" t="s">
        <v>5</v>
      </c>
      <c r="G976" t="s">
        <v>5</v>
      </c>
      <c r="H976" t="s">
        <v>7475</v>
      </c>
      <c r="I976" t="s">
        <v>7472</v>
      </c>
      <c r="J976" t="s">
        <v>7</v>
      </c>
      <c r="K976" s="3">
        <f t="shared" si="30"/>
        <v>0</v>
      </c>
      <c r="L976" s="3">
        <f>IF(ISERROR(VLOOKUP(J976,Lookups!$A$2:$A$16,1,FALSE)),1,0)</f>
        <v>1</v>
      </c>
      <c r="M976" s="3">
        <f>IF(ISERROR(VLOOKUP(D976,Data!$A$2:$D$223100,2,FALSE)),0,1)</f>
        <v>1</v>
      </c>
      <c r="N976" s="3">
        <f t="shared" si="31"/>
        <v>1</v>
      </c>
      <c r="O976" s="3" t="str">
        <f>IF(ISERROR(VLOOKUP(D976,Data!$A$2:$C$223100,3,FALSE)),"INACTIVE",VLOOKUP(D976,Data!$A$2:$C$223100,3,FALSE))</f>
        <v>Current</v>
      </c>
    </row>
    <row r="977" spans="1:15" x14ac:dyDescent="0.25">
      <c r="A977" t="s">
        <v>7467</v>
      </c>
      <c r="B977" t="s">
        <v>7468</v>
      </c>
      <c r="C977" t="s">
        <v>7476</v>
      </c>
      <c r="D977" t="s">
        <v>7477</v>
      </c>
      <c r="E977" t="s">
        <v>5</v>
      </c>
      <c r="F977" t="s">
        <v>5</v>
      </c>
      <c r="G977" t="s">
        <v>5</v>
      </c>
      <c r="H977" t="s">
        <v>7478</v>
      </c>
      <c r="I977" t="s">
        <v>7472</v>
      </c>
      <c r="J977" t="s">
        <v>7</v>
      </c>
      <c r="K977" s="3">
        <f t="shared" si="30"/>
        <v>0</v>
      </c>
      <c r="L977" s="3">
        <f>IF(ISERROR(VLOOKUP(J977,Lookups!$A$2:$A$16,1,FALSE)),1,0)</f>
        <v>1</v>
      </c>
      <c r="M977" s="3">
        <f>IF(ISERROR(VLOOKUP(D977,Data!$A$2:$D$223100,2,FALSE)),0,1)</f>
        <v>1</v>
      </c>
      <c r="N977" s="3">
        <f t="shared" si="31"/>
        <v>1</v>
      </c>
      <c r="O977" s="3" t="str">
        <f>IF(ISERROR(VLOOKUP(D977,Data!$A$2:$C$223100,3,FALSE)),"INACTIVE",VLOOKUP(D977,Data!$A$2:$C$223100,3,FALSE))</f>
        <v>Current</v>
      </c>
    </row>
    <row r="978" spans="1:15" x14ac:dyDescent="0.25">
      <c r="A978" t="s">
        <v>7467</v>
      </c>
      <c r="B978" t="s">
        <v>7468</v>
      </c>
      <c r="C978" t="s">
        <v>7479</v>
      </c>
      <c r="D978" t="s">
        <v>7480</v>
      </c>
      <c r="E978" t="s">
        <v>5</v>
      </c>
      <c r="F978" t="s">
        <v>5</v>
      </c>
      <c r="G978" t="s">
        <v>5</v>
      </c>
      <c r="H978" t="s">
        <v>7120</v>
      </c>
      <c r="I978" t="s">
        <v>7472</v>
      </c>
      <c r="J978" t="s">
        <v>96</v>
      </c>
      <c r="K978" s="3">
        <f t="shared" si="30"/>
        <v>0</v>
      </c>
      <c r="L978" s="3">
        <f>IF(ISERROR(VLOOKUP(J978,Lookups!$A$2:$A$16,1,FALSE)),1,0)</f>
        <v>0</v>
      </c>
      <c r="M978" s="3">
        <f>IF(ISERROR(VLOOKUP(D978,Data!$A$2:$D$223100,2,FALSE)),0,1)</f>
        <v>1</v>
      </c>
      <c r="N978" s="3">
        <f t="shared" si="31"/>
        <v>0</v>
      </c>
      <c r="O978" s="3" t="str">
        <f>IF(ISERROR(VLOOKUP(D978,Data!$A$2:$C$223100,3,FALSE)),"INACTIVE",VLOOKUP(D978,Data!$A$2:$C$223100,3,FALSE))</f>
        <v>BK13</v>
      </c>
    </row>
    <row r="979" spans="1:15" x14ac:dyDescent="0.25">
      <c r="A979" t="s">
        <v>7593</v>
      </c>
      <c r="B979" t="s">
        <v>7594</v>
      </c>
      <c r="C979" t="s">
        <v>7595</v>
      </c>
      <c r="D979" t="s">
        <v>7596</v>
      </c>
      <c r="E979" t="s">
        <v>5</v>
      </c>
      <c r="F979" t="s">
        <v>5</v>
      </c>
      <c r="G979" t="s">
        <v>7597</v>
      </c>
      <c r="H979" t="s">
        <v>7598</v>
      </c>
      <c r="I979" t="s">
        <v>7599</v>
      </c>
      <c r="J979" t="s">
        <v>7</v>
      </c>
      <c r="K979" s="3">
        <f t="shared" si="30"/>
        <v>0</v>
      </c>
      <c r="L979" s="3">
        <f>IF(ISERROR(VLOOKUP(J979,Lookups!$A$2:$A$16,1,FALSE)),1,0)</f>
        <v>1</v>
      </c>
      <c r="M979" s="3">
        <f>IF(ISERROR(VLOOKUP(D979,Data!$A$2:$D$223100,2,FALSE)),0,1)</f>
        <v>1</v>
      </c>
      <c r="N979" s="3">
        <f t="shared" si="31"/>
        <v>1</v>
      </c>
      <c r="O979" s="3" t="str">
        <f>IF(ISERROR(VLOOKUP(D979,Data!$A$2:$C$223100,3,FALSE)),"INACTIVE",VLOOKUP(D979,Data!$A$2:$C$223100,3,FALSE))</f>
        <v>Current</v>
      </c>
    </row>
    <row r="980" spans="1:15" x14ac:dyDescent="0.25">
      <c r="A980" t="s">
        <v>7684</v>
      </c>
      <c r="B980" t="s">
        <v>7685</v>
      </c>
      <c r="C980" t="s">
        <v>7686</v>
      </c>
      <c r="D980" t="s">
        <v>7687</v>
      </c>
      <c r="E980" t="s">
        <v>5</v>
      </c>
      <c r="F980" t="s">
        <v>5</v>
      </c>
      <c r="G980" t="s">
        <v>7688</v>
      </c>
      <c r="H980" t="s">
        <v>7689</v>
      </c>
      <c r="I980" t="s">
        <v>7599</v>
      </c>
      <c r="J980" t="s">
        <v>7</v>
      </c>
      <c r="K980" s="3">
        <f t="shared" si="30"/>
        <v>0</v>
      </c>
      <c r="L980" s="3">
        <f>IF(ISERROR(VLOOKUP(J980,Lookups!$A$2:$A$16,1,FALSE)),1,0)</f>
        <v>1</v>
      </c>
      <c r="M980" s="3">
        <f>IF(ISERROR(VLOOKUP(D980,Data!$A$2:$D$223100,2,FALSE)),0,1)</f>
        <v>1</v>
      </c>
      <c r="N980" s="3">
        <f t="shared" si="31"/>
        <v>1</v>
      </c>
      <c r="O980" s="3" t="str">
        <f>IF(ISERROR(VLOOKUP(D980,Data!$A$2:$C$223100,3,FALSE)),"INACTIVE",VLOOKUP(D980,Data!$A$2:$C$223100,3,FALSE))</f>
        <v>FC</v>
      </c>
    </row>
    <row r="981" spans="1:15" x14ac:dyDescent="0.25">
      <c r="A981" t="s">
        <v>7684</v>
      </c>
      <c r="B981" t="s">
        <v>7685</v>
      </c>
      <c r="C981" t="s">
        <v>7690</v>
      </c>
      <c r="D981" t="s">
        <v>7691</v>
      </c>
      <c r="E981" t="s">
        <v>5</v>
      </c>
      <c r="F981" t="s">
        <v>5</v>
      </c>
      <c r="G981" t="s">
        <v>7692</v>
      </c>
      <c r="H981" t="s">
        <v>7692</v>
      </c>
      <c r="I981" t="s">
        <v>7599</v>
      </c>
      <c r="J981" t="s">
        <v>7</v>
      </c>
      <c r="K981" s="3">
        <f t="shared" si="30"/>
        <v>0</v>
      </c>
      <c r="L981" s="3">
        <f>IF(ISERROR(VLOOKUP(J981,Lookups!$A$2:$A$16,1,FALSE)),1,0)</f>
        <v>1</v>
      </c>
      <c r="M981" s="3">
        <f>IF(ISERROR(VLOOKUP(D981,Data!$A$2:$D$223100,2,FALSE)),0,1)</f>
        <v>0</v>
      </c>
      <c r="N981" s="3">
        <f t="shared" si="31"/>
        <v>0</v>
      </c>
      <c r="O981" s="3" t="str">
        <f>IF(ISERROR(VLOOKUP(D981,Data!$A$2:$C$223100,3,FALSE)),"INACTIVE",VLOOKUP(D981,Data!$A$2:$C$223100,3,FALSE))</f>
        <v>INACTIVE</v>
      </c>
    </row>
    <row r="982" spans="1:15" x14ac:dyDescent="0.25">
      <c r="A982" t="s">
        <v>7693</v>
      </c>
      <c r="B982" t="s">
        <v>7694</v>
      </c>
      <c r="C982" t="s">
        <v>7695</v>
      </c>
      <c r="D982" t="s">
        <v>7696</v>
      </c>
      <c r="E982" t="s">
        <v>5</v>
      </c>
      <c r="F982" t="s">
        <v>5</v>
      </c>
      <c r="G982" t="s">
        <v>7697</v>
      </c>
      <c r="H982" t="s">
        <v>5</v>
      </c>
      <c r="I982" t="s">
        <v>7599</v>
      </c>
      <c r="J982" t="s">
        <v>90</v>
      </c>
      <c r="K982" s="3">
        <f t="shared" si="30"/>
        <v>0</v>
      </c>
      <c r="L982" s="3">
        <f>IF(ISERROR(VLOOKUP(J982,Lookups!$A$2:$A$16,1,FALSE)),1,0)</f>
        <v>0</v>
      </c>
      <c r="M982" s="3">
        <f>IF(ISERROR(VLOOKUP(D982,Data!$A$2:$D$223100,2,FALSE)),0,1)</f>
        <v>1</v>
      </c>
      <c r="N982" s="3">
        <f t="shared" si="31"/>
        <v>0</v>
      </c>
      <c r="O982" s="3" t="str">
        <f>IF(ISERROR(VLOOKUP(D982,Data!$A$2:$C$223100,3,FALSE)),"INACTIVE",VLOOKUP(D982,Data!$A$2:$C$223100,3,FALSE))</f>
        <v>BK13</v>
      </c>
    </row>
    <row r="983" spans="1:15" x14ac:dyDescent="0.25">
      <c r="A983" t="s">
        <v>7693</v>
      </c>
      <c r="B983" t="s">
        <v>7694</v>
      </c>
      <c r="C983" t="s">
        <v>7695</v>
      </c>
      <c r="D983" t="s">
        <v>7696</v>
      </c>
      <c r="E983" t="s">
        <v>7698</v>
      </c>
      <c r="F983" t="s">
        <v>7699</v>
      </c>
      <c r="G983" t="s">
        <v>7700</v>
      </c>
      <c r="H983" t="s">
        <v>7700</v>
      </c>
      <c r="I983" t="s">
        <v>7599</v>
      </c>
      <c r="J983" t="s">
        <v>90</v>
      </c>
      <c r="K983" s="3">
        <f t="shared" si="30"/>
        <v>0</v>
      </c>
      <c r="L983" s="3">
        <f>IF(ISERROR(VLOOKUP(J983,Lookups!$A$2:$A$16,1,FALSE)),1,0)</f>
        <v>0</v>
      </c>
      <c r="M983" s="3">
        <f>IF(ISERROR(VLOOKUP(D983,Data!$A$2:$D$223100,2,FALSE)),0,1)</f>
        <v>1</v>
      </c>
      <c r="N983" s="3">
        <f t="shared" si="31"/>
        <v>0</v>
      </c>
      <c r="O983" s="3" t="str">
        <f>IF(ISERROR(VLOOKUP(D983,Data!$A$2:$C$223100,3,FALSE)),"INACTIVE",VLOOKUP(D983,Data!$A$2:$C$223100,3,FALSE))</f>
        <v>BK13</v>
      </c>
    </row>
    <row r="984" spans="1:15" x14ac:dyDescent="0.25">
      <c r="A984" t="s">
        <v>7693</v>
      </c>
      <c r="B984" t="s">
        <v>7694</v>
      </c>
      <c r="C984" t="s">
        <v>7701</v>
      </c>
      <c r="D984" t="s">
        <v>7702</v>
      </c>
      <c r="E984" t="s">
        <v>5</v>
      </c>
      <c r="F984" t="s">
        <v>5</v>
      </c>
      <c r="G984" t="s">
        <v>5</v>
      </c>
      <c r="H984" t="s">
        <v>7120</v>
      </c>
      <c r="I984" t="s">
        <v>7599</v>
      </c>
      <c r="J984" t="s">
        <v>96</v>
      </c>
      <c r="K984" s="3">
        <f t="shared" si="30"/>
        <v>0</v>
      </c>
      <c r="L984" s="3">
        <f>IF(ISERROR(VLOOKUP(J984,Lookups!$A$2:$A$16,1,FALSE)),1,0)</f>
        <v>0</v>
      </c>
      <c r="M984" s="3">
        <f>IF(ISERROR(VLOOKUP(D984,Data!$A$2:$D$223100,2,FALSE)),0,1)</f>
        <v>1</v>
      </c>
      <c r="N984" s="3">
        <f t="shared" si="31"/>
        <v>0</v>
      </c>
      <c r="O984" s="3" t="str">
        <f>IF(ISERROR(VLOOKUP(D984,Data!$A$2:$C$223100,3,FALSE)),"INACTIVE",VLOOKUP(D984,Data!$A$2:$C$223100,3,FALSE))</f>
        <v>60+</v>
      </c>
    </row>
    <row r="985" spans="1:15" x14ac:dyDescent="0.25">
      <c r="A985" t="s">
        <v>7725</v>
      </c>
      <c r="B985" t="s">
        <v>7726</v>
      </c>
      <c r="C985" t="s">
        <v>7727</v>
      </c>
      <c r="D985" t="s">
        <v>7728</v>
      </c>
      <c r="E985" t="s">
        <v>5</v>
      </c>
      <c r="F985" t="s">
        <v>5</v>
      </c>
      <c r="G985" t="s">
        <v>7729</v>
      </c>
      <c r="H985" t="s">
        <v>7730</v>
      </c>
      <c r="I985" t="s">
        <v>7599</v>
      </c>
      <c r="J985" t="s">
        <v>7</v>
      </c>
      <c r="K985" s="3">
        <f t="shared" si="30"/>
        <v>0</v>
      </c>
      <c r="L985" s="3">
        <f>IF(ISERROR(VLOOKUP(J985,Lookups!$A$2:$A$16,1,FALSE)),1,0)</f>
        <v>1</v>
      </c>
      <c r="M985" s="3">
        <f>IF(ISERROR(VLOOKUP(D985,Data!$A$2:$D$223100,2,FALSE)),0,1)</f>
        <v>1</v>
      </c>
      <c r="N985" s="3">
        <f t="shared" si="31"/>
        <v>1</v>
      </c>
      <c r="O985" s="3" t="str">
        <f>IF(ISERROR(VLOOKUP(D985,Data!$A$2:$C$223100,3,FALSE)),"INACTIVE",VLOOKUP(D985,Data!$A$2:$C$223100,3,FALSE))</f>
        <v>FC</v>
      </c>
    </row>
    <row r="986" spans="1:15" x14ac:dyDescent="0.25">
      <c r="A986" t="s">
        <v>7739</v>
      </c>
      <c r="B986" t="s">
        <v>7740</v>
      </c>
      <c r="C986" t="s">
        <v>7741</v>
      </c>
      <c r="D986" t="s">
        <v>7742</v>
      </c>
      <c r="E986" t="s">
        <v>5</v>
      </c>
      <c r="F986" t="s">
        <v>5</v>
      </c>
      <c r="G986" t="s">
        <v>5</v>
      </c>
      <c r="H986" t="s">
        <v>7120</v>
      </c>
      <c r="I986" t="s">
        <v>7599</v>
      </c>
      <c r="J986" t="s">
        <v>96</v>
      </c>
      <c r="K986" s="3">
        <f t="shared" si="30"/>
        <v>0</v>
      </c>
      <c r="L986" s="3">
        <f>IF(ISERROR(VLOOKUP(J986,Lookups!$A$2:$A$16,1,FALSE)),1,0)</f>
        <v>0</v>
      </c>
      <c r="M986" s="3">
        <f>IF(ISERROR(VLOOKUP(D986,Data!$A$2:$D$223100,2,FALSE)),0,1)</f>
        <v>1</v>
      </c>
      <c r="N986" s="3">
        <f t="shared" si="31"/>
        <v>0</v>
      </c>
      <c r="O986" s="3" t="str">
        <f>IF(ISERROR(VLOOKUP(D986,Data!$A$2:$C$223100,3,FALSE)),"INACTIVE",VLOOKUP(D986,Data!$A$2:$C$223100,3,FALSE))</f>
        <v>Current</v>
      </c>
    </row>
    <row r="987" spans="1:15" x14ac:dyDescent="0.25">
      <c r="A987" t="s">
        <v>7752</v>
      </c>
      <c r="B987" t="s">
        <v>7753</v>
      </c>
      <c r="C987" t="s">
        <v>7754</v>
      </c>
      <c r="D987" t="s">
        <v>7755</v>
      </c>
      <c r="E987" t="s">
        <v>5</v>
      </c>
      <c r="F987" t="s">
        <v>5</v>
      </c>
      <c r="G987" t="s">
        <v>5</v>
      </c>
      <c r="H987" t="s">
        <v>7756</v>
      </c>
      <c r="I987" t="s">
        <v>7599</v>
      </c>
      <c r="J987" t="s">
        <v>7</v>
      </c>
      <c r="K987" s="3">
        <f t="shared" si="30"/>
        <v>0</v>
      </c>
      <c r="L987" s="3">
        <f>IF(ISERROR(VLOOKUP(J987,Lookups!$A$2:$A$16,1,FALSE)),1,0)</f>
        <v>1</v>
      </c>
      <c r="M987" s="3">
        <f>IF(ISERROR(VLOOKUP(D987,Data!$A$2:$D$223100,2,FALSE)),0,1)</f>
        <v>1</v>
      </c>
      <c r="N987" s="3">
        <f t="shared" si="31"/>
        <v>1</v>
      </c>
      <c r="O987" s="3" t="str">
        <f>IF(ISERROR(VLOOKUP(D987,Data!$A$2:$C$223100,3,FALSE)),"INACTIVE",VLOOKUP(D987,Data!$A$2:$C$223100,3,FALSE))</f>
        <v>180+</v>
      </c>
    </row>
    <row r="988" spans="1:15" x14ac:dyDescent="0.25">
      <c r="A988" t="s">
        <v>7752</v>
      </c>
      <c r="B988" t="s">
        <v>7753</v>
      </c>
      <c r="C988" t="s">
        <v>7757</v>
      </c>
      <c r="D988" t="s">
        <v>7758</v>
      </c>
      <c r="E988" t="s">
        <v>5</v>
      </c>
      <c r="F988" t="s">
        <v>5</v>
      </c>
      <c r="G988" t="s">
        <v>5</v>
      </c>
      <c r="H988" t="s">
        <v>7759</v>
      </c>
      <c r="I988" t="s">
        <v>7599</v>
      </c>
      <c r="J988" t="s">
        <v>7</v>
      </c>
      <c r="K988" s="3">
        <f t="shared" si="30"/>
        <v>0</v>
      </c>
      <c r="L988" s="3">
        <f>IF(ISERROR(VLOOKUP(J988,Lookups!$A$2:$A$16,1,FALSE)),1,0)</f>
        <v>1</v>
      </c>
      <c r="M988" s="3">
        <f>IF(ISERROR(VLOOKUP(D988,Data!$A$2:$D$223100,2,FALSE)),0,1)</f>
        <v>1</v>
      </c>
      <c r="N988" s="3">
        <f t="shared" si="31"/>
        <v>1</v>
      </c>
      <c r="O988" s="3" t="str">
        <f>IF(ISERROR(VLOOKUP(D988,Data!$A$2:$C$223100,3,FALSE)),"INACTIVE",VLOOKUP(D988,Data!$A$2:$C$223100,3,FALSE))</f>
        <v>30+</v>
      </c>
    </row>
    <row r="989" spans="1:15" x14ac:dyDescent="0.25">
      <c r="A989" t="s">
        <v>7786</v>
      </c>
      <c r="B989" t="s">
        <v>7787</v>
      </c>
      <c r="C989" t="s">
        <v>7788</v>
      </c>
      <c r="D989" t="s">
        <v>7789</v>
      </c>
      <c r="E989" t="s">
        <v>5</v>
      </c>
      <c r="F989" t="s">
        <v>5</v>
      </c>
      <c r="G989" t="s">
        <v>7790</v>
      </c>
      <c r="H989" t="s">
        <v>7791</v>
      </c>
      <c r="I989" t="s">
        <v>7599</v>
      </c>
      <c r="J989" t="s">
        <v>7</v>
      </c>
      <c r="K989" s="3">
        <f t="shared" si="30"/>
        <v>0</v>
      </c>
      <c r="L989" s="3">
        <f>IF(ISERROR(VLOOKUP(J989,Lookups!$A$2:$A$16,1,FALSE)),1,0)</f>
        <v>1</v>
      </c>
      <c r="M989" s="3">
        <f>IF(ISERROR(VLOOKUP(D989,Data!$A$2:$D$223100,2,FALSE)),0,1)</f>
        <v>0</v>
      </c>
      <c r="N989" s="3">
        <f t="shared" si="31"/>
        <v>0</v>
      </c>
      <c r="O989" s="3" t="str">
        <f>IF(ISERROR(VLOOKUP(D989,Data!$A$2:$C$223100,3,FALSE)),"INACTIVE",VLOOKUP(D989,Data!$A$2:$C$223100,3,FALSE))</f>
        <v>INACTIVE</v>
      </c>
    </row>
    <row r="990" spans="1:15" x14ac:dyDescent="0.25">
      <c r="A990" t="s">
        <v>7786</v>
      </c>
      <c r="B990" t="s">
        <v>7787</v>
      </c>
      <c r="C990" t="s">
        <v>7792</v>
      </c>
      <c r="D990" t="s">
        <v>7793</v>
      </c>
      <c r="E990" t="s">
        <v>5</v>
      </c>
      <c r="F990" t="s">
        <v>5</v>
      </c>
      <c r="G990" t="s">
        <v>7794</v>
      </c>
      <c r="H990" t="s">
        <v>7795</v>
      </c>
      <c r="I990" t="s">
        <v>7599</v>
      </c>
      <c r="J990" t="s">
        <v>90</v>
      </c>
      <c r="K990" s="3">
        <f t="shared" si="30"/>
        <v>0</v>
      </c>
      <c r="L990" s="3">
        <f>IF(ISERROR(VLOOKUP(J990,Lookups!$A$2:$A$16,1,FALSE)),1,0)</f>
        <v>0</v>
      </c>
      <c r="M990" s="3">
        <f>IF(ISERROR(VLOOKUP(D990,Data!$A$2:$D$223100,2,FALSE)),0,1)</f>
        <v>1</v>
      </c>
      <c r="N990" s="3">
        <f t="shared" si="31"/>
        <v>0</v>
      </c>
      <c r="O990" s="3" t="str">
        <f>IF(ISERROR(VLOOKUP(D990,Data!$A$2:$C$223100,3,FALSE)),"INACTIVE",VLOOKUP(D990,Data!$A$2:$C$223100,3,FALSE))</f>
        <v>BK13</v>
      </c>
    </row>
    <row r="991" spans="1:15" x14ac:dyDescent="0.25">
      <c r="A991" t="s">
        <v>7786</v>
      </c>
      <c r="B991" t="s">
        <v>7787</v>
      </c>
      <c r="C991" t="s">
        <v>7792</v>
      </c>
      <c r="D991" t="s">
        <v>7793</v>
      </c>
      <c r="E991" t="s">
        <v>7796</v>
      </c>
      <c r="F991" t="s">
        <v>7797</v>
      </c>
      <c r="G991" t="s">
        <v>7798</v>
      </c>
      <c r="H991" t="s">
        <v>7799</v>
      </c>
      <c r="I991" t="s">
        <v>7599</v>
      </c>
      <c r="J991" t="s">
        <v>90</v>
      </c>
      <c r="K991" s="3">
        <f t="shared" si="30"/>
        <v>0</v>
      </c>
      <c r="L991" s="3">
        <f>IF(ISERROR(VLOOKUP(J991,Lookups!$A$2:$A$16,1,FALSE)),1,0)</f>
        <v>0</v>
      </c>
      <c r="M991" s="3">
        <f>IF(ISERROR(VLOOKUP(D991,Data!$A$2:$D$223100,2,FALSE)),0,1)</f>
        <v>1</v>
      </c>
      <c r="N991" s="3">
        <f t="shared" si="31"/>
        <v>0</v>
      </c>
      <c r="O991" s="3" t="str">
        <f>IF(ISERROR(VLOOKUP(D991,Data!$A$2:$C$223100,3,FALSE)),"INACTIVE",VLOOKUP(D991,Data!$A$2:$C$223100,3,FALSE))</f>
        <v>BK13</v>
      </c>
    </row>
    <row r="992" spans="1:15" x14ac:dyDescent="0.25">
      <c r="A992" t="s">
        <v>7849</v>
      </c>
      <c r="B992" t="s">
        <v>7850</v>
      </c>
      <c r="C992" t="s">
        <v>7851</v>
      </c>
      <c r="D992" t="s">
        <v>7852</v>
      </c>
      <c r="E992" t="s">
        <v>5</v>
      </c>
      <c r="F992" t="s">
        <v>5</v>
      </c>
      <c r="G992" t="s">
        <v>5</v>
      </c>
      <c r="H992" t="s">
        <v>7120</v>
      </c>
      <c r="I992" t="s">
        <v>7599</v>
      </c>
      <c r="J992" t="s">
        <v>96</v>
      </c>
      <c r="K992" s="3">
        <f t="shared" si="30"/>
        <v>0</v>
      </c>
      <c r="L992" s="3">
        <f>IF(ISERROR(VLOOKUP(J992,Lookups!$A$2:$A$16,1,FALSE)),1,0)</f>
        <v>0</v>
      </c>
      <c r="M992" s="3">
        <f>IF(ISERROR(VLOOKUP(D992,Data!$A$2:$D$223100,2,FALSE)),0,1)</f>
        <v>1</v>
      </c>
      <c r="N992" s="3">
        <f t="shared" si="31"/>
        <v>0</v>
      </c>
      <c r="O992" s="3" t="str">
        <f>IF(ISERROR(VLOOKUP(D992,Data!$A$2:$C$223100,3,FALSE)),"INACTIVE",VLOOKUP(D992,Data!$A$2:$C$223100,3,FALSE))</f>
        <v>60+</v>
      </c>
    </row>
    <row r="993" spans="1:15" x14ac:dyDescent="0.25">
      <c r="A993" t="s">
        <v>7849</v>
      </c>
      <c r="B993" t="s">
        <v>7850</v>
      </c>
      <c r="C993" t="s">
        <v>7853</v>
      </c>
      <c r="D993" t="s">
        <v>7854</v>
      </c>
      <c r="E993" t="s">
        <v>5</v>
      </c>
      <c r="F993" t="s">
        <v>5</v>
      </c>
      <c r="G993" t="s">
        <v>5</v>
      </c>
      <c r="H993" t="s">
        <v>7120</v>
      </c>
      <c r="I993" t="s">
        <v>7599</v>
      </c>
      <c r="J993" t="s">
        <v>96</v>
      </c>
      <c r="K993" s="3">
        <f t="shared" si="30"/>
        <v>0</v>
      </c>
      <c r="L993" s="3">
        <f>IF(ISERROR(VLOOKUP(J993,Lookups!$A$2:$A$16,1,FALSE)),1,0)</f>
        <v>0</v>
      </c>
      <c r="M993" s="3">
        <f>IF(ISERROR(VLOOKUP(D993,Data!$A$2:$D$223100,2,FALSE)),0,1)</f>
        <v>1</v>
      </c>
      <c r="N993" s="3">
        <f t="shared" si="31"/>
        <v>0</v>
      </c>
      <c r="O993" s="3" t="str">
        <f>IF(ISERROR(VLOOKUP(D993,Data!$A$2:$C$223100,3,FALSE)),"INACTIVE",VLOOKUP(D993,Data!$A$2:$C$223100,3,FALSE))</f>
        <v>Current</v>
      </c>
    </row>
    <row r="994" spans="1:15" x14ac:dyDescent="0.25">
      <c r="A994" t="s">
        <v>7870</v>
      </c>
      <c r="B994" t="s">
        <v>7871</v>
      </c>
      <c r="C994" t="s">
        <v>7872</v>
      </c>
      <c r="D994" t="s">
        <v>7873</v>
      </c>
      <c r="E994" t="s">
        <v>5</v>
      </c>
      <c r="F994" t="s">
        <v>5</v>
      </c>
      <c r="G994" t="s">
        <v>5</v>
      </c>
      <c r="H994" t="s">
        <v>7874</v>
      </c>
      <c r="I994" t="s">
        <v>7599</v>
      </c>
      <c r="J994" t="s">
        <v>7</v>
      </c>
      <c r="K994" s="3">
        <f t="shared" si="30"/>
        <v>0</v>
      </c>
      <c r="L994" s="3">
        <f>IF(ISERROR(VLOOKUP(J994,Lookups!$A$2:$A$16,1,FALSE)),1,0)</f>
        <v>1</v>
      </c>
      <c r="M994" s="3">
        <f>IF(ISERROR(VLOOKUP(D994,Data!$A$2:$D$223100,2,FALSE)),0,1)</f>
        <v>1</v>
      </c>
      <c r="N994" s="3">
        <f t="shared" si="31"/>
        <v>1</v>
      </c>
      <c r="O994" s="3" t="str">
        <f>IF(ISERROR(VLOOKUP(D994,Data!$A$2:$C$223100,3,FALSE)),"INACTIVE",VLOOKUP(D994,Data!$A$2:$C$223100,3,FALSE))</f>
        <v>Current</v>
      </c>
    </row>
    <row r="995" spans="1:15" x14ac:dyDescent="0.25">
      <c r="A995" t="s">
        <v>7879</v>
      </c>
      <c r="B995" t="s">
        <v>7880</v>
      </c>
      <c r="C995" t="s">
        <v>7881</v>
      </c>
      <c r="D995" t="s">
        <v>7882</v>
      </c>
      <c r="E995" t="s">
        <v>5</v>
      </c>
      <c r="F995" t="s">
        <v>5</v>
      </c>
      <c r="G995" t="s">
        <v>5</v>
      </c>
      <c r="H995" t="s">
        <v>7883</v>
      </c>
      <c r="I995" t="s">
        <v>7599</v>
      </c>
      <c r="J995" t="s">
        <v>7</v>
      </c>
      <c r="K995" s="3">
        <f t="shared" si="30"/>
        <v>0</v>
      </c>
      <c r="L995" s="3">
        <f>IF(ISERROR(VLOOKUP(J995,Lookups!$A$2:$A$16,1,FALSE)),1,0)</f>
        <v>1</v>
      </c>
      <c r="M995" s="3">
        <f>IF(ISERROR(VLOOKUP(D995,Data!$A$2:$D$223100,2,FALSE)),0,1)</f>
        <v>1</v>
      </c>
      <c r="N995" s="3">
        <f t="shared" si="31"/>
        <v>1</v>
      </c>
      <c r="O995" s="3" t="str">
        <f>IF(ISERROR(VLOOKUP(D995,Data!$A$2:$C$223100,3,FALSE)),"INACTIVE",VLOOKUP(D995,Data!$A$2:$C$223100,3,FALSE))</f>
        <v>180+</v>
      </c>
    </row>
    <row r="996" spans="1:15" x14ac:dyDescent="0.25">
      <c r="A996" t="s">
        <v>7630</v>
      </c>
      <c r="B996" t="s">
        <v>7631</v>
      </c>
      <c r="C996" t="s">
        <v>7632</v>
      </c>
      <c r="D996" t="s">
        <v>7633</v>
      </c>
      <c r="E996" t="s">
        <v>5</v>
      </c>
      <c r="F996" t="s">
        <v>5</v>
      </c>
      <c r="G996" t="s">
        <v>7634</v>
      </c>
      <c r="H996" t="s">
        <v>7635</v>
      </c>
      <c r="I996" t="s">
        <v>7636</v>
      </c>
      <c r="J996" t="s">
        <v>7</v>
      </c>
      <c r="K996" s="3">
        <f t="shared" si="30"/>
        <v>0</v>
      </c>
      <c r="L996" s="3">
        <f>IF(ISERROR(VLOOKUP(J996,Lookups!$A$2:$A$16,1,FALSE)),1,0)</f>
        <v>1</v>
      </c>
      <c r="M996" s="3">
        <f>IF(ISERROR(VLOOKUP(D996,Data!$A$2:$D$223100,2,FALSE)),0,1)</f>
        <v>1</v>
      </c>
      <c r="N996" s="3">
        <f t="shared" si="31"/>
        <v>1</v>
      </c>
      <c r="O996" s="3" t="str">
        <f>IF(ISERROR(VLOOKUP(D996,Data!$A$2:$C$223100,3,FALSE)),"INACTIVE",VLOOKUP(D996,Data!$A$2:$C$223100,3,FALSE))</f>
        <v>Current</v>
      </c>
    </row>
    <row r="997" spans="1:15" x14ac:dyDescent="0.25">
      <c r="A997" t="s">
        <v>7760</v>
      </c>
      <c r="B997" t="s">
        <v>7761</v>
      </c>
      <c r="C997" t="s">
        <v>7762</v>
      </c>
      <c r="D997" t="s">
        <v>7763</v>
      </c>
      <c r="E997" t="s">
        <v>7764</v>
      </c>
      <c r="F997" t="s">
        <v>7765</v>
      </c>
      <c r="G997" t="s">
        <v>7766</v>
      </c>
      <c r="H997" t="s">
        <v>7767</v>
      </c>
      <c r="I997" t="s">
        <v>7636</v>
      </c>
      <c r="J997" t="s">
        <v>7</v>
      </c>
      <c r="K997" s="3">
        <f t="shared" si="30"/>
        <v>0</v>
      </c>
      <c r="L997" s="3">
        <f>IF(ISERROR(VLOOKUP(J997,Lookups!$A$2:$A$16,1,FALSE)),1,0)</f>
        <v>1</v>
      </c>
      <c r="M997" s="3">
        <f>IF(ISERROR(VLOOKUP(D997,Data!$A$2:$D$223100,2,FALSE)),0,1)</f>
        <v>1</v>
      </c>
      <c r="N997" s="3">
        <f t="shared" si="31"/>
        <v>1</v>
      </c>
      <c r="O997" s="3" t="str">
        <f>IF(ISERROR(VLOOKUP(D997,Data!$A$2:$C$223100,3,FALSE)),"INACTIVE",VLOOKUP(D997,Data!$A$2:$C$223100,3,FALSE))</f>
        <v>Demand Letter</v>
      </c>
    </row>
    <row r="998" spans="1:15" x14ac:dyDescent="0.25">
      <c r="A998" t="s">
        <v>7835</v>
      </c>
      <c r="B998" t="s">
        <v>7836</v>
      </c>
      <c r="C998" t="s">
        <v>7837</v>
      </c>
      <c r="D998" t="s">
        <v>7838</v>
      </c>
      <c r="E998" t="s">
        <v>5</v>
      </c>
      <c r="F998" t="s">
        <v>5</v>
      </c>
      <c r="G998" t="s">
        <v>5</v>
      </c>
      <c r="H998" t="s">
        <v>7839</v>
      </c>
      <c r="I998" t="s">
        <v>7636</v>
      </c>
      <c r="J998" t="s">
        <v>7</v>
      </c>
      <c r="K998" s="3">
        <f t="shared" si="30"/>
        <v>0</v>
      </c>
      <c r="L998" s="3">
        <f>IF(ISERROR(VLOOKUP(J998,Lookups!$A$2:$A$16,1,FALSE)),1,0)</f>
        <v>1</v>
      </c>
      <c r="M998" s="3">
        <f>IF(ISERROR(VLOOKUP(D998,Data!$A$2:$D$223100,2,FALSE)),0,1)</f>
        <v>1</v>
      </c>
      <c r="N998" s="3">
        <f t="shared" si="31"/>
        <v>1</v>
      </c>
      <c r="O998" s="3" t="str">
        <f>IF(ISERROR(VLOOKUP(D998,Data!$A$2:$C$223100,3,FALSE)),"INACTIVE",VLOOKUP(D998,Data!$A$2:$C$223100,3,FALSE))</f>
        <v>Demand Letter</v>
      </c>
    </row>
    <row r="999" spans="1:15" x14ac:dyDescent="0.25">
      <c r="A999" t="s">
        <v>7953</v>
      </c>
      <c r="B999" t="s">
        <v>7954</v>
      </c>
      <c r="C999" t="s">
        <v>7955</v>
      </c>
      <c r="D999" t="s">
        <v>7956</v>
      </c>
      <c r="E999" t="s">
        <v>5</v>
      </c>
      <c r="F999" t="s">
        <v>5</v>
      </c>
      <c r="G999" t="s">
        <v>5</v>
      </c>
      <c r="H999" t="s">
        <v>7120</v>
      </c>
      <c r="I999" t="s">
        <v>7636</v>
      </c>
      <c r="J999" t="s">
        <v>96</v>
      </c>
      <c r="K999" s="3">
        <f t="shared" si="30"/>
        <v>0</v>
      </c>
      <c r="L999" s="3">
        <f>IF(ISERROR(VLOOKUP(J999,Lookups!$A$2:$A$16,1,FALSE)),1,0)</f>
        <v>0</v>
      </c>
      <c r="M999" s="3">
        <f>IF(ISERROR(VLOOKUP(D999,Data!$A$2:$D$223100,2,FALSE)),0,1)</f>
        <v>1</v>
      </c>
      <c r="N999" s="3">
        <f t="shared" si="31"/>
        <v>0</v>
      </c>
      <c r="O999" s="3" t="str">
        <f>IF(ISERROR(VLOOKUP(D999,Data!$A$2:$C$223100,3,FALSE)),"INACTIVE",VLOOKUP(D999,Data!$A$2:$C$223100,3,FALSE))</f>
        <v>FC</v>
      </c>
    </row>
    <row r="1000" spans="1:15" x14ac:dyDescent="0.25">
      <c r="A1000" t="s">
        <v>7736</v>
      </c>
      <c r="B1000" t="s">
        <v>7737</v>
      </c>
      <c r="C1000" t="s">
        <v>7422</v>
      </c>
      <c r="D1000" t="s">
        <v>7423</v>
      </c>
      <c r="E1000" t="s">
        <v>7425</v>
      </c>
      <c r="F1000" t="s">
        <v>5</v>
      </c>
      <c r="G1000" t="s">
        <v>5</v>
      </c>
      <c r="H1000" t="s">
        <v>5</v>
      </c>
      <c r="I1000" t="s">
        <v>7738</v>
      </c>
      <c r="J1000" t="s">
        <v>96</v>
      </c>
      <c r="K1000" s="3">
        <f t="shared" si="30"/>
        <v>0</v>
      </c>
      <c r="L1000" s="3">
        <f>IF(ISERROR(VLOOKUP(J1000,Lookups!$A$2:$A$16,1,FALSE)),1,0)</f>
        <v>0</v>
      </c>
      <c r="M1000" s="3">
        <f>IF(ISERROR(VLOOKUP(D1000,Data!$A$2:$D$223100,2,FALSE)),0,1)</f>
        <v>1</v>
      </c>
      <c r="N1000" s="3">
        <f t="shared" si="31"/>
        <v>0</v>
      </c>
      <c r="O1000" s="3" t="str">
        <f>IF(ISERROR(VLOOKUP(D1000,Data!$A$2:$C$223100,3,FALSE)),"INACTIVE",VLOOKUP(D1000,Data!$A$2:$C$223100,3,FALSE))</f>
        <v>FBA</v>
      </c>
    </row>
    <row r="1001" spans="1:15" x14ac:dyDescent="0.25">
      <c r="A1001" t="s">
        <v>8013</v>
      </c>
      <c r="B1001" t="s">
        <v>8014</v>
      </c>
      <c r="C1001" t="s">
        <v>8015</v>
      </c>
      <c r="D1001" t="s">
        <v>8016</v>
      </c>
      <c r="E1001" t="s">
        <v>8017</v>
      </c>
      <c r="F1001" t="s">
        <v>5</v>
      </c>
      <c r="G1001" t="s">
        <v>5</v>
      </c>
      <c r="H1001" t="s">
        <v>5</v>
      </c>
      <c r="I1001" t="s">
        <v>7738</v>
      </c>
      <c r="J1001" t="s">
        <v>96</v>
      </c>
      <c r="K1001" s="3">
        <f t="shared" si="30"/>
        <v>0</v>
      </c>
      <c r="L1001" s="3">
        <f>IF(ISERROR(VLOOKUP(J1001,Lookups!$A$2:$A$16,1,FALSE)),1,0)</f>
        <v>0</v>
      </c>
      <c r="M1001" s="3">
        <f>IF(ISERROR(VLOOKUP(D1001,Data!$A$2:$D$223100,2,FALSE)),0,1)</f>
        <v>1</v>
      </c>
      <c r="N1001" s="3">
        <f t="shared" si="31"/>
        <v>0</v>
      </c>
      <c r="O1001" s="3" t="str">
        <f>IF(ISERROR(VLOOKUP(D1001,Data!$A$2:$C$223100,3,FALSE)),"INACTIVE",VLOOKUP(D1001,Data!$A$2:$C$223100,3,FALSE))</f>
        <v>FC</v>
      </c>
    </row>
    <row r="1002" spans="1:15" x14ac:dyDescent="0.25">
      <c r="A1002" t="s">
        <v>8013</v>
      </c>
      <c r="B1002" t="s">
        <v>8014</v>
      </c>
      <c r="C1002" t="s">
        <v>8015</v>
      </c>
      <c r="D1002" t="s">
        <v>8016</v>
      </c>
      <c r="E1002" t="s">
        <v>8018</v>
      </c>
      <c r="F1002" t="s">
        <v>5</v>
      </c>
      <c r="G1002" t="s">
        <v>5</v>
      </c>
      <c r="H1002" t="s">
        <v>5</v>
      </c>
      <c r="I1002" t="s">
        <v>7738</v>
      </c>
      <c r="J1002" t="s">
        <v>96</v>
      </c>
      <c r="K1002" s="3">
        <f t="shared" si="30"/>
        <v>0</v>
      </c>
      <c r="L1002" s="3">
        <f>IF(ISERROR(VLOOKUP(J1002,Lookups!$A$2:$A$16,1,FALSE)),1,0)</f>
        <v>0</v>
      </c>
      <c r="M1002" s="3">
        <f>IF(ISERROR(VLOOKUP(D1002,Data!$A$2:$D$223100,2,FALSE)),0,1)</f>
        <v>1</v>
      </c>
      <c r="N1002" s="3">
        <f t="shared" si="31"/>
        <v>0</v>
      </c>
      <c r="O1002" s="3" t="str">
        <f>IF(ISERROR(VLOOKUP(D1002,Data!$A$2:$C$223100,3,FALSE)),"INACTIVE",VLOOKUP(D1002,Data!$A$2:$C$223100,3,FALSE))</f>
        <v>FC</v>
      </c>
    </row>
    <row r="1003" spans="1:15" x14ac:dyDescent="0.25">
      <c r="A1003" t="s">
        <v>8013</v>
      </c>
      <c r="B1003" t="s">
        <v>8014</v>
      </c>
      <c r="C1003" t="s">
        <v>8019</v>
      </c>
      <c r="D1003" t="s">
        <v>8020</v>
      </c>
      <c r="E1003" t="s">
        <v>8021</v>
      </c>
      <c r="F1003" t="s">
        <v>5</v>
      </c>
      <c r="G1003" t="s">
        <v>5</v>
      </c>
      <c r="H1003" t="s">
        <v>5</v>
      </c>
      <c r="I1003" t="s">
        <v>7738</v>
      </c>
      <c r="J1003" t="s">
        <v>96</v>
      </c>
      <c r="K1003" s="3">
        <f t="shared" si="30"/>
        <v>0</v>
      </c>
      <c r="L1003" s="3">
        <f>IF(ISERROR(VLOOKUP(J1003,Lookups!$A$2:$A$16,1,FALSE)),1,0)</f>
        <v>0</v>
      </c>
      <c r="M1003" s="3">
        <f>IF(ISERROR(VLOOKUP(D1003,Data!$A$2:$D$223100,2,FALSE)),0,1)</f>
        <v>1</v>
      </c>
      <c r="N1003" s="3">
        <f t="shared" si="31"/>
        <v>0</v>
      </c>
      <c r="O1003" s="3" t="str">
        <f>IF(ISERROR(VLOOKUP(D1003,Data!$A$2:$C$223100,3,FALSE)),"INACTIVE",VLOOKUP(D1003,Data!$A$2:$C$223100,3,FALSE))</f>
        <v>FC</v>
      </c>
    </row>
    <row r="1004" spans="1:15" x14ac:dyDescent="0.25">
      <c r="A1004" t="s">
        <v>8013</v>
      </c>
      <c r="B1004" t="s">
        <v>8014</v>
      </c>
      <c r="C1004" t="s">
        <v>8022</v>
      </c>
      <c r="D1004" t="s">
        <v>8023</v>
      </c>
      <c r="E1004" t="s">
        <v>8024</v>
      </c>
      <c r="F1004" t="s">
        <v>5</v>
      </c>
      <c r="G1004" t="s">
        <v>5</v>
      </c>
      <c r="H1004" t="s">
        <v>5</v>
      </c>
      <c r="I1004" t="s">
        <v>7738</v>
      </c>
      <c r="J1004" t="s">
        <v>96</v>
      </c>
      <c r="K1004" s="3">
        <f t="shared" si="30"/>
        <v>0</v>
      </c>
      <c r="L1004" s="3">
        <f>IF(ISERROR(VLOOKUP(J1004,Lookups!$A$2:$A$16,1,FALSE)),1,0)</f>
        <v>0</v>
      </c>
      <c r="M1004" s="3">
        <f>IF(ISERROR(VLOOKUP(D1004,Data!$A$2:$D$223100,2,FALSE)),0,1)</f>
        <v>1</v>
      </c>
      <c r="N1004" s="3">
        <f t="shared" si="31"/>
        <v>0</v>
      </c>
      <c r="O1004" s="3" t="str">
        <f>IF(ISERROR(VLOOKUP(D1004,Data!$A$2:$C$223100,3,FALSE)),"INACTIVE",VLOOKUP(D1004,Data!$A$2:$C$223100,3,FALSE))</f>
        <v>FC</v>
      </c>
    </row>
    <row r="1005" spans="1:15" x14ac:dyDescent="0.25">
      <c r="A1005" t="s">
        <v>8013</v>
      </c>
      <c r="B1005" t="s">
        <v>8014</v>
      </c>
      <c r="C1005" t="s">
        <v>8025</v>
      </c>
      <c r="D1005" t="s">
        <v>8026</v>
      </c>
      <c r="E1005" t="s">
        <v>8027</v>
      </c>
      <c r="F1005" t="s">
        <v>5</v>
      </c>
      <c r="G1005" t="s">
        <v>5</v>
      </c>
      <c r="H1005" t="s">
        <v>5</v>
      </c>
      <c r="I1005" t="s">
        <v>7738</v>
      </c>
      <c r="J1005" t="s">
        <v>96</v>
      </c>
      <c r="K1005" s="3">
        <f t="shared" si="30"/>
        <v>0</v>
      </c>
      <c r="L1005" s="3">
        <f>IF(ISERROR(VLOOKUP(J1005,Lookups!$A$2:$A$16,1,FALSE)),1,0)</f>
        <v>0</v>
      </c>
      <c r="M1005" s="3">
        <f>IF(ISERROR(VLOOKUP(D1005,Data!$A$2:$D$223100,2,FALSE)),0,1)</f>
        <v>1</v>
      </c>
      <c r="N1005" s="3">
        <f t="shared" si="31"/>
        <v>0</v>
      </c>
      <c r="O1005" s="3" t="str">
        <f>IF(ISERROR(VLOOKUP(D1005,Data!$A$2:$C$223100,3,FALSE)),"INACTIVE",VLOOKUP(D1005,Data!$A$2:$C$223100,3,FALSE))</f>
        <v>FC</v>
      </c>
    </row>
    <row r="1006" spans="1:15" x14ac:dyDescent="0.25">
      <c r="A1006" t="s">
        <v>8013</v>
      </c>
      <c r="B1006" t="s">
        <v>8014</v>
      </c>
      <c r="C1006" t="s">
        <v>8025</v>
      </c>
      <c r="D1006" t="s">
        <v>8026</v>
      </c>
      <c r="E1006" t="s">
        <v>8028</v>
      </c>
      <c r="F1006" t="s">
        <v>5</v>
      </c>
      <c r="G1006" t="s">
        <v>5</v>
      </c>
      <c r="H1006" t="s">
        <v>5</v>
      </c>
      <c r="I1006" t="s">
        <v>7738</v>
      </c>
      <c r="J1006" t="s">
        <v>96</v>
      </c>
      <c r="K1006" s="3">
        <f t="shared" si="30"/>
        <v>0</v>
      </c>
      <c r="L1006" s="3">
        <f>IF(ISERROR(VLOOKUP(J1006,Lookups!$A$2:$A$16,1,FALSE)),1,0)</f>
        <v>0</v>
      </c>
      <c r="M1006" s="3">
        <f>IF(ISERROR(VLOOKUP(D1006,Data!$A$2:$D$223100,2,FALSE)),0,1)</f>
        <v>1</v>
      </c>
      <c r="N1006" s="3">
        <f t="shared" si="31"/>
        <v>0</v>
      </c>
      <c r="O1006" s="3" t="str">
        <f>IF(ISERROR(VLOOKUP(D1006,Data!$A$2:$C$223100,3,FALSE)),"INACTIVE",VLOOKUP(D1006,Data!$A$2:$C$223100,3,FALSE))</f>
        <v>FC</v>
      </c>
    </row>
    <row r="1007" spans="1:15" x14ac:dyDescent="0.25">
      <c r="A1007" t="s">
        <v>8013</v>
      </c>
      <c r="B1007" t="s">
        <v>8014</v>
      </c>
      <c r="C1007" t="s">
        <v>8025</v>
      </c>
      <c r="D1007" t="s">
        <v>8026</v>
      </c>
      <c r="E1007" t="s">
        <v>8029</v>
      </c>
      <c r="F1007" t="s">
        <v>5</v>
      </c>
      <c r="G1007" t="s">
        <v>5</v>
      </c>
      <c r="H1007" t="s">
        <v>5</v>
      </c>
      <c r="I1007" t="s">
        <v>7738</v>
      </c>
      <c r="J1007" t="s">
        <v>96</v>
      </c>
      <c r="K1007" s="3">
        <f t="shared" si="30"/>
        <v>0</v>
      </c>
      <c r="L1007" s="3">
        <f>IF(ISERROR(VLOOKUP(J1007,Lookups!$A$2:$A$16,1,FALSE)),1,0)</f>
        <v>0</v>
      </c>
      <c r="M1007" s="3">
        <f>IF(ISERROR(VLOOKUP(D1007,Data!$A$2:$D$223100,2,FALSE)),0,1)</f>
        <v>1</v>
      </c>
      <c r="N1007" s="3">
        <f t="shared" si="31"/>
        <v>0</v>
      </c>
      <c r="O1007" s="3" t="str">
        <f>IF(ISERROR(VLOOKUP(D1007,Data!$A$2:$C$223100,3,FALSE)),"INACTIVE",VLOOKUP(D1007,Data!$A$2:$C$223100,3,FALSE))</f>
        <v>FC</v>
      </c>
    </row>
    <row r="1008" spans="1:15" x14ac:dyDescent="0.25">
      <c r="A1008" t="s">
        <v>8013</v>
      </c>
      <c r="B1008" t="s">
        <v>8014</v>
      </c>
      <c r="C1008" t="s">
        <v>8030</v>
      </c>
      <c r="D1008" t="s">
        <v>8031</v>
      </c>
      <c r="E1008" t="s">
        <v>8032</v>
      </c>
      <c r="F1008" t="s">
        <v>5</v>
      </c>
      <c r="G1008" t="s">
        <v>5</v>
      </c>
      <c r="H1008" t="s">
        <v>5</v>
      </c>
      <c r="I1008" t="s">
        <v>7738</v>
      </c>
      <c r="J1008" t="s">
        <v>96</v>
      </c>
      <c r="K1008" s="3">
        <f t="shared" si="30"/>
        <v>0</v>
      </c>
      <c r="L1008" s="3">
        <f>IF(ISERROR(VLOOKUP(J1008,Lookups!$A$2:$A$16,1,FALSE)),1,0)</f>
        <v>0</v>
      </c>
      <c r="M1008" s="3">
        <f>IF(ISERROR(VLOOKUP(D1008,Data!$A$2:$D$223100,2,FALSE)),0,1)</f>
        <v>1</v>
      </c>
      <c r="N1008" s="3">
        <f t="shared" si="31"/>
        <v>0</v>
      </c>
      <c r="O1008" s="3" t="str">
        <f>IF(ISERROR(VLOOKUP(D1008,Data!$A$2:$C$223100,3,FALSE)),"INACTIVE",VLOOKUP(D1008,Data!$A$2:$C$223100,3,FALSE))</f>
        <v>FC</v>
      </c>
    </row>
    <row r="1009" spans="1:15" x14ac:dyDescent="0.25">
      <c r="A1009" t="s">
        <v>8013</v>
      </c>
      <c r="B1009" t="s">
        <v>8014</v>
      </c>
      <c r="C1009" t="s">
        <v>8030</v>
      </c>
      <c r="D1009" t="s">
        <v>8031</v>
      </c>
      <c r="E1009" t="s">
        <v>8033</v>
      </c>
      <c r="F1009" t="s">
        <v>5</v>
      </c>
      <c r="G1009" t="s">
        <v>5</v>
      </c>
      <c r="H1009" t="s">
        <v>5</v>
      </c>
      <c r="I1009" t="s">
        <v>7738</v>
      </c>
      <c r="J1009" t="s">
        <v>96</v>
      </c>
      <c r="K1009" s="3">
        <f t="shared" si="30"/>
        <v>0</v>
      </c>
      <c r="L1009" s="3">
        <f>IF(ISERROR(VLOOKUP(J1009,Lookups!$A$2:$A$16,1,FALSE)),1,0)</f>
        <v>0</v>
      </c>
      <c r="M1009" s="3">
        <f>IF(ISERROR(VLOOKUP(D1009,Data!$A$2:$D$223100,2,FALSE)),0,1)</f>
        <v>1</v>
      </c>
      <c r="N1009" s="3">
        <f t="shared" si="31"/>
        <v>0</v>
      </c>
      <c r="O1009" s="3" t="str">
        <f>IF(ISERROR(VLOOKUP(D1009,Data!$A$2:$C$223100,3,FALSE)),"INACTIVE",VLOOKUP(D1009,Data!$A$2:$C$223100,3,FALSE))</f>
        <v>FC</v>
      </c>
    </row>
    <row r="1010" spans="1:15" x14ac:dyDescent="0.25">
      <c r="A1010" t="s">
        <v>8013</v>
      </c>
      <c r="B1010" t="s">
        <v>8014</v>
      </c>
      <c r="C1010" t="s">
        <v>8030</v>
      </c>
      <c r="D1010" t="s">
        <v>8031</v>
      </c>
      <c r="E1010" t="s">
        <v>8034</v>
      </c>
      <c r="F1010" t="s">
        <v>5</v>
      </c>
      <c r="G1010" t="s">
        <v>5</v>
      </c>
      <c r="H1010" t="s">
        <v>5</v>
      </c>
      <c r="I1010" t="s">
        <v>7738</v>
      </c>
      <c r="J1010" t="s">
        <v>96</v>
      </c>
      <c r="K1010" s="3">
        <f t="shared" si="30"/>
        <v>0</v>
      </c>
      <c r="L1010" s="3">
        <f>IF(ISERROR(VLOOKUP(J1010,Lookups!$A$2:$A$16,1,FALSE)),1,0)</f>
        <v>0</v>
      </c>
      <c r="M1010" s="3">
        <f>IF(ISERROR(VLOOKUP(D1010,Data!$A$2:$D$223100,2,FALSE)),0,1)</f>
        <v>1</v>
      </c>
      <c r="N1010" s="3">
        <f t="shared" si="31"/>
        <v>0</v>
      </c>
      <c r="O1010" s="3" t="str">
        <f>IF(ISERROR(VLOOKUP(D1010,Data!$A$2:$C$223100,3,FALSE)),"INACTIVE",VLOOKUP(D1010,Data!$A$2:$C$223100,3,FALSE))</f>
        <v>FC</v>
      </c>
    </row>
    <row r="1011" spans="1:15" x14ac:dyDescent="0.25">
      <c r="A1011" t="s">
        <v>8013</v>
      </c>
      <c r="B1011" t="s">
        <v>8014</v>
      </c>
      <c r="C1011" t="s">
        <v>8035</v>
      </c>
      <c r="D1011" t="s">
        <v>8036</v>
      </c>
      <c r="E1011" t="s">
        <v>8037</v>
      </c>
      <c r="F1011" t="s">
        <v>5</v>
      </c>
      <c r="G1011" t="s">
        <v>5</v>
      </c>
      <c r="H1011" t="s">
        <v>5</v>
      </c>
      <c r="I1011" t="s">
        <v>7738</v>
      </c>
      <c r="J1011" t="s">
        <v>96</v>
      </c>
      <c r="K1011" s="3">
        <f t="shared" si="30"/>
        <v>0</v>
      </c>
      <c r="L1011" s="3">
        <f>IF(ISERROR(VLOOKUP(J1011,Lookups!$A$2:$A$16,1,FALSE)),1,0)</f>
        <v>0</v>
      </c>
      <c r="M1011" s="3">
        <f>IF(ISERROR(VLOOKUP(D1011,Data!$A$2:$D$223100,2,FALSE)),0,1)</f>
        <v>0</v>
      </c>
      <c r="N1011" s="3">
        <f t="shared" si="31"/>
        <v>0</v>
      </c>
      <c r="O1011" s="3" t="str">
        <f>IF(ISERROR(VLOOKUP(D1011,Data!$A$2:$C$223100,3,FALSE)),"INACTIVE",VLOOKUP(D1011,Data!$A$2:$C$223100,3,FALSE))</f>
        <v>INACTIVE</v>
      </c>
    </row>
    <row r="1012" spans="1:15" x14ac:dyDescent="0.25">
      <c r="A1012" t="s">
        <v>7325</v>
      </c>
      <c r="B1012" t="s">
        <v>7326</v>
      </c>
      <c r="C1012" t="s">
        <v>7327</v>
      </c>
      <c r="D1012" t="s">
        <v>7328</v>
      </c>
      <c r="E1012" t="s">
        <v>5</v>
      </c>
      <c r="F1012" t="s">
        <v>7329</v>
      </c>
      <c r="G1012" t="s">
        <v>5</v>
      </c>
      <c r="H1012" t="s">
        <v>5</v>
      </c>
      <c r="I1012" t="s">
        <v>7330</v>
      </c>
      <c r="J1012" t="s">
        <v>7</v>
      </c>
      <c r="K1012" s="3">
        <f t="shared" si="30"/>
        <v>0</v>
      </c>
      <c r="L1012" s="3">
        <f>IF(ISERROR(VLOOKUP(J1012,Lookups!$A$2:$A$16,1,FALSE)),1,0)</f>
        <v>1</v>
      </c>
      <c r="M1012" s="3">
        <f>IF(ISERROR(VLOOKUP(D1012,Data!$A$2:$D$223100,2,FALSE)),0,1)</f>
        <v>1</v>
      </c>
      <c r="N1012" s="3">
        <f t="shared" si="31"/>
        <v>1</v>
      </c>
      <c r="O1012" s="3" t="str">
        <f>IF(ISERROR(VLOOKUP(D1012,Data!$A$2:$C$223100,3,FALSE)),"INACTIVE",VLOOKUP(D1012,Data!$A$2:$C$223100,3,FALSE))</f>
        <v>FC</v>
      </c>
    </row>
    <row r="1013" spans="1:15" x14ac:dyDescent="0.25">
      <c r="A1013" t="s">
        <v>7600</v>
      </c>
      <c r="B1013" t="s">
        <v>7601</v>
      </c>
      <c r="C1013" t="s">
        <v>7602</v>
      </c>
      <c r="D1013" t="s">
        <v>7603</v>
      </c>
      <c r="E1013" t="s">
        <v>5</v>
      </c>
      <c r="F1013" t="s">
        <v>5</v>
      </c>
      <c r="G1013" t="s">
        <v>7604</v>
      </c>
      <c r="H1013" t="s">
        <v>7605</v>
      </c>
      <c r="I1013" t="s">
        <v>7330</v>
      </c>
      <c r="J1013" t="s">
        <v>7</v>
      </c>
      <c r="K1013" s="3">
        <f t="shared" si="30"/>
        <v>0</v>
      </c>
      <c r="L1013" s="3">
        <f>IF(ISERROR(VLOOKUP(J1013,Lookups!$A$2:$A$16,1,FALSE)),1,0)</f>
        <v>1</v>
      </c>
      <c r="M1013" s="3">
        <f>IF(ISERROR(VLOOKUP(D1013,Data!$A$2:$D$223100,2,FALSE)),0,1)</f>
        <v>1</v>
      </c>
      <c r="N1013" s="3">
        <f t="shared" si="31"/>
        <v>1</v>
      </c>
      <c r="O1013" s="3" t="str">
        <f>IF(ISERROR(VLOOKUP(D1013,Data!$A$2:$C$223100,3,FALSE)),"INACTIVE",VLOOKUP(D1013,Data!$A$2:$C$223100,3,FALSE))</f>
        <v>Current</v>
      </c>
    </row>
    <row r="1014" spans="1:15" x14ac:dyDescent="0.25">
      <c r="A1014" t="s">
        <v>7600</v>
      </c>
      <c r="B1014" t="s">
        <v>7601</v>
      </c>
      <c r="C1014" t="s">
        <v>7606</v>
      </c>
      <c r="D1014" t="s">
        <v>7607</v>
      </c>
      <c r="E1014" t="s">
        <v>5</v>
      </c>
      <c r="F1014" t="s">
        <v>5</v>
      </c>
      <c r="G1014" t="s">
        <v>5</v>
      </c>
      <c r="H1014" t="s">
        <v>7608</v>
      </c>
      <c r="I1014" t="s">
        <v>7330</v>
      </c>
      <c r="J1014" t="s">
        <v>7</v>
      </c>
      <c r="K1014" s="3">
        <f t="shared" si="30"/>
        <v>0</v>
      </c>
      <c r="L1014" s="3">
        <f>IF(ISERROR(VLOOKUP(J1014,Lookups!$A$2:$A$16,1,FALSE)),1,0)</f>
        <v>1</v>
      </c>
      <c r="M1014" s="3">
        <f>IF(ISERROR(VLOOKUP(D1014,Data!$A$2:$D$223100,2,FALSE)),0,1)</f>
        <v>1</v>
      </c>
      <c r="N1014" s="3">
        <f t="shared" si="31"/>
        <v>1</v>
      </c>
      <c r="O1014" s="3" t="str">
        <f>IF(ISERROR(VLOOKUP(D1014,Data!$A$2:$C$223100,3,FALSE)),"INACTIVE",VLOOKUP(D1014,Data!$A$2:$C$223100,3,FALSE))</f>
        <v>Current</v>
      </c>
    </row>
    <row r="1015" spans="1:15" x14ac:dyDescent="0.25">
      <c r="A1015" t="s">
        <v>7358</v>
      </c>
      <c r="B1015" t="s">
        <v>7359</v>
      </c>
      <c r="C1015" t="s">
        <v>7360</v>
      </c>
      <c r="D1015" t="s">
        <v>7361</v>
      </c>
      <c r="E1015" t="s">
        <v>5</v>
      </c>
      <c r="F1015" t="s">
        <v>7362</v>
      </c>
      <c r="G1015" t="s">
        <v>5</v>
      </c>
      <c r="H1015" t="s">
        <v>5</v>
      </c>
      <c r="I1015" t="s">
        <v>7363</v>
      </c>
      <c r="J1015" t="s">
        <v>7</v>
      </c>
      <c r="K1015" s="3">
        <f t="shared" si="30"/>
        <v>0</v>
      </c>
      <c r="L1015" s="3">
        <f>IF(ISERROR(VLOOKUP(J1015,Lookups!$A$2:$A$16,1,FALSE)),1,0)</f>
        <v>1</v>
      </c>
      <c r="M1015" s="3">
        <f>IF(ISERROR(VLOOKUP(D1015,Data!$A$2:$D$223100,2,FALSE)),0,1)</f>
        <v>1</v>
      </c>
      <c r="N1015" s="3">
        <f t="shared" si="31"/>
        <v>1</v>
      </c>
      <c r="O1015" s="3" t="str">
        <f>IF(ISERROR(VLOOKUP(D1015,Data!$A$2:$C$223100,3,FALSE)),"INACTIVE",VLOOKUP(D1015,Data!$A$2:$C$223100,3,FALSE))</f>
        <v>Current</v>
      </c>
    </row>
    <row r="1016" spans="1:15" x14ac:dyDescent="0.25">
      <c r="A1016" t="s">
        <v>7615</v>
      </c>
      <c r="B1016" t="s">
        <v>7616</v>
      </c>
      <c r="C1016" t="s">
        <v>7617</v>
      </c>
      <c r="D1016" t="s">
        <v>7618</v>
      </c>
      <c r="E1016" t="s">
        <v>5</v>
      </c>
      <c r="F1016" t="s">
        <v>5</v>
      </c>
      <c r="G1016" t="s">
        <v>5</v>
      </c>
      <c r="H1016" t="s">
        <v>7619</v>
      </c>
      <c r="I1016" t="s">
        <v>7363</v>
      </c>
      <c r="J1016" t="s">
        <v>90</v>
      </c>
      <c r="K1016" s="3">
        <f t="shared" si="30"/>
        <v>0</v>
      </c>
      <c r="L1016" s="3">
        <f>IF(ISERROR(VLOOKUP(J1016,Lookups!$A$2:$A$16,1,FALSE)),1,0)</f>
        <v>0</v>
      </c>
      <c r="M1016" s="3">
        <f>IF(ISERROR(VLOOKUP(D1016,Data!$A$2:$D$223100,2,FALSE)),0,1)</f>
        <v>1</v>
      </c>
      <c r="N1016" s="3">
        <f t="shared" si="31"/>
        <v>0</v>
      </c>
      <c r="O1016" s="3" t="str">
        <f>IF(ISERROR(VLOOKUP(D1016,Data!$A$2:$C$223100,3,FALSE)),"INACTIVE",VLOOKUP(D1016,Data!$A$2:$C$223100,3,FALSE))</f>
        <v>FC</v>
      </c>
    </row>
    <row r="1017" spans="1:15" x14ac:dyDescent="0.25">
      <c r="A1017" t="s">
        <v>7615</v>
      </c>
      <c r="B1017" t="s">
        <v>7616</v>
      </c>
      <c r="C1017" t="s">
        <v>7617</v>
      </c>
      <c r="D1017" t="s">
        <v>7618</v>
      </c>
      <c r="E1017" t="s">
        <v>4695</v>
      </c>
      <c r="F1017" t="s">
        <v>7620</v>
      </c>
      <c r="G1017" t="s">
        <v>7621</v>
      </c>
      <c r="H1017" t="s">
        <v>7622</v>
      </c>
      <c r="I1017" t="s">
        <v>7363</v>
      </c>
      <c r="J1017" t="s">
        <v>90</v>
      </c>
      <c r="K1017" s="3">
        <f t="shared" si="30"/>
        <v>0</v>
      </c>
      <c r="L1017" s="3">
        <f>IF(ISERROR(VLOOKUP(J1017,Lookups!$A$2:$A$16,1,FALSE)),1,0)</f>
        <v>0</v>
      </c>
      <c r="M1017" s="3">
        <f>IF(ISERROR(VLOOKUP(D1017,Data!$A$2:$D$223100,2,FALSE)),0,1)</f>
        <v>1</v>
      </c>
      <c r="N1017" s="3">
        <f t="shared" si="31"/>
        <v>0</v>
      </c>
      <c r="O1017" s="3" t="str">
        <f>IF(ISERROR(VLOOKUP(D1017,Data!$A$2:$C$223100,3,FALSE)),"INACTIVE",VLOOKUP(D1017,Data!$A$2:$C$223100,3,FALSE))</f>
        <v>FC</v>
      </c>
    </row>
    <row r="1018" spans="1:15" x14ac:dyDescent="0.25">
      <c r="A1018" t="s">
        <v>7906</v>
      </c>
      <c r="B1018" t="s">
        <v>7907</v>
      </c>
      <c r="C1018" t="s">
        <v>7908</v>
      </c>
      <c r="D1018" t="s">
        <v>7909</v>
      </c>
      <c r="E1018" t="s">
        <v>5</v>
      </c>
      <c r="F1018" t="s">
        <v>5</v>
      </c>
      <c r="G1018" t="s">
        <v>5</v>
      </c>
      <c r="H1018" t="s">
        <v>7120</v>
      </c>
      <c r="I1018" t="s">
        <v>7363</v>
      </c>
      <c r="J1018" t="s">
        <v>96</v>
      </c>
      <c r="K1018" s="3">
        <f t="shared" si="30"/>
        <v>0</v>
      </c>
      <c r="L1018" s="3">
        <f>IF(ISERROR(VLOOKUP(J1018,Lookups!$A$2:$A$16,1,FALSE)),1,0)</f>
        <v>0</v>
      </c>
      <c r="M1018" s="3">
        <f>IF(ISERROR(VLOOKUP(D1018,Data!$A$2:$D$223100,2,FALSE)),0,1)</f>
        <v>1</v>
      </c>
      <c r="N1018" s="3">
        <f t="shared" si="31"/>
        <v>0</v>
      </c>
      <c r="O1018" s="3" t="str">
        <f>IF(ISERROR(VLOOKUP(D1018,Data!$A$2:$C$223100,3,FALSE)),"INACTIVE",VLOOKUP(D1018,Data!$A$2:$C$223100,3,FALSE))</f>
        <v>Current</v>
      </c>
    </row>
    <row r="1019" spans="1:15" x14ac:dyDescent="0.25">
      <c r="A1019" t="s">
        <v>7530</v>
      </c>
      <c r="B1019" t="s">
        <v>7531</v>
      </c>
      <c r="C1019" t="s">
        <v>7532</v>
      </c>
      <c r="D1019" t="s">
        <v>7533</v>
      </c>
      <c r="E1019" t="s">
        <v>7534</v>
      </c>
      <c r="F1019" t="s">
        <v>7534</v>
      </c>
      <c r="G1019" t="s">
        <v>5</v>
      </c>
      <c r="H1019" t="s">
        <v>5</v>
      </c>
      <c r="I1019" t="s">
        <v>7535</v>
      </c>
      <c r="J1019" t="s">
        <v>14</v>
      </c>
      <c r="K1019" s="3">
        <f t="shared" si="30"/>
        <v>0</v>
      </c>
      <c r="L1019" s="3">
        <f>IF(ISERROR(VLOOKUP(J1019,Lookups!$A$2:$A$16,1,FALSE)),1,0)</f>
        <v>1</v>
      </c>
      <c r="M1019" s="3">
        <f>IF(ISERROR(VLOOKUP(D1019,Data!$A$2:$D$223100,2,FALSE)),0,1)</f>
        <v>0</v>
      </c>
      <c r="N1019" s="3">
        <f t="shared" si="31"/>
        <v>0</v>
      </c>
      <c r="O1019" s="3" t="str">
        <f>IF(ISERROR(VLOOKUP(D1019,Data!$A$2:$C$223100,3,FALSE)),"INACTIVE",VLOOKUP(D1019,Data!$A$2:$C$223100,3,FALSE))</f>
        <v>INACTIVE</v>
      </c>
    </row>
    <row r="1020" spans="1:15" x14ac:dyDescent="0.25">
      <c r="A1020" t="s">
        <v>7530</v>
      </c>
      <c r="B1020" t="s">
        <v>7531</v>
      </c>
      <c r="C1020" t="s">
        <v>7536</v>
      </c>
      <c r="D1020" t="s">
        <v>7533</v>
      </c>
      <c r="E1020" t="s">
        <v>7537</v>
      </c>
      <c r="F1020" t="s">
        <v>7537</v>
      </c>
      <c r="G1020" t="s">
        <v>5</v>
      </c>
      <c r="H1020" t="s">
        <v>5</v>
      </c>
      <c r="I1020" t="s">
        <v>7535</v>
      </c>
      <c r="J1020" t="s">
        <v>14</v>
      </c>
      <c r="K1020" s="3">
        <f t="shared" si="30"/>
        <v>0</v>
      </c>
      <c r="L1020" s="3">
        <f>IF(ISERROR(VLOOKUP(J1020,Lookups!$A$2:$A$16,1,FALSE)),1,0)</f>
        <v>1</v>
      </c>
      <c r="M1020" s="3">
        <f>IF(ISERROR(VLOOKUP(D1020,Data!$A$2:$D$223100,2,FALSE)),0,1)</f>
        <v>0</v>
      </c>
      <c r="N1020" s="3">
        <f t="shared" si="31"/>
        <v>0</v>
      </c>
      <c r="O1020" s="3" t="str">
        <f>IF(ISERROR(VLOOKUP(D1020,Data!$A$2:$C$223100,3,FALSE)),"INACTIVE",VLOOKUP(D1020,Data!$A$2:$C$223100,3,FALSE))</f>
        <v>INACTIVE</v>
      </c>
    </row>
    <row r="1021" spans="1:15" x14ac:dyDescent="0.25">
      <c r="A1021" t="s">
        <v>7994</v>
      </c>
      <c r="B1021" t="s">
        <v>7995</v>
      </c>
      <c r="C1021" t="s">
        <v>7996</v>
      </c>
      <c r="D1021" t="s">
        <v>7997</v>
      </c>
      <c r="E1021" t="s">
        <v>7998</v>
      </c>
      <c r="F1021" t="s">
        <v>5</v>
      </c>
      <c r="G1021" t="s">
        <v>5</v>
      </c>
      <c r="H1021" t="s">
        <v>5</v>
      </c>
      <c r="I1021" t="s">
        <v>7999</v>
      </c>
      <c r="J1021" t="s">
        <v>96</v>
      </c>
      <c r="K1021" s="3">
        <f t="shared" si="30"/>
        <v>0</v>
      </c>
      <c r="L1021" s="3">
        <f>IF(ISERROR(VLOOKUP(J1021,Lookups!$A$2:$A$16,1,FALSE)),1,0)</f>
        <v>0</v>
      </c>
      <c r="M1021" s="3">
        <f>IF(ISERROR(VLOOKUP(D1021,Data!$A$2:$D$223100,2,FALSE)),0,1)</f>
        <v>1</v>
      </c>
      <c r="N1021" s="3">
        <f t="shared" si="31"/>
        <v>0</v>
      </c>
      <c r="O1021" s="3" t="str">
        <f>IF(ISERROR(VLOOKUP(D1021,Data!$A$2:$C$223100,3,FALSE)),"INACTIVE",VLOOKUP(D1021,Data!$A$2:$C$223100,3,FALSE))</f>
        <v>FBA</v>
      </c>
    </row>
    <row r="1022" spans="1:15" x14ac:dyDescent="0.25">
      <c r="A1022" t="s">
        <v>7994</v>
      </c>
      <c r="B1022" t="s">
        <v>7995</v>
      </c>
      <c r="C1022" t="s">
        <v>7996</v>
      </c>
      <c r="D1022" t="s">
        <v>7997</v>
      </c>
      <c r="E1022" t="s">
        <v>8000</v>
      </c>
      <c r="F1022" t="s">
        <v>8000</v>
      </c>
      <c r="G1022" t="s">
        <v>5</v>
      </c>
      <c r="H1022" t="s">
        <v>5</v>
      </c>
      <c r="I1022" t="s">
        <v>7999</v>
      </c>
      <c r="J1022" t="s">
        <v>96</v>
      </c>
      <c r="K1022" s="3">
        <f t="shared" si="30"/>
        <v>0</v>
      </c>
      <c r="L1022" s="3">
        <f>IF(ISERROR(VLOOKUP(J1022,Lookups!$A$2:$A$16,1,FALSE)),1,0)</f>
        <v>0</v>
      </c>
      <c r="M1022" s="3">
        <f>IF(ISERROR(VLOOKUP(D1022,Data!$A$2:$D$223100,2,FALSE)),0,1)</f>
        <v>1</v>
      </c>
      <c r="N1022" s="3">
        <f t="shared" si="31"/>
        <v>0</v>
      </c>
      <c r="O1022" s="3" t="str">
        <f>IF(ISERROR(VLOOKUP(D1022,Data!$A$2:$C$223100,3,FALSE)),"INACTIVE",VLOOKUP(D1022,Data!$A$2:$C$223100,3,FALSE))</f>
        <v>FBA</v>
      </c>
    </row>
    <row r="1023" spans="1:15" x14ac:dyDescent="0.25">
      <c r="A1023" t="s">
        <v>7994</v>
      </c>
      <c r="B1023" t="s">
        <v>7995</v>
      </c>
      <c r="C1023" t="s">
        <v>8001</v>
      </c>
      <c r="D1023" t="s">
        <v>8002</v>
      </c>
      <c r="E1023" t="s">
        <v>8003</v>
      </c>
      <c r="F1023" t="s">
        <v>5</v>
      </c>
      <c r="G1023" t="s">
        <v>5</v>
      </c>
      <c r="H1023" t="s">
        <v>5</v>
      </c>
      <c r="I1023" t="s">
        <v>7999</v>
      </c>
      <c r="J1023" t="s">
        <v>96</v>
      </c>
      <c r="K1023" s="3">
        <f t="shared" si="30"/>
        <v>0</v>
      </c>
      <c r="L1023" s="3">
        <f>IF(ISERROR(VLOOKUP(J1023,Lookups!$A$2:$A$16,1,FALSE)),1,0)</f>
        <v>0</v>
      </c>
      <c r="M1023" s="3">
        <f>IF(ISERROR(VLOOKUP(D1023,Data!$A$2:$D$223100,2,FALSE)),0,1)</f>
        <v>1</v>
      </c>
      <c r="N1023" s="3">
        <f t="shared" si="31"/>
        <v>0</v>
      </c>
      <c r="O1023" s="3" t="str">
        <f>IF(ISERROR(VLOOKUP(D1023,Data!$A$2:$C$223100,3,FALSE)),"INACTIVE",VLOOKUP(D1023,Data!$A$2:$C$223100,3,FALSE))</f>
        <v>FC</v>
      </c>
    </row>
    <row r="1024" spans="1:15" x14ac:dyDescent="0.25">
      <c r="A1024" t="s">
        <v>7994</v>
      </c>
      <c r="B1024" t="s">
        <v>7995</v>
      </c>
      <c r="C1024" t="s">
        <v>8001</v>
      </c>
      <c r="D1024" t="s">
        <v>8002</v>
      </c>
      <c r="E1024" t="s">
        <v>8004</v>
      </c>
      <c r="F1024" t="s">
        <v>5</v>
      </c>
      <c r="G1024" t="s">
        <v>5</v>
      </c>
      <c r="H1024" t="s">
        <v>5</v>
      </c>
      <c r="I1024" t="s">
        <v>7999</v>
      </c>
      <c r="J1024" t="s">
        <v>96</v>
      </c>
      <c r="K1024" s="3">
        <f t="shared" si="30"/>
        <v>0</v>
      </c>
      <c r="L1024" s="3">
        <f>IF(ISERROR(VLOOKUP(J1024,Lookups!$A$2:$A$16,1,FALSE)),1,0)</f>
        <v>0</v>
      </c>
      <c r="M1024" s="3">
        <f>IF(ISERROR(VLOOKUP(D1024,Data!$A$2:$D$223100,2,FALSE)),0,1)</f>
        <v>1</v>
      </c>
      <c r="N1024" s="3">
        <f t="shared" si="31"/>
        <v>0</v>
      </c>
      <c r="O1024" s="3" t="str">
        <f>IF(ISERROR(VLOOKUP(D1024,Data!$A$2:$C$223100,3,FALSE)),"INACTIVE",VLOOKUP(D1024,Data!$A$2:$C$223100,3,FALSE))</f>
        <v>FC</v>
      </c>
    </row>
    <row r="1025" spans="1:15" x14ac:dyDescent="0.25">
      <c r="A1025" t="s">
        <v>7994</v>
      </c>
      <c r="B1025" t="s">
        <v>7995</v>
      </c>
      <c r="C1025" t="s">
        <v>8001</v>
      </c>
      <c r="D1025" t="s">
        <v>8002</v>
      </c>
      <c r="E1025" t="s">
        <v>8005</v>
      </c>
      <c r="F1025" t="s">
        <v>8006</v>
      </c>
      <c r="G1025" t="s">
        <v>5</v>
      </c>
      <c r="H1025" t="s">
        <v>5</v>
      </c>
      <c r="I1025" t="s">
        <v>7999</v>
      </c>
      <c r="J1025" t="s">
        <v>96</v>
      </c>
      <c r="K1025" s="3">
        <f t="shared" si="30"/>
        <v>0</v>
      </c>
      <c r="L1025" s="3">
        <f>IF(ISERROR(VLOOKUP(J1025,Lookups!$A$2:$A$16,1,FALSE)),1,0)</f>
        <v>0</v>
      </c>
      <c r="M1025" s="3">
        <f>IF(ISERROR(VLOOKUP(D1025,Data!$A$2:$D$223100,2,FALSE)),0,1)</f>
        <v>1</v>
      </c>
      <c r="N1025" s="3">
        <f t="shared" si="31"/>
        <v>0</v>
      </c>
      <c r="O1025" s="3" t="str">
        <f>IF(ISERROR(VLOOKUP(D1025,Data!$A$2:$C$223100,3,FALSE)),"INACTIVE",VLOOKUP(D1025,Data!$A$2:$C$223100,3,FALSE))</f>
        <v>FC</v>
      </c>
    </row>
    <row r="1026" spans="1:15" x14ac:dyDescent="0.25">
      <c r="A1026" t="s">
        <v>7994</v>
      </c>
      <c r="B1026" t="s">
        <v>7995</v>
      </c>
      <c r="C1026" t="s">
        <v>8007</v>
      </c>
      <c r="D1026" t="s">
        <v>8008</v>
      </c>
      <c r="E1026" t="s">
        <v>5</v>
      </c>
      <c r="F1026" t="s">
        <v>8009</v>
      </c>
      <c r="G1026" t="s">
        <v>5</v>
      </c>
      <c r="H1026" t="s">
        <v>5</v>
      </c>
      <c r="I1026" t="s">
        <v>7999</v>
      </c>
      <c r="J1026" t="s">
        <v>96</v>
      </c>
      <c r="K1026" s="3">
        <f t="shared" si="30"/>
        <v>0</v>
      </c>
      <c r="L1026" s="3">
        <f>IF(ISERROR(VLOOKUP(J1026,Lookups!$A$2:$A$16,1,FALSE)),1,0)</f>
        <v>0</v>
      </c>
      <c r="M1026" s="3">
        <f>IF(ISERROR(VLOOKUP(D1026,Data!$A$2:$D$223100,2,FALSE)),0,1)</f>
        <v>1</v>
      </c>
      <c r="N1026" s="3">
        <f t="shared" si="31"/>
        <v>0</v>
      </c>
      <c r="O1026" s="3" t="str">
        <f>IF(ISERROR(VLOOKUP(D1026,Data!$A$2:$C$223100,3,FALSE)),"INACTIVE",VLOOKUP(D1026,Data!$A$2:$C$223100,3,FALSE))</f>
        <v>Demand Letter</v>
      </c>
    </row>
    <row r="1027" spans="1:15" x14ac:dyDescent="0.25">
      <c r="A1027" t="s">
        <v>7994</v>
      </c>
      <c r="B1027" t="s">
        <v>7995</v>
      </c>
      <c r="C1027" t="s">
        <v>8010</v>
      </c>
      <c r="D1027" t="s">
        <v>8011</v>
      </c>
      <c r="E1027" t="s">
        <v>5</v>
      </c>
      <c r="F1027" t="s">
        <v>8012</v>
      </c>
      <c r="G1027" t="s">
        <v>5</v>
      </c>
      <c r="H1027" t="s">
        <v>5</v>
      </c>
      <c r="I1027" t="s">
        <v>7999</v>
      </c>
      <c r="J1027" t="s">
        <v>96</v>
      </c>
      <c r="K1027" s="3">
        <f t="shared" ref="K1027:K1090" si="32">IF(ISERROR(FIND("LIEN",A1027,1)),0,1)</f>
        <v>0</v>
      </c>
      <c r="L1027" s="3">
        <f>IF(ISERROR(VLOOKUP(J1027,Lookups!$A$2:$A$16,1,FALSE)),1,0)</f>
        <v>0</v>
      </c>
      <c r="M1027" s="3">
        <f>IF(ISERROR(VLOOKUP(D1027,Data!$A$2:$D$223100,2,FALSE)),0,1)</f>
        <v>0</v>
      </c>
      <c r="N1027" s="3">
        <f t="shared" ref="N1027:N1090" si="33">IF(M1027=0,0,IF(SUM(K1027:L1027)&gt;0,1,0))</f>
        <v>0</v>
      </c>
      <c r="O1027" s="3" t="str">
        <f>IF(ISERROR(VLOOKUP(D1027,Data!$A$2:$C$223100,3,FALSE)),"INACTIVE",VLOOKUP(D1027,Data!$A$2:$C$223100,3,FALSE))</f>
        <v>INACTIVE</v>
      </c>
    </row>
    <row r="1028" spans="1:15" x14ac:dyDescent="0.25">
      <c r="A1028" t="s">
        <v>7144</v>
      </c>
      <c r="B1028" t="s">
        <v>7145</v>
      </c>
      <c r="C1028" t="s">
        <v>7146</v>
      </c>
      <c r="D1028" t="s">
        <v>7147</v>
      </c>
      <c r="E1028" t="s">
        <v>7148</v>
      </c>
      <c r="F1028" t="s">
        <v>5</v>
      </c>
      <c r="G1028" t="s">
        <v>5</v>
      </c>
      <c r="H1028" t="s">
        <v>5</v>
      </c>
      <c r="I1028" t="s">
        <v>7149</v>
      </c>
      <c r="J1028" t="s">
        <v>96</v>
      </c>
      <c r="K1028" s="3">
        <f t="shared" si="32"/>
        <v>0</v>
      </c>
      <c r="L1028" s="3">
        <f>IF(ISERROR(VLOOKUP(J1028,Lookups!$A$2:$A$16,1,FALSE)),1,0)</f>
        <v>0</v>
      </c>
      <c r="M1028" s="3">
        <f>IF(ISERROR(VLOOKUP(D1028,Data!$A$2:$D$223100,2,FALSE)),0,1)</f>
        <v>1</v>
      </c>
      <c r="N1028" s="3">
        <f t="shared" si="33"/>
        <v>0</v>
      </c>
      <c r="O1028" s="3" t="str">
        <f>IF(ISERROR(VLOOKUP(D1028,Data!$A$2:$C$223100,3,FALSE)),"INACTIVE",VLOOKUP(D1028,Data!$A$2:$C$223100,3,FALSE))</f>
        <v>FC</v>
      </c>
    </row>
    <row r="1029" spans="1:15" x14ac:dyDescent="0.25">
      <c r="A1029" t="s">
        <v>7144</v>
      </c>
      <c r="B1029" t="s">
        <v>7145</v>
      </c>
      <c r="C1029" t="s">
        <v>7150</v>
      </c>
      <c r="D1029" t="s">
        <v>7151</v>
      </c>
      <c r="E1029" t="s">
        <v>5</v>
      </c>
      <c r="F1029" t="s">
        <v>7152</v>
      </c>
      <c r="G1029" t="s">
        <v>5</v>
      </c>
      <c r="H1029" t="s">
        <v>5</v>
      </c>
      <c r="I1029" t="s">
        <v>7149</v>
      </c>
      <c r="J1029" t="s">
        <v>96</v>
      </c>
      <c r="K1029" s="3">
        <f t="shared" si="32"/>
        <v>0</v>
      </c>
      <c r="L1029" s="3">
        <f>IF(ISERROR(VLOOKUP(J1029,Lookups!$A$2:$A$16,1,FALSE)),1,0)</f>
        <v>0</v>
      </c>
      <c r="M1029" s="3">
        <f>IF(ISERROR(VLOOKUP(D1029,Data!$A$2:$D$223100,2,FALSE)),0,1)</f>
        <v>1</v>
      </c>
      <c r="N1029" s="3">
        <f t="shared" si="33"/>
        <v>0</v>
      </c>
      <c r="O1029" s="3" t="str">
        <f>IF(ISERROR(VLOOKUP(D1029,Data!$A$2:$C$223100,3,FALSE)),"INACTIVE",VLOOKUP(D1029,Data!$A$2:$C$223100,3,FALSE))</f>
        <v>Current</v>
      </c>
    </row>
    <row r="1030" spans="1:15" x14ac:dyDescent="0.25">
      <c r="A1030" t="s">
        <v>7144</v>
      </c>
      <c r="B1030" t="s">
        <v>7145</v>
      </c>
      <c r="C1030" t="s">
        <v>7150</v>
      </c>
      <c r="D1030" t="s">
        <v>7151</v>
      </c>
      <c r="E1030" t="s">
        <v>5</v>
      </c>
      <c r="F1030" t="s">
        <v>7153</v>
      </c>
      <c r="G1030" t="s">
        <v>5</v>
      </c>
      <c r="H1030" t="s">
        <v>5</v>
      </c>
      <c r="I1030" t="s">
        <v>7149</v>
      </c>
      <c r="J1030" t="s">
        <v>96</v>
      </c>
      <c r="K1030" s="3">
        <f t="shared" si="32"/>
        <v>0</v>
      </c>
      <c r="L1030" s="3">
        <f>IF(ISERROR(VLOOKUP(J1030,Lookups!$A$2:$A$16,1,FALSE)),1,0)</f>
        <v>0</v>
      </c>
      <c r="M1030" s="3">
        <f>IF(ISERROR(VLOOKUP(D1030,Data!$A$2:$D$223100,2,FALSE)),0,1)</f>
        <v>1</v>
      </c>
      <c r="N1030" s="3">
        <f t="shared" si="33"/>
        <v>0</v>
      </c>
      <c r="O1030" s="3" t="str">
        <f>IF(ISERROR(VLOOKUP(D1030,Data!$A$2:$C$223100,3,FALSE)),"INACTIVE",VLOOKUP(D1030,Data!$A$2:$C$223100,3,FALSE))</f>
        <v>Current</v>
      </c>
    </row>
    <row r="1031" spans="1:15" x14ac:dyDescent="0.25">
      <c r="A1031" t="s">
        <v>7144</v>
      </c>
      <c r="B1031" t="s">
        <v>7145</v>
      </c>
      <c r="C1031" t="s">
        <v>7150</v>
      </c>
      <c r="D1031" t="s">
        <v>7151</v>
      </c>
      <c r="E1031" t="s">
        <v>7154</v>
      </c>
      <c r="F1031" t="s">
        <v>7155</v>
      </c>
      <c r="G1031" t="s">
        <v>5</v>
      </c>
      <c r="H1031" t="s">
        <v>5</v>
      </c>
      <c r="I1031" t="s">
        <v>7149</v>
      </c>
      <c r="J1031" t="s">
        <v>96</v>
      </c>
      <c r="K1031" s="3">
        <f t="shared" si="32"/>
        <v>0</v>
      </c>
      <c r="L1031" s="3">
        <f>IF(ISERROR(VLOOKUP(J1031,Lookups!$A$2:$A$16,1,FALSE)),1,0)</f>
        <v>0</v>
      </c>
      <c r="M1031" s="3">
        <f>IF(ISERROR(VLOOKUP(D1031,Data!$A$2:$D$223100,2,FALSE)),0,1)</f>
        <v>1</v>
      </c>
      <c r="N1031" s="3">
        <f t="shared" si="33"/>
        <v>0</v>
      </c>
      <c r="O1031" s="3" t="str">
        <f>IF(ISERROR(VLOOKUP(D1031,Data!$A$2:$C$223100,3,FALSE)),"INACTIVE",VLOOKUP(D1031,Data!$A$2:$C$223100,3,FALSE))</f>
        <v>Current</v>
      </c>
    </row>
    <row r="1032" spans="1:15" x14ac:dyDescent="0.25">
      <c r="A1032" t="s">
        <v>7144</v>
      </c>
      <c r="B1032" t="s">
        <v>7145</v>
      </c>
      <c r="C1032" t="s">
        <v>7150</v>
      </c>
      <c r="D1032" t="s">
        <v>7151</v>
      </c>
      <c r="E1032" t="s">
        <v>7156</v>
      </c>
      <c r="F1032" t="s">
        <v>7157</v>
      </c>
      <c r="G1032" t="s">
        <v>5</v>
      </c>
      <c r="H1032" t="s">
        <v>5</v>
      </c>
      <c r="I1032" t="s">
        <v>7149</v>
      </c>
      <c r="J1032" t="s">
        <v>96</v>
      </c>
      <c r="K1032" s="3">
        <f t="shared" si="32"/>
        <v>0</v>
      </c>
      <c r="L1032" s="3">
        <f>IF(ISERROR(VLOOKUP(J1032,Lookups!$A$2:$A$16,1,FALSE)),1,0)</f>
        <v>0</v>
      </c>
      <c r="M1032" s="3">
        <f>IF(ISERROR(VLOOKUP(D1032,Data!$A$2:$D$223100,2,FALSE)),0,1)</f>
        <v>1</v>
      </c>
      <c r="N1032" s="3">
        <f t="shared" si="33"/>
        <v>0</v>
      </c>
      <c r="O1032" s="3" t="str">
        <f>IF(ISERROR(VLOOKUP(D1032,Data!$A$2:$C$223100,3,FALSE)),"INACTIVE",VLOOKUP(D1032,Data!$A$2:$C$223100,3,FALSE))</f>
        <v>Current</v>
      </c>
    </row>
    <row r="1033" spans="1:15" x14ac:dyDescent="0.25">
      <c r="A1033" t="s">
        <v>7144</v>
      </c>
      <c r="B1033" t="s">
        <v>7145</v>
      </c>
      <c r="C1033" t="s">
        <v>7150</v>
      </c>
      <c r="D1033" t="s">
        <v>7151</v>
      </c>
      <c r="E1033" t="s">
        <v>5</v>
      </c>
      <c r="F1033" t="s">
        <v>7158</v>
      </c>
      <c r="G1033" t="s">
        <v>5</v>
      </c>
      <c r="H1033" t="s">
        <v>5</v>
      </c>
      <c r="I1033" t="s">
        <v>7149</v>
      </c>
      <c r="J1033" t="s">
        <v>96</v>
      </c>
      <c r="K1033" s="3">
        <f t="shared" si="32"/>
        <v>0</v>
      </c>
      <c r="L1033" s="3">
        <f>IF(ISERROR(VLOOKUP(J1033,Lookups!$A$2:$A$16,1,FALSE)),1,0)</f>
        <v>0</v>
      </c>
      <c r="M1033" s="3">
        <f>IF(ISERROR(VLOOKUP(D1033,Data!$A$2:$D$223100,2,FALSE)),0,1)</f>
        <v>1</v>
      </c>
      <c r="N1033" s="3">
        <f t="shared" si="33"/>
        <v>0</v>
      </c>
      <c r="O1033" s="3" t="str">
        <f>IF(ISERROR(VLOOKUP(D1033,Data!$A$2:$C$223100,3,FALSE)),"INACTIVE",VLOOKUP(D1033,Data!$A$2:$C$223100,3,FALSE))</f>
        <v>Current</v>
      </c>
    </row>
    <row r="1034" spans="1:15" x14ac:dyDescent="0.25">
      <c r="A1034" t="s">
        <v>7144</v>
      </c>
      <c r="B1034" t="s">
        <v>7145</v>
      </c>
      <c r="C1034" t="s">
        <v>7159</v>
      </c>
      <c r="D1034" t="s">
        <v>7160</v>
      </c>
      <c r="E1034" t="s">
        <v>7161</v>
      </c>
      <c r="F1034" t="s">
        <v>5</v>
      </c>
      <c r="G1034" t="s">
        <v>5</v>
      </c>
      <c r="H1034" t="s">
        <v>5</v>
      </c>
      <c r="I1034" t="s">
        <v>7149</v>
      </c>
      <c r="J1034" t="s">
        <v>96</v>
      </c>
      <c r="K1034" s="3">
        <f t="shared" si="32"/>
        <v>0</v>
      </c>
      <c r="L1034" s="3">
        <f>IF(ISERROR(VLOOKUP(J1034,Lookups!$A$2:$A$16,1,FALSE)),1,0)</f>
        <v>0</v>
      </c>
      <c r="M1034" s="3">
        <f>IF(ISERROR(VLOOKUP(D1034,Data!$A$2:$D$223100,2,FALSE)),0,1)</f>
        <v>1</v>
      </c>
      <c r="N1034" s="3">
        <f t="shared" si="33"/>
        <v>0</v>
      </c>
      <c r="O1034" s="3" t="str">
        <f>IF(ISERROR(VLOOKUP(D1034,Data!$A$2:$C$223100,3,FALSE)),"INACTIVE",VLOOKUP(D1034,Data!$A$2:$C$223100,3,FALSE))</f>
        <v>FC</v>
      </c>
    </row>
    <row r="1035" spans="1:15" x14ac:dyDescent="0.25">
      <c r="A1035" t="s">
        <v>7144</v>
      </c>
      <c r="B1035" t="s">
        <v>7145</v>
      </c>
      <c r="C1035" t="s">
        <v>7159</v>
      </c>
      <c r="D1035" t="s">
        <v>7160</v>
      </c>
      <c r="E1035" t="s">
        <v>7162</v>
      </c>
      <c r="F1035" t="s">
        <v>5</v>
      </c>
      <c r="G1035" t="s">
        <v>5</v>
      </c>
      <c r="H1035" t="s">
        <v>5</v>
      </c>
      <c r="I1035" t="s">
        <v>7149</v>
      </c>
      <c r="J1035" t="s">
        <v>96</v>
      </c>
      <c r="K1035" s="3">
        <f t="shared" si="32"/>
        <v>0</v>
      </c>
      <c r="L1035" s="3">
        <f>IF(ISERROR(VLOOKUP(J1035,Lookups!$A$2:$A$16,1,FALSE)),1,0)</f>
        <v>0</v>
      </c>
      <c r="M1035" s="3">
        <f>IF(ISERROR(VLOOKUP(D1035,Data!$A$2:$D$223100,2,FALSE)),0,1)</f>
        <v>1</v>
      </c>
      <c r="N1035" s="3">
        <f t="shared" si="33"/>
        <v>0</v>
      </c>
      <c r="O1035" s="3" t="str">
        <f>IF(ISERROR(VLOOKUP(D1035,Data!$A$2:$C$223100,3,FALSE)),"INACTIVE",VLOOKUP(D1035,Data!$A$2:$C$223100,3,FALSE))</f>
        <v>FC</v>
      </c>
    </row>
    <row r="1036" spans="1:15" x14ac:dyDescent="0.25">
      <c r="A1036" t="s">
        <v>7144</v>
      </c>
      <c r="B1036" t="s">
        <v>7145</v>
      </c>
      <c r="C1036" t="s">
        <v>7159</v>
      </c>
      <c r="D1036" t="s">
        <v>7160</v>
      </c>
      <c r="E1036" t="s">
        <v>7163</v>
      </c>
      <c r="F1036" t="s">
        <v>7164</v>
      </c>
      <c r="G1036" t="s">
        <v>5</v>
      </c>
      <c r="H1036" t="s">
        <v>5</v>
      </c>
      <c r="I1036" t="s">
        <v>7149</v>
      </c>
      <c r="J1036" t="s">
        <v>96</v>
      </c>
      <c r="K1036" s="3">
        <f t="shared" si="32"/>
        <v>0</v>
      </c>
      <c r="L1036" s="3">
        <f>IF(ISERROR(VLOOKUP(J1036,Lookups!$A$2:$A$16,1,FALSE)),1,0)</f>
        <v>0</v>
      </c>
      <c r="M1036" s="3">
        <f>IF(ISERROR(VLOOKUP(D1036,Data!$A$2:$D$223100,2,FALSE)),0,1)</f>
        <v>1</v>
      </c>
      <c r="N1036" s="3">
        <f t="shared" si="33"/>
        <v>0</v>
      </c>
      <c r="O1036" s="3" t="str">
        <f>IF(ISERROR(VLOOKUP(D1036,Data!$A$2:$C$223100,3,FALSE)),"INACTIVE",VLOOKUP(D1036,Data!$A$2:$C$223100,3,FALSE))</f>
        <v>FC</v>
      </c>
    </row>
    <row r="1037" spans="1:15" x14ac:dyDescent="0.25">
      <c r="A1037" t="s">
        <v>7144</v>
      </c>
      <c r="B1037" t="s">
        <v>7145</v>
      </c>
      <c r="C1037" t="s">
        <v>7165</v>
      </c>
      <c r="D1037" t="s">
        <v>7166</v>
      </c>
      <c r="E1037" t="s">
        <v>5</v>
      </c>
      <c r="F1037" t="s">
        <v>7167</v>
      </c>
      <c r="G1037" t="s">
        <v>5</v>
      </c>
      <c r="H1037" t="s">
        <v>5</v>
      </c>
      <c r="I1037" t="s">
        <v>7149</v>
      </c>
      <c r="J1037" t="s">
        <v>96</v>
      </c>
      <c r="K1037" s="3">
        <f t="shared" si="32"/>
        <v>0</v>
      </c>
      <c r="L1037" s="3">
        <f>IF(ISERROR(VLOOKUP(J1037,Lookups!$A$2:$A$16,1,FALSE)),1,0)</f>
        <v>0</v>
      </c>
      <c r="M1037" s="3">
        <f>IF(ISERROR(VLOOKUP(D1037,Data!$A$2:$D$223100,2,FALSE)),0,1)</f>
        <v>1</v>
      </c>
      <c r="N1037" s="3">
        <f t="shared" si="33"/>
        <v>0</v>
      </c>
      <c r="O1037" s="3" t="str">
        <f>IF(ISERROR(VLOOKUP(D1037,Data!$A$2:$C$223100,3,FALSE)),"INACTIVE",VLOOKUP(D1037,Data!$A$2:$C$223100,3,FALSE))</f>
        <v>Current</v>
      </c>
    </row>
    <row r="1038" spans="1:15" x14ac:dyDescent="0.25">
      <c r="A1038" t="s">
        <v>7144</v>
      </c>
      <c r="B1038" t="s">
        <v>7145</v>
      </c>
      <c r="C1038" t="s">
        <v>7168</v>
      </c>
      <c r="D1038" t="s">
        <v>7169</v>
      </c>
      <c r="E1038" t="s">
        <v>7170</v>
      </c>
      <c r="F1038" t="s">
        <v>7171</v>
      </c>
      <c r="G1038" t="s">
        <v>5</v>
      </c>
      <c r="H1038" t="s">
        <v>5</v>
      </c>
      <c r="I1038" t="s">
        <v>7149</v>
      </c>
      <c r="J1038" t="s">
        <v>90</v>
      </c>
      <c r="K1038" s="3">
        <f t="shared" si="32"/>
        <v>0</v>
      </c>
      <c r="L1038" s="3">
        <f>IF(ISERROR(VLOOKUP(J1038,Lookups!$A$2:$A$16,1,FALSE)),1,0)</f>
        <v>0</v>
      </c>
      <c r="M1038" s="3">
        <f>IF(ISERROR(VLOOKUP(D1038,Data!$A$2:$D$223100,2,FALSE)),0,1)</f>
        <v>1</v>
      </c>
      <c r="N1038" s="3">
        <f t="shared" si="33"/>
        <v>0</v>
      </c>
      <c r="O1038" s="3" t="str">
        <f>IF(ISERROR(VLOOKUP(D1038,Data!$A$2:$C$223100,3,FALSE)),"INACTIVE",VLOOKUP(D1038,Data!$A$2:$C$223100,3,FALSE))</f>
        <v>FC</v>
      </c>
    </row>
    <row r="1039" spans="1:15" x14ac:dyDescent="0.25">
      <c r="A1039" t="s">
        <v>7144</v>
      </c>
      <c r="B1039" t="s">
        <v>7145</v>
      </c>
      <c r="C1039" t="s">
        <v>7172</v>
      </c>
      <c r="D1039" t="s">
        <v>7173</v>
      </c>
      <c r="E1039" t="s">
        <v>7174</v>
      </c>
      <c r="F1039" t="s">
        <v>7175</v>
      </c>
      <c r="G1039" t="s">
        <v>5</v>
      </c>
      <c r="H1039" t="s">
        <v>5</v>
      </c>
      <c r="I1039" t="s">
        <v>7149</v>
      </c>
      <c r="J1039" t="s">
        <v>90</v>
      </c>
      <c r="K1039" s="3">
        <f t="shared" si="32"/>
        <v>0</v>
      </c>
      <c r="L1039" s="3">
        <f>IF(ISERROR(VLOOKUP(J1039,Lookups!$A$2:$A$16,1,FALSE)),1,0)</f>
        <v>0</v>
      </c>
      <c r="M1039" s="3">
        <f>IF(ISERROR(VLOOKUP(D1039,Data!$A$2:$D$223100,2,FALSE)),0,1)</f>
        <v>1</v>
      </c>
      <c r="N1039" s="3">
        <f t="shared" si="33"/>
        <v>0</v>
      </c>
      <c r="O1039" s="3" t="str">
        <f>IF(ISERROR(VLOOKUP(D1039,Data!$A$2:$C$223100,3,FALSE)),"INACTIVE",VLOOKUP(D1039,Data!$A$2:$C$223100,3,FALSE))</f>
        <v>Current</v>
      </c>
    </row>
    <row r="1040" spans="1:15" x14ac:dyDescent="0.25">
      <c r="A1040" t="s">
        <v>7144</v>
      </c>
      <c r="B1040" t="s">
        <v>7145</v>
      </c>
      <c r="C1040" t="s">
        <v>7176</v>
      </c>
      <c r="D1040" t="s">
        <v>7177</v>
      </c>
      <c r="E1040" t="s">
        <v>7178</v>
      </c>
      <c r="F1040" t="s">
        <v>7179</v>
      </c>
      <c r="G1040" t="s">
        <v>5</v>
      </c>
      <c r="H1040" t="s">
        <v>5</v>
      </c>
      <c r="I1040" t="s">
        <v>7149</v>
      </c>
      <c r="J1040" t="s">
        <v>90</v>
      </c>
      <c r="K1040" s="3">
        <f t="shared" si="32"/>
        <v>0</v>
      </c>
      <c r="L1040" s="3">
        <f>IF(ISERROR(VLOOKUP(J1040,Lookups!$A$2:$A$16,1,FALSE)),1,0)</f>
        <v>0</v>
      </c>
      <c r="M1040" s="3">
        <f>IF(ISERROR(VLOOKUP(D1040,Data!$A$2:$D$223100,2,FALSE)),0,1)</f>
        <v>0</v>
      </c>
      <c r="N1040" s="3">
        <f t="shared" si="33"/>
        <v>0</v>
      </c>
      <c r="O1040" s="3" t="str">
        <f>IF(ISERROR(VLOOKUP(D1040,Data!$A$2:$C$223100,3,FALSE)),"INACTIVE",VLOOKUP(D1040,Data!$A$2:$C$223100,3,FALSE))</f>
        <v>INACTIVE</v>
      </c>
    </row>
    <row r="1041" spans="1:15" x14ac:dyDescent="0.25">
      <c r="A1041" t="s">
        <v>7144</v>
      </c>
      <c r="B1041" t="s">
        <v>7145</v>
      </c>
      <c r="C1041" t="s">
        <v>7180</v>
      </c>
      <c r="D1041" t="s">
        <v>7181</v>
      </c>
      <c r="E1041" t="s">
        <v>7182</v>
      </c>
      <c r="F1041" t="s">
        <v>7183</v>
      </c>
      <c r="G1041" t="s">
        <v>5</v>
      </c>
      <c r="H1041" t="s">
        <v>5</v>
      </c>
      <c r="I1041" t="s">
        <v>7149</v>
      </c>
      <c r="J1041" t="s">
        <v>90</v>
      </c>
      <c r="K1041" s="3">
        <f t="shared" si="32"/>
        <v>0</v>
      </c>
      <c r="L1041" s="3">
        <f>IF(ISERROR(VLOOKUP(J1041,Lookups!$A$2:$A$16,1,FALSE)),1,0)</f>
        <v>0</v>
      </c>
      <c r="M1041" s="3">
        <f>IF(ISERROR(VLOOKUP(D1041,Data!$A$2:$D$223100,2,FALSE)),0,1)</f>
        <v>1</v>
      </c>
      <c r="N1041" s="3">
        <f t="shared" si="33"/>
        <v>0</v>
      </c>
      <c r="O1041" s="3" t="str">
        <f>IF(ISERROR(VLOOKUP(D1041,Data!$A$2:$C$223100,3,FALSE)),"INACTIVE",VLOOKUP(D1041,Data!$A$2:$C$223100,3,FALSE))</f>
        <v>BK13</v>
      </c>
    </row>
    <row r="1042" spans="1:15" x14ac:dyDescent="0.25">
      <c r="A1042" t="s">
        <v>7144</v>
      </c>
      <c r="B1042" t="s">
        <v>7145</v>
      </c>
      <c r="C1042" t="s">
        <v>7184</v>
      </c>
      <c r="D1042" t="s">
        <v>7185</v>
      </c>
      <c r="E1042" t="s">
        <v>7186</v>
      </c>
      <c r="F1042" t="s">
        <v>7187</v>
      </c>
      <c r="G1042" t="s">
        <v>5</v>
      </c>
      <c r="H1042" t="s">
        <v>5</v>
      </c>
      <c r="I1042" t="s">
        <v>7149</v>
      </c>
      <c r="J1042" t="s">
        <v>90</v>
      </c>
      <c r="K1042" s="3">
        <f t="shared" si="32"/>
        <v>0</v>
      </c>
      <c r="L1042" s="3">
        <f>IF(ISERROR(VLOOKUP(J1042,Lookups!$A$2:$A$16,1,FALSE)),1,0)</f>
        <v>0</v>
      </c>
      <c r="M1042" s="3">
        <f>IF(ISERROR(VLOOKUP(D1042,Data!$A$2:$D$223100,2,FALSE)),0,1)</f>
        <v>0</v>
      </c>
      <c r="N1042" s="3">
        <f t="shared" si="33"/>
        <v>0</v>
      </c>
      <c r="O1042" s="3" t="str">
        <f>IF(ISERROR(VLOOKUP(D1042,Data!$A$2:$C$223100,3,FALSE)),"INACTIVE",VLOOKUP(D1042,Data!$A$2:$C$223100,3,FALSE))</f>
        <v>INACTIVE</v>
      </c>
    </row>
    <row r="1043" spans="1:15" x14ac:dyDescent="0.25">
      <c r="A1043" t="s">
        <v>7144</v>
      </c>
      <c r="B1043" t="s">
        <v>7145</v>
      </c>
      <c r="C1043" t="s">
        <v>7188</v>
      </c>
      <c r="D1043" t="s">
        <v>7189</v>
      </c>
      <c r="E1043" t="s">
        <v>7190</v>
      </c>
      <c r="F1043" t="s">
        <v>5</v>
      </c>
      <c r="G1043" t="s">
        <v>5</v>
      </c>
      <c r="H1043" t="s">
        <v>5</v>
      </c>
      <c r="I1043" t="s">
        <v>7149</v>
      </c>
      <c r="J1043" t="s">
        <v>96</v>
      </c>
      <c r="K1043" s="3">
        <f t="shared" si="32"/>
        <v>0</v>
      </c>
      <c r="L1043" s="3">
        <f>IF(ISERROR(VLOOKUP(J1043,Lookups!$A$2:$A$16,1,FALSE)),1,0)</f>
        <v>0</v>
      </c>
      <c r="M1043" s="3">
        <f>IF(ISERROR(VLOOKUP(D1043,Data!$A$2:$D$223100,2,FALSE)),0,1)</f>
        <v>1</v>
      </c>
      <c r="N1043" s="3">
        <f t="shared" si="33"/>
        <v>0</v>
      </c>
      <c r="O1043" s="3" t="str">
        <f>IF(ISERROR(VLOOKUP(D1043,Data!$A$2:$C$223100,3,FALSE)),"INACTIVE",VLOOKUP(D1043,Data!$A$2:$C$223100,3,FALSE))</f>
        <v>Demand Letter</v>
      </c>
    </row>
    <row r="1044" spans="1:15" x14ac:dyDescent="0.25">
      <c r="A1044" t="s">
        <v>7144</v>
      </c>
      <c r="B1044" t="s">
        <v>7145</v>
      </c>
      <c r="C1044" t="s">
        <v>7188</v>
      </c>
      <c r="D1044" t="s">
        <v>7189</v>
      </c>
      <c r="E1044" t="s">
        <v>7191</v>
      </c>
      <c r="F1044" t="s">
        <v>7192</v>
      </c>
      <c r="G1044" t="s">
        <v>5</v>
      </c>
      <c r="H1044" t="s">
        <v>5</v>
      </c>
      <c r="I1044" t="s">
        <v>7149</v>
      </c>
      <c r="J1044" t="s">
        <v>96</v>
      </c>
      <c r="K1044" s="3">
        <f t="shared" si="32"/>
        <v>0</v>
      </c>
      <c r="L1044" s="3">
        <f>IF(ISERROR(VLOOKUP(J1044,Lookups!$A$2:$A$16,1,FALSE)),1,0)</f>
        <v>0</v>
      </c>
      <c r="M1044" s="3">
        <f>IF(ISERROR(VLOOKUP(D1044,Data!$A$2:$D$223100,2,FALSE)),0,1)</f>
        <v>1</v>
      </c>
      <c r="N1044" s="3">
        <f t="shared" si="33"/>
        <v>0</v>
      </c>
      <c r="O1044" s="3" t="str">
        <f>IF(ISERROR(VLOOKUP(D1044,Data!$A$2:$C$223100,3,FALSE)),"INACTIVE",VLOOKUP(D1044,Data!$A$2:$C$223100,3,FALSE))</f>
        <v>Demand Letter</v>
      </c>
    </row>
    <row r="1045" spans="1:15" x14ac:dyDescent="0.25">
      <c r="A1045" t="s">
        <v>7144</v>
      </c>
      <c r="B1045" t="s">
        <v>7145</v>
      </c>
      <c r="C1045" t="s">
        <v>7193</v>
      </c>
      <c r="D1045" t="s">
        <v>7194</v>
      </c>
      <c r="E1045" t="s">
        <v>7195</v>
      </c>
      <c r="F1045" t="s">
        <v>7196</v>
      </c>
      <c r="G1045" t="s">
        <v>5</v>
      </c>
      <c r="H1045" t="s">
        <v>5</v>
      </c>
      <c r="I1045" t="s">
        <v>7149</v>
      </c>
      <c r="J1045" t="s">
        <v>90</v>
      </c>
      <c r="K1045" s="3">
        <f t="shared" si="32"/>
        <v>0</v>
      </c>
      <c r="L1045" s="3">
        <f>IF(ISERROR(VLOOKUP(J1045,Lookups!$A$2:$A$16,1,FALSE)),1,0)</f>
        <v>0</v>
      </c>
      <c r="M1045" s="3">
        <f>IF(ISERROR(VLOOKUP(D1045,Data!$A$2:$D$223100,2,FALSE)),0,1)</f>
        <v>1</v>
      </c>
      <c r="N1045" s="3">
        <f t="shared" si="33"/>
        <v>0</v>
      </c>
      <c r="O1045" s="3" t="str">
        <f>IF(ISERROR(VLOOKUP(D1045,Data!$A$2:$C$223100,3,FALSE)),"INACTIVE",VLOOKUP(D1045,Data!$A$2:$C$223100,3,FALSE))</f>
        <v>Current</v>
      </c>
    </row>
    <row r="1046" spans="1:15" x14ac:dyDescent="0.25">
      <c r="A1046" t="s">
        <v>7317</v>
      </c>
      <c r="B1046" t="s">
        <v>7318</v>
      </c>
      <c r="C1046" t="s">
        <v>7319</v>
      </c>
      <c r="D1046" t="s">
        <v>7320</v>
      </c>
      <c r="E1046" t="s">
        <v>7321</v>
      </c>
      <c r="F1046" t="s">
        <v>5</v>
      </c>
      <c r="G1046" t="s">
        <v>5</v>
      </c>
      <c r="H1046" t="s">
        <v>5</v>
      </c>
      <c r="I1046" t="s">
        <v>7149</v>
      </c>
      <c r="J1046" t="s">
        <v>14</v>
      </c>
      <c r="K1046" s="3">
        <f t="shared" si="32"/>
        <v>0</v>
      </c>
      <c r="L1046" s="3">
        <f>IF(ISERROR(VLOOKUP(J1046,Lookups!$A$2:$A$16,1,FALSE)),1,0)</f>
        <v>1</v>
      </c>
      <c r="M1046" s="3">
        <f>IF(ISERROR(VLOOKUP(D1046,Data!$A$2:$D$223100,2,FALSE)),0,1)</f>
        <v>1</v>
      </c>
      <c r="N1046" s="3">
        <f t="shared" si="33"/>
        <v>1</v>
      </c>
      <c r="O1046" s="3" t="str">
        <f>IF(ISERROR(VLOOKUP(D1046,Data!$A$2:$C$223100,3,FALSE)),"INACTIVE",VLOOKUP(D1046,Data!$A$2:$C$223100,3,FALSE))</f>
        <v>90+</v>
      </c>
    </row>
    <row r="1047" spans="1:15" x14ac:dyDescent="0.25">
      <c r="A1047" t="s">
        <v>7317</v>
      </c>
      <c r="B1047" t="s">
        <v>7318</v>
      </c>
      <c r="C1047" t="s">
        <v>7322</v>
      </c>
      <c r="D1047" t="s">
        <v>7323</v>
      </c>
      <c r="E1047" t="s">
        <v>7324</v>
      </c>
      <c r="F1047" t="s">
        <v>5</v>
      </c>
      <c r="G1047" t="s">
        <v>5</v>
      </c>
      <c r="H1047" t="s">
        <v>5</v>
      </c>
      <c r="I1047" t="s">
        <v>7149</v>
      </c>
      <c r="J1047" t="s">
        <v>14</v>
      </c>
      <c r="K1047" s="3">
        <f t="shared" si="32"/>
        <v>0</v>
      </c>
      <c r="L1047" s="3">
        <f>IF(ISERROR(VLOOKUP(J1047,Lookups!$A$2:$A$16,1,FALSE)),1,0)</f>
        <v>1</v>
      </c>
      <c r="M1047" s="3">
        <f>IF(ISERROR(VLOOKUP(D1047,Data!$A$2:$D$223100,2,FALSE)),0,1)</f>
        <v>1</v>
      </c>
      <c r="N1047" s="3">
        <f t="shared" si="33"/>
        <v>1</v>
      </c>
      <c r="O1047" s="3" t="str">
        <f>IF(ISERROR(VLOOKUP(D1047,Data!$A$2:$C$223100,3,FALSE)),"INACTIVE",VLOOKUP(D1047,Data!$A$2:$C$223100,3,FALSE))</f>
        <v>60+</v>
      </c>
    </row>
    <row r="1048" spans="1:15" x14ac:dyDescent="0.25">
      <c r="A1048" t="s">
        <v>7524</v>
      </c>
      <c r="B1048" t="s">
        <v>7525</v>
      </c>
      <c r="C1048" t="s">
        <v>7526</v>
      </c>
      <c r="D1048" t="s">
        <v>7527</v>
      </c>
      <c r="E1048" t="s">
        <v>7528</v>
      </c>
      <c r="F1048" t="s">
        <v>5</v>
      </c>
      <c r="G1048" t="s">
        <v>5</v>
      </c>
      <c r="H1048" t="s">
        <v>5</v>
      </c>
      <c r="I1048" t="s">
        <v>7529</v>
      </c>
      <c r="J1048" t="s">
        <v>14</v>
      </c>
      <c r="K1048" s="3">
        <f t="shared" si="32"/>
        <v>0</v>
      </c>
      <c r="L1048" s="3">
        <f>IF(ISERROR(VLOOKUP(J1048,Lookups!$A$2:$A$16,1,FALSE)),1,0)</f>
        <v>1</v>
      </c>
      <c r="M1048" s="3">
        <f>IF(ISERROR(VLOOKUP(D1048,Data!$A$2:$D$223100,2,FALSE)),0,1)</f>
        <v>1</v>
      </c>
      <c r="N1048" s="3">
        <f t="shared" si="33"/>
        <v>1</v>
      </c>
      <c r="O1048" s="3" t="str">
        <f>IF(ISERROR(VLOOKUP(D1048,Data!$A$2:$C$223100,3,FALSE)),"INACTIVE",VLOOKUP(D1048,Data!$A$2:$C$223100,3,FALSE))</f>
        <v>90+</v>
      </c>
    </row>
    <row r="1049" spans="1:15" x14ac:dyDescent="0.25">
      <c r="A1049" t="s">
        <v>7337</v>
      </c>
      <c r="B1049" t="s">
        <v>7338</v>
      </c>
      <c r="C1049" t="s">
        <v>7339</v>
      </c>
      <c r="D1049" t="s">
        <v>7340</v>
      </c>
      <c r="E1049" t="s">
        <v>7341</v>
      </c>
      <c r="F1049" t="s">
        <v>5</v>
      </c>
      <c r="G1049" t="s">
        <v>5</v>
      </c>
      <c r="H1049" t="s">
        <v>5</v>
      </c>
      <c r="I1049" t="s">
        <v>7342</v>
      </c>
      <c r="J1049" t="s">
        <v>90</v>
      </c>
      <c r="K1049" s="3">
        <f t="shared" si="32"/>
        <v>0</v>
      </c>
      <c r="L1049" s="3">
        <f>IF(ISERROR(VLOOKUP(J1049,Lookups!$A$2:$A$16,1,FALSE)),1,0)</f>
        <v>0</v>
      </c>
      <c r="M1049" s="3">
        <f>IF(ISERROR(VLOOKUP(D1049,Data!$A$2:$D$223100,2,FALSE)),0,1)</f>
        <v>1</v>
      </c>
      <c r="N1049" s="3">
        <f t="shared" si="33"/>
        <v>0</v>
      </c>
      <c r="O1049" s="3" t="str">
        <f>IF(ISERROR(VLOOKUP(D1049,Data!$A$2:$C$223100,3,FALSE)),"INACTIVE",VLOOKUP(D1049,Data!$A$2:$C$223100,3,FALSE))</f>
        <v>Current</v>
      </c>
    </row>
    <row r="1050" spans="1:15" x14ac:dyDescent="0.25">
      <c r="A1050" t="s">
        <v>7343</v>
      </c>
      <c r="B1050" t="s">
        <v>7344</v>
      </c>
      <c r="C1050" t="s">
        <v>7345</v>
      </c>
      <c r="D1050" t="s">
        <v>7346</v>
      </c>
      <c r="E1050" t="s">
        <v>7347</v>
      </c>
      <c r="F1050" t="s">
        <v>5</v>
      </c>
      <c r="G1050" t="s">
        <v>5</v>
      </c>
      <c r="H1050" t="s">
        <v>5</v>
      </c>
      <c r="I1050" t="s">
        <v>7342</v>
      </c>
      <c r="J1050" t="s">
        <v>7</v>
      </c>
      <c r="K1050" s="3">
        <f t="shared" si="32"/>
        <v>0</v>
      </c>
      <c r="L1050" s="3">
        <f>IF(ISERROR(VLOOKUP(J1050,Lookups!$A$2:$A$16,1,FALSE)),1,0)</f>
        <v>1</v>
      </c>
      <c r="M1050" s="3">
        <f>IF(ISERROR(VLOOKUP(D1050,Data!$A$2:$D$223100,2,FALSE)),0,1)</f>
        <v>1</v>
      </c>
      <c r="N1050" s="3">
        <f t="shared" si="33"/>
        <v>1</v>
      </c>
      <c r="O1050" s="3" t="str">
        <f>IF(ISERROR(VLOOKUP(D1050,Data!$A$2:$C$223100,3,FALSE)),"INACTIVE",VLOOKUP(D1050,Data!$A$2:$C$223100,3,FALSE))</f>
        <v>30+</v>
      </c>
    </row>
    <row r="1051" spans="1:15" x14ac:dyDescent="0.25">
      <c r="A1051" t="s">
        <v>7348</v>
      </c>
      <c r="B1051" t="s">
        <v>7349</v>
      </c>
      <c r="C1051" t="s">
        <v>7350</v>
      </c>
      <c r="D1051" t="s">
        <v>7351</v>
      </c>
      <c r="E1051" t="s">
        <v>5</v>
      </c>
      <c r="F1051" t="s">
        <v>7352</v>
      </c>
      <c r="G1051" t="s">
        <v>5</v>
      </c>
      <c r="H1051" t="s">
        <v>5</v>
      </c>
      <c r="I1051" t="s">
        <v>7342</v>
      </c>
      <c r="J1051" t="s">
        <v>7</v>
      </c>
      <c r="K1051" s="3">
        <f t="shared" si="32"/>
        <v>0</v>
      </c>
      <c r="L1051" s="3">
        <f>IF(ISERROR(VLOOKUP(J1051,Lookups!$A$2:$A$16,1,FALSE)),1,0)</f>
        <v>1</v>
      </c>
      <c r="M1051" s="3">
        <f>IF(ISERROR(VLOOKUP(D1051,Data!$A$2:$D$223100,2,FALSE)),0,1)</f>
        <v>1</v>
      </c>
      <c r="N1051" s="3">
        <f t="shared" si="33"/>
        <v>1</v>
      </c>
      <c r="O1051" s="3" t="str">
        <f>IF(ISERROR(VLOOKUP(D1051,Data!$A$2:$C$223100,3,FALSE)),"INACTIVE",VLOOKUP(D1051,Data!$A$2:$C$223100,3,FALSE))</f>
        <v>180+</v>
      </c>
    </row>
    <row r="1052" spans="1:15" x14ac:dyDescent="0.25">
      <c r="A1052" t="s">
        <v>7353</v>
      </c>
      <c r="B1052" t="s">
        <v>7354</v>
      </c>
      <c r="C1052" t="s">
        <v>7355</v>
      </c>
      <c r="D1052" t="s">
        <v>7356</v>
      </c>
      <c r="E1052" t="s">
        <v>7357</v>
      </c>
      <c r="F1052" t="s">
        <v>5</v>
      </c>
      <c r="G1052" t="s">
        <v>5</v>
      </c>
      <c r="H1052" t="s">
        <v>5</v>
      </c>
      <c r="I1052" t="s">
        <v>7342</v>
      </c>
      <c r="J1052" t="s">
        <v>7</v>
      </c>
      <c r="K1052" s="3">
        <f t="shared" si="32"/>
        <v>0</v>
      </c>
      <c r="L1052" s="3">
        <f>IF(ISERROR(VLOOKUP(J1052,Lookups!$A$2:$A$16,1,FALSE)),1,0)</f>
        <v>1</v>
      </c>
      <c r="M1052" s="3">
        <f>IF(ISERROR(VLOOKUP(D1052,Data!$A$2:$D$223100,2,FALSE)),0,1)</f>
        <v>1</v>
      </c>
      <c r="N1052" s="3">
        <f t="shared" si="33"/>
        <v>1</v>
      </c>
      <c r="O1052" s="3" t="str">
        <f>IF(ISERROR(VLOOKUP(D1052,Data!$A$2:$C$223100,3,FALSE)),"INACTIVE",VLOOKUP(D1052,Data!$A$2:$C$223100,3,FALSE))</f>
        <v>90+</v>
      </c>
    </row>
    <row r="1053" spans="1:15" x14ac:dyDescent="0.25">
      <c r="A1053" t="s">
        <v>6922</v>
      </c>
      <c r="B1053" t="s">
        <v>6923</v>
      </c>
      <c r="C1053" t="s">
        <v>6885</v>
      </c>
      <c r="D1053" t="s">
        <v>6886</v>
      </c>
      <c r="E1053" t="s">
        <v>6924</v>
      </c>
      <c r="F1053" t="s">
        <v>5</v>
      </c>
      <c r="G1053" t="s">
        <v>5</v>
      </c>
      <c r="H1053" t="s">
        <v>5</v>
      </c>
      <c r="I1053" t="s">
        <v>6925</v>
      </c>
      <c r="J1053" t="s">
        <v>96</v>
      </c>
      <c r="K1053" s="3">
        <f t="shared" si="32"/>
        <v>0</v>
      </c>
      <c r="L1053" s="3">
        <f>IF(ISERROR(VLOOKUP(J1053,Lookups!$A$2:$A$16,1,FALSE)),1,0)</f>
        <v>0</v>
      </c>
      <c r="M1053" s="3">
        <f>IF(ISERROR(VLOOKUP(D1053,Data!$A$2:$D$223100,2,FALSE)),0,1)</f>
        <v>1</v>
      </c>
      <c r="N1053" s="3">
        <f t="shared" si="33"/>
        <v>0</v>
      </c>
      <c r="O1053" s="3" t="str">
        <f>IF(ISERROR(VLOOKUP(D1053,Data!$A$2:$C$223100,3,FALSE)),"INACTIVE",VLOOKUP(D1053,Data!$A$2:$C$223100,3,FALSE))</f>
        <v>Current</v>
      </c>
    </row>
    <row r="1054" spans="1:15" x14ac:dyDescent="0.25">
      <c r="A1054" t="s">
        <v>6922</v>
      </c>
      <c r="B1054" t="s">
        <v>6923</v>
      </c>
      <c r="C1054" t="s">
        <v>6888</v>
      </c>
      <c r="D1054" t="s">
        <v>6889</v>
      </c>
      <c r="E1054" t="s">
        <v>6926</v>
      </c>
      <c r="F1054" t="s">
        <v>5</v>
      </c>
      <c r="G1054" t="s">
        <v>5</v>
      </c>
      <c r="H1054" t="s">
        <v>5</v>
      </c>
      <c r="I1054" t="s">
        <v>6925</v>
      </c>
      <c r="J1054" t="s">
        <v>96</v>
      </c>
      <c r="K1054" s="3">
        <f t="shared" si="32"/>
        <v>0</v>
      </c>
      <c r="L1054" s="3">
        <f>IF(ISERROR(VLOOKUP(J1054,Lookups!$A$2:$A$16,1,FALSE)),1,0)</f>
        <v>0</v>
      </c>
      <c r="M1054" s="3">
        <f>IF(ISERROR(VLOOKUP(D1054,Data!$A$2:$D$223100,2,FALSE)),0,1)</f>
        <v>1</v>
      </c>
      <c r="N1054" s="3">
        <f t="shared" si="33"/>
        <v>0</v>
      </c>
      <c r="O1054" s="3" t="str">
        <f>IF(ISERROR(VLOOKUP(D1054,Data!$A$2:$C$223100,3,FALSE)),"INACTIVE",VLOOKUP(D1054,Data!$A$2:$C$223100,3,FALSE))</f>
        <v>60+</v>
      </c>
    </row>
    <row r="1055" spans="1:15" x14ac:dyDescent="0.25">
      <c r="A1055" t="s">
        <v>7139</v>
      </c>
      <c r="B1055" t="s">
        <v>7140</v>
      </c>
      <c r="C1055" t="s">
        <v>7141</v>
      </c>
      <c r="D1055" t="s">
        <v>7142</v>
      </c>
      <c r="E1055" t="s">
        <v>7143</v>
      </c>
      <c r="F1055" t="s">
        <v>2415</v>
      </c>
      <c r="G1055" t="s">
        <v>5</v>
      </c>
      <c r="H1055" t="s">
        <v>5</v>
      </c>
      <c r="I1055" t="s">
        <v>6925</v>
      </c>
      <c r="J1055" t="s">
        <v>7</v>
      </c>
      <c r="K1055" s="3">
        <f t="shared" si="32"/>
        <v>0</v>
      </c>
      <c r="L1055" s="3">
        <f>IF(ISERROR(VLOOKUP(J1055,Lookups!$A$2:$A$16,1,FALSE)),1,0)</f>
        <v>1</v>
      </c>
      <c r="M1055" s="3">
        <f>IF(ISERROR(VLOOKUP(D1055,Data!$A$2:$D$223100,2,FALSE)),0,1)</f>
        <v>1</v>
      </c>
      <c r="N1055" s="3">
        <f t="shared" si="33"/>
        <v>1</v>
      </c>
      <c r="O1055" s="3" t="str">
        <f>IF(ISERROR(VLOOKUP(D1055,Data!$A$2:$C$223100,3,FALSE)),"INACTIVE",VLOOKUP(D1055,Data!$A$2:$C$223100,3,FALSE))</f>
        <v>FC</v>
      </c>
    </row>
    <row r="1056" spans="1:15" x14ac:dyDescent="0.25">
      <c r="A1056" t="s">
        <v>7377</v>
      </c>
      <c r="B1056" t="s">
        <v>7378</v>
      </c>
      <c r="C1056" t="s">
        <v>7379</v>
      </c>
      <c r="D1056" t="s">
        <v>7380</v>
      </c>
      <c r="E1056" t="s">
        <v>7381</v>
      </c>
      <c r="F1056" t="s">
        <v>7382</v>
      </c>
      <c r="G1056" t="s">
        <v>5</v>
      </c>
      <c r="H1056" t="s">
        <v>5</v>
      </c>
      <c r="I1056" t="s">
        <v>6925</v>
      </c>
      <c r="J1056" t="s">
        <v>7</v>
      </c>
      <c r="K1056" s="3">
        <f t="shared" si="32"/>
        <v>0</v>
      </c>
      <c r="L1056" s="3">
        <f>IF(ISERROR(VLOOKUP(J1056,Lookups!$A$2:$A$16,1,FALSE)),1,0)</f>
        <v>1</v>
      </c>
      <c r="M1056" s="3">
        <f>IF(ISERROR(VLOOKUP(D1056,Data!$A$2:$D$223100,2,FALSE)),0,1)</f>
        <v>1</v>
      </c>
      <c r="N1056" s="3">
        <f t="shared" si="33"/>
        <v>1</v>
      </c>
      <c r="O1056" s="3" t="str">
        <f>IF(ISERROR(VLOOKUP(D1056,Data!$A$2:$C$223100,3,FALSE)),"INACTIVE",VLOOKUP(D1056,Data!$A$2:$C$223100,3,FALSE))</f>
        <v>FC</v>
      </c>
    </row>
    <row r="1057" spans="1:15" x14ac:dyDescent="0.25">
      <c r="A1057" t="s">
        <v>7331</v>
      </c>
      <c r="B1057" t="s">
        <v>7332</v>
      </c>
      <c r="C1057" t="s">
        <v>7333</v>
      </c>
      <c r="D1057" t="s">
        <v>7334</v>
      </c>
      <c r="E1057" t="s">
        <v>7335</v>
      </c>
      <c r="F1057" t="s">
        <v>5</v>
      </c>
      <c r="G1057" t="s">
        <v>5</v>
      </c>
      <c r="H1057" t="s">
        <v>5</v>
      </c>
      <c r="I1057" t="s">
        <v>7336</v>
      </c>
      <c r="J1057" t="s">
        <v>7</v>
      </c>
      <c r="K1057" s="3">
        <f t="shared" si="32"/>
        <v>0</v>
      </c>
      <c r="L1057" s="3">
        <f>IF(ISERROR(VLOOKUP(J1057,Lookups!$A$2:$A$16,1,FALSE)),1,0)</f>
        <v>1</v>
      </c>
      <c r="M1057" s="3">
        <f>IF(ISERROR(VLOOKUP(D1057,Data!$A$2:$D$223100,2,FALSE)),0,1)</f>
        <v>1</v>
      </c>
      <c r="N1057" s="3">
        <f t="shared" si="33"/>
        <v>1</v>
      </c>
      <c r="O1057" s="3" t="str">
        <f>IF(ISERROR(VLOOKUP(D1057,Data!$A$2:$C$223100,3,FALSE)),"INACTIVE",VLOOKUP(D1057,Data!$A$2:$C$223100,3,FALSE))</f>
        <v>Current</v>
      </c>
    </row>
    <row r="1058" spans="1:15" x14ac:dyDescent="0.25">
      <c r="A1058" t="s">
        <v>7370</v>
      </c>
      <c r="B1058" t="s">
        <v>7371</v>
      </c>
      <c r="C1058" t="s">
        <v>7372</v>
      </c>
      <c r="D1058" t="s">
        <v>7373</v>
      </c>
      <c r="E1058" t="s">
        <v>7374</v>
      </c>
      <c r="F1058" t="s">
        <v>5</v>
      </c>
      <c r="G1058" t="s">
        <v>5</v>
      </c>
      <c r="H1058" t="s">
        <v>5</v>
      </c>
      <c r="I1058" t="s">
        <v>7336</v>
      </c>
      <c r="J1058" t="s">
        <v>7</v>
      </c>
      <c r="K1058" s="3">
        <f t="shared" si="32"/>
        <v>0</v>
      </c>
      <c r="L1058" s="3">
        <f>IF(ISERROR(VLOOKUP(J1058,Lookups!$A$2:$A$16,1,FALSE)),1,0)</f>
        <v>1</v>
      </c>
      <c r="M1058" s="3">
        <f>IF(ISERROR(VLOOKUP(D1058,Data!$A$2:$D$223100,2,FALSE)),0,1)</f>
        <v>1</v>
      </c>
      <c r="N1058" s="3">
        <f t="shared" si="33"/>
        <v>1</v>
      </c>
      <c r="O1058" s="3" t="str">
        <f>IF(ISERROR(VLOOKUP(D1058,Data!$A$2:$C$223100,3,FALSE)),"INACTIVE",VLOOKUP(D1058,Data!$A$2:$C$223100,3,FALSE))</f>
        <v>Demand Letter</v>
      </c>
    </row>
    <row r="1059" spans="1:15" x14ac:dyDescent="0.25">
      <c r="A1059" t="s">
        <v>7370</v>
      </c>
      <c r="B1059" t="s">
        <v>7371</v>
      </c>
      <c r="C1059" t="s">
        <v>7375</v>
      </c>
      <c r="D1059" t="s">
        <v>7373</v>
      </c>
      <c r="E1059" t="s">
        <v>7376</v>
      </c>
      <c r="F1059" t="s">
        <v>5</v>
      </c>
      <c r="G1059" t="s">
        <v>5</v>
      </c>
      <c r="H1059" t="s">
        <v>5</v>
      </c>
      <c r="I1059" t="s">
        <v>7336</v>
      </c>
      <c r="J1059" t="s">
        <v>7</v>
      </c>
      <c r="K1059" s="3">
        <f t="shared" si="32"/>
        <v>0</v>
      </c>
      <c r="L1059" s="3">
        <f>IF(ISERROR(VLOOKUP(J1059,Lookups!$A$2:$A$16,1,FALSE)),1,0)</f>
        <v>1</v>
      </c>
      <c r="M1059" s="3">
        <f>IF(ISERROR(VLOOKUP(D1059,Data!$A$2:$D$223100,2,FALSE)),0,1)</f>
        <v>1</v>
      </c>
      <c r="N1059" s="3">
        <f t="shared" si="33"/>
        <v>1</v>
      </c>
      <c r="O1059" s="3" t="str">
        <f>IF(ISERROR(VLOOKUP(D1059,Data!$A$2:$C$223100,3,FALSE)),"INACTIVE",VLOOKUP(D1059,Data!$A$2:$C$223100,3,FALSE))</f>
        <v>Demand Letter</v>
      </c>
    </row>
    <row r="1060" spans="1:15" x14ac:dyDescent="0.25">
      <c r="A1060" t="s">
        <v>7394</v>
      </c>
      <c r="B1060" t="s">
        <v>7395</v>
      </c>
      <c r="C1060" t="s">
        <v>7396</v>
      </c>
      <c r="D1060" t="s">
        <v>7397</v>
      </c>
      <c r="E1060" t="s">
        <v>5</v>
      </c>
      <c r="F1060" t="s">
        <v>5</v>
      </c>
      <c r="G1060" t="s">
        <v>5</v>
      </c>
      <c r="H1060" t="s">
        <v>7120</v>
      </c>
      <c r="I1060" t="s">
        <v>7336</v>
      </c>
      <c r="J1060" t="s">
        <v>96</v>
      </c>
      <c r="K1060" s="3">
        <f t="shared" si="32"/>
        <v>0</v>
      </c>
      <c r="L1060" s="3">
        <f>IF(ISERROR(VLOOKUP(J1060,Lookups!$A$2:$A$16,1,FALSE)),1,0)</f>
        <v>0</v>
      </c>
      <c r="M1060" s="3">
        <f>IF(ISERROR(VLOOKUP(D1060,Data!$A$2:$D$223100,2,FALSE)),0,1)</f>
        <v>1</v>
      </c>
      <c r="N1060" s="3">
        <f t="shared" si="33"/>
        <v>0</v>
      </c>
      <c r="O1060" s="3" t="str">
        <f>IF(ISERROR(VLOOKUP(D1060,Data!$A$2:$C$223100,3,FALSE)),"INACTIVE",VLOOKUP(D1060,Data!$A$2:$C$223100,3,FALSE))</f>
        <v>FC</v>
      </c>
    </row>
    <row r="1061" spans="1:15" x14ac:dyDescent="0.25">
      <c r="A1061" t="s">
        <v>7413</v>
      </c>
      <c r="B1061" t="s">
        <v>7414</v>
      </c>
      <c r="C1061" t="s">
        <v>7415</v>
      </c>
      <c r="D1061" t="s">
        <v>7416</v>
      </c>
      <c r="E1061" t="s">
        <v>5</v>
      </c>
      <c r="F1061" t="s">
        <v>5</v>
      </c>
      <c r="G1061" t="s">
        <v>5</v>
      </c>
      <c r="H1061" t="s">
        <v>7120</v>
      </c>
      <c r="I1061" t="s">
        <v>7336</v>
      </c>
      <c r="J1061" t="s">
        <v>96</v>
      </c>
      <c r="K1061" s="3">
        <f t="shared" si="32"/>
        <v>0</v>
      </c>
      <c r="L1061" s="3">
        <f>IF(ISERROR(VLOOKUP(J1061,Lookups!$A$2:$A$16,1,FALSE)),1,0)</f>
        <v>0</v>
      </c>
      <c r="M1061" s="3">
        <f>IF(ISERROR(VLOOKUP(D1061,Data!$A$2:$D$223100,2,FALSE)),0,1)</f>
        <v>1</v>
      </c>
      <c r="N1061" s="3">
        <f t="shared" si="33"/>
        <v>0</v>
      </c>
      <c r="O1061" s="3" t="str">
        <f>IF(ISERROR(VLOOKUP(D1061,Data!$A$2:$C$223100,3,FALSE)),"INACTIVE",VLOOKUP(D1061,Data!$A$2:$C$223100,3,FALSE))</f>
        <v>PP</v>
      </c>
    </row>
    <row r="1062" spans="1:15" x14ac:dyDescent="0.25">
      <c r="A1062" t="s">
        <v>7435</v>
      </c>
      <c r="B1062" t="s">
        <v>7436</v>
      </c>
      <c r="C1062" t="s">
        <v>7437</v>
      </c>
      <c r="D1062" t="s">
        <v>7438</v>
      </c>
      <c r="E1062" t="s">
        <v>5</v>
      </c>
      <c r="F1062" t="s">
        <v>5</v>
      </c>
      <c r="G1062" t="s">
        <v>5</v>
      </c>
      <c r="H1062" t="s">
        <v>7120</v>
      </c>
      <c r="I1062" t="s">
        <v>7336</v>
      </c>
      <c r="J1062" t="s">
        <v>96</v>
      </c>
      <c r="K1062" s="3">
        <f t="shared" si="32"/>
        <v>0</v>
      </c>
      <c r="L1062" s="3">
        <f>IF(ISERROR(VLOOKUP(J1062,Lookups!$A$2:$A$16,1,FALSE)),1,0)</f>
        <v>0</v>
      </c>
      <c r="M1062" s="3">
        <f>IF(ISERROR(VLOOKUP(D1062,Data!$A$2:$D$223100,2,FALSE)),0,1)</f>
        <v>1</v>
      </c>
      <c r="N1062" s="3">
        <f t="shared" si="33"/>
        <v>0</v>
      </c>
      <c r="O1062" s="3" t="str">
        <f>IF(ISERROR(VLOOKUP(D1062,Data!$A$2:$C$223100,3,FALSE)),"INACTIVE",VLOOKUP(D1062,Data!$A$2:$C$223100,3,FALSE))</f>
        <v>180+</v>
      </c>
    </row>
    <row r="1063" spans="1:15" x14ac:dyDescent="0.25">
      <c r="A1063" t="s">
        <v>7463</v>
      </c>
      <c r="B1063" t="s">
        <v>7464</v>
      </c>
      <c r="C1063" t="s">
        <v>7465</v>
      </c>
      <c r="D1063" t="s">
        <v>7466</v>
      </c>
      <c r="E1063" t="s">
        <v>5</v>
      </c>
      <c r="F1063" t="s">
        <v>5</v>
      </c>
      <c r="G1063" t="s">
        <v>5</v>
      </c>
      <c r="H1063" t="s">
        <v>7120</v>
      </c>
      <c r="I1063" t="s">
        <v>7336</v>
      </c>
      <c r="J1063" t="s">
        <v>96</v>
      </c>
      <c r="K1063" s="3">
        <f t="shared" si="32"/>
        <v>0</v>
      </c>
      <c r="L1063" s="3">
        <f>IF(ISERROR(VLOOKUP(J1063,Lookups!$A$2:$A$16,1,FALSE)),1,0)</f>
        <v>0</v>
      </c>
      <c r="M1063" s="3">
        <f>IF(ISERROR(VLOOKUP(D1063,Data!$A$2:$D$223100,2,FALSE)),0,1)</f>
        <v>1</v>
      </c>
      <c r="N1063" s="3">
        <f t="shared" si="33"/>
        <v>0</v>
      </c>
      <c r="O1063" s="3" t="str">
        <f>IF(ISERROR(VLOOKUP(D1063,Data!$A$2:$C$223100,3,FALSE)),"INACTIVE",VLOOKUP(D1063,Data!$A$2:$C$223100,3,FALSE))</f>
        <v>Demand Letter</v>
      </c>
    </row>
    <row r="1064" spans="1:15" x14ac:dyDescent="0.25">
      <c r="A1064" t="s">
        <v>7501</v>
      </c>
      <c r="B1064" t="s">
        <v>7502</v>
      </c>
      <c r="C1064" t="s">
        <v>7503</v>
      </c>
      <c r="D1064" t="s">
        <v>7504</v>
      </c>
      <c r="E1064" t="s">
        <v>5</v>
      </c>
      <c r="F1064" t="s">
        <v>5</v>
      </c>
      <c r="G1064" t="s">
        <v>7505</v>
      </c>
      <c r="H1064" t="s">
        <v>7506</v>
      </c>
      <c r="I1064" t="s">
        <v>7336</v>
      </c>
      <c r="J1064" t="s">
        <v>7</v>
      </c>
      <c r="K1064" s="3">
        <f t="shared" si="32"/>
        <v>0</v>
      </c>
      <c r="L1064" s="3">
        <f>IF(ISERROR(VLOOKUP(J1064,Lookups!$A$2:$A$16,1,FALSE)),1,0)</f>
        <v>1</v>
      </c>
      <c r="M1064" s="3">
        <f>IF(ISERROR(VLOOKUP(D1064,Data!$A$2:$D$223100,2,FALSE)),0,1)</f>
        <v>0</v>
      </c>
      <c r="N1064" s="3">
        <f t="shared" si="33"/>
        <v>0</v>
      </c>
      <c r="O1064" s="3" t="str">
        <f>IF(ISERROR(VLOOKUP(D1064,Data!$A$2:$C$223100,3,FALSE)),"INACTIVE",VLOOKUP(D1064,Data!$A$2:$C$223100,3,FALSE))</f>
        <v>INACTIVE</v>
      </c>
    </row>
    <row r="1065" spans="1:15" x14ac:dyDescent="0.25">
      <c r="A1065" t="s">
        <v>7511</v>
      </c>
      <c r="B1065" t="s">
        <v>7512</v>
      </c>
      <c r="C1065" t="s">
        <v>7513</v>
      </c>
      <c r="D1065" t="s">
        <v>7514</v>
      </c>
      <c r="E1065" t="s">
        <v>7515</v>
      </c>
      <c r="F1065" t="s">
        <v>7516</v>
      </c>
      <c r="G1065" t="s">
        <v>7517</v>
      </c>
      <c r="H1065" t="s">
        <v>7518</v>
      </c>
      <c r="I1065" t="s">
        <v>7336</v>
      </c>
      <c r="J1065" t="s">
        <v>7</v>
      </c>
      <c r="K1065" s="3">
        <f t="shared" si="32"/>
        <v>0</v>
      </c>
      <c r="L1065" s="3">
        <f>IF(ISERROR(VLOOKUP(J1065,Lookups!$A$2:$A$16,1,FALSE)),1,0)</f>
        <v>1</v>
      </c>
      <c r="M1065" s="3">
        <f>IF(ISERROR(VLOOKUP(D1065,Data!$A$2:$D$223100,2,FALSE)),0,1)</f>
        <v>1</v>
      </c>
      <c r="N1065" s="3">
        <f t="shared" si="33"/>
        <v>1</v>
      </c>
      <c r="O1065" s="3" t="str">
        <f>IF(ISERROR(VLOOKUP(D1065,Data!$A$2:$C$223100,3,FALSE)),"INACTIVE",VLOOKUP(D1065,Data!$A$2:$C$223100,3,FALSE))</f>
        <v>Current</v>
      </c>
    </row>
    <row r="1066" spans="1:15" x14ac:dyDescent="0.25">
      <c r="A1066" t="s">
        <v>7519</v>
      </c>
      <c r="B1066" t="s">
        <v>7520</v>
      </c>
      <c r="C1066" t="s">
        <v>7521</v>
      </c>
      <c r="D1066" t="s">
        <v>7522</v>
      </c>
      <c r="E1066" t="s">
        <v>5</v>
      </c>
      <c r="F1066" t="s">
        <v>5</v>
      </c>
      <c r="G1066" t="s">
        <v>5</v>
      </c>
      <c r="H1066" t="s">
        <v>7523</v>
      </c>
      <c r="I1066" t="s">
        <v>7336</v>
      </c>
      <c r="J1066" t="s">
        <v>7</v>
      </c>
      <c r="K1066" s="3">
        <f t="shared" si="32"/>
        <v>0</v>
      </c>
      <c r="L1066" s="3">
        <f>IF(ISERROR(VLOOKUP(J1066,Lookups!$A$2:$A$16,1,FALSE)),1,0)</f>
        <v>1</v>
      </c>
      <c r="M1066" s="3">
        <f>IF(ISERROR(VLOOKUP(D1066,Data!$A$2:$D$223100,2,FALSE)),0,1)</f>
        <v>0</v>
      </c>
      <c r="N1066" s="3">
        <f t="shared" si="33"/>
        <v>0</v>
      </c>
      <c r="O1066" s="3" t="str">
        <f>IF(ISERROR(VLOOKUP(D1066,Data!$A$2:$C$223100,3,FALSE)),"INACTIVE",VLOOKUP(D1066,Data!$A$2:$C$223100,3,FALSE))</f>
        <v>INACTIVE</v>
      </c>
    </row>
    <row r="1067" spans="1:15" x14ac:dyDescent="0.25">
      <c r="A1067" t="s">
        <v>7296</v>
      </c>
      <c r="B1067" t="s">
        <v>7297</v>
      </c>
      <c r="C1067" t="s">
        <v>7298</v>
      </c>
      <c r="D1067" t="s">
        <v>7299</v>
      </c>
      <c r="E1067" t="s">
        <v>7300</v>
      </c>
      <c r="F1067" t="s">
        <v>5</v>
      </c>
      <c r="G1067" t="s">
        <v>5</v>
      </c>
      <c r="H1067" t="s">
        <v>5</v>
      </c>
      <c r="I1067" t="s">
        <v>7301</v>
      </c>
      <c r="J1067" t="s">
        <v>96</v>
      </c>
      <c r="K1067" s="3">
        <f t="shared" si="32"/>
        <v>0</v>
      </c>
      <c r="L1067" s="3">
        <f>IF(ISERROR(VLOOKUP(J1067,Lookups!$A$2:$A$16,1,FALSE)),1,0)</f>
        <v>0</v>
      </c>
      <c r="M1067" s="3">
        <f>IF(ISERROR(VLOOKUP(D1067,Data!$A$2:$D$223100,2,FALSE)),0,1)</f>
        <v>1</v>
      </c>
      <c r="N1067" s="3">
        <f t="shared" si="33"/>
        <v>0</v>
      </c>
      <c r="O1067" s="3" t="str">
        <f>IF(ISERROR(VLOOKUP(D1067,Data!$A$2:$C$223100,3,FALSE)),"INACTIVE",VLOOKUP(D1067,Data!$A$2:$C$223100,3,FALSE))</f>
        <v>60+</v>
      </c>
    </row>
    <row r="1068" spans="1:15" x14ac:dyDescent="0.25">
      <c r="A1068" t="s">
        <v>7296</v>
      </c>
      <c r="B1068" t="s">
        <v>7297</v>
      </c>
      <c r="C1068" t="s">
        <v>7298</v>
      </c>
      <c r="D1068" t="s">
        <v>7299</v>
      </c>
      <c r="E1068" t="s">
        <v>7302</v>
      </c>
      <c r="F1068" t="s">
        <v>5</v>
      </c>
      <c r="G1068" t="s">
        <v>5</v>
      </c>
      <c r="H1068" t="s">
        <v>5</v>
      </c>
      <c r="I1068" t="s">
        <v>7301</v>
      </c>
      <c r="J1068" t="s">
        <v>96</v>
      </c>
      <c r="K1068" s="3">
        <f t="shared" si="32"/>
        <v>0</v>
      </c>
      <c r="L1068" s="3">
        <f>IF(ISERROR(VLOOKUP(J1068,Lookups!$A$2:$A$16,1,FALSE)),1,0)</f>
        <v>0</v>
      </c>
      <c r="M1068" s="3">
        <f>IF(ISERROR(VLOOKUP(D1068,Data!$A$2:$D$223100,2,FALSE)),0,1)</f>
        <v>1</v>
      </c>
      <c r="N1068" s="3">
        <f t="shared" si="33"/>
        <v>0</v>
      </c>
      <c r="O1068" s="3" t="str">
        <f>IF(ISERROR(VLOOKUP(D1068,Data!$A$2:$C$223100,3,FALSE)),"INACTIVE",VLOOKUP(D1068,Data!$A$2:$C$223100,3,FALSE))</f>
        <v>60+</v>
      </c>
    </row>
    <row r="1069" spans="1:15" x14ac:dyDescent="0.25">
      <c r="A1069" t="s">
        <v>7296</v>
      </c>
      <c r="B1069" t="s">
        <v>7297</v>
      </c>
      <c r="C1069" t="s">
        <v>7298</v>
      </c>
      <c r="D1069" t="s">
        <v>7299</v>
      </c>
      <c r="E1069" t="s">
        <v>7303</v>
      </c>
      <c r="F1069" t="s">
        <v>5</v>
      </c>
      <c r="G1069" t="s">
        <v>5</v>
      </c>
      <c r="H1069" t="s">
        <v>5</v>
      </c>
      <c r="I1069" t="s">
        <v>7301</v>
      </c>
      <c r="J1069" t="s">
        <v>96</v>
      </c>
      <c r="K1069" s="3">
        <f t="shared" si="32"/>
        <v>0</v>
      </c>
      <c r="L1069" s="3">
        <f>IF(ISERROR(VLOOKUP(J1069,Lookups!$A$2:$A$16,1,FALSE)),1,0)</f>
        <v>0</v>
      </c>
      <c r="M1069" s="3">
        <f>IF(ISERROR(VLOOKUP(D1069,Data!$A$2:$D$223100,2,FALSE)),0,1)</f>
        <v>1</v>
      </c>
      <c r="N1069" s="3">
        <f t="shared" si="33"/>
        <v>0</v>
      </c>
      <c r="O1069" s="3" t="str">
        <f>IF(ISERROR(VLOOKUP(D1069,Data!$A$2:$C$223100,3,FALSE)),"INACTIVE",VLOOKUP(D1069,Data!$A$2:$C$223100,3,FALSE))</f>
        <v>60+</v>
      </c>
    </row>
    <row r="1070" spans="1:15" x14ac:dyDescent="0.25">
      <c r="A1070" t="s">
        <v>7364</v>
      </c>
      <c r="B1070" t="s">
        <v>7365</v>
      </c>
      <c r="C1070" t="s">
        <v>7366</v>
      </c>
      <c r="D1070" t="s">
        <v>7367</v>
      </c>
      <c r="E1070" t="s">
        <v>7368</v>
      </c>
      <c r="F1070" t="s">
        <v>5</v>
      </c>
      <c r="G1070" t="s">
        <v>5</v>
      </c>
      <c r="H1070" t="s">
        <v>5</v>
      </c>
      <c r="I1070" t="s">
        <v>7301</v>
      </c>
      <c r="J1070" t="s">
        <v>90</v>
      </c>
      <c r="K1070" s="3">
        <f t="shared" si="32"/>
        <v>0</v>
      </c>
      <c r="L1070" s="3">
        <f>IF(ISERROR(VLOOKUP(J1070,Lookups!$A$2:$A$16,1,FALSE)),1,0)</f>
        <v>0</v>
      </c>
      <c r="M1070" s="3">
        <f>IF(ISERROR(VLOOKUP(D1070,Data!$A$2:$D$223100,2,FALSE)),0,1)</f>
        <v>1</v>
      </c>
      <c r="N1070" s="3">
        <f t="shared" si="33"/>
        <v>0</v>
      </c>
      <c r="O1070" s="3" t="str">
        <f>IF(ISERROR(VLOOKUP(D1070,Data!$A$2:$C$223100,3,FALSE)),"INACTIVE",VLOOKUP(D1070,Data!$A$2:$C$223100,3,FALSE))</f>
        <v>FC</v>
      </c>
    </row>
    <row r="1071" spans="1:15" x14ac:dyDescent="0.25">
      <c r="A1071" t="s">
        <v>7364</v>
      </c>
      <c r="B1071" t="s">
        <v>7365</v>
      </c>
      <c r="C1071" t="s">
        <v>7366</v>
      </c>
      <c r="D1071" t="s">
        <v>7367</v>
      </c>
      <c r="E1071" t="s">
        <v>7369</v>
      </c>
      <c r="F1071" t="s">
        <v>5</v>
      </c>
      <c r="G1071" t="s">
        <v>5</v>
      </c>
      <c r="H1071" t="s">
        <v>5</v>
      </c>
      <c r="I1071" t="s">
        <v>7301</v>
      </c>
      <c r="J1071" t="s">
        <v>90</v>
      </c>
      <c r="K1071" s="3">
        <f t="shared" si="32"/>
        <v>0</v>
      </c>
      <c r="L1071" s="3">
        <f>IF(ISERROR(VLOOKUP(J1071,Lookups!$A$2:$A$16,1,FALSE)),1,0)</f>
        <v>0</v>
      </c>
      <c r="M1071" s="3">
        <f>IF(ISERROR(VLOOKUP(D1071,Data!$A$2:$D$223100,2,FALSE)),0,1)</f>
        <v>1</v>
      </c>
      <c r="N1071" s="3">
        <f t="shared" si="33"/>
        <v>0</v>
      </c>
      <c r="O1071" s="3" t="str">
        <f>IF(ISERROR(VLOOKUP(D1071,Data!$A$2:$C$223100,3,FALSE)),"INACTIVE",VLOOKUP(D1071,Data!$A$2:$C$223100,3,FALSE))</f>
        <v>FC</v>
      </c>
    </row>
    <row r="1072" spans="1:15" x14ac:dyDescent="0.25">
      <c r="A1072" t="s">
        <v>7417</v>
      </c>
      <c r="B1072" t="s">
        <v>7418</v>
      </c>
      <c r="C1072" t="s">
        <v>7419</v>
      </c>
      <c r="D1072" t="s">
        <v>7420</v>
      </c>
      <c r="E1072" t="s">
        <v>7421</v>
      </c>
      <c r="F1072" t="s">
        <v>5</v>
      </c>
      <c r="G1072" t="s">
        <v>5</v>
      </c>
      <c r="H1072" t="s">
        <v>5</v>
      </c>
      <c r="I1072" t="s">
        <v>7301</v>
      </c>
      <c r="J1072" t="s">
        <v>96</v>
      </c>
      <c r="K1072" s="3">
        <f t="shared" si="32"/>
        <v>0</v>
      </c>
      <c r="L1072" s="3">
        <f>IF(ISERROR(VLOOKUP(J1072,Lookups!$A$2:$A$16,1,FALSE)),1,0)</f>
        <v>0</v>
      </c>
      <c r="M1072" s="3">
        <f>IF(ISERROR(VLOOKUP(D1072,Data!$A$2:$D$223100,2,FALSE)),0,1)</f>
        <v>1</v>
      </c>
      <c r="N1072" s="3">
        <f t="shared" si="33"/>
        <v>0</v>
      </c>
      <c r="O1072" s="3" t="str">
        <f>IF(ISERROR(VLOOKUP(D1072,Data!$A$2:$C$223100,3,FALSE)),"INACTIVE",VLOOKUP(D1072,Data!$A$2:$C$223100,3,FALSE))</f>
        <v>30+</v>
      </c>
    </row>
    <row r="1073" spans="1:15" x14ac:dyDescent="0.25">
      <c r="A1073" t="s">
        <v>7417</v>
      </c>
      <c r="B1073" t="s">
        <v>7418</v>
      </c>
      <c r="C1073" t="s">
        <v>7422</v>
      </c>
      <c r="D1073" t="s">
        <v>7423</v>
      </c>
      <c r="E1073" t="s">
        <v>7424</v>
      </c>
      <c r="F1073" t="s">
        <v>5</v>
      </c>
      <c r="G1073" t="s">
        <v>5</v>
      </c>
      <c r="H1073" t="s">
        <v>5</v>
      </c>
      <c r="I1073" t="s">
        <v>7301</v>
      </c>
      <c r="J1073" t="s">
        <v>96</v>
      </c>
      <c r="K1073" s="3">
        <f t="shared" si="32"/>
        <v>0</v>
      </c>
      <c r="L1073" s="3">
        <f>IF(ISERROR(VLOOKUP(J1073,Lookups!$A$2:$A$16,1,FALSE)),1,0)</f>
        <v>0</v>
      </c>
      <c r="M1073" s="3">
        <f>IF(ISERROR(VLOOKUP(D1073,Data!$A$2:$D$223100,2,FALSE)),0,1)</f>
        <v>1</v>
      </c>
      <c r="N1073" s="3">
        <f t="shared" si="33"/>
        <v>0</v>
      </c>
      <c r="O1073" s="3" t="str">
        <f>IF(ISERROR(VLOOKUP(D1073,Data!$A$2:$C$223100,3,FALSE)),"INACTIVE",VLOOKUP(D1073,Data!$A$2:$C$223100,3,FALSE))</f>
        <v>FBA</v>
      </c>
    </row>
    <row r="1074" spans="1:15" x14ac:dyDescent="0.25">
      <c r="A1074" t="s">
        <v>7417</v>
      </c>
      <c r="B1074" t="s">
        <v>7418</v>
      </c>
      <c r="C1074" t="s">
        <v>7422</v>
      </c>
      <c r="D1074" t="s">
        <v>7423</v>
      </c>
      <c r="E1074" t="s">
        <v>7425</v>
      </c>
      <c r="F1074" t="s">
        <v>5</v>
      </c>
      <c r="G1074" t="s">
        <v>5</v>
      </c>
      <c r="H1074" t="s">
        <v>5</v>
      </c>
      <c r="I1074" t="s">
        <v>7301</v>
      </c>
      <c r="J1074" t="s">
        <v>96</v>
      </c>
      <c r="K1074" s="3">
        <f t="shared" si="32"/>
        <v>0</v>
      </c>
      <c r="L1074" s="3">
        <f>IF(ISERROR(VLOOKUP(J1074,Lookups!$A$2:$A$16,1,FALSE)),1,0)</f>
        <v>0</v>
      </c>
      <c r="M1074" s="3">
        <f>IF(ISERROR(VLOOKUP(D1074,Data!$A$2:$D$223100,2,FALSE)),0,1)</f>
        <v>1</v>
      </c>
      <c r="N1074" s="3">
        <f t="shared" si="33"/>
        <v>0</v>
      </c>
      <c r="O1074" s="3" t="str">
        <f>IF(ISERROR(VLOOKUP(D1074,Data!$A$2:$C$223100,3,FALSE)),"INACTIVE",VLOOKUP(D1074,Data!$A$2:$C$223100,3,FALSE))</f>
        <v>FBA</v>
      </c>
    </row>
    <row r="1075" spans="1:15" x14ac:dyDescent="0.25">
      <c r="A1075" t="s">
        <v>7417</v>
      </c>
      <c r="B1075" t="s">
        <v>7418</v>
      </c>
      <c r="C1075" t="s">
        <v>7426</v>
      </c>
      <c r="D1075" t="s">
        <v>7427</v>
      </c>
      <c r="E1075" t="s">
        <v>7428</v>
      </c>
      <c r="F1075" t="s">
        <v>5</v>
      </c>
      <c r="G1075" t="s">
        <v>5</v>
      </c>
      <c r="H1075" t="s">
        <v>5</v>
      </c>
      <c r="I1075" t="s">
        <v>7301</v>
      </c>
      <c r="J1075" t="s">
        <v>96</v>
      </c>
      <c r="K1075" s="3">
        <f t="shared" si="32"/>
        <v>0</v>
      </c>
      <c r="L1075" s="3">
        <f>IF(ISERROR(VLOOKUP(J1075,Lookups!$A$2:$A$16,1,FALSE)),1,0)</f>
        <v>0</v>
      </c>
      <c r="M1075" s="3">
        <f>IF(ISERROR(VLOOKUP(D1075,Data!$A$2:$D$223100,2,FALSE)),0,1)</f>
        <v>1</v>
      </c>
      <c r="N1075" s="3">
        <f t="shared" si="33"/>
        <v>0</v>
      </c>
      <c r="O1075" s="3" t="str">
        <f>IF(ISERROR(VLOOKUP(D1075,Data!$A$2:$C$223100,3,FALSE)),"INACTIVE",VLOOKUP(D1075,Data!$A$2:$C$223100,3,FALSE))</f>
        <v>Demand Letter</v>
      </c>
    </row>
    <row r="1076" spans="1:15" x14ac:dyDescent="0.25">
      <c r="A1076" t="s">
        <v>7417</v>
      </c>
      <c r="B1076" t="s">
        <v>7418</v>
      </c>
      <c r="C1076" t="s">
        <v>7429</v>
      </c>
      <c r="D1076" t="s">
        <v>7430</v>
      </c>
      <c r="E1076" t="s">
        <v>7431</v>
      </c>
      <c r="F1076" t="s">
        <v>5</v>
      </c>
      <c r="G1076" t="s">
        <v>5</v>
      </c>
      <c r="H1076" t="s">
        <v>5</v>
      </c>
      <c r="I1076" t="s">
        <v>7301</v>
      </c>
      <c r="J1076" t="s">
        <v>96</v>
      </c>
      <c r="K1076" s="3">
        <f t="shared" si="32"/>
        <v>0</v>
      </c>
      <c r="L1076" s="3">
        <f>IF(ISERROR(VLOOKUP(J1076,Lookups!$A$2:$A$16,1,FALSE)),1,0)</f>
        <v>0</v>
      </c>
      <c r="M1076" s="3">
        <f>IF(ISERROR(VLOOKUP(D1076,Data!$A$2:$D$223100,2,FALSE)),0,1)</f>
        <v>1</v>
      </c>
      <c r="N1076" s="3">
        <f t="shared" si="33"/>
        <v>0</v>
      </c>
      <c r="O1076" s="3" t="str">
        <f>IF(ISERROR(VLOOKUP(D1076,Data!$A$2:$C$223100,3,FALSE)),"INACTIVE",VLOOKUP(D1076,Data!$A$2:$C$223100,3,FALSE))</f>
        <v>FBA</v>
      </c>
    </row>
    <row r="1077" spans="1:15" x14ac:dyDescent="0.25">
      <c r="A1077" t="s">
        <v>7417</v>
      </c>
      <c r="B1077" t="s">
        <v>7418</v>
      </c>
      <c r="C1077" t="s">
        <v>7432</v>
      </c>
      <c r="D1077" t="s">
        <v>7433</v>
      </c>
      <c r="E1077" t="s">
        <v>7434</v>
      </c>
      <c r="F1077" t="s">
        <v>5</v>
      </c>
      <c r="G1077" t="s">
        <v>5</v>
      </c>
      <c r="H1077" t="s">
        <v>5</v>
      </c>
      <c r="I1077" t="s">
        <v>7301</v>
      </c>
      <c r="J1077" t="s">
        <v>96</v>
      </c>
      <c r="K1077" s="3">
        <f t="shared" si="32"/>
        <v>0</v>
      </c>
      <c r="L1077" s="3">
        <f>IF(ISERROR(VLOOKUP(J1077,Lookups!$A$2:$A$16,1,FALSE)),1,0)</f>
        <v>0</v>
      </c>
      <c r="M1077" s="3">
        <f>IF(ISERROR(VLOOKUP(D1077,Data!$A$2:$D$223100,2,FALSE)),0,1)</f>
        <v>1</v>
      </c>
      <c r="N1077" s="3">
        <f t="shared" si="33"/>
        <v>0</v>
      </c>
      <c r="O1077" s="3" t="str">
        <f>IF(ISERROR(VLOOKUP(D1077,Data!$A$2:$C$223100,3,FALSE)),"INACTIVE",VLOOKUP(D1077,Data!$A$2:$C$223100,3,FALSE))</f>
        <v>FC</v>
      </c>
    </row>
    <row r="1078" spans="1:15" x14ac:dyDescent="0.25">
      <c r="A1078" t="s">
        <v>7439</v>
      </c>
      <c r="B1078" t="s">
        <v>7440</v>
      </c>
      <c r="C1078" t="s">
        <v>7441</v>
      </c>
      <c r="D1078" t="s">
        <v>7442</v>
      </c>
      <c r="E1078" t="s">
        <v>5</v>
      </c>
      <c r="F1078" t="s">
        <v>5</v>
      </c>
      <c r="G1078" t="s">
        <v>5</v>
      </c>
      <c r="H1078" t="s">
        <v>7120</v>
      </c>
      <c r="I1078" t="s">
        <v>7301</v>
      </c>
      <c r="J1078" t="s">
        <v>96</v>
      </c>
      <c r="K1078" s="3">
        <f t="shared" si="32"/>
        <v>0</v>
      </c>
      <c r="L1078" s="3">
        <f>IF(ISERROR(VLOOKUP(J1078,Lookups!$A$2:$A$16,1,FALSE)),1,0)</f>
        <v>0</v>
      </c>
      <c r="M1078" s="3">
        <f>IF(ISERROR(VLOOKUP(D1078,Data!$A$2:$D$223100,2,FALSE)),0,1)</f>
        <v>1</v>
      </c>
      <c r="N1078" s="3">
        <f t="shared" si="33"/>
        <v>0</v>
      </c>
      <c r="O1078" s="3" t="str">
        <f>IF(ISERROR(VLOOKUP(D1078,Data!$A$2:$C$223100,3,FALSE)),"INACTIVE",VLOOKUP(D1078,Data!$A$2:$C$223100,3,FALSE))</f>
        <v>FC</v>
      </c>
    </row>
    <row r="1079" spans="1:15" x14ac:dyDescent="0.25">
      <c r="A1079" t="s">
        <v>7439</v>
      </c>
      <c r="B1079" t="s">
        <v>7440</v>
      </c>
      <c r="C1079" t="s">
        <v>7443</v>
      </c>
      <c r="D1079" t="s">
        <v>7444</v>
      </c>
      <c r="E1079" t="s">
        <v>5</v>
      </c>
      <c r="F1079" t="s">
        <v>5</v>
      </c>
      <c r="G1079" t="s">
        <v>5</v>
      </c>
      <c r="H1079" t="s">
        <v>7120</v>
      </c>
      <c r="I1079" t="s">
        <v>7301</v>
      </c>
      <c r="J1079" t="s">
        <v>96</v>
      </c>
      <c r="K1079" s="3">
        <f t="shared" si="32"/>
        <v>0</v>
      </c>
      <c r="L1079" s="3">
        <f>IF(ISERROR(VLOOKUP(J1079,Lookups!$A$2:$A$16,1,FALSE)),1,0)</f>
        <v>0</v>
      </c>
      <c r="M1079" s="3">
        <f>IF(ISERROR(VLOOKUP(D1079,Data!$A$2:$D$223100,2,FALSE)),0,1)</f>
        <v>1</v>
      </c>
      <c r="N1079" s="3">
        <f t="shared" si="33"/>
        <v>0</v>
      </c>
      <c r="O1079" s="3" t="str">
        <f>IF(ISERROR(VLOOKUP(D1079,Data!$A$2:$C$223100,3,FALSE)),"INACTIVE",VLOOKUP(D1079,Data!$A$2:$C$223100,3,FALSE))</f>
        <v>FBA</v>
      </c>
    </row>
    <row r="1080" spans="1:15" x14ac:dyDescent="0.25">
      <c r="A1080" t="s">
        <v>7439</v>
      </c>
      <c r="B1080" t="s">
        <v>7440</v>
      </c>
      <c r="C1080" t="s">
        <v>7445</v>
      </c>
      <c r="D1080" t="s">
        <v>7446</v>
      </c>
      <c r="E1080" t="s">
        <v>5</v>
      </c>
      <c r="F1080" t="s">
        <v>5</v>
      </c>
      <c r="G1080" t="s">
        <v>7447</v>
      </c>
      <c r="H1080" t="s">
        <v>7448</v>
      </c>
      <c r="I1080" t="s">
        <v>7301</v>
      </c>
      <c r="J1080" t="s">
        <v>7</v>
      </c>
      <c r="K1080" s="3">
        <f t="shared" si="32"/>
        <v>0</v>
      </c>
      <c r="L1080" s="3">
        <f>IF(ISERROR(VLOOKUP(J1080,Lookups!$A$2:$A$16,1,FALSE)),1,0)</f>
        <v>1</v>
      </c>
      <c r="M1080" s="3">
        <f>IF(ISERROR(VLOOKUP(D1080,Data!$A$2:$D$223100,2,FALSE)),0,1)</f>
        <v>1</v>
      </c>
      <c r="N1080" s="3">
        <f t="shared" si="33"/>
        <v>1</v>
      </c>
      <c r="O1080" s="3" t="str">
        <f>IF(ISERROR(VLOOKUP(D1080,Data!$A$2:$C$223100,3,FALSE)),"INACTIVE",VLOOKUP(D1080,Data!$A$2:$C$223100,3,FALSE))</f>
        <v>30+</v>
      </c>
    </row>
    <row r="1081" spans="1:15" x14ac:dyDescent="0.25">
      <c r="A1081" t="s">
        <v>7439</v>
      </c>
      <c r="B1081" t="s">
        <v>7440</v>
      </c>
      <c r="C1081" t="s">
        <v>7449</v>
      </c>
      <c r="D1081" t="s">
        <v>7450</v>
      </c>
      <c r="E1081" t="s">
        <v>5</v>
      </c>
      <c r="F1081" t="s">
        <v>5</v>
      </c>
      <c r="G1081" t="s">
        <v>5</v>
      </c>
      <c r="H1081" t="s">
        <v>7120</v>
      </c>
      <c r="I1081" t="s">
        <v>7301</v>
      </c>
      <c r="J1081" t="s">
        <v>96</v>
      </c>
      <c r="K1081" s="3">
        <f t="shared" si="32"/>
        <v>0</v>
      </c>
      <c r="L1081" s="3">
        <f>IF(ISERROR(VLOOKUP(J1081,Lookups!$A$2:$A$16,1,FALSE)),1,0)</f>
        <v>0</v>
      </c>
      <c r="M1081" s="3">
        <f>IF(ISERROR(VLOOKUP(D1081,Data!$A$2:$D$223100,2,FALSE)),0,1)</f>
        <v>1</v>
      </c>
      <c r="N1081" s="3">
        <f t="shared" si="33"/>
        <v>0</v>
      </c>
      <c r="O1081" s="3" t="str">
        <f>IF(ISERROR(VLOOKUP(D1081,Data!$A$2:$C$223100,3,FALSE)),"INACTIVE",VLOOKUP(D1081,Data!$A$2:$C$223100,3,FALSE))</f>
        <v>FC</v>
      </c>
    </row>
    <row r="1082" spans="1:15" x14ac:dyDescent="0.25">
      <c r="A1082" t="s">
        <v>7485</v>
      </c>
      <c r="B1082" t="s">
        <v>7486</v>
      </c>
      <c r="C1082" t="s">
        <v>7487</v>
      </c>
      <c r="D1082" t="s">
        <v>7488</v>
      </c>
      <c r="E1082" t="s">
        <v>5</v>
      </c>
      <c r="F1082" t="s">
        <v>5</v>
      </c>
      <c r="G1082" t="s">
        <v>7489</v>
      </c>
      <c r="H1082" t="s">
        <v>7490</v>
      </c>
      <c r="I1082" t="s">
        <v>7301</v>
      </c>
      <c r="J1082" t="s">
        <v>7</v>
      </c>
      <c r="K1082" s="3">
        <f t="shared" si="32"/>
        <v>0</v>
      </c>
      <c r="L1082" s="3">
        <f>IF(ISERROR(VLOOKUP(J1082,Lookups!$A$2:$A$16,1,FALSE)),1,0)</f>
        <v>1</v>
      </c>
      <c r="M1082" s="3">
        <f>IF(ISERROR(VLOOKUP(D1082,Data!$A$2:$D$223100,2,FALSE)),0,1)</f>
        <v>0</v>
      </c>
      <c r="N1082" s="3">
        <f t="shared" si="33"/>
        <v>0</v>
      </c>
      <c r="O1082" s="3" t="str">
        <f>IF(ISERROR(VLOOKUP(D1082,Data!$A$2:$C$223100,3,FALSE)),"INACTIVE",VLOOKUP(D1082,Data!$A$2:$C$223100,3,FALSE))</f>
        <v>INACTIVE</v>
      </c>
    </row>
    <row r="1083" spans="1:15" x14ac:dyDescent="0.25">
      <c r="A1083" t="s">
        <v>7507</v>
      </c>
      <c r="B1083" t="s">
        <v>7508</v>
      </c>
      <c r="C1083" t="s">
        <v>7509</v>
      </c>
      <c r="D1083" t="s">
        <v>7510</v>
      </c>
      <c r="E1083" t="s">
        <v>5</v>
      </c>
      <c r="F1083" t="s">
        <v>5</v>
      </c>
      <c r="G1083" t="s">
        <v>5</v>
      </c>
      <c r="H1083" t="s">
        <v>7120</v>
      </c>
      <c r="I1083" t="s">
        <v>7301</v>
      </c>
      <c r="J1083" t="s">
        <v>96</v>
      </c>
      <c r="K1083" s="3">
        <f t="shared" si="32"/>
        <v>0</v>
      </c>
      <c r="L1083" s="3">
        <f>IF(ISERROR(VLOOKUP(J1083,Lookups!$A$2:$A$16,1,FALSE)),1,0)</f>
        <v>0</v>
      </c>
      <c r="M1083" s="3">
        <f>IF(ISERROR(VLOOKUP(D1083,Data!$A$2:$D$223100,2,FALSE)),0,1)</f>
        <v>1</v>
      </c>
      <c r="N1083" s="3">
        <f t="shared" si="33"/>
        <v>0</v>
      </c>
      <c r="O1083" s="3" t="str">
        <f>IF(ISERROR(VLOOKUP(D1083,Data!$A$2:$C$223100,3,FALSE)),"INACTIVE",VLOOKUP(D1083,Data!$A$2:$C$223100,3,FALSE))</f>
        <v>60+</v>
      </c>
    </row>
    <row r="1084" spans="1:15" x14ac:dyDescent="0.25">
      <c r="A1084" t="s">
        <v>7398</v>
      </c>
      <c r="B1084" t="s">
        <v>7399</v>
      </c>
      <c r="C1084" t="s">
        <v>7400</v>
      </c>
      <c r="D1084" t="s">
        <v>7401</v>
      </c>
      <c r="E1084" t="s">
        <v>5</v>
      </c>
      <c r="F1084" t="s">
        <v>5</v>
      </c>
      <c r="G1084" t="s">
        <v>5</v>
      </c>
      <c r="H1084" t="s">
        <v>7120</v>
      </c>
      <c r="I1084" t="s">
        <v>7402</v>
      </c>
      <c r="J1084" t="s">
        <v>96</v>
      </c>
      <c r="K1084" s="3">
        <f t="shared" si="32"/>
        <v>0</v>
      </c>
      <c r="L1084" s="3">
        <f>IF(ISERROR(VLOOKUP(J1084,Lookups!$A$2:$A$16,1,FALSE)),1,0)</f>
        <v>0</v>
      </c>
      <c r="M1084" s="3">
        <f>IF(ISERROR(VLOOKUP(D1084,Data!$A$2:$D$223100,2,FALSE)),0,1)</f>
        <v>0</v>
      </c>
      <c r="N1084" s="3">
        <f t="shared" si="33"/>
        <v>0</v>
      </c>
      <c r="O1084" s="3" t="str">
        <f>IF(ISERROR(VLOOKUP(D1084,Data!$A$2:$C$223100,3,FALSE)),"INACTIVE",VLOOKUP(D1084,Data!$A$2:$C$223100,3,FALSE))</f>
        <v>INACTIVE</v>
      </c>
    </row>
    <row r="1085" spans="1:15" x14ac:dyDescent="0.25">
      <c r="A1085" t="s">
        <v>7398</v>
      </c>
      <c r="B1085" t="s">
        <v>7399</v>
      </c>
      <c r="C1085" t="s">
        <v>7403</v>
      </c>
      <c r="D1085" t="s">
        <v>7404</v>
      </c>
      <c r="E1085" t="s">
        <v>5</v>
      </c>
      <c r="F1085" t="s">
        <v>5</v>
      </c>
      <c r="G1085" t="s">
        <v>5</v>
      </c>
      <c r="H1085" t="s">
        <v>7405</v>
      </c>
      <c r="I1085" t="s">
        <v>7402</v>
      </c>
      <c r="J1085" t="s">
        <v>7</v>
      </c>
      <c r="K1085" s="3">
        <f t="shared" si="32"/>
        <v>0</v>
      </c>
      <c r="L1085" s="3">
        <f>IF(ISERROR(VLOOKUP(J1085,Lookups!$A$2:$A$16,1,FALSE)),1,0)</f>
        <v>1</v>
      </c>
      <c r="M1085" s="3">
        <f>IF(ISERROR(VLOOKUP(D1085,Data!$A$2:$D$223100,2,FALSE)),0,1)</f>
        <v>1</v>
      </c>
      <c r="N1085" s="3">
        <f t="shared" si="33"/>
        <v>1</v>
      </c>
      <c r="O1085" s="3" t="str">
        <f>IF(ISERROR(VLOOKUP(D1085,Data!$A$2:$C$223100,3,FALSE)),"INACTIVE",VLOOKUP(D1085,Data!$A$2:$C$223100,3,FALSE))</f>
        <v>Current</v>
      </c>
    </row>
    <row r="1086" spans="1:15" x14ac:dyDescent="0.25">
      <c r="A1086" t="s">
        <v>7398</v>
      </c>
      <c r="B1086" t="s">
        <v>7399</v>
      </c>
      <c r="C1086" t="s">
        <v>7406</v>
      </c>
      <c r="D1086" t="s">
        <v>7407</v>
      </c>
      <c r="E1086" t="s">
        <v>5</v>
      </c>
      <c r="F1086" t="s">
        <v>5</v>
      </c>
      <c r="G1086" t="s">
        <v>5</v>
      </c>
      <c r="H1086" t="s">
        <v>7120</v>
      </c>
      <c r="I1086" t="s">
        <v>7402</v>
      </c>
      <c r="J1086" t="s">
        <v>96</v>
      </c>
      <c r="K1086" s="3">
        <f t="shared" si="32"/>
        <v>0</v>
      </c>
      <c r="L1086" s="3">
        <f>IF(ISERROR(VLOOKUP(J1086,Lookups!$A$2:$A$16,1,FALSE)),1,0)</f>
        <v>0</v>
      </c>
      <c r="M1086" s="3">
        <f>IF(ISERROR(VLOOKUP(D1086,Data!$A$2:$D$223100,2,FALSE)),0,1)</f>
        <v>0</v>
      </c>
      <c r="N1086" s="3">
        <f t="shared" si="33"/>
        <v>0</v>
      </c>
      <c r="O1086" s="3" t="str">
        <f>IF(ISERROR(VLOOKUP(D1086,Data!$A$2:$C$223100,3,FALSE)),"INACTIVE",VLOOKUP(D1086,Data!$A$2:$C$223100,3,FALSE))</f>
        <v>INACTIVE</v>
      </c>
    </row>
    <row r="1087" spans="1:15" x14ac:dyDescent="0.25">
      <c r="A1087" t="s">
        <v>7398</v>
      </c>
      <c r="B1087" t="s">
        <v>7399</v>
      </c>
      <c r="C1087" t="s">
        <v>7408</v>
      </c>
      <c r="D1087" t="s">
        <v>7409</v>
      </c>
      <c r="E1087" t="s">
        <v>5</v>
      </c>
      <c r="F1087" t="s">
        <v>5</v>
      </c>
      <c r="G1087" t="s">
        <v>5</v>
      </c>
      <c r="H1087" t="s">
        <v>7410</v>
      </c>
      <c r="I1087" t="s">
        <v>7402</v>
      </c>
      <c r="J1087" t="s">
        <v>7</v>
      </c>
      <c r="K1087" s="3">
        <f t="shared" si="32"/>
        <v>0</v>
      </c>
      <c r="L1087" s="3">
        <f>IF(ISERROR(VLOOKUP(J1087,Lookups!$A$2:$A$16,1,FALSE)),1,0)</f>
        <v>1</v>
      </c>
      <c r="M1087" s="3">
        <f>IF(ISERROR(VLOOKUP(D1087,Data!$A$2:$D$223100,2,FALSE)),0,1)</f>
        <v>1</v>
      </c>
      <c r="N1087" s="3">
        <f t="shared" si="33"/>
        <v>1</v>
      </c>
      <c r="O1087" s="3" t="str">
        <f>IF(ISERROR(VLOOKUP(D1087,Data!$A$2:$C$223100,3,FALSE)),"INACTIVE",VLOOKUP(D1087,Data!$A$2:$C$223100,3,FALSE))</f>
        <v>90+</v>
      </c>
    </row>
    <row r="1088" spans="1:15" x14ac:dyDescent="0.25">
      <c r="A1088" t="s">
        <v>7398</v>
      </c>
      <c r="B1088" t="s">
        <v>7399</v>
      </c>
      <c r="C1088" t="s">
        <v>7411</v>
      </c>
      <c r="D1088" t="s">
        <v>7412</v>
      </c>
      <c r="E1088" t="s">
        <v>5</v>
      </c>
      <c r="F1088" t="s">
        <v>5</v>
      </c>
      <c r="G1088" t="s">
        <v>5</v>
      </c>
      <c r="H1088" t="s">
        <v>7120</v>
      </c>
      <c r="I1088" t="s">
        <v>7402</v>
      </c>
      <c r="J1088" t="s">
        <v>96</v>
      </c>
      <c r="K1088" s="3">
        <f t="shared" si="32"/>
        <v>0</v>
      </c>
      <c r="L1088" s="3">
        <f>IF(ISERROR(VLOOKUP(J1088,Lookups!$A$2:$A$16,1,FALSE)),1,0)</f>
        <v>0</v>
      </c>
      <c r="M1088" s="3">
        <f>IF(ISERROR(VLOOKUP(D1088,Data!$A$2:$D$223100,2,FALSE)),0,1)</f>
        <v>1</v>
      </c>
      <c r="N1088" s="3">
        <f t="shared" si="33"/>
        <v>0</v>
      </c>
      <c r="O1088" s="3" t="str">
        <f>IF(ISERROR(VLOOKUP(D1088,Data!$A$2:$C$223100,3,FALSE)),"INACTIVE",VLOOKUP(D1088,Data!$A$2:$C$223100,3,FALSE))</f>
        <v>Current</v>
      </c>
    </row>
    <row r="1089" spans="1:15" x14ac:dyDescent="0.25">
      <c r="A1089" t="s">
        <v>7458</v>
      </c>
      <c r="B1089" t="s">
        <v>7459</v>
      </c>
      <c r="C1089" t="s">
        <v>7460</v>
      </c>
      <c r="D1089" t="s">
        <v>7461</v>
      </c>
      <c r="E1089" t="s">
        <v>5</v>
      </c>
      <c r="F1089" t="s">
        <v>5</v>
      </c>
      <c r="G1089" t="s">
        <v>5</v>
      </c>
      <c r="H1089" t="s">
        <v>7120</v>
      </c>
      <c r="I1089" t="s">
        <v>7462</v>
      </c>
      <c r="J1089" t="s">
        <v>96</v>
      </c>
      <c r="K1089" s="3">
        <f t="shared" si="32"/>
        <v>0</v>
      </c>
      <c r="L1089" s="3">
        <f>IF(ISERROR(VLOOKUP(J1089,Lookups!$A$2:$A$16,1,FALSE)),1,0)</f>
        <v>0</v>
      </c>
      <c r="M1089" s="3">
        <f>IF(ISERROR(VLOOKUP(D1089,Data!$A$2:$D$223100,2,FALSE)),0,1)</f>
        <v>1</v>
      </c>
      <c r="N1089" s="3">
        <f t="shared" si="33"/>
        <v>0</v>
      </c>
      <c r="O1089" s="3" t="str">
        <f>IF(ISERROR(VLOOKUP(D1089,Data!$A$2:$C$223100,3,FALSE)),"INACTIVE",VLOOKUP(D1089,Data!$A$2:$C$223100,3,FALSE))</f>
        <v>FC</v>
      </c>
    </row>
    <row r="1090" spans="1:15" x14ac:dyDescent="0.25">
      <c r="A1090" t="s">
        <v>7481</v>
      </c>
      <c r="B1090" t="s">
        <v>7482</v>
      </c>
      <c r="C1090" t="s">
        <v>7483</v>
      </c>
      <c r="D1090" t="s">
        <v>7484</v>
      </c>
      <c r="E1090" t="s">
        <v>5</v>
      </c>
      <c r="F1090" t="s">
        <v>5</v>
      </c>
      <c r="G1090" t="s">
        <v>5</v>
      </c>
      <c r="H1090" t="s">
        <v>7120</v>
      </c>
      <c r="I1090" t="s">
        <v>7462</v>
      </c>
      <c r="J1090" t="s">
        <v>96</v>
      </c>
      <c r="K1090" s="3">
        <f t="shared" si="32"/>
        <v>0</v>
      </c>
      <c r="L1090" s="3">
        <f>IF(ISERROR(VLOOKUP(J1090,Lookups!$A$2:$A$16,1,FALSE)),1,0)</f>
        <v>0</v>
      </c>
      <c r="M1090" s="3">
        <f>IF(ISERROR(VLOOKUP(D1090,Data!$A$2:$D$223100,2,FALSE)),0,1)</f>
        <v>1</v>
      </c>
      <c r="N1090" s="3">
        <f t="shared" si="33"/>
        <v>0</v>
      </c>
      <c r="O1090" s="3" t="str">
        <f>IF(ISERROR(VLOOKUP(D1090,Data!$A$2:$C$223100,3,FALSE)),"INACTIVE",VLOOKUP(D1090,Data!$A$2:$C$223100,3,FALSE))</f>
        <v>Current</v>
      </c>
    </row>
    <row r="1091" spans="1:15" x14ac:dyDescent="0.25">
      <c r="A1091" t="s">
        <v>7001</v>
      </c>
      <c r="B1091" t="s">
        <v>7002</v>
      </c>
      <c r="C1091" t="s">
        <v>7003</v>
      </c>
      <c r="D1091" t="s">
        <v>7004</v>
      </c>
      <c r="E1091" t="s">
        <v>5</v>
      </c>
      <c r="F1091" t="s">
        <v>7005</v>
      </c>
      <c r="G1091" t="s">
        <v>5</v>
      </c>
      <c r="H1091" t="s">
        <v>5</v>
      </c>
      <c r="I1091" t="s">
        <v>7006</v>
      </c>
      <c r="J1091" t="s">
        <v>96</v>
      </c>
      <c r="K1091" s="3">
        <f t="shared" ref="K1091:K1154" si="34">IF(ISERROR(FIND("LIEN",A1091,1)),0,1)</f>
        <v>0</v>
      </c>
      <c r="L1091" s="3">
        <f>IF(ISERROR(VLOOKUP(J1091,Lookups!$A$2:$A$16,1,FALSE)),1,0)</f>
        <v>0</v>
      </c>
      <c r="M1091" s="3">
        <f>IF(ISERROR(VLOOKUP(D1091,Data!$A$2:$D$223100,2,FALSE)),0,1)</f>
        <v>1</v>
      </c>
      <c r="N1091" s="3">
        <f t="shared" ref="N1091:N1154" si="35">IF(M1091=0,0,IF(SUM(K1091:L1091)&gt;0,1,0))</f>
        <v>0</v>
      </c>
      <c r="O1091" s="3" t="str">
        <f>IF(ISERROR(VLOOKUP(D1091,Data!$A$2:$C$223100,3,FALSE)),"INACTIVE",VLOOKUP(D1091,Data!$A$2:$C$223100,3,FALSE))</f>
        <v>FBA</v>
      </c>
    </row>
    <row r="1092" spans="1:15" x14ac:dyDescent="0.25">
      <c r="A1092" t="s">
        <v>7001</v>
      </c>
      <c r="B1092" t="s">
        <v>7002</v>
      </c>
      <c r="C1092" t="s">
        <v>7007</v>
      </c>
      <c r="D1092" t="s">
        <v>7008</v>
      </c>
      <c r="E1092" t="s">
        <v>7009</v>
      </c>
      <c r="F1092" t="s">
        <v>7009</v>
      </c>
      <c r="G1092" t="s">
        <v>5</v>
      </c>
      <c r="H1092" t="s">
        <v>5</v>
      </c>
      <c r="I1092" t="s">
        <v>7006</v>
      </c>
      <c r="J1092" t="s">
        <v>96</v>
      </c>
      <c r="K1092" s="3">
        <f t="shared" si="34"/>
        <v>0</v>
      </c>
      <c r="L1092" s="3">
        <f>IF(ISERROR(VLOOKUP(J1092,Lookups!$A$2:$A$16,1,FALSE)),1,0)</f>
        <v>0</v>
      </c>
      <c r="M1092" s="3">
        <f>IF(ISERROR(VLOOKUP(D1092,Data!$A$2:$D$223100,2,FALSE)),0,1)</f>
        <v>1</v>
      </c>
      <c r="N1092" s="3">
        <f t="shared" si="35"/>
        <v>0</v>
      </c>
      <c r="O1092" s="3" t="str">
        <f>IF(ISERROR(VLOOKUP(D1092,Data!$A$2:$C$223100,3,FALSE)),"INACTIVE",VLOOKUP(D1092,Data!$A$2:$C$223100,3,FALSE))</f>
        <v>FC</v>
      </c>
    </row>
    <row r="1093" spans="1:15" x14ac:dyDescent="0.25">
      <c r="A1093" t="s">
        <v>7001</v>
      </c>
      <c r="B1093" t="s">
        <v>7002</v>
      </c>
      <c r="C1093" t="s">
        <v>7010</v>
      </c>
      <c r="D1093" t="s">
        <v>7011</v>
      </c>
      <c r="E1093" t="s">
        <v>7012</v>
      </c>
      <c r="F1093" t="s">
        <v>7012</v>
      </c>
      <c r="G1093" t="s">
        <v>5</v>
      </c>
      <c r="H1093" t="s">
        <v>5</v>
      </c>
      <c r="I1093" t="s">
        <v>7006</v>
      </c>
      <c r="J1093" t="s">
        <v>96</v>
      </c>
      <c r="K1093" s="3">
        <f t="shared" si="34"/>
        <v>0</v>
      </c>
      <c r="L1093" s="3">
        <f>IF(ISERROR(VLOOKUP(J1093,Lookups!$A$2:$A$16,1,FALSE)),1,0)</f>
        <v>0</v>
      </c>
      <c r="M1093" s="3">
        <f>IF(ISERROR(VLOOKUP(D1093,Data!$A$2:$D$223100,2,FALSE)),0,1)</f>
        <v>1</v>
      </c>
      <c r="N1093" s="3">
        <f t="shared" si="35"/>
        <v>0</v>
      </c>
      <c r="O1093" s="3" t="str">
        <f>IF(ISERROR(VLOOKUP(D1093,Data!$A$2:$C$223100,3,FALSE)),"INACTIVE",VLOOKUP(D1093,Data!$A$2:$C$223100,3,FALSE))</f>
        <v>FC</v>
      </c>
    </row>
    <row r="1094" spans="1:15" x14ac:dyDescent="0.25">
      <c r="A1094" t="s">
        <v>7001</v>
      </c>
      <c r="B1094" t="s">
        <v>7002</v>
      </c>
      <c r="C1094" t="s">
        <v>7010</v>
      </c>
      <c r="D1094" t="s">
        <v>7011</v>
      </c>
      <c r="E1094" t="s">
        <v>7013</v>
      </c>
      <c r="F1094" t="s">
        <v>7013</v>
      </c>
      <c r="G1094" t="s">
        <v>5</v>
      </c>
      <c r="H1094" t="s">
        <v>5</v>
      </c>
      <c r="I1094" t="s">
        <v>7006</v>
      </c>
      <c r="J1094" t="s">
        <v>96</v>
      </c>
      <c r="K1094" s="3">
        <f t="shared" si="34"/>
        <v>0</v>
      </c>
      <c r="L1094" s="3">
        <f>IF(ISERROR(VLOOKUP(J1094,Lookups!$A$2:$A$16,1,FALSE)),1,0)</f>
        <v>0</v>
      </c>
      <c r="M1094" s="3">
        <f>IF(ISERROR(VLOOKUP(D1094,Data!$A$2:$D$223100,2,FALSE)),0,1)</f>
        <v>1</v>
      </c>
      <c r="N1094" s="3">
        <f t="shared" si="35"/>
        <v>0</v>
      </c>
      <c r="O1094" s="3" t="str">
        <f>IF(ISERROR(VLOOKUP(D1094,Data!$A$2:$C$223100,3,FALSE)),"INACTIVE",VLOOKUP(D1094,Data!$A$2:$C$223100,3,FALSE))</f>
        <v>FC</v>
      </c>
    </row>
    <row r="1095" spans="1:15" x14ac:dyDescent="0.25">
      <c r="A1095" t="s">
        <v>7036</v>
      </c>
      <c r="B1095" t="s">
        <v>7037</v>
      </c>
      <c r="C1095" t="s">
        <v>7038</v>
      </c>
      <c r="D1095" t="s">
        <v>7039</v>
      </c>
      <c r="E1095" t="s">
        <v>7040</v>
      </c>
      <c r="F1095" t="s">
        <v>5</v>
      </c>
      <c r="G1095" t="s">
        <v>5</v>
      </c>
      <c r="H1095" t="s">
        <v>5</v>
      </c>
      <c r="I1095" t="s">
        <v>7006</v>
      </c>
      <c r="J1095" t="s">
        <v>14</v>
      </c>
      <c r="K1095" s="3">
        <f t="shared" si="34"/>
        <v>0</v>
      </c>
      <c r="L1095" s="3">
        <f>IF(ISERROR(VLOOKUP(J1095,Lookups!$A$2:$A$16,1,FALSE)),1,0)</f>
        <v>1</v>
      </c>
      <c r="M1095" s="3">
        <f>IF(ISERROR(VLOOKUP(D1095,Data!$A$2:$D$223100,2,FALSE)),0,1)</f>
        <v>1</v>
      </c>
      <c r="N1095" s="3">
        <f t="shared" si="35"/>
        <v>1</v>
      </c>
      <c r="O1095" s="3" t="str">
        <f>IF(ISERROR(VLOOKUP(D1095,Data!$A$2:$C$223100,3,FALSE)),"INACTIVE",VLOOKUP(D1095,Data!$A$2:$C$223100,3,FALSE))</f>
        <v>FBA</v>
      </c>
    </row>
    <row r="1096" spans="1:15" x14ac:dyDescent="0.25">
      <c r="A1096" t="s">
        <v>7213</v>
      </c>
      <c r="B1096" t="s">
        <v>7214</v>
      </c>
      <c r="C1096" t="s">
        <v>7215</v>
      </c>
      <c r="D1096" t="s">
        <v>7216</v>
      </c>
      <c r="E1096" t="s">
        <v>5</v>
      </c>
      <c r="F1096" t="s">
        <v>5</v>
      </c>
      <c r="G1096" t="s">
        <v>5</v>
      </c>
      <c r="H1096" t="s">
        <v>7120</v>
      </c>
      <c r="I1096" t="s">
        <v>7006</v>
      </c>
      <c r="J1096" t="s">
        <v>7</v>
      </c>
      <c r="K1096" s="3">
        <f t="shared" si="34"/>
        <v>0</v>
      </c>
      <c r="L1096" s="3">
        <f>IF(ISERROR(VLOOKUP(J1096,Lookups!$A$2:$A$16,1,FALSE)),1,0)</f>
        <v>1</v>
      </c>
      <c r="M1096" s="3">
        <f>IF(ISERROR(VLOOKUP(D1096,Data!$A$2:$D$223100,2,FALSE)),0,1)</f>
        <v>1</v>
      </c>
      <c r="N1096" s="3">
        <f t="shared" si="35"/>
        <v>1</v>
      </c>
      <c r="O1096" s="3" t="str">
        <f>IF(ISERROR(VLOOKUP(D1096,Data!$A$2:$C$223100,3,FALSE)),"INACTIVE",VLOOKUP(D1096,Data!$A$2:$C$223100,3,FALSE))</f>
        <v>30+</v>
      </c>
    </row>
    <row r="1097" spans="1:15" x14ac:dyDescent="0.25">
      <c r="A1097" t="s">
        <v>7234</v>
      </c>
      <c r="B1097" t="s">
        <v>7235</v>
      </c>
      <c r="C1097" t="s">
        <v>7236</v>
      </c>
      <c r="D1097" t="s">
        <v>7237</v>
      </c>
      <c r="E1097" t="s">
        <v>5</v>
      </c>
      <c r="F1097" t="s">
        <v>5</v>
      </c>
      <c r="G1097" t="s">
        <v>7238</v>
      </c>
      <c r="H1097" t="s">
        <v>7239</v>
      </c>
      <c r="I1097" t="s">
        <v>7006</v>
      </c>
      <c r="J1097" t="s">
        <v>7</v>
      </c>
      <c r="K1097" s="3">
        <f t="shared" si="34"/>
        <v>0</v>
      </c>
      <c r="L1097" s="3">
        <f>IF(ISERROR(VLOOKUP(J1097,Lookups!$A$2:$A$16,1,FALSE)),1,0)</f>
        <v>1</v>
      </c>
      <c r="M1097" s="3">
        <f>IF(ISERROR(VLOOKUP(D1097,Data!$A$2:$D$223100,2,FALSE)),0,1)</f>
        <v>1</v>
      </c>
      <c r="N1097" s="3">
        <f t="shared" si="35"/>
        <v>1</v>
      </c>
      <c r="O1097" s="3" t="str">
        <f>IF(ISERROR(VLOOKUP(D1097,Data!$A$2:$C$223100,3,FALSE)),"INACTIVE",VLOOKUP(D1097,Data!$A$2:$C$223100,3,FALSE))</f>
        <v>BK7</v>
      </c>
    </row>
    <row r="1098" spans="1:15" x14ac:dyDescent="0.25">
      <c r="A1098" t="s">
        <v>7240</v>
      </c>
      <c r="B1098" t="s">
        <v>7241</v>
      </c>
      <c r="C1098" t="s">
        <v>7242</v>
      </c>
      <c r="D1098" t="s">
        <v>7243</v>
      </c>
      <c r="E1098" t="s">
        <v>5</v>
      </c>
      <c r="F1098" t="s">
        <v>5</v>
      </c>
      <c r="G1098" t="s">
        <v>5</v>
      </c>
      <c r="H1098" t="s">
        <v>7120</v>
      </c>
      <c r="I1098" t="s">
        <v>7006</v>
      </c>
      <c r="J1098" t="s">
        <v>96</v>
      </c>
      <c r="K1098" s="3">
        <f t="shared" si="34"/>
        <v>0</v>
      </c>
      <c r="L1098" s="3">
        <f>IF(ISERROR(VLOOKUP(J1098,Lookups!$A$2:$A$16,1,FALSE)),1,0)</f>
        <v>0</v>
      </c>
      <c r="M1098" s="3">
        <f>IF(ISERROR(VLOOKUP(D1098,Data!$A$2:$D$223100,2,FALSE)),0,1)</f>
        <v>1</v>
      </c>
      <c r="N1098" s="3">
        <f t="shared" si="35"/>
        <v>0</v>
      </c>
      <c r="O1098" s="3" t="str">
        <f>IF(ISERROR(VLOOKUP(D1098,Data!$A$2:$C$223100,3,FALSE)),"INACTIVE",VLOOKUP(D1098,Data!$A$2:$C$223100,3,FALSE))</f>
        <v>Demand Letter</v>
      </c>
    </row>
    <row r="1099" spans="1:15" x14ac:dyDescent="0.25">
      <c r="A1099" t="s">
        <v>7240</v>
      </c>
      <c r="B1099" t="s">
        <v>7241</v>
      </c>
      <c r="C1099" t="s">
        <v>7244</v>
      </c>
      <c r="D1099" t="s">
        <v>7245</v>
      </c>
      <c r="E1099" t="s">
        <v>5</v>
      </c>
      <c r="F1099" t="s">
        <v>5</v>
      </c>
      <c r="G1099" t="s">
        <v>5</v>
      </c>
      <c r="H1099" t="s">
        <v>7120</v>
      </c>
      <c r="I1099" t="s">
        <v>7006</v>
      </c>
      <c r="J1099" t="s">
        <v>96</v>
      </c>
      <c r="K1099" s="3">
        <f t="shared" si="34"/>
        <v>0</v>
      </c>
      <c r="L1099" s="3">
        <f>IF(ISERROR(VLOOKUP(J1099,Lookups!$A$2:$A$16,1,FALSE)),1,0)</f>
        <v>0</v>
      </c>
      <c r="M1099" s="3">
        <f>IF(ISERROR(VLOOKUP(D1099,Data!$A$2:$D$223100,2,FALSE)),0,1)</f>
        <v>1</v>
      </c>
      <c r="N1099" s="3">
        <f t="shared" si="35"/>
        <v>0</v>
      </c>
      <c r="O1099" s="3" t="str">
        <f>IF(ISERROR(VLOOKUP(D1099,Data!$A$2:$C$223100,3,FALSE)),"INACTIVE",VLOOKUP(D1099,Data!$A$2:$C$223100,3,FALSE))</f>
        <v>Current</v>
      </c>
    </row>
    <row r="1100" spans="1:15" x14ac:dyDescent="0.25">
      <c r="A1100" t="s">
        <v>7304</v>
      </c>
      <c r="B1100" t="s">
        <v>7305</v>
      </c>
      <c r="C1100" t="s">
        <v>7306</v>
      </c>
      <c r="D1100" t="s">
        <v>7307</v>
      </c>
      <c r="E1100" t="s">
        <v>7308</v>
      </c>
      <c r="F1100" t="s">
        <v>5</v>
      </c>
      <c r="G1100" t="s">
        <v>5</v>
      </c>
      <c r="H1100" t="s">
        <v>5</v>
      </c>
      <c r="I1100" t="s">
        <v>7006</v>
      </c>
      <c r="J1100" t="s">
        <v>14</v>
      </c>
      <c r="K1100" s="3">
        <f t="shared" si="34"/>
        <v>0</v>
      </c>
      <c r="L1100" s="3">
        <f>IF(ISERROR(VLOOKUP(J1100,Lookups!$A$2:$A$16,1,FALSE)),1,0)</f>
        <v>1</v>
      </c>
      <c r="M1100" s="3">
        <f>IF(ISERROR(VLOOKUP(D1100,Data!$A$2:$D$223100,2,FALSE)),0,1)</f>
        <v>1</v>
      </c>
      <c r="N1100" s="3">
        <f t="shared" si="35"/>
        <v>1</v>
      </c>
      <c r="O1100" s="3" t="str">
        <f>IF(ISERROR(VLOOKUP(D1100,Data!$A$2:$C$223100,3,FALSE)),"INACTIVE",VLOOKUP(D1100,Data!$A$2:$C$223100,3,FALSE))</f>
        <v>FC</v>
      </c>
    </row>
    <row r="1101" spans="1:15" x14ac:dyDescent="0.25">
      <c r="A1101" t="s">
        <v>7304</v>
      </c>
      <c r="B1101" t="s">
        <v>7305</v>
      </c>
      <c r="C1101" t="s">
        <v>7309</v>
      </c>
      <c r="D1101" t="s">
        <v>7310</v>
      </c>
      <c r="E1101" t="s">
        <v>7311</v>
      </c>
      <c r="F1101" t="s">
        <v>5</v>
      </c>
      <c r="G1101" t="s">
        <v>5</v>
      </c>
      <c r="H1101" t="s">
        <v>5</v>
      </c>
      <c r="I1101" t="s">
        <v>7006</v>
      </c>
      <c r="J1101" t="s">
        <v>14</v>
      </c>
      <c r="K1101" s="3">
        <f t="shared" si="34"/>
        <v>0</v>
      </c>
      <c r="L1101" s="3">
        <f>IF(ISERROR(VLOOKUP(J1101,Lookups!$A$2:$A$16,1,FALSE)),1,0)</f>
        <v>1</v>
      </c>
      <c r="M1101" s="3">
        <f>IF(ISERROR(VLOOKUP(D1101,Data!$A$2:$D$223100,2,FALSE)),0,1)</f>
        <v>1</v>
      </c>
      <c r="N1101" s="3">
        <f t="shared" si="35"/>
        <v>1</v>
      </c>
      <c r="O1101" s="3" t="str">
        <f>IF(ISERROR(VLOOKUP(D1101,Data!$A$2:$C$223100,3,FALSE)),"INACTIVE",VLOOKUP(D1101,Data!$A$2:$C$223100,3,FALSE))</f>
        <v>60+</v>
      </c>
    </row>
    <row r="1102" spans="1:15" x14ac:dyDescent="0.25">
      <c r="A1102" t="s">
        <v>7383</v>
      </c>
      <c r="B1102" t="s">
        <v>7384</v>
      </c>
      <c r="C1102" t="s">
        <v>7385</v>
      </c>
      <c r="D1102" t="s">
        <v>7386</v>
      </c>
      <c r="E1102" t="s">
        <v>5</v>
      </c>
      <c r="F1102" t="s">
        <v>5</v>
      </c>
      <c r="G1102" t="s">
        <v>5</v>
      </c>
      <c r="H1102" t="s">
        <v>7120</v>
      </c>
      <c r="I1102" t="s">
        <v>7006</v>
      </c>
      <c r="J1102" t="s">
        <v>96</v>
      </c>
      <c r="K1102" s="3">
        <f t="shared" si="34"/>
        <v>0</v>
      </c>
      <c r="L1102" s="3">
        <f>IF(ISERROR(VLOOKUP(J1102,Lookups!$A$2:$A$16,1,FALSE)),1,0)</f>
        <v>0</v>
      </c>
      <c r="M1102" s="3">
        <f>IF(ISERROR(VLOOKUP(D1102,Data!$A$2:$D$223100,2,FALSE)),0,1)</f>
        <v>1</v>
      </c>
      <c r="N1102" s="3">
        <f t="shared" si="35"/>
        <v>0</v>
      </c>
      <c r="O1102" s="3" t="str">
        <f>IF(ISERROR(VLOOKUP(D1102,Data!$A$2:$C$223100,3,FALSE)),"INACTIVE",VLOOKUP(D1102,Data!$A$2:$C$223100,3,FALSE))</f>
        <v>90+</v>
      </c>
    </row>
    <row r="1103" spans="1:15" x14ac:dyDescent="0.25">
      <c r="A1103" t="s">
        <v>7491</v>
      </c>
      <c r="B1103" t="s">
        <v>7492</v>
      </c>
      <c r="C1103" t="s">
        <v>7493</v>
      </c>
      <c r="D1103" t="s">
        <v>7494</v>
      </c>
      <c r="E1103" t="s">
        <v>5</v>
      </c>
      <c r="F1103" t="s">
        <v>5</v>
      </c>
      <c r="G1103" t="s">
        <v>5</v>
      </c>
      <c r="H1103" t="s">
        <v>7495</v>
      </c>
      <c r="I1103" t="s">
        <v>7006</v>
      </c>
      <c r="J1103" t="s">
        <v>7</v>
      </c>
      <c r="K1103" s="3">
        <f t="shared" si="34"/>
        <v>0</v>
      </c>
      <c r="L1103" s="3">
        <f>IF(ISERROR(VLOOKUP(J1103,Lookups!$A$2:$A$16,1,FALSE)),1,0)</f>
        <v>1</v>
      </c>
      <c r="M1103" s="3">
        <f>IF(ISERROR(VLOOKUP(D1103,Data!$A$2:$D$223100,2,FALSE)),0,1)</f>
        <v>1</v>
      </c>
      <c r="N1103" s="3">
        <f t="shared" si="35"/>
        <v>1</v>
      </c>
      <c r="O1103" s="3" t="str">
        <f>IF(ISERROR(VLOOKUP(D1103,Data!$A$2:$C$223100,3,FALSE)),"INACTIVE",VLOOKUP(D1103,Data!$A$2:$C$223100,3,FALSE))</f>
        <v>90+</v>
      </c>
    </row>
    <row r="1104" spans="1:15" x14ac:dyDescent="0.25">
      <c r="A1104" t="s">
        <v>7496</v>
      </c>
      <c r="B1104" t="s">
        <v>7497</v>
      </c>
      <c r="C1104" t="s">
        <v>7498</v>
      </c>
      <c r="D1104" t="s">
        <v>7499</v>
      </c>
      <c r="E1104" t="s">
        <v>5</v>
      </c>
      <c r="F1104" t="s">
        <v>5</v>
      </c>
      <c r="G1104" t="s">
        <v>5</v>
      </c>
      <c r="H1104" t="s">
        <v>7500</v>
      </c>
      <c r="I1104" t="s">
        <v>7006</v>
      </c>
      <c r="J1104" t="s">
        <v>7</v>
      </c>
      <c r="K1104" s="3">
        <f t="shared" si="34"/>
        <v>0</v>
      </c>
      <c r="L1104" s="3">
        <f>IF(ISERROR(VLOOKUP(J1104,Lookups!$A$2:$A$16,1,FALSE)),1,0)</f>
        <v>1</v>
      </c>
      <c r="M1104" s="3">
        <f>IF(ISERROR(VLOOKUP(D1104,Data!$A$2:$D$223100,2,FALSE)),0,1)</f>
        <v>1</v>
      </c>
      <c r="N1104" s="3">
        <f t="shared" si="35"/>
        <v>1</v>
      </c>
      <c r="O1104" s="3" t="str">
        <f>IF(ISERROR(VLOOKUP(D1104,Data!$A$2:$C$223100,3,FALSE)),"INACTIVE",VLOOKUP(D1104,Data!$A$2:$C$223100,3,FALSE))</f>
        <v>BK13</v>
      </c>
    </row>
    <row r="1105" spans="1:15" x14ac:dyDescent="0.25">
      <c r="A1105" t="s">
        <v>6869</v>
      </c>
      <c r="B1105" t="s">
        <v>6870</v>
      </c>
      <c r="C1105" t="s">
        <v>6871</v>
      </c>
      <c r="D1105" t="s">
        <v>6872</v>
      </c>
      <c r="E1105" t="s">
        <v>6873</v>
      </c>
      <c r="F1105" t="s">
        <v>5</v>
      </c>
      <c r="G1105" t="s">
        <v>5</v>
      </c>
      <c r="H1105" t="s">
        <v>5</v>
      </c>
      <c r="I1105" t="s">
        <v>6874</v>
      </c>
      <c r="J1105" t="s">
        <v>96</v>
      </c>
      <c r="K1105" s="3">
        <f t="shared" si="34"/>
        <v>0</v>
      </c>
      <c r="L1105" s="3">
        <f>IF(ISERROR(VLOOKUP(J1105,Lookups!$A$2:$A$16,1,FALSE)),1,0)</f>
        <v>0</v>
      </c>
      <c r="M1105" s="3">
        <f>IF(ISERROR(VLOOKUP(D1105,Data!$A$2:$D$223100,2,FALSE)),0,1)</f>
        <v>0</v>
      </c>
      <c r="N1105" s="3">
        <f t="shared" si="35"/>
        <v>0</v>
      </c>
      <c r="O1105" s="3" t="str">
        <f>IF(ISERROR(VLOOKUP(D1105,Data!$A$2:$C$223100,3,FALSE)),"INACTIVE",VLOOKUP(D1105,Data!$A$2:$C$223100,3,FALSE))</f>
        <v>INACTIVE</v>
      </c>
    </row>
    <row r="1106" spans="1:15" x14ac:dyDescent="0.25">
      <c r="A1106" t="s">
        <v>6869</v>
      </c>
      <c r="B1106" t="s">
        <v>6870</v>
      </c>
      <c r="C1106" t="s">
        <v>6871</v>
      </c>
      <c r="D1106" t="s">
        <v>6872</v>
      </c>
      <c r="E1106" t="s">
        <v>6875</v>
      </c>
      <c r="F1106" t="s">
        <v>5</v>
      </c>
      <c r="G1106" t="s">
        <v>5</v>
      </c>
      <c r="H1106" t="s">
        <v>5</v>
      </c>
      <c r="I1106" t="s">
        <v>6874</v>
      </c>
      <c r="J1106" t="s">
        <v>96</v>
      </c>
      <c r="K1106" s="3">
        <f t="shared" si="34"/>
        <v>0</v>
      </c>
      <c r="L1106" s="3">
        <f>IF(ISERROR(VLOOKUP(J1106,Lookups!$A$2:$A$16,1,FALSE)),1,0)</f>
        <v>0</v>
      </c>
      <c r="M1106" s="3">
        <f>IF(ISERROR(VLOOKUP(D1106,Data!$A$2:$D$223100,2,FALSE)),0,1)</f>
        <v>0</v>
      </c>
      <c r="N1106" s="3">
        <f t="shared" si="35"/>
        <v>0</v>
      </c>
      <c r="O1106" s="3" t="str">
        <f>IF(ISERROR(VLOOKUP(D1106,Data!$A$2:$C$223100,3,FALSE)),"INACTIVE",VLOOKUP(D1106,Data!$A$2:$C$223100,3,FALSE))</f>
        <v>INACTIVE</v>
      </c>
    </row>
    <row r="1107" spans="1:15" x14ac:dyDescent="0.25">
      <c r="A1107" t="s">
        <v>6869</v>
      </c>
      <c r="B1107" t="s">
        <v>6870</v>
      </c>
      <c r="C1107" t="s">
        <v>6871</v>
      </c>
      <c r="D1107" t="s">
        <v>6872</v>
      </c>
      <c r="E1107" t="s">
        <v>6875</v>
      </c>
      <c r="F1107" t="s">
        <v>5</v>
      </c>
      <c r="G1107" t="s">
        <v>5</v>
      </c>
      <c r="H1107" t="s">
        <v>5</v>
      </c>
      <c r="I1107" t="s">
        <v>6874</v>
      </c>
      <c r="J1107" t="s">
        <v>96</v>
      </c>
      <c r="K1107" s="3">
        <f t="shared" si="34"/>
        <v>0</v>
      </c>
      <c r="L1107" s="3">
        <f>IF(ISERROR(VLOOKUP(J1107,Lookups!$A$2:$A$16,1,FALSE)),1,0)</f>
        <v>0</v>
      </c>
      <c r="M1107" s="3">
        <f>IF(ISERROR(VLOOKUP(D1107,Data!$A$2:$D$223100,2,FALSE)),0,1)</f>
        <v>0</v>
      </c>
      <c r="N1107" s="3">
        <f t="shared" si="35"/>
        <v>0</v>
      </c>
      <c r="O1107" s="3" t="str">
        <f>IF(ISERROR(VLOOKUP(D1107,Data!$A$2:$C$223100,3,FALSE)),"INACTIVE",VLOOKUP(D1107,Data!$A$2:$C$223100,3,FALSE))</f>
        <v>INACTIVE</v>
      </c>
    </row>
    <row r="1108" spans="1:15" x14ac:dyDescent="0.25">
      <c r="A1108" t="s">
        <v>6869</v>
      </c>
      <c r="B1108" t="s">
        <v>6870</v>
      </c>
      <c r="C1108" t="s">
        <v>6871</v>
      </c>
      <c r="D1108" t="s">
        <v>6872</v>
      </c>
      <c r="E1108" t="s">
        <v>6875</v>
      </c>
      <c r="F1108" t="s">
        <v>5</v>
      </c>
      <c r="G1108" t="s">
        <v>5</v>
      </c>
      <c r="H1108" t="s">
        <v>5</v>
      </c>
      <c r="I1108" t="s">
        <v>6874</v>
      </c>
      <c r="J1108" t="s">
        <v>96</v>
      </c>
      <c r="K1108" s="3">
        <f t="shared" si="34"/>
        <v>0</v>
      </c>
      <c r="L1108" s="3">
        <f>IF(ISERROR(VLOOKUP(J1108,Lookups!$A$2:$A$16,1,FALSE)),1,0)</f>
        <v>0</v>
      </c>
      <c r="M1108" s="3">
        <f>IF(ISERROR(VLOOKUP(D1108,Data!$A$2:$D$223100,2,FALSE)),0,1)</f>
        <v>0</v>
      </c>
      <c r="N1108" s="3">
        <f t="shared" si="35"/>
        <v>0</v>
      </c>
      <c r="O1108" s="3" t="str">
        <f>IF(ISERROR(VLOOKUP(D1108,Data!$A$2:$C$223100,3,FALSE)),"INACTIVE",VLOOKUP(D1108,Data!$A$2:$C$223100,3,FALSE))</f>
        <v>INACTIVE</v>
      </c>
    </row>
    <row r="1109" spans="1:15" x14ac:dyDescent="0.25">
      <c r="A1109" t="s">
        <v>7312</v>
      </c>
      <c r="B1109" t="s">
        <v>7313</v>
      </c>
      <c r="C1109" t="s">
        <v>7314</v>
      </c>
      <c r="D1109" t="s">
        <v>7315</v>
      </c>
      <c r="E1109" t="s">
        <v>7316</v>
      </c>
      <c r="F1109" t="s">
        <v>5</v>
      </c>
      <c r="G1109" t="s">
        <v>5</v>
      </c>
      <c r="H1109" t="s">
        <v>5</v>
      </c>
      <c r="I1109" t="s">
        <v>6874</v>
      </c>
      <c r="J1109" t="s">
        <v>14</v>
      </c>
      <c r="K1109" s="3">
        <f t="shared" si="34"/>
        <v>0</v>
      </c>
      <c r="L1109" s="3">
        <f>IF(ISERROR(VLOOKUP(J1109,Lookups!$A$2:$A$16,1,FALSE)),1,0)</f>
        <v>1</v>
      </c>
      <c r="M1109" s="3">
        <f>IF(ISERROR(VLOOKUP(D1109,Data!$A$2:$D$223100,2,FALSE)),0,1)</f>
        <v>0</v>
      </c>
      <c r="N1109" s="3">
        <f t="shared" si="35"/>
        <v>0</v>
      </c>
      <c r="O1109" s="3" t="str">
        <f>IF(ISERROR(VLOOKUP(D1109,Data!$A$2:$C$223100,3,FALSE)),"INACTIVE",VLOOKUP(D1109,Data!$A$2:$C$223100,3,FALSE))</f>
        <v>INACTIVE</v>
      </c>
    </row>
    <row r="1110" spans="1:15" x14ac:dyDescent="0.25">
      <c r="A1110" t="s">
        <v>6927</v>
      </c>
      <c r="B1110" t="s">
        <v>6928</v>
      </c>
      <c r="C1110" t="s">
        <v>6929</v>
      </c>
      <c r="D1110" t="s">
        <v>6930</v>
      </c>
      <c r="E1110" t="s">
        <v>6931</v>
      </c>
      <c r="F1110" t="s">
        <v>5</v>
      </c>
      <c r="G1110" t="s">
        <v>5</v>
      </c>
      <c r="H1110" t="s">
        <v>5</v>
      </c>
      <c r="I1110" t="s">
        <v>6932</v>
      </c>
      <c r="J1110" t="s">
        <v>96</v>
      </c>
      <c r="K1110" s="3">
        <f t="shared" si="34"/>
        <v>0</v>
      </c>
      <c r="L1110" s="3">
        <f>IF(ISERROR(VLOOKUP(J1110,Lookups!$A$2:$A$16,1,FALSE)),1,0)</f>
        <v>0</v>
      </c>
      <c r="M1110" s="3">
        <f>IF(ISERROR(VLOOKUP(D1110,Data!$A$2:$D$223100,2,FALSE)),0,1)</f>
        <v>1</v>
      </c>
      <c r="N1110" s="3">
        <f t="shared" si="35"/>
        <v>0</v>
      </c>
      <c r="O1110" s="3" t="str">
        <f>IF(ISERROR(VLOOKUP(D1110,Data!$A$2:$C$223100,3,FALSE)),"INACTIVE",VLOOKUP(D1110,Data!$A$2:$C$223100,3,FALSE))</f>
        <v>Current</v>
      </c>
    </row>
    <row r="1111" spans="1:15" x14ac:dyDescent="0.25">
      <c r="A1111" t="s">
        <v>7206</v>
      </c>
      <c r="B1111" t="s">
        <v>7207</v>
      </c>
      <c r="C1111" t="s">
        <v>7208</v>
      </c>
      <c r="D1111" t="s">
        <v>7209</v>
      </c>
      <c r="E1111" t="s">
        <v>5</v>
      </c>
      <c r="F1111" t="s">
        <v>5</v>
      </c>
      <c r="G1111" t="s">
        <v>5</v>
      </c>
      <c r="H1111" t="s">
        <v>7210</v>
      </c>
      <c r="I1111" t="s">
        <v>6932</v>
      </c>
      <c r="J1111" t="s">
        <v>96</v>
      </c>
      <c r="K1111" s="3">
        <f t="shared" si="34"/>
        <v>0</v>
      </c>
      <c r="L1111" s="3">
        <f>IF(ISERROR(VLOOKUP(J1111,Lookups!$A$2:$A$16,1,FALSE)),1,0)</f>
        <v>0</v>
      </c>
      <c r="M1111" s="3">
        <f>IF(ISERROR(VLOOKUP(D1111,Data!$A$2:$D$223100,2,FALSE)),0,1)</f>
        <v>1</v>
      </c>
      <c r="N1111" s="3">
        <f t="shared" si="35"/>
        <v>0</v>
      </c>
      <c r="O1111" s="3" t="str">
        <f>IF(ISERROR(VLOOKUP(D1111,Data!$A$2:$C$223100,3,FALSE)),"INACTIVE",VLOOKUP(D1111,Data!$A$2:$C$223100,3,FALSE))</f>
        <v>FBA</v>
      </c>
    </row>
    <row r="1112" spans="1:15" x14ac:dyDescent="0.25">
      <c r="A1112" t="s">
        <v>7206</v>
      </c>
      <c r="B1112" t="s">
        <v>7207</v>
      </c>
      <c r="C1112" t="s">
        <v>7211</v>
      </c>
      <c r="D1112" t="s">
        <v>7212</v>
      </c>
      <c r="E1112" t="s">
        <v>5</v>
      </c>
      <c r="F1112" t="s">
        <v>5</v>
      </c>
      <c r="G1112" t="s">
        <v>5</v>
      </c>
      <c r="H1112" t="s">
        <v>7120</v>
      </c>
      <c r="I1112" t="s">
        <v>6932</v>
      </c>
      <c r="J1112" t="s">
        <v>96</v>
      </c>
      <c r="K1112" s="3">
        <f t="shared" si="34"/>
        <v>0</v>
      </c>
      <c r="L1112" s="3">
        <f>IF(ISERROR(VLOOKUP(J1112,Lookups!$A$2:$A$16,1,FALSE)),1,0)</f>
        <v>0</v>
      </c>
      <c r="M1112" s="3">
        <f>IF(ISERROR(VLOOKUP(D1112,Data!$A$2:$D$223100,2,FALSE)),0,1)</f>
        <v>1</v>
      </c>
      <c r="N1112" s="3">
        <f t="shared" si="35"/>
        <v>0</v>
      </c>
      <c r="O1112" s="3" t="str">
        <f>IF(ISERROR(VLOOKUP(D1112,Data!$A$2:$C$223100,3,FALSE)),"INACTIVE",VLOOKUP(D1112,Data!$A$2:$C$223100,3,FALSE))</f>
        <v>Demand Letter</v>
      </c>
    </row>
    <row r="1113" spans="1:15" x14ac:dyDescent="0.25">
      <c r="A1113" t="s">
        <v>7272</v>
      </c>
      <c r="B1113" t="s">
        <v>7273</v>
      </c>
      <c r="C1113" t="s">
        <v>7274</v>
      </c>
      <c r="D1113" t="s">
        <v>7275</v>
      </c>
      <c r="E1113" t="s">
        <v>5</v>
      </c>
      <c r="F1113" t="s">
        <v>5</v>
      </c>
      <c r="G1113" t="s">
        <v>5</v>
      </c>
      <c r="H1113" t="s">
        <v>7276</v>
      </c>
      <c r="I1113" t="s">
        <v>6932</v>
      </c>
      <c r="J1113" t="s">
        <v>7</v>
      </c>
      <c r="K1113" s="3">
        <f t="shared" si="34"/>
        <v>0</v>
      </c>
      <c r="L1113" s="3">
        <f>IF(ISERROR(VLOOKUP(J1113,Lookups!$A$2:$A$16,1,FALSE)),1,0)</f>
        <v>1</v>
      </c>
      <c r="M1113" s="3">
        <f>IF(ISERROR(VLOOKUP(D1113,Data!$A$2:$D$223100,2,FALSE)),0,1)</f>
        <v>1</v>
      </c>
      <c r="N1113" s="3">
        <f t="shared" si="35"/>
        <v>1</v>
      </c>
      <c r="O1113" s="3" t="str">
        <f>IF(ISERROR(VLOOKUP(D1113,Data!$A$2:$C$223100,3,FALSE)),"INACTIVE",VLOOKUP(D1113,Data!$A$2:$C$223100,3,FALSE))</f>
        <v>120+</v>
      </c>
    </row>
    <row r="1114" spans="1:15" x14ac:dyDescent="0.25">
      <c r="A1114" t="s">
        <v>6819</v>
      </c>
      <c r="B1114" t="s">
        <v>6820</v>
      </c>
      <c r="C1114" t="s">
        <v>6821</v>
      </c>
      <c r="D1114" t="s">
        <v>6822</v>
      </c>
      <c r="E1114" t="s">
        <v>6823</v>
      </c>
      <c r="F1114" t="s">
        <v>5</v>
      </c>
      <c r="G1114" t="s">
        <v>5</v>
      </c>
      <c r="H1114" t="s">
        <v>5</v>
      </c>
      <c r="I1114" t="s">
        <v>6824</v>
      </c>
      <c r="J1114" t="s">
        <v>14</v>
      </c>
      <c r="K1114" s="3">
        <f t="shared" si="34"/>
        <v>0</v>
      </c>
      <c r="L1114" s="3">
        <f>IF(ISERROR(VLOOKUP(J1114,Lookups!$A$2:$A$16,1,FALSE)),1,0)</f>
        <v>1</v>
      </c>
      <c r="M1114" s="3">
        <f>IF(ISERROR(VLOOKUP(D1114,Data!$A$2:$D$223100,2,FALSE)),0,1)</f>
        <v>1</v>
      </c>
      <c r="N1114" s="3">
        <f t="shared" si="35"/>
        <v>1</v>
      </c>
      <c r="O1114" s="3" t="str">
        <f>IF(ISERROR(VLOOKUP(D1114,Data!$A$2:$C$223100,3,FALSE)),"INACTIVE",VLOOKUP(D1114,Data!$A$2:$C$223100,3,FALSE))</f>
        <v>Current</v>
      </c>
    </row>
    <row r="1115" spans="1:15" x14ac:dyDescent="0.25">
      <c r="A1115" t="s">
        <v>6876</v>
      </c>
      <c r="B1115" t="s">
        <v>6877</v>
      </c>
      <c r="C1115" t="s">
        <v>6878</v>
      </c>
      <c r="D1115" t="s">
        <v>5660</v>
      </c>
      <c r="E1115" t="s">
        <v>6879</v>
      </c>
      <c r="F1115" t="s">
        <v>5</v>
      </c>
      <c r="G1115" t="s">
        <v>5</v>
      </c>
      <c r="H1115" t="s">
        <v>5</v>
      </c>
      <c r="I1115" t="s">
        <v>6824</v>
      </c>
      <c r="J1115" t="s">
        <v>96</v>
      </c>
      <c r="K1115" s="3">
        <f t="shared" si="34"/>
        <v>0</v>
      </c>
      <c r="L1115" s="3">
        <f>IF(ISERROR(VLOOKUP(J1115,Lookups!$A$2:$A$16,1,FALSE)),1,0)</f>
        <v>0</v>
      </c>
      <c r="M1115" s="3">
        <f>IF(ISERROR(VLOOKUP(D1115,Data!$A$2:$D$223100,2,FALSE)),0,1)</f>
        <v>1</v>
      </c>
      <c r="N1115" s="3">
        <f t="shared" si="35"/>
        <v>0</v>
      </c>
      <c r="O1115" s="3" t="str">
        <f>IF(ISERROR(VLOOKUP(D1115,Data!$A$2:$C$223100,3,FALSE)),"INACTIVE",VLOOKUP(D1115,Data!$A$2:$C$223100,3,FALSE))</f>
        <v>Demand Letter</v>
      </c>
    </row>
    <row r="1116" spans="1:15" x14ac:dyDescent="0.25">
      <c r="A1116" t="s">
        <v>6916</v>
      </c>
      <c r="B1116" t="s">
        <v>6917</v>
      </c>
      <c r="C1116" t="s">
        <v>6918</v>
      </c>
      <c r="D1116" t="s">
        <v>6919</v>
      </c>
      <c r="E1116" t="s">
        <v>6920</v>
      </c>
      <c r="F1116" t="s">
        <v>5</v>
      </c>
      <c r="G1116" t="s">
        <v>5</v>
      </c>
      <c r="H1116" t="s">
        <v>5</v>
      </c>
      <c r="I1116" t="s">
        <v>6824</v>
      </c>
      <c r="J1116" t="s">
        <v>96</v>
      </c>
      <c r="K1116" s="3">
        <f t="shared" si="34"/>
        <v>0</v>
      </c>
      <c r="L1116" s="3">
        <f>IF(ISERROR(VLOOKUP(J1116,Lookups!$A$2:$A$16,1,FALSE)),1,0)</f>
        <v>0</v>
      </c>
      <c r="M1116" s="3">
        <f>IF(ISERROR(VLOOKUP(D1116,Data!$A$2:$D$223100,2,FALSE)),0,1)</f>
        <v>1</v>
      </c>
      <c r="N1116" s="3">
        <f t="shared" si="35"/>
        <v>0</v>
      </c>
      <c r="O1116" s="3" t="str">
        <f>IF(ISERROR(VLOOKUP(D1116,Data!$A$2:$C$223100,3,FALSE)),"INACTIVE",VLOOKUP(D1116,Data!$A$2:$C$223100,3,FALSE))</f>
        <v>30+</v>
      </c>
    </row>
    <row r="1117" spans="1:15" x14ac:dyDescent="0.25">
      <c r="A1117" t="s">
        <v>6916</v>
      </c>
      <c r="B1117" t="s">
        <v>6917</v>
      </c>
      <c r="C1117" t="s">
        <v>6918</v>
      </c>
      <c r="D1117" t="s">
        <v>6919</v>
      </c>
      <c r="E1117" t="s">
        <v>6921</v>
      </c>
      <c r="F1117" t="s">
        <v>5</v>
      </c>
      <c r="G1117" t="s">
        <v>5</v>
      </c>
      <c r="H1117" t="s">
        <v>5</v>
      </c>
      <c r="I1117" t="s">
        <v>6824</v>
      </c>
      <c r="J1117" t="s">
        <v>96</v>
      </c>
      <c r="K1117" s="3">
        <f t="shared" si="34"/>
        <v>0</v>
      </c>
      <c r="L1117" s="3">
        <f>IF(ISERROR(VLOOKUP(J1117,Lookups!$A$2:$A$16,1,FALSE)),1,0)</f>
        <v>0</v>
      </c>
      <c r="M1117" s="3">
        <f>IF(ISERROR(VLOOKUP(D1117,Data!$A$2:$D$223100,2,FALSE)),0,1)</f>
        <v>1</v>
      </c>
      <c r="N1117" s="3">
        <f t="shared" si="35"/>
        <v>0</v>
      </c>
      <c r="O1117" s="3" t="str">
        <f>IF(ISERROR(VLOOKUP(D1117,Data!$A$2:$C$223100,3,FALSE)),"INACTIVE",VLOOKUP(D1117,Data!$A$2:$C$223100,3,FALSE))</f>
        <v>30+</v>
      </c>
    </row>
    <row r="1118" spans="1:15" x14ac:dyDescent="0.25">
      <c r="A1118" t="s">
        <v>7285</v>
      </c>
      <c r="B1118" t="s">
        <v>7286</v>
      </c>
      <c r="C1118" t="s">
        <v>7287</v>
      </c>
      <c r="D1118" t="s">
        <v>7288</v>
      </c>
      <c r="E1118" t="s">
        <v>7289</v>
      </c>
      <c r="F1118" t="s">
        <v>5</v>
      </c>
      <c r="G1118" t="s">
        <v>5</v>
      </c>
      <c r="H1118" t="s">
        <v>5</v>
      </c>
      <c r="I1118" t="s">
        <v>6824</v>
      </c>
      <c r="J1118" t="s">
        <v>14</v>
      </c>
      <c r="K1118" s="3">
        <f t="shared" si="34"/>
        <v>0</v>
      </c>
      <c r="L1118" s="3">
        <f>IF(ISERROR(VLOOKUP(J1118,Lookups!$A$2:$A$16,1,FALSE)),1,0)</f>
        <v>1</v>
      </c>
      <c r="M1118" s="3">
        <f>IF(ISERROR(VLOOKUP(D1118,Data!$A$2:$D$223100,2,FALSE)),0,1)</f>
        <v>0</v>
      </c>
      <c r="N1118" s="3">
        <f t="shared" si="35"/>
        <v>0</v>
      </c>
      <c r="O1118" s="3" t="str">
        <f>IF(ISERROR(VLOOKUP(D1118,Data!$A$2:$C$223100,3,FALSE)),"INACTIVE",VLOOKUP(D1118,Data!$A$2:$C$223100,3,FALSE))</f>
        <v>INACTIVE</v>
      </c>
    </row>
    <row r="1119" spans="1:15" x14ac:dyDescent="0.25">
      <c r="A1119" t="s">
        <v>7197</v>
      </c>
      <c r="B1119" t="s">
        <v>7198</v>
      </c>
      <c r="C1119" t="s">
        <v>7199</v>
      </c>
      <c r="D1119" t="s">
        <v>7200</v>
      </c>
      <c r="E1119" t="s">
        <v>7201</v>
      </c>
      <c r="F1119" t="s">
        <v>7202</v>
      </c>
      <c r="G1119" t="s">
        <v>7203</v>
      </c>
      <c r="H1119" t="s">
        <v>7204</v>
      </c>
      <c r="I1119" t="s">
        <v>7205</v>
      </c>
      <c r="J1119" t="s">
        <v>7</v>
      </c>
      <c r="K1119" s="3">
        <f t="shared" si="34"/>
        <v>0</v>
      </c>
      <c r="L1119" s="3">
        <f>IF(ISERROR(VLOOKUP(J1119,Lookups!$A$2:$A$16,1,FALSE)),1,0)</f>
        <v>1</v>
      </c>
      <c r="M1119" s="3">
        <f>IF(ISERROR(VLOOKUP(D1119,Data!$A$2:$D$223100,2,FALSE)),0,1)</f>
        <v>1</v>
      </c>
      <c r="N1119" s="3">
        <f t="shared" si="35"/>
        <v>1</v>
      </c>
      <c r="O1119" s="3" t="str">
        <f>IF(ISERROR(VLOOKUP(D1119,Data!$A$2:$C$223100,3,FALSE)),"INACTIVE",VLOOKUP(D1119,Data!$A$2:$C$223100,3,FALSE))</f>
        <v>FBA</v>
      </c>
    </row>
    <row r="1120" spans="1:15" x14ac:dyDescent="0.25">
      <c r="A1120" t="s">
        <v>7217</v>
      </c>
      <c r="B1120" t="s">
        <v>7218</v>
      </c>
      <c r="C1120" t="s">
        <v>7219</v>
      </c>
      <c r="D1120" t="s">
        <v>7220</v>
      </c>
      <c r="E1120" t="s">
        <v>5</v>
      </c>
      <c r="F1120" t="s">
        <v>5</v>
      </c>
      <c r="G1120" t="s">
        <v>7221</v>
      </c>
      <c r="H1120" t="s">
        <v>7221</v>
      </c>
      <c r="I1120" t="s">
        <v>7205</v>
      </c>
      <c r="J1120" t="s">
        <v>7</v>
      </c>
      <c r="K1120" s="3">
        <f t="shared" si="34"/>
        <v>0</v>
      </c>
      <c r="L1120" s="3">
        <f>IF(ISERROR(VLOOKUP(J1120,Lookups!$A$2:$A$16,1,FALSE)),1,0)</f>
        <v>1</v>
      </c>
      <c r="M1120" s="3">
        <f>IF(ISERROR(VLOOKUP(D1120,Data!$A$2:$D$223100,2,FALSE)),0,1)</f>
        <v>0</v>
      </c>
      <c r="N1120" s="3">
        <f t="shared" si="35"/>
        <v>0</v>
      </c>
      <c r="O1120" s="3" t="str">
        <f>IF(ISERROR(VLOOKUP(D1120,Data!$A$2:$C$223100,3,FALSE)),"INACTIVE",VLOOKUP(D1120,Data!$A$2:$C$223100,3,FALSE))</f>
        <v>INACTIVE</v>
      </c>
    </row>
    <row r="1121" spans="1:15" x14ac:dyDescent="0.25">
      <c r="A1121" t="s">
        <v>7217</v>
      </c>
      <c r="B1121" t="s">
        <v>7218</v>
      </c>
      <c r="C1121" t="s">
        <v>7222</v>
      </c>
      <c r="D1121" t="s">
        <v>7223</v>
      </c>
      <c r="E1121" t="s">
        <v>5</v>
      </c>
      <c r="F1121" t="s">
        <v>5</v>
      </c>
      <c r="G1121" t="s">
        <v>5</v>
      </c>
      <c r="H1121" t="s">
        <v>7224</v>
      </c>
      <c r="I1121" t="s">
        <v>7205</v>
      </c>
      <c r="J1121" t="s">
        <v>7</v>
      </c>
      <c r="K1121" s="3">
        <f t="shared" si="34"/>
        <v>0</v>
      </c>
      <c r="L1121" s="3">
        <f>IF(ISERROR(VLOOKUP(J1121,Lookups!$A$2:$A$16,1,FALSE)),1,0)</f>
        <v>1</v>
      </c>
      <c r="M1121" s="3">
        <f>IF(ISERROR(VLOOKUP(D1121,Data!$A$2:$D$223100,2,FALSE)),0,1)</f>
        <v>1</v>
      </c>
      <c r="N1121" s="3">
        <f t="shared" si="35"/>
        <v>1</v>
      </c>
      <c r="O1121" s="3" t="str">
        <f>IF(ISERROR(VLOOKUP(D1121,Data!$A$2:$C$223100,3,FALSE)),"INACTIVE",VLOOKUP(D1121,Data!$A$2:$C$223100,3,FALSE))</f>
        <v>Current</v>
      </c>
    </row>
    <row r="1122" spans="1:15" x14ac:dyDescent="0.25">
      <c r="A1122" t="s">
        <v>7217</v>
      </c>
      <c r="B1122" t="s">
        <v>7218</v>
      </c>
      <c r="C1122" t="s">
        <v>7225</v>
      </c>
      <c r="D1122" t="s">
        <v>7226</v>
      </c>
      <c r="E1122" t="s">
        <v>5</v>
      </c>
      <c r="F1122" t="s">
        <v>5</v>
      </c>
      <c r="G1122" t="s">
        <v>5</v>
      </c>
      <c r="H1122" t="s">
        <v>7227</v>
      </c>
      <c r="I1122" t="s">
        <v>7205</v>
      </c>
      <c r="J1122" t="s">
        <v>7</v>
      </c>
      <c r="K1122" s="3">
        <f t="shared" si="34"/>
        <v>0</v>
      </c>
      <c r="L1122" s="3">
        <f>IF(ISERROR(VLOOKUP(J1122,Lookups!$A$2:$A$16,1,FALSE)),1,0)</f>
        <v>1</v>
      </c>
      <c r="M1122" s="3">
        <f>IF(ISERROR(VLOOKUP(D1122,Data!$A$2:$D$223100,2,FALSE)),0,1)</f>
        <v>1</v>
      </c>
      <c r="N1122" s="3">
        <f t="shared" si="35"/>
        <v>1</v>
      </c>
      <c r="O1122" s="3" t="str">
        <f>IF(ISERROR(VLOOKUP(D1122,Data!$A$2:$C$223100,3,FALSE)),"INACTIVE",VLOOKUP(D1122,Data!$A$2:$C$223100,3,FALSE))</f>
        <v>180+</v>
      </c>
    </row>
    <row r="1123" spans="1:15" x14ac:dyDescent="0.25">
      <c r="A1123" t="s">
        <v>7217</v>
      </c>
      <c r="B1123" t="s">
        <v>7218</v>
      </c>
      <c r="C1123" t="s">
        <v>7228</v>
      </c>
      <c r="D1123" t="s">
        <v>7229</v>
      </c>
      <c r="E1123" t="s">
        <v>5</v>
      </c>
      <c r="F1123" t="s">
        <v>5</v>
      </c>
      <c r="G1123" t="s">
        <v>5</v>
      </c>
      <c r="H1123" t="s">
        <v>7230</v>
      </c>
      <c r="I1123" t="s">
        <v>7205</v>
      </c>
      <c r="J1123" t="s">
        <v>7</v>
      </c>
      <c r="K1123" s="3">
        <f t="shared" si="34"/>
        <v>0</v>
      </c>
      <c r="L1123" s="3">
        <f>IF(ISERROR(VLOOKUP(J1123,Lookups!$A$2:$A$16,1,FALSE)),1,0)</f>
        <v>1</v>
      </c>
      <c r="M1123" s="3">
        <f>IF(ISERROR(VLOOKUP(D1123,Data!$A$2:$D$223100,2,FALSE)),0,1)</f>
        <v>0</v>
      </c>
      <c r="N1123" s="3">
        <f t="shared" si="35"/>
        <v>0</v>
      </c>
      <c r="O1123" s="3" t="str">
        <f>IF(ISERROR(VLOOKUP(D1123,Data!$A$2:$C$223100,3,FALSE)),"INACTIVE",VLOOKUP(D1123,Data!$A$2:$C$223100,3,FALSE))</f>
        <v>INACTIVE</v>
      </c>
    </row>
    <row r="1124" spans="1:15" x14ac:dyDescent="0.25">
      <c r="A1124" t="s">
        <v>7217</v>
      </c>
      <c r="B1124" t="s">
        <v>7218</v>
      </c>
      <c r="C1124" t="s">
        <v>7231</v>
      </c>
      <c r="D1124" t="s">
        <v>7232</v>
      </c>
      <c r="E1124" t="s">
        <v>5</v>
      </c>
      <c r="F1124" t="s">
        <v>5</v>
      </c>
      <c r="G1124" t="s">
        <v>5</v>
      </c>
      <c r="H1124" t="s">
        <v>7233</v>
      </c>
      <c r="I1124" t="s">
        <v>7205</v>
      </c>
      <c r="J1124" t="s">
        <v>7</v>
      </c>
      <c r="K1124" s="3">
        <f t="shared" si="34"/>
        <v>0</v>
      </c>
      <c r="L1124" s="3">
        <f>IF(ISERROR(VLOOKUP(J1124,Lookups!$A$2:$A$16,1,FALSE)),1,0)</f>
        <v>1</v>
      </c>
      <c r="M1124" s="3">
        <f>IF(ISERROR(VLOOKUP(D1124,Data!$A$2:$D$223100,2,FALSE)),0,1)</f>
        <v>1</v>
      </c>
      <c r="N1124" s="3">
        <f t="shared" si="35"/>
        <v>1</v>
      </c>
      <c r="O1124" s="3" t="str">
        <f>IF(ISERROR(VLOOKUP(D1124,Data!$A$2:$C$223100,3,FALSE)),"INACTIVE",VLOOKUP(D1124,Data!$A$2:$C$223100,3,FALSE))</f>
        <v>Current</v>
      </c>
    </row>
    <row r="1125" spans="1:15" x14ac:dyDescent="0.25">
      <c r="A1125" t="s">
        <v>7246</v>
      </c>
      <c r="B1125" t="s">
        <v>7247</v>
      </c>
      <c r="C1125" t="s">
        <v>7248</v>
      </c>
      <c r="D1125" t="s">
        <v>7249</v>
      </c>
      <c r="E1125" t="s">
        <v>7250</v>
      </c>
      <c r="F1125" t="s">
        <v>7251</v>
      </c>
      <c r="G1125" t="s">
        <v>7252</v>
      </c>
      <c r="H1125" t="s">
        <v>7252</v>
      </c>
      <c r="I1125" t="s">
        <v>7205</v>
      </c>
      <c r="J1125" t="s">
        <v>7</v>
      </c>
      <c r="K1125" s="3">
        <f t="shared" si="34"/>
        <v>0</v>
      </c>
      <c r="L1125" s="3">
        <f>IF(ISERROR(VLOOKUP(J1125,Lookups!$A$2:$A$16,1,FALSE)),1,0)</f>
        <v>1</v>
      </c>
      <c r="M1125" s="3">
        <f>IF(ISERROR(VLOOKUP(D1125,Data!$A$2:$D$223100,2,FALSE)),0,1)</f>
        <v>1</v>
      </c>
      <c r="N1125" s="3">
        <f t="shared" si="35"/>
        <v>1</v>
      </c>
      <c r="O1125" s="3" t="str">
        <f>IF(ISERROR(VLOOKUP(D1125,Data!$A$2:$C$223100,3,FALSE)),"INACTIVE",VLOOKUP(D1125,Data!$A$2:$C$223100,3,FALSE))</f>
        <v>FC</v>
      </c>
    </row>
    <row r="1126" spans="1:15" x14ac:dyDescent="0.25">
      <c r="A1126" t="s">
        <v>7277</v>
      </c>
      <c r="B1126" t="s">
        <v>7278</v>
      </c>
      <c r="C1126" t="s">
        <v>7279</v>
      </c>
      <c r="D1126" t="s">
        <v>7280</v>
      </c>
      <c r="E1126" t="s">
        <v>7281</v>
      </c>
      <c r="F1126" t="s">
        <v>5</v>
      </c>
      <c r="G1126" t="s">
        <v>5</v>
      </c>
      <c r="H1126" t="s">
        <v>5</v>
      </c>
      <c r="I1126" t="s">
        <v>7205</v>
      </c>
      <c r="J1126" t="s">
        <v>7</v>
      </c>
      <c r="K1126" s="3">
        <f t="shared" si="34"/>
        <v>0</v>
      </c>
      <c r="L1126" s="3">
        <f>IF(ISERROR(VLOOKUP(J1126,Lookups!$A$2:$A$16,1,FALSE)),1,0)</f>
        <v>1</v>
      </c>
      <c r="M1126" s="3">
        <f>IF(ISERROR(VLOOKUP(D1126,Data!$A$2:$D$223100,2,FALSE)),0,1)</f>
        <v>1</v>
      </c>
      <c r="N1126" s="3">
        <f t="shared" si="35"/>
        <v>1</v>
      </c>
      <c r="O1126" s="3" t="str">
        <f>IF(ISERROR(VLOOKUP(D1126,Data!$A$2:$C$223100,3,FALSE)),"INACTIVE",VLOOKUP(D1126,Data!$A$2:$C$223100,3,FALSE))</f>
        <v>30+</v>
      </c>
    </row>
    <row r="1127" spans="1:15" x14ac:dyDescent="0.25">
      <c r="A1127" t="s">
        <v>7277</v>
      </c>
      <c r="B1127" t="s">
        <v>7278</v>
      </c>
      <c r="C1127" t="s">
        <v>7282</v>
      </c>
      <c r="D1127" t="s">
        <v>7283</v>
      </c>
      <c r="E1127" t="s">
        <v>7284</v>
      </c>
      <c r="F1127" t="s">
        <v>5</v>
      </c>
      <c r="G1127" t="s">
        <v>5</v>
      </c>
      <c r="H1127" t="s">
        <v>5</v>
      </c>
      <c r="I1127" t="s">
        <v>7205</v>
      </c>
      <c r="J1127" t="s">
        <v>7</v>
      </c>
      <c r="K1127" s="3">
        <f t="shared" si="34"/>
        <v>0</v>
      </c>
      <c r="L1127" s="3">
        <f>IF(ISERROR(VLOOKUP(J1127,Lookups!$A$2:$A$16,1,FALSE)),1,0)</f>
        <v>1</v>
      </c>
      <c r="M1127" s="3">
        <f>IF(ISERROR(VLOOKUP(D1127,Data!$A$2:$D$223100,2,FALSE)),0,1)</f>
        <v>1</v>
      </c>
      <c r="N1127" s="3">
        <f t="shared" si="35"/>
        <v>1</v>
      </c>
      <c r="O1127" s="3" t="str">
        <f>IF(ISERROR(VLOOKUP(D1127,Data!$A$2:$C$223100,3,FALSE)),"INACTIVE",VLOOKUP(D1127,Data!$A$2:$C$223100,3,FALSE))</f>
        <v>FBA</v>
      </c>
    </row>
    <row r="1128" spans="1:15" x14ac:dyDescent="0.25">
      <c r="A1128" t="s">
        <v>7014</v>
      </c>
      <c r="B1128" t="s">
        <v>7015</v>
      </c>
      <c r="C1128" t="s">
        <v>7016</v>
      </c>
      <c r="D1128" t="s">
        <v>7017</v>
      </c>
      <c r="E1128" t="s">
        <v>7018</v>
      </c>
      <c r="F1128" t="s">
        <v>5</v>
      </c>
      <c r="G1128" t="s">
        <v>5</v>
      </c>
      <c r="H1128" t="s">
        <v>5</v>
      </c>
      <c r="I1128" t="s">
        <v>7019</v>
      </c>
      <c r="J1128" t="s">
        <v>96</v>
      </c>
      <c r="K1128" s="3">
        <f t="shared" si="34"/>
        <v>0</v>
      </c>
      <c r="L1128" s="3">
        <f>IF(ISERROR(VLOOKUP(J1128,Lookups!$A$2:$A$16,1,FALSE)),1,0)</f>
        <v>0</v>
      </c>
      <c r="M1128" s="3">
        <f>IF(ISERROR(VLOOKUP(D1128,Data!$A$2:$D$223100,2,FALSE)),0,1)</f>
        <v>1</v>
      </c>
      <c r="N1128" s="3">
        <f t="shared" si="35"/>
        <v>0</v>
      </c>
      <c r="O1128" s="3" t="str">
        <f>IF(ISERROR(VLOOKUP(D1128,Data!$A$2:$C$223100,3,FALSE)),"INACTIVE",VLOOKUP(D1128,Data!$A$2:$C$223100,3,FALSE))</f>
        <v>BK13</v>
      </c>
    </row>
    <row r="1129" spans="1:15" x14ac:dyDescent="0.25">
      <c r="A1129" t="s">
        <v>7105</v>
      </c>
      <c r="B1129" t="s">
        <v>7106</v>
      </c>
      <c r="C1129" t="s">
        <v>7107</v>
      </c>
      <c r="D1129" t="s">
        <v>7108</v>
      </c>
      <c r="E1129" t="s">
        <v>7109</v>
      </c>
      <c r="F1129" t="s">
        <v>5</v>
      </c>
      <c r="G1129" t="s">
        <v>5</v>
      </c>
      <c r="H1129" t="s">
        <v>5</v>
      </c>
      <c r="I1129" t="s">
        <v>7019</v>
      </c>
      <c r="J1129" t="s">
        <v>7</v>
      </c>
      <c r="K1129" s="3">
        <f t="shared" si="34"/>
        <v>0</v>
      </c>
      <c r="L1129" s="3">
        <f>IF(ISERROR(VLOOKUP(J1129,Lookups!$A$2:$A$16,1,FALSE)),1,0)</f>
        <v>1</v>
      </c>
      <c r="M1129" s="3">
        <f>IF(ISERROR(VLOOKUP(D1129,Data!$A$2:$D$223100,2,FALSE)),0,1)</f>
        <v>1</v>
      </c>
      <c r="N1129" s="3">
        <f t="shared" si="35"/>
        <v>1</v>
      </c>
      <c r="O1129" s="3" t="str">
        <f>IF(ISERROR(VLOOKUP(D1129,Data!$A$2:$C$223100,3,FALSE)),"INACTIVE",VLOOKUP(D1129,Data!$A$2:$C$223100,3,FALSE))</f>
        <v>150+</v>
      </c>
    </row>
    <row r="1130" spans="1:15" x14ac:dyDescent="0.25">
      <c r="A1130" t="s">
        <v>7253</v>
      </c>
      <c r="B1130" t="s">
        <v>7254</v>
      </c>
      <c r="C1130" t="s">
        <v>7255</v>
      </c>
      <c r="D1130" t="s">
        <v>7256</v>
      </c>
      <c r="E1130" t="s">
        <v>5</v>
      </c>
      <c r="F1130" t="s">
        <v>5</v>
      </c>
      <c r="G1130" t="s">
        <v>7257</v>
      </c>
      <c r="H1130" t="s">
        <v>7257</v>
      </c>
      <c r="I1130" t="s">
        <v>7019</v>
      </c>
      <c r="J1130" t="s">
        <v>96</v>
      </c>
      <c r="K1130" s="3">
        <f t="shared" si="34"/>
        <v>0</v>
      </c>
      <c r="L1130" s="3">
        <f>IF(ISERROR(VLOOKUP(J1130,Lookups!$A$2:$A$16,1,FALSE)),1,0)</f>
        <v>0</v>
      </c>
      <c r="M1130" s="3">
        <f>IF(ISERROR(VLOOKUP(D1130,Data!$A$2:$D$223100,2,FALSE)),0,1)</f>
        <v>1</v>
      </c>
      <c r="N1130" s="3">
        <f t="shared" si="35"/>
        <v>0</v>
      </c>
      <c r="O1130" s="3" t="str">
        <f>IF(ISERROR(VLOOKUP(D1130,Data!$A$2:$C$223100,3,FALSE)),"INACTIVE",VLOOKUP(D1130,Data!$A$2:$C$223100,3,FALSE))</f>
        <v>Demand Letter</v>
      </c>
    </row>
    <row r="1131" spans="1:15" x14ac:dyDescent="0.25">
      <c r="A1131" t="s">
        <v>7253</v>
      </c>
      <c r="B1131" t="s">
        <v>7254</v>
      </c>
      <c r="C1131" t="s">
        <v>7258</v>
      </c>
      <c r="D1131" t="s">
        <v>7259</v>
      </c>
      <c r="E1131" t="s">
        <v>5</v>
      </c>
      <c r="F1131" t="s">
        <v>5</v>
      </c>
      <c r="G1131" t="s">
        <v>5</v>
      </c>
      <c r="H1131" t="s">
        <v>7260</v>
      </c>
      <c r="I1131" t="s">
        <v>7019</v>
      </c>
      <c r="J1131" t="s">
        <v>7</v>
      </c>
      <c r="K1131" s="3">
        <f t="shared" si="34"/>
        <v>0</v>
      </c>
      <c r="L1131" s="3">
        <f>IF(ISERROR(VLOOKUP(J1131,Lookups!$A$2:$A$16,1,FALSE)),1,0)</f>
        <v>1</v>
      </c>
      <c r="M1131" s="3">
        <f>IF(ISERROR(VLOOKUP(D1131,Data!$A$2:$D$223100,2,FALSE)),0,1)</f>
        <v>1</v>
      </c>
      <c r="N1131" s="3">
        <f t="shared" si="35"/>
        <v>1</v>
      </c>
      <c r="O1131" s="3" t="str">
        <f>IF(ISERROR(VLOOKUP(D1131,Data!$A$2:$C$223100,3,FALSE)),"INACTIVE",VLOOKUP(D1131,Data!$A$2:$C$223100,3,FALSE))</f>
        <v>Current</v>
      </c>
    </row>
    <row r="1132" spans="1:15" x14ac:dyDescent="0.25">
      <c r="A1132" t="s">
        <v>7253</v>
      </c>
      <c r="B1132" t="s">
        <v>7254</v>
      </c>
      <c r="C1132" t="s">
        <v>7261</v>
      </c>
      <c r="D1132" t="s">
        <v>7262</v>
      </c>
      <c r="E1132" t="s">
        <v>5</v>
      </c>
      <c r="F1132" t="s">
        <v>5</v>
      </c>
      <c r="G1132" t="s">
        <v>5</v>
      </c>
      <c r="H1132" t="s">
        <v>7263</v>
      </c>
      <c r="I1132" t="s">
        <v>7019</v>
      </c>
      <c r="J1132" t="s">
        <v>7</v>
      </c>
      <c r="K1132" s="3">
        <f t="shared" si="34"/>
        <v>0</v>
      </c>
      <c r="L1132" s="3">
        <f>IF(ISERROR(VLOOKUP(J1132,Lookups!$A$2:$A$16,1,FALSE)),1,0)</f>
        <v>1</v>
      </c>
      <c r="M1132" s="3">
        <f>IF(ISERROR(VLOOKUP(D1132,Data!$A$2:$D$223100,2,FALSE)),0,1)</f>
        <v>1</v>
      </c>
      <c r="N1132" s="3">
        <f t="shared" si="35"/>
        <v>1</v>
      </c>
      <c r="O1132" s="3" t="str">
        <f>IF(ISERROR(VLOOKUP(D1132,Data!$A$2:$C$223100,3,FALSE)),"INACTIVE",VLOOKUP(D1132,Data!$A$2:$C$223100,3,FALSE))</f>
        <v>60+</v>
      </c>
    </row>
    <row r="1133" spans="1:15" x14ac:dyDescent="0.25">
      <c r="A1133" t="s">
        <v>7253</v>
      </c>
      <c r="B1133" t="s">
        <v>7254</v>
      </c>
      <c r="C1133" t="s">
        <v>7264</v>
      </c>
      <c r="D1133" t="s">
        <v>7265</v>
      </c>
      <c r="E1133" t="s">
        <v>5</v>
      </c>
      <c r="F1133" t="s">
        <v>5</v>
      </c>
      <c r="G1133" t="s">
        <v>5</v>
      </c>
      <c r="H1133" t="s">
        <v>7266</v>
      </c>
      <c r="I1133" t="s">
        <v>7019</v>
      </c>
      <c r="J1133" t="s">
        <v>96</v>
      </c>
      <c r="K1133" s="3">
        <f t="shared" si="34"/>
        <v>0</v>
      </c>
      <c r="L1133" s="3">
        <f>IF(ISERROR(VLOOKUP(J1133,Lookups!$A$2:$A$16,1,FALSE)),1,0)</f>
        <v>0</v>
      </c>
      <c r="M1133" s="3">
        <f>IF(ISERROR(VLOOKUP(D1133,Data!$A$2:$D$223100,2,FALSE)),0,1)</f>
        <v>1</v>
      </c>
      <c r="N1133" s="3">
        <f t="shared" si="35"/>
        <v>0</v>
      </c>
      <c r="O1133" s="3" t="str">
        <f>IF(ISERROR(VLOOKUP(D1133,Data!$A$2:$C$223100,3,FALSE)),"INACTIVE",VLOOKUP(D1133,Data!$A$2:$C$223100,3,FALSE))</f>
        <v>FC</v>
      </c>
    </row>
    <row r="1134" spans="1:15" x14ac:dyDescent="0.25">
      <c r="A1134" t="s">
        <v>7253</v>
      </c>
      <c r="B1134" t="s">
        <v>7254</v>
      </c>
      <c r="C1134" t="s">
        <v>7267</v>
      </c>
      <c r="D1134" t="s">
        <v>7268</v>
      </c>
      <c r="E1134" t="s">
        <v>5</v>
      </c>
      <c r="F1134" t="s">
        <v>5</v>
      </c>
      <c r="G1134" t="s">
        <v>5</v>
      </c>
      <c r="H1134" t="s">
        <v>7120</v>
      </c>
      <c r="I1134" t="s">
        <v>7019</v>
      </c>
      <c r="J1134" t="s">
        <v>96</v>
      </c>
      <c r="K1134" s="3">
        <f t="shared" si="34"/>
        <v>0</v>
      </c>
      <c r="L1134" s="3">
        <f>IF(ISERROR(VLOOKUP(J1134,Lookups!$A$2:$A$16,1,FALSE)),1,0)</f>
        <v>0</v>
      </c>
      <c r="M1134" s="3">
        <f>IF(ISERROR(VLOOKUP(D1134,Data!$A$2:$D$223100,2,FALSE)),0,1)</f>
        <v>1</v>
      </c>
      <c r="N1134" s="3">
        <f t="shared" si="35"/>
        <v>0</v>
      </c>
      <c r="O1134" s="3" t="str">
        <f>IF(ISERROR(VLOOKUP(D1134,Data!$A$2:$C$223100,3,FALSE)),"INACTIVE",VLOOKUP(D1134,Data!$A$2:$C$223100,3,FALSE))</f>
        <v>60+</v>
      </c>
    </row>
    <row r="1135" spans="1:15" x14ac:dyDescent="0.25">
      <c r="A1135" t="s">
        <v>7253</v>
      </c>
      <c r="B1135" t="s">
        <v>7254</v>
      </c>
      <c r="C1135" t="s">
        <v>7269</v>
      </c>
      <c r="D1135" t="s">
        <v>7270</v>
      </c>
      <c r="E1135" t="s">
        <v>5</v>
      </c>
      <c r="F1135" t="s">
        <v>5</v>
      </c>
      <c r="G1135" t="s">
        <v>5</v>
      </c>
      <c r="H1135" t="s">
        <v>7271</v>
      </c>
      <c r="I1135" t="s">
        <v>7019</v>
      </c>
      <c r="J1135" t="s">
        <v>7</v>
      </c>
      <c r="K1135" s="3">
        <f t="shared" si="34"/>
        <v>0</v>
      </c>
      <c r="L1135" s="3">
        <f>IF(ISERROR(VLOOKUP(J1135,Lookups!$A$2:$A$16,1,FALSE)),1,0)</f>
        <v>1</v>
      </c>
      <c r="M1135" s="3">
        <f>IF(ISERROR(VLOOKUP(D1135,Data!$A$2:$D$223100,2,FALSE)),0,1)</f>
        <v>1</v>
      </c>
      <c r="N1135" s="3">
        <f t="shared" si="35"/>
        <v>1</v>
      </c>
      <c r="O1135" s="3" t="str">
        <f>IF(ISERROR(VLOOKUP(D1135,Data!$A$2:$C$223100,3,FALSE)),"INACTIVE",VLOOKUP(D1135,Data!$A$2:$C$223100,3,FALSE))</f>
        <v>Current</v>
      </c>
    </row>
    <row r="1136" spans="1:15" x14ac:dyDescent="0.25">
      <c r="A1136" t="s">
        <v>6904</v>
      </c>
      <c r="B1136" t="s">
        <v>6905</v>
      </c>
      <c r="C1136" t="s">
        <v>6906</v>
      </c>
      <c r="D1136" t="s">
        <v>6907</v>
      </c>
      <c r="E1136" t="s">
        <v>6908</v>
      </c>
      <c r="F1136" t="s">
        <v>5</v>
      </c>
      <c r="G1136" t="s">
        <v>5</v>
      </c>
      <c r="H1136" t="s">
        <v>5</v>
      </c>
      <c r="I1136" t="s">
        <v>6909</v>
      </c>
      <c r="J1136" t="s">
        <v>96</v>
      </c>
      <c r="K1136" s="3">
        <f t="shared" si="34"/>
        <v>0</v>
      </c>
      <c r="L1136" s="3">
        <f>IF(ISERROR(VLOOKUP(J1136,Lookups!$A$2:$A$16,1,FALSE)),1,0)</f>
        <v>0</v>
      </c>
      <c r="M1136" s="3">
        <f>IF(ISERROR(VLOOKUP(D1136,Data!$A$2:$D$223100,2,FALSE)),0,1)</f>
        <v>0</v>
      </c>
      <c r="N1136" s="3">
        <f t="shared" si="35"/>
        <v>0</v>
      </c>
      <c r="O1136" s="3" t="str">
        <f>IF(ISERROR(VLOOKUP(D1136,Data!$A$2:$C$223100,3,FALSE)),"INACTIVE",VLOOKUP(D1136,Data!$A$2:$C$223100,3,FALSE))</f>
        <v>INACTIVE</v>
      </c>
    </row>
    <row r="1137" spans="1:15" x14ac:dyDescent="0.25">
      <c r="A1137" t="s">
        <v>6904</v>
      </c>
      <c r="B1137" t="s">
        <v>6905</v>
      </c>
      <c r="C1137" t="s">
        <v>6906</v>
      </c>
      <c r="D1137" t="s">
        <v>6907</v>
      </c>
      <c r="E1137" t="s">
        <v>6910</v>
      </c>
      <c r="F1137" t="s">
        <v>5</v>
      </c>
      <c r="G1137" t="s">
        <v>5</v>
      </c>
      <c r="H1137" t="s">
        <v>5</v>
      </c>
      <c r="I1137" t="s">
        <v>6909</v>
      </c>
      <c r="J1137" t="s">
        <v>96</v>
      </c>
      <c r="K1137" s="3">
        <f t="shared" si="34"/>
        <v>0</v>
      </c>
      <c r="L1137" s="3">
        <f>IF(ISERROR(VLOOKUP(J1137,Lookups!$A$2:$A$16,1,FALSE)),1,0)</f>
        <v>0</v>
      </c>
      <c r="M1137" s="3">
        <f>IF(ISERROR(VLOOKUP(D1137,Data!$A$2:$D$223100,2,FALSE)),0,1)</f>
        <v>0</v>
      </c>
      <c r="N1137" s="3">
        <f t="shared" si="35"/>
        <v>0</v>
      </c>
      <c r="O1137" s="3" t="str">
        <f>IF(ISERROR(VLOOKUP(D1137,Data!$A$2:$C$223100,3,FALSE)),"INACTIVE",VLOOKUP(D1137,Data!$A$2:$C$223100,3,FALSE))</f>
        <v>INACTIVE</v>
      </c>
    </row>
    <row r="1138" spans="1:15" x14ac:dyDescent="0.25">
      <c r="A1138" t="s">
        <v>6904</v>
      </c>
      <c r="B1138" t="s">
        <v>6905</v>
      </c>
      <c r="C1138" t="s">
        <v>6906</v>
      </c>
      <c r="D1138" t="s">
        <v>6907</v>
      </c>
      <c r="E1138" t="s">
        <v>6910</v>
      </c>
      <c r="F1138" t="s">
        <v>5</v>
      </c>
      <c r="G1138" t="s">
        <v>5</v>
      </c>
      <c r="H1138" t="s">
        <v>5</v>
      </c>
      <c r="I1138" t="s">
        <v>6909</v>
      </c>
      <c r="J1138" t="s">
        <v>96</v>
      </c>
      <c r="K1138" s="3">
        <f t="shared" si="34"/>
        <v>0</v>
      </c>
      <c r="L1138" s="3">
        <f>IF(ISERROR(VLOOKUP(J1138,Lookups!$A$2:$A$16,1,FALSE)),1,0)</f>
        <v>0</v>
      </c>
      <c r="M1138" s="3">
        <f>IF(ISERROR(VLOOKUP(D1138,Data!$A$2:$D$223100,2,FALSE)),0,1)</f>
        <v>0</v>
      </c>
      <c r="N1138" s="3">
        <f t="shared" si="35"/>
        <v>0</v>
      </c>
      <c r="O1138" s="3" t="str">
        <f>IF(ISERROR(VLOOKUP(D1138,Data!$A$2:$C$223100,3,FALSE)),"INACTIVE",VLOOKUP(D1138,Data!$A$2:$C$223100,3,FALSE))</f>
        <v>INACTIVE</v>
      </c>
    </row>
    <row r="1139" spans="1:15" x14ac:dyDescent="0.25">
      <c r="A1139" t="s">
        <v>7082</v>
      </c>
      <c r="B1139" t="s">
        <v>7083</v>
      </c>
      <c r="C1139" t="s">
        <v>7084</v>
      </c>
      <c r="D1139" t="s">
        <v>7085</v>
      </c>
      <c r="E1139" t="s">
        <v>7086</v>
      </c>
      <c r="F1139" t="s">
        <v>5</v>
      </c>
      <c r="G1139" t="s">
        <v>5</v>
      </c>
      <c r="H1139" t="s">
        <v>5</v>
      </c>
      <c r="I1139" t="s">
        <v>6909</v>
      </c>
      <c r="J1139" t="s">
        <v>14</v>
      </c>
      <c r="K1139" s="3">
        <f t="shared" si="34"/>
        <v>0</v>
      </c>
      <c r="L1139" s="3">
        <f>IF(ISERROR(VLOOKUP(J1139,Lookups!$A$2:$A$16,1,FALSE)),1,0)</f>
        <v>1</v>
      </c>
      <c r="M1139" s="3">
        <f>IF(ISERROR(VLOOKUP(D1139,Data!$A$2:$D$223100,2,FALSE)),0,1)</f>
        <v>0</v>
      </c>
      <c r="N1139" s="3">
        <f t="shared" si="35"/>
        <v>0</v>
      </c>
      <c r="O1139" s="3" t="str">
        <f>IF(ISERROR(VLOOKUP(D1139,Data!$A$2:$C$223100,3,FALSE)),"INACTIVE",VLOOKUP(D1139,Data!$A$2:$C$223100,3,FALSE))</f>
        <v>INACTIVE</v>
      </c>
    </row>
    <row r="1140" spans="1:15" x14ac:dyDescent="0.25">
      <c r="A1140" t="s">
        <v>7082</v>
      </c>
      <c r="B1140" t="s">
        <v>7083</v>
      </c>
      <c r="C1140" t="s">
        <v>7084</v>
      </c>
      <c r="D1140" t="s">
        <v>7085</v>
      </c>
      <c r="E1140" t="s">
        <v>7087</v>
      </c>
      <c r="F1140" t="s">
        <v>5</v>
      </c>
      <c r="G1140" t="s">
        <v>5</v>
      </c>
      <c r="H1140" t="s">
        <v>5</v>
      </c>
      <c r="I1140" t="s">
        <v>6909</v>
      </c>
      <c r="J1140" t="s">
        <v>14</v>
      </c>
      <c r="K1140" s="3">
        <f t="shared" si="34"/>
        <v>0</v>
      </c>
      <c r="L1140" s="3">
        <f>IF(ISERROR(VLOOKUP(J1140,Lookups!$A$2:$A$16,1,FALSE)),1,0)</f>
        <v>1</v>
      </c>
      <c r="M1140" s="3">
        <f>IF(ISERROR(VLOOKUP(D1140,Data!$A$2:$D$223100,2,FALSE)),0,1)</f>
        <v>0</v>
      </c>
      <c r="N1140" s="3">
        <f t="shared" si="35"/>
        <v>0</v>
      </c>
      <c r="O1140" s="3" t="str">
        <f>IF(ISERROR(VLOOKUP(D1140,Data!$A$2:$C$223100,3,FALSE)),"INACTIVE",VLOOKUP(D1140,Data!$A$2:$C$223100,3,FALSE))</f>
        <v>INACTIVE</v>
      </c>
    </row>
    <row r="1141" spans="1:15" x14ac:dyDescent="0.25">
      <c r="A1141" t="s">
        <v>7100</v>
      </c>
      <c r="B1141" t="s">
        <v>7101</v>
      </c>
      <c r="C1141" t="s">
        <v>7102</v>
      </c>
      <c r="D1141" t="s">
        <v>7103</v>
      </c>
      <c r="E1141" t="s">
        <v>7104</v>
      </c>
      <c r="F1141" t="s">
        <v>5</v>
      </c>
      <c r="G1141" t="s">
        <v>5</v>
      </c>
      <c r="H1141" t="s">
        <v>5</v>
      </c>
      <c r="I1141" t="s">
        <v>6909</v>
      </c>
      <c r="J1141" t="s">
        <v>36</v>
      </c>
      <c r="K1141" s="3">
        <f t="shared" si="34"/>
        <v>0</v>
      </c>
      <c r="L1141" s="3">
        <f>IF(ISERROR(VLOOKUP(J1141,Lookups!$A$2:$A$16,1,FALSE)),1,0)</f>
        <v>1</v>
      </c>
      <c r="M1141" s="3">
        <f>IF(ISERROR(VLOOKUP(D1141,Data!$A$2:$D$223100,2,FALSE)),0,1)</f>
        <v>1</v>
      </c>
      <c r="N1141" s="3">
        <f t="shared" si="35"/>
        <v>1</v>
      </c>
      <c r="O1141" s="3" t="str">
        <f>IF(ISERROR(VLOOKUP(D1141,Data!$A$2:$C$223100,3,FALSE)),"INACTIVE",VLOOKUP(D1141,Data!$A$2:$C$223100,3,FALSE))</f>
        <v>180+</v>
      </c>
    </row>
    <row r="1142" spans="1:15" x14ac:dyDescent="0.25">
      <c r="A1142" t="s">
        <v>6947</v>
      </c>
      <c r="B1142" t="s">
        <v>6948</v>
      </c>
      <c r="C1142" t="s">
        <v>6949</v>
      </c>
      <c r="D1142" t="s">
        <v>6950</v>
      </c>
      <c r="E1142" t="s">
        <v>5</v>
      </c>
      <c r="F1142" t="s">
        <v>6951</v>
      </c>
      <c r="G1142" t="s">
        <v>5</v>
      </c>
      <c r="H1142" t="s">
        <v>5</v>
      </c>
      <c r="I1142" t="s">
        <v>6952</v>
      </c>
      <c r="J1142" t="s">
        <v>96</v>
      </c>
      <c r="K1142" s="3">
        <f t="shared" si="34"/>
        <v>0</v>
      </c>
      <c r="L1142" s="3">
        <f>IF(ISERROR(VLOOKUP(J1142,Lookups!$A$2:$A$16,1,FALSE)),1,0)</f>
        <v>0</v>
      </c>
      <c r="M1142" s="3">
        <f>IF(ISERROR(VLOOKUP(D1142,Data!$A$2:$D$223100,2,FALSE)),0,1)</f>
        <v>1</v>
      </c>
      <c r="N1142" s="3">
        <f t="shared" si="35"/>
        <v>0</v>
      </c>
      <c r="O1142" s="3" t="str">
        <f>IF(ISERROR(VLOOKUP(D1142,Data!$A$2:$C$223100,3,FALSE)),"INACTIVE",VLOOKUP(D1142,Data!$A$2:$C$223100,3,FALSE))</f>
        <v>FC</v>
      </c>
    </row>
    <row r="1143" spans="1:15" x14ac:dyDescent="0.25">
      <c r="A1143" t="s">
        <v>6947</v>
      </c>
      <c r="B1143" t="s">
        <v>6948</v>
      </c>
      <c r="C1143" t="s">
        <v>6953</v>
      </c>
      <c r="D1143" t="s">
        <v>6954</v>
      </c>
      <c r="E1143" t="s">
        <v>5</v>
      </c>
      <c r="F1143" t="s">
        <v>6955</v>
      </c>
      <c r="G1143" t="s">
        <v>5</v>
      </c>
      <c r="H1143" t="s">
        <v>5</v>
      </c>
      <c r="I1143" t="s">
        <v>6952</v>
      </c>
      <c r="J1143" t="s">
        <v>96</v>
      </c>
      <c r="K1143" s="3">
        <f t="shared" si="34"/>
        <v>0</v>
      </c>
      <c r="L1143" s="3">
        <f>IF(ISERROR(VLOOKUP(J1143,Lookups!$A$2:$A$16,1,FALSE)),1,0)</f>
        <v>0</v>
      </c>
      <c r="M1143" s="3">
        <f>IF(ISERROR(VLOOKUP(D1143,Data!$A$2:$D$223100,2,FALSE)),0,1)</f>
        <v>0</v>
      </c>
      <c r="N1143" s="3">
        <f t="shared" si="35"/>
        <v>0</v>
      </c>
      <c r="O1143" s="3" t="str">
        <f>IF(ISERROR(VLOOKUP(D1143,Data!$A$2:$C$223100,3,FALSE)),"INACTIVE",VLOOKUP(D1143,Data!$A$2:$C$223100,3,FALSE))</f>
        <v>INACTIVE</v>
      </c>
    </row>
    <row r="1144" spans="1:15" x14ac:dyDescent="0.25">
      <c r="A1144" t="s">
        <v>6947</v>
      </c>
      <c r="B1144" t="s">
        <v>6948</v>
      </c>
      <c r="C1144" t="s">
        <v>6956</v>
      </c>
      <c r="D1144" t="s">
        <v>6957</v>
      </c>
      <c r="E1144" t="s">
        <v>6958</v>
      </c>
      <c r="F1144" t="s">
        <v>6959</v>
      </c>
      <c r="G1144" t="s">
        <v>5</v>
      </c>
      <c r="H1144" t="s">
        <v>5</v>
      </c>
      <c r="I1144" t="s">
        <v>6952</v>
      </c>
      <c r="J1144" t="s">
        <v>96</v>
      </c>
      <c r="K1144" s="3">
        <f t="shared" si="34"/>
        <v>0</v>
      </c>
      <c r="L1144" s="3">
        <f>IF(ISERROR(VLOOKUP(J1144,Lookups!$A$2:$A$16,1,FALSE)),1,0)</f>
        <v>0</v>
      </c>
      <c r="M1144" s="3">
        <f>IF(ISERROR(VLOOKUP(D1144,Data!$A$2:$D$223100,2,FALSE)),0,1)</f>
        <v>1</v>
      </c>
      <c r="N1144" s="3">
        <f t="shared" si="35"/>
        <v>0</v>
      </c>
      <c r="O1144" s="3" t="str">
        <f>IF(ISERROR(VLOOKUP(D1144,Data!$A$2:$C$223100,3,FALSE)),"INACTIVE",VLOOKUP(D1144,Data!$A$2:$C$223100,3,FALSE))</f>
        <v>Current</v>
      </c>
    </row>
    <row r="1145" spans="1:15" x14ac:dyDescent="0.25">
      <c r="A1145" t="s">
        <v>6947</v>
      </c>
      <c r="B1145" t="s">
        <v>6948</v>
      </c>
      <c r="C1145" t="s">
        <v>6960</v>
      </c>
      <c r="D1145" t="s">
        <v>6961</v>
      </c>
      <c r="E1145" t="s">
        <v>6962</v>
      </c>
      <c r="F1145" t="s">
        <v>5</v>
      </c>
      <c r="G1145" t="s">
        <v>5</v>
      </c>
      <c r="H1145" t="s">
        <v>5</v>
      </c>
      <c r="I1145" t="s">
        <v>6952</v>
      </c>
      <c r="J1145" t="s">
        <v>96</v>
      </c>
      <c r="K1145" s="3">
        <f t="shared" si="34"/>
        <v>0</v>
      </c>
      <c r="L1145" s="3">
        <f>IF(ISERROR(VLOOKUP(J1145,Lookups!$A$2:$A$16,1,FALSE)),1,0)</f>
        <v>0</v>
      </c>
      <c r="M1145" s="3">
        <f>IF(ISERROR(VLOOKUP(D1145,Data!$A$2:$D$223100,2,FALSE)),0,1)</f>
        <v>1</v>
      </c>
      <c r="N1145" s="3">
        <f t="shared" si="35"/>
        <v>0</v>
      </c>
      <c r="O1145" s="3" t="str">
        <f>IF(ISERROR(VLOOKUP(D1145,Data!$A$2:$C$223100,3,FALSE)),"INACTIVE",VLOOKUP(D1145,Data!$A$2:$C$223100,3,FALSE))</f>
        <v>FC</v>
      </c>
    </row>
    <row r="1146" spans="1:15" x14ac:dyDescent="0.25">
      <c r="A1146" t="s">
        <v>6947</v>
      </c>
      <c r="B1146" t="s">
        <v>6948</v>
      </c>
      <c r="C1146" t="s">
        <v>6960</v>
      </c>
      <c r="D1146" t="s">
        <v>6961</v>
      </c>
      <c r="E1146" t="s">
        <v>6963</v>
      </c>
      <c r="F1146" t="s">
        <v>5</v>
      </c>
      <c r="G1146" t="s">
        <v>5</v>
      </c>
      <c r="H1146" t="s">
        <v>5</v>
      </c>
      <c r="I1146" t="s">
        <v>6952</v>
      </c>
      <c r="J1146" t="s">
        <v>96</v>
      </c>
      <c r="K1146" s="3">
        <f t="shared" si="34"/>
        <v>0</v>
      </c>
      <c r="L1146" s="3">
        <f>IF(ISERROR(VLOOKUP(J1146,Lookups!$A$2:$A$16,1,FALSE)),1,0)</f>
        <v>0</v>
      </c>
      <c r="M1146" s="3">
        <f>IF(ISERROR(VLOOKUP(D1146,Data!$A$2:$D$223100,2,FALSE)),0,1)</f>
        <v>1</v>
      </c>
      <c r="N1146" s="3">
        <f t="shared" si="35"/>
        <v>0</v>
      </c>
      <c r="O1146" s="3" t="str">
        <f>IF(ISERROR(VLOOKUP(D1146,Data!$A$2:$C$223100,3,FALSE)),"INACTIVE",VLOOKUP(D1146,Data!$A$2:$C$223100,3,FALSE))</f>
        <v>FC</v>
      </c>
    </row>
    <row r="1147" spans="1:15" x14ac:dyDescent="0.25">
      <c r="A1147" t="s">
        <v>6947</v>
      </c>
      <c r="B1147" t="s">
        <v>6948</v>
      </c>
      <c r="C1147" t="s">
        <v>6960</v>
      </c>
      <c r="D1147" t="s">
        <v>6961</v>
      </c>
      <c r="E1147" t="s">
        <v>6964</v>
      </c>
      <c r="F1147" t="s">
        <v>5</v>
      </c>
      <c r="G1147" t="s">
        <v>5</v>
      </c>
      <c r="H1147" t="s">
        <v>5</v>
      </c>
      <c r="I1147" t="s">
        <v>6952</v>
      </c>
      <c r="J1147" t="s">
        <v>96</v>
      </c>
      <c r="K1147" s="3">
        <f t="shared" si="34"/>
        <v>0</v>
      </c>
      <c r="L1147" s="3">
        <f>IF(ISERROR(VLOOKUP(J1147,Lookups!$A$2:$A$16,1,FALSE)),1,0)</f>
        <v>0</v>
      </c>
      <c r="M1147" s="3">
        <f>IF(ISERROR(VLOOKUP(D1147,Data!$A$2:$D$223100,2,FALSE)),0,1)</f>
        <v>1</v>
      </c>
      <c r="N1147" s="3">
        <f t="shared" si="35"/>
        <v>0</v>
      </c>
      <c r="O1147" s="3" t="str">
        <f>IF(ISERROR(VLOOKUP(D1147,Data!$A$2:$C$223100,3,FALSE)),"INACTIVE",VLOOKUP(D1147,Data!$A$2:$C$223100,3,FALSE))</f>
        <v>FC</v>
      </c>
    </row>
    <row r="1148" spans="1:15" x14ac:dyDescent="0.25">
      <c r="A1148" t="s">
        <v>6947</v>
      </c>
      <c r="B1148" t="s">
        <v>6948</v>
      </c>
      <c r="C1148" t="s">
        <v>6960</v>
      </c>
      <c r="D1148" t="s">
        <v>6961</v>
      </c>
      <c r="E1148" t="s">
        <v>6965</v>
      </c>
      <c r="F1148" t="s">
        <v>6965</v>
      </c>
      <c r="G1148" t="s">
        <v>5</v>
      </c>
      <c r="H1148" t="s">
        <v>5</v>
      </c>
      <c r="I1148" t="s">
        <v>6952</v>
      </c>
      <c r="J1148" t="s">
        <v>96</v>
      </c>
      <c r="K1148" s="3">
        <f t="shared" si="34"/>
        <v>0</v>
      </c>
      <c r="L1148" s="3">
        <f>IF(ISERROR(VLOOKUP(J1148,Lookups!$A$2:$A$16,1,FALSE)),1,0)</f>
        <v>0</v>
      </c>
      <c r="M1148" s="3">
        <f>IF(ISERROR(VLOOKUP(D1148,Data!$A$2:$D$223100,2,FALSE)),0,1)</f>
        <v>1</v>
      </c>
      <c r="N1148" s="3">
        <f t="shared" si="35"/>
        <v>0</v>
      </c>
      <c r="O1148" s="3" t="str">
        <f>IF(ISERROR(VLOOKUP(D1148,Data!$A$2:$C$223100,3,FALSE)),"INACTIVE",VLOOKUP(D1148,Data!$A$2:$C$223100,3,FALSE))</f>
        <v>FC</v>
      </c>
    </row>
    <row r="1149" spans="1:15" x14ac:dyDescent="0.25">
      <c r="A1149" t="s">
        <v>6947</v>
      </c>
      <c r="B1149" t="s">
        <v>6948</v>
      </c>
      <c r="C1149" t="s">
        <v>6966</v>
      </c>
      <c r="D1149" t="s">
        <v>6967</v>
      </c>
      <c r="E1149" t="s">
        <v>6968</v>
      </c>
      <c r="F1149" t="s">
        <v>6969</v>
      </c>
      <c r="G1149" t="s">
        <v>5</v>
      </c>
      <c r="H1149" t="s">
        <v>5</v>
      </c>
      <c r="I1149" t="s">
        <v>6952</v>
      </c>
      <c r="J1149" t="s">
        <v>96</v>
      </c>
      <c r="K1149" s="3">
        <f t="shared" si="34"/>
        <v>0</v>
      </c>
      <c r="L1149" s="3">
        <f>IF(ISERROR(VLOOKUP(J1149,Lookups!$A$2:$A$16,1,FALSE)),1,0)</f>
        <v>0</v>
      </c>
      <c r="M1149" s="3">
        <f>IF(ISERROR(VLOOKUP(D1149,Data!$A$2:$D$223100,2,FALSE)),0,1)</f>
        <v>1</v>
      </c>
      <c r="N1149" s="3">
        <f t="shared" si="35"/>
        <v>0</v>
      </c>
      <c r="O1149" s="3" t="str">
        <f>IF(ISERROR(VLOOKUP(D1149,Data!$A$2:$C$223100,3,FALSE)),"INACTIVE",VLOOKUP(D1149,Data!$A$2:$C$223100,3,FALSE))</f>
        <v>FC</v>
      </c>
    </row>
    <row r="1150" spans="1:15" x14ac:dyDescent="0.25">
      <c r="A1150" t="s">
        <v>6947</v>
      </c>
      <c r="B1150" t="s">
        <v>6948</v>
      </c>
      <c r="C1150" t="s">
        <v>6970</v>
      </c>
      <c r="D1150" t="s">
        <v>6971</v>
      </c>
      <c r="E1150" t="s">
        <v>6972</v>
      </c>
      <c r="F1150" t="s">
        <v>5</v>
      </c>
      <c r="G1150" t="s">
        <v>5</v>
      </c>
      <c r="H1150" t="s">
        <v>5</v>
      </c>
      <c r="I1150" t="s">
        <v>6952</v>
      </c>
      <c r="J1150" t="s">
        <v>96</v>
      </c>
      <c r="K1150" s="3">
        <f t="shared" si="34"/>
        <v>0</v>
      </c>
      <c r="L1150" s="3">
        <f>IF(ISERROR(VLOOKUP(J1150,Lookups!$A$2:$A$16,1,FALSE)),1,0)</f>
        <v>0</v>
      </c>
      <c r="M1150" s="3">
        <f>IF(ISERROR(VLOOKUP(D1150,Data!$A$2:$D$223100,2,FALSE)),0,1)</f>
        <v>1</v>
      </c>
      <c r="N1150" s="3">
        <f t="shared" si="35"/>
        <v>0</v>
      </c>
      <c r="O1150" s="3" t="str">
        <f>IF(ISERROR(VLOOKUP(D1150,Data!$A$2:$C$223100,3,FALSE)),"INACTIVE",VLOOKUP(D1150,Data!$A$2:$C$223100,3,FALSE))</f>
        <v>FC</v>
      </c>
    </row>
    <row r="1151" spans="1:15" x14ac:dyDescent="0.25">
      <c r="A1151" t="s">
        <v>6947</v>
      </c>
      <c r="B1151" t="s">
        <v>6948</v>
      </c>
      <c r="C1151" t="s">
        <v>6970</v>
      </c>
      <c r="D1151" t="s">
        <v>6971</v>
      </c>
      <c r="E1151" t="s">
        <v>6973</v>
      </c>
      <c r="F1151" t="s">
        <v>6973</v>
      </c>
      <c r="G1151" t="s">
        <v>5</v>
      </c>
      <c r="H1151" t="s">
        <v>5</v>
      </c>
      <c r="I1151" t="s">
        <v>6952</v>
      </c>
      <c r="J1151" t="s">
        <v>96</v>
      </c>
      <c r="K1151" s="3">
        <f t="shared" si="34"/>
        <v>0</v>
      </c>
      <c r="L1151" s="3">
        <f>IF(ISERROR(VLOOKUP(J1151,Lookups!$A$2:$A$16,1,FALSE)),1,0)</f>
        <v>0</v>
      </c>
      <c r="M1151" s="3">
        <f>IF(ISERROR(VLOOKUP(D1151,Data!$A$2:$D$223100,2,FALSE)),0,1)</f>
        <v>1</v>
      </c>
      <c r="N1151" s="3">
        <f t="shared" si="35"/>
        <v>0</v>
      </c>
      <c r="O1151" s="3" t="str">
        <f>IF(ISERROR(VLOOKUP(D1151,Data!$A$2:$C$223100,3,FALSE)),"INACTIVE",VLOOKUP(D1151,Data!$A$2:$C$223100,3,FALSE))</f>
        <v>FC</v>
      </c>
    </row>
    <row r="1152" spans="1:15" x14ac:dyDescent="0.25">
      <c r="A1152" t="s">
        <v>6947</v>
      </c>
      <c r="B1152" t="s">
        <v>6948</v>
      </c>
      <c r="C1152" t="s">
        <v>6974</v>
      </c>
      <c r="D1152" t="s">
        <v>6975</v>
      </c>
      <c r="E1152" t="s">
        <v>6976</v>
      </c>
      <c r="F1152" t="s">
        <v>6977</v>
      </c>
      <c r="G1152" t="s">
        <v>5</v>
      </c>
      <c r="H1152" t="s">
        <v>5</v>
      </c>
      <c r="I1152" t="s">
        <v>6952</v>
      </c>
      <c r="J1152" t="s">
        <v>96</v>
      </c>
      <c r="K1152" s="3">
        <f t="shared" si="34"/>
        <v>0</v>
      </c>
      <c r="L1152" s="3">
        <f>IF(ISERROR(VLOOKUP(J1152,Lookups!$A$2:$A$16,1,FALSE)),1,0)</f>
        <v>0</v>
      </c>
      <c r="M1152" s="3">
        <f>IF(ISERROR(VLOOKUP(D1152,Data!$A$2:$D$223100,2,FALSE)),0,1)</f>
        <v>1</v>
      </c>
      <c r="N1152" s="3">
        <f t="shared" si="35"/>
        <v>0</v>
      </c>
      <c r="O1152" s="3" t="str">
        <f>IF(ISERROR(VLOOKUP(D1152,Data!$A$2:$C$223100,3,FALSE)),"INACTIVE",VLOOKUP(D1152,Data!$A$2:$C$223100,3,FALSE))</f>
        <v>FC</v>
      </c>
    </row>
    <row r="1153" spans="1:15" x14ac:dyDescent="0.25">
      <c r="A1153" t="s">
        <v>6947</v>
      </c>
      <c r="B1153" t="s">
        <v>6948</v>
      </c>
      <c r="C1153" t="s">
        <v>6978</v>
      </c>
      <c r="D1153" t="s">
        <v>6979</v>
      </c>
      <c r="E1153" t="s">
        <v>6980</v>
      </c>
      <c r="F1153" t="s">
        <v>5</v>
      </c>
      <c r="G1153" t="s">
        <v>5</v>
      </c>
      <c r="H1153" t="s">
        <v>5</v>
      </c>
      <c r="I1153" t="s">
        <v>6952</v>
      </c>
      <c r="J1153" t="s">
        <v>96</v>
      </c>
      <c r="K1153" s="3">
        <f t="shared" si="34"/>
        <v>0</v>
      </c>
      <c r="L1153" s="3">
        <f>IF(ISERROR(VLOOKUP(J1153,Lookups!$A$2:$A$16,1,FALSE)),1,0)</f>
        <v>0</v>
      </c>
      <c r="M1153" s="3">
        <f>IF(ISERROR(VLOOKUP(D1153,Data!$A$2:$D$223100,2,FALSE)),0,1)</f>
        <v>1</v>
      </c>
      <c r="N1153" s="3">
        <f t="shared" si="35"/>
        <v>0</v>
      </c>
      <c r="O1153" s="3" t="str">
        <f>IF(ISERROR(VLOOKUP(D1153,Data!$A$2:$C$223100,3,FALSE)),"INACTIVE",VLOOKUP(D1153,Data!$A$2:$C$223100,3,FALSE))</f>
        <v>Demand Letter</v>
      </c>
    </row>
    <row r="1154" spans="1:15" x14ac:dyDescent="0.25">
      <c r="A1154" t="s">
        <v>6947</v>
      </c>
      <c r="B1154" t="s">
        <v>6948</v>
      </c>
      <c r="C1154" t="s">
        <v>6981</v>
      </c>
      <c r="D1154" t="s">
        <v>6982</v>
      </c>
      <c r="E1154" t="s">
        <v>6983</v>
      </c>
      <c r="F1154" t="s">
        <v>5</v>
      </c>
      <c r="G1154" t="s">
        <v>5</v>
      </c>
      <c r="H1154" t="s">
        <v>5</v>
      </c>
      <c r="I1154" t="s">
        <v>6952</v>
      </c>
      <c r="J1154" t="s">
        <v>96</v>
      </c>
      <c r="K1154" s="3">
        <f t="shared" si="34"/>
        <v>0</v>
      </c>
      <c r="L1154" s="3">
        <f>IF(ISERROR(VLOOKUP(J1154,Lookups!$A$2:$A$16,1,FALSE)),1,0)</f>
        <v>0</v>
      </c>
      <c r="M1154" s="3">
        <f>IF(ISERROR(VLOOKUP(D1154,Data!$A$2:$D$223100,2,FALSE)),0,1)</f>
        <v>1</v>
      </c>
      <c r="N1154" s="3">
        <f t="shared" si="35"/>
        <v>0</v>
      </c>
      <c r="O1154" s="3" t="str">
        <f>IF(ISERROR(VLOOKUP(D1154,Data!$A$2:$C$223100,3,FALSE)),"INACTIVE",VLOOKUP(D1154,Data!$A$2:$C$223100,3,FALSE))</f>
        <v>FC</v>
      </c>
    </row>
    <row r="1155" spans="1:15" x14ac:dyDescent="0.25">
      <c r="A1155" t="s">
        <v>6947</v>
      </c>
      <c r="B1155" t="s">
        <v>6948</v>
      </c>
      <c r="C1155" t="s">
        <v>6981</v>
      </c>
      <c r="D1155" t="s">
        <v>6982</v>
      </c>
      <c r="E1155" t="s">
        <v>6984</v>
      </c>
      <c r="F1155" t="s">
        <v>5</v>
      </c>
      <c r="G1155" t="s">
        <v>5</v>
      </c>
      <c r="H1155" t="s">
        <v>5</v>
      </c>
      <c r="I1155" t="s">
        <v>6952</v>
      </c>
      <c r="J1155" t="s">
        <v>96</v>
      </c>
      <c r="K1155" s="3">
        <f t="shared" ref="K1155:K1218" si="36">IF(ISERROR(FIND("LIEN",A1155,1)),0,1)</f>
        <v>0</v>
      </c>
      <c r="L1155" s="3">
        <f>IF(ISERROR(VLOOKUP(J1155,Lookups!$A$2:$A$16,1,FALSE)),1,0)</f>
        <v>0</v>
      </c>
      <c r="M1155" s="3">
        <f>IF(ISERROR(VLOOKUP(D1155,Data!$A$2:$D$223100,2,FALSE)),0,1)</f>
        <v>1</v>
      </c>
      <c r="N1155" s="3">
        <f t="shared" ref="N1155:N1218" si="37">IF(M1155=0,0,IF(SUM(K1155:L1155)&gt;0,1,0))</f>
        <v>0</v>
      </c>
      <c r="O1155" s="3" t="str">
        <f>IF(ISERROR(VLOOKUP(D1155,Data!$A$2:$C$223100,3,FALSE)),"INACTIVE",VLOOKUP(D1155,Data!$A$2:$C$223100,3,FALSE))</f>
        <v>FC</v>
      </c>
    </row>
    <row r="1156" spans="1:15" x14ac:dyDescent="0.25">
      <c r="A1156" t="s">
        <v>6947</v>
      </c>
      <c r="B1156" t="s">
        <v>6948</v>
      </c>
      <c r="C1156" t="s">
        <v>6981</v>
      </c>
      <c r="D1156" t="s">
        <v>6982</v>
      </c>
      <c r="E1156" t="s">
        <v>6985</v>
      </c>
      <c r="F1156" t="s">
        <v>6985</v>
      </c>
      <c r="G1156" t="s">
        <v>5</v>
      </c>
      <c r="H1156" t="s">
        <v>5</v>
      </c>
      <c r="I1156" t="s">
        <v>6952</v>
      </c>
      <c r="J1156" t="s">
        <v>96</v>
      </c>
      <c r="K1156" s="3">
        <f t="shared" si="36"/>
        <v>0</v>
      </c>
      <c r="L1156" s="3">
        <f>IF(ISERROR(VLOOKUP(J1156,Lookups!$A$2:$A$16,1,FALSE)),1,0)</f>
        <v>0</v>
      </c>
      <c r="M1156" s="3">
        <f>IF(ISERROR(VLOOKUP(D1156,Data!$A$2:$D$223100,2,FALSE)),0,1)</f>
        <v>1</v>
      </c>
      <c r="N1156" s="3">
        <f t="shared" si="37"/>
        <v>0</v>
      </c>
      <c r="O1156" s="3" t="str">
        <f>IF(ISERROR(VLOOKUP(D1156,Data!$A$2:$C$223100,3,FALSE)),"INACTIVE",VLOOKUP(D1156,Data!$A$2:$C$223100,3,FALSE))</f>
        <v>FC</v>
      </c>
    </row>
    <row r="1157" spans="1:15" x14ac:dyDescent="0.25">
      <c r="A1157" t="s">
        <v>6947</v>
      </c>
      <c r="B1157" t="s">
        <v>6948</v>
      </c>
      <c r="C1157" t="s">
        <v>6986</v>
      </c>
      <c r="D1157" t="s">
        <v>6987</v>
      </c>
      <c r="E1157" t="s">
        <v>6988</v>
      </c>
      <c r="F1157" t="s">
        <v>6988</v>
      </c>
      <c r="G1157" t="s">
        <v>5</v>
      </c>
      <c r="H1157" t="s">
        <v>5</v>
      </c>
      <c r="I1157" t="s">
        <v>6952</v>
      </c>
      <c r="J1157" t="s">
        <v>96</v>
      </c>
      <c r="K1157" s="3">
        <f t="shared" si="36"/>
        <v>0</v>
      </c>
      <c r="L1157" s="3">
        <f>IF(ISERROR(VLOOKUP(J1157,Lookups!$A$2:$A$16,1,FALSE)),1,0)</f>
        <v>0</v>
      </c>
      <c r="M1157" s="3">
        <f>IF(ISERROR(VLOOKUP(D1157,Data!$A$2:$D$223100,2,FALSE)),0,1)</f>
        <v>1</v>
      </c>
      <c r="N1157" s="3">
        <f t="shared" si="37"/>
        <v>0</v>
      </c>
      <c r="O1157" s="3" t="str">
        <f>IF(ISERROR(VLOOKUP(D1157,Data!$A$2:$C$223100,3,FALSE)),"INACTIVE",VLOOKUP(D1157,Data!$A$2:$C$223100,3,FALSE))</f>
        <v>FC</v>
      </c>
    </row>
    <row r="1158" spans="1:15" x14ac:dyDescent="0.25">
      <c r="A1158" t="s">
        <v>6947</v>
      </c>
      <c r="B1158" t="s">
        <v>6948</v>
      </c>
      <c r="C1158" t="s">
        <v>6989</v>
      </c>
      <c r="D1158" t="s">
        <v>6990</v>
      </c>
      <c r="E1158" t="s">
        <v>6991</v>
      </c>
      <c r="F1158" t="s">
        <v>6991</v>
      </c>
      <c r="G1158" t="s">
        <v>5</v>
      </c>
      <c r="H1158" t="s">
        <v>5</v>
      </c>
      <c r="I1158" t="s">
        <v>6952</v>
      </c>
      <c r="J1158" t="s">
        <v>96</v>
      </c>
      <c r="K1158" s="3">
        <f t="shared" si="36"/>
        <v>0</v>
      </c>
      <c r="L1158" s="3">
        <f>IF(ISERROR(VLOOKUP(J1158,Lookups!$A$2:$A$16,1,FALSE)),1,0)</f>
        <v>0</v>
      </c>
      <c r="M1158" s="3">
        <f>IF(ISERROR(VLOOKUP(D1158,Data!$A$2:$D$223100,2,FALSE)),0,1)</f>
        <v>0</v>
      </c>
      <c r="N1158" s="3">
        <f t="shared" si="37"/>
        <v>0</v>
      </c>
      <c r="O1158" s="3" t="str">
        <f>IF(ISERROR(VLOOKUP(D1158,Data!$A$2:$C$223100,3,FALSE)),"INACTIVE",VLOOKUP(D1158,Data!$A$2:$C$223100,3,FALSE))</f>
        <v>INACTIVE</v>
      </c>
    </row>
    <row r="1159" spans="1:15" x14ac:dyDescent="0.25">
      <c r="A1159" t="s">
        <v>6947</v>
      </c>
      <c r="B1159" t="s">
        <v>6948</v>
      </c>
      <c r="C1159" t="s">
        <v>6992</v>
      </c>
      <c r="D1159" t="s">
        <v>6993</v>
      </c>
      <c r="E1159" t="s">
        <v>5</v>
      </c>
      <c r="F1159" t="s">
        <v>6994</v>
      </c>
      <c r="G1159" t="s">
        <v>5</v>
      </c>
      <c r="H1159" t="s">
        <v>5</v>
      </c>
      <c r="I1159" t="s">
        <v>6952</v>
      </c>
      <c r="J1159" t="s">
        <v>96</v>
      </c>
      <c r="K1159" s="3">
        <f t="shared" si="36"/>
        <v>0</v>
      </c>
      <c r="L1159" s="3">
        <f>IF(ISERROR(VLOOKUP(J1159,Lookups!$A$2:$A$16,1,FALSE)),1,0)</f>
        <v>0</v>
      </c>
      <c r="M1159" s="3">
        <f>IF(ISERROR(VLOOKUP(D1159,Data!$A$2:$D$223100,2,FALSE)),0,1)</f>
        <v>1</v>
      </c>
      <c r="N1159" s="3">
        <f t="shared" si="37"/>
        <v>0</v>
      </c>
      <c r="O1159" s="3" t="str">
        <f>IF(ISERROR(VLOOKUP(D1159,Data!$A$2:$C$223100,3,FALSE)),"INACTIVE",VLOOKUP(D1159,Data!$A$2:$C$223100,3,FALSE))</f>
        <v>180+</v>
      </c>
    </row>
    <row r="1160" spans="1:15" x14ac:dyDescent="0.25">
      <c r="A1160" t="s">
        <v>6947</v>
      </c>
      <c r="B1160" t="s">
        <v>6948</v>
      </c>
      <c r="C1160" t="s">
        <v>6995</v>
      </c>
      <c r="D1160" t="s">
        <v>6996</v>
      </c>
      <c r="E1160" t="s">
        <v>6997</v>
      </c>
      <c r="F1160" t="s">
        <v>6997</v>
      </c>
      <c r="G1160" t="s">
        <v>5</v>
      </c>
      <c r="H1160" t="s">
        <v>5</v>
      </c>
      <c r="I1160" t="s">
        <v>6952</v>
      </c>
      <c r="J1160" t="s">
        <v>96</v>
      </c>
      <c r="K1160" s="3">
        <f t="shared" si="36"/>
        <v>0</v>
      </c>
      <c r="L1160" s="3">
        <f>IF(ISERROR(VLOOKUP(J1160,Lookups!$A$2:$A$16,1,FALSE)),1,0)</f>
        <v>0</v>
      </c>
      <c r="M1160" s="3">
        <f>IF(ISERROR(VLOOKUP(D1160,Data!$A$2:$D$223100,2,FALSE)),0,1)</f>
        <v>1</v>
      </c>
      <c r="N1160" s="3">
        <f t="shared" si="37"/>
        <v>0</v>
      </c>
      <c r="O1160" s="3" t="str">
        <f>IF(ISERROR(VLOOKUP(D1160,Data!$A$2:$C$223100,3,FALSE)),"INACTIVE",VLOOKUP(D1160,Data!$A$2:$C$223100,3,FALSE))</f>
        <v>FC</v>
      </c>
    </row>
    <row r="1161" spans="1:15" x14ac:dyDescent="0.25">
      <c r="A1161" t="s">
        <v>6947</v>
      </c>
      <c r="B1161" t="s">
        <v>6948</v>
      </c>
      <c r="C1161" t="s">
        <v>6998</v>
      </c>
      <c r="D1161" t="s">
        <v>6999</v>
      </c>
      <c r="E1161" t="s">
        <v>7000</v>
      </c>
      <c r="F1161" t="s">
        <v>7000</v>
      </c>
      <c r="G1161" t="s">
        <v>5</v>
      </c>
      <c r="H1161" t="s">
        <v>5</v>
      </c>
      <c r="I1161" t="s">
        <v>6952</v>
      </c>
      <c r="J1161" t="s">
        <v>96</v>
      </c>
      <c r="K1161" s="3">
        <f t="shared" si="36"/>
        <v>0</v>
      </c>
      <c r="L1161" s="3">
        <f>IF(ISERROR(VLOOKUP(J1161,Lookups!$A$2:$A$16,1,FALSE)),1,0)</f>
        <v>0</v>
      </c>
      <c r="M1161" s="3">
        <f>IF(ISERROR(VLOOKUP(D1161,Data!$A$2:$D$223100,2,FALSE)),0,1)</f>
        <v>1</v>
      </c>
      <c r="N1161" s="3">
        <f t="shared" si="37"/>
        <v>0</v>
      </c>
      <c r="O1161" s="3" t="str">
        <f>IF(ISERROR(VLOOKUP(D1161,Data!$A$2:$C$223100,3,FALSE)),"INACTIVE",VLOOKUP(D1161,Data!$A$2:$C$223100,3,FALSE))</f>
        <v>FC</v>
      </c>
    </row>
    <row r="1162" spans="1:15" x14ac:dyDescent="0.25">
      <c r="A1162" t="s">
        <v>7088</v>
      </c>
      <c r="B1162" t="s">
        <v>7089</v>
      </c>
      <c r="C1162" t="s">
        <v>7090</v>
      </c>
      <c r="D1162" t="s">
        <v>7091</v>
      </c>
      <c r="E1162" t="s">
        <v>7092</v>
      </c>
      <c r="F1162" t="s">
        <v>5</v>
      </c>
      <c r="G1162" t="s">
        <v>5</v>
      </c>
      <c r="H1162" t="s">
        <v>5</v>
      </c>
      <c r="I1162" t="s">
        <v>6952</v>
      </c>
      <c r="J1162" t="s">
        <v>96</v>
      </c>
      <c r="K1162" s="3">
        <f t="shared" si="36"/>
        <v>0</v>
      </c>
      <c r="L1162" s="3">
        <f>IF(ISERROR(VLOOKUP(J1162,Lookups!$A$2:$A$16,1,FALSE)),1,0)</f>
        <v>0</v>
      </c>
      <c r="M1162" s="3">
        <f>IF(ISERROR(VLOOKUP(D1162,Data!$A$2:$D$223100,2,FALSE)),0,1)</f>
        <v>1</v>
      </c>
      <c r="N1162" s="3">
        <f t="shared" si="37"/>
        <v>0</v>
      </c>
      <c r="O1162" s="3" t="str">
        <f>IF(ISERROR(VLOOKUP(D1162,Data!$A$2:$C$223100,3,FALSE)),"INACTIVE",VLOOKUP(D1162,Data!$A$2:$C$223100,3,FALSE))</f>
        <v>180+</v>
      </c>
    </row>
    <row r="1163" spans="1:15" x14ac:dyDescent="0.25">
      <c r="A1163" t="s">
        <v>7088</v>
      </c>
      <c r="B1163" t="s">
        <v>7089</v>
      </c>
      <c r="C1163" t="s">
        <v>7090</v>
      </c>
      <c r="D1163" t="s">
        <v>7091</v>
      </c>
      <c r="E1163" t="s">
        <v>7093</v>
      </c>
      <c r="F1163" t="s">
        <v>5</v>
      </c>
      <c r="G1163" t="s">
        <v>5</v>
      </c>
      <c r="H1163" t="s">
        <v>5</v>
      </c>
      <c r="I1163" t="s">
        <v>6952</v>
      </c>
      <c r="J1163" t="s">
        <v>96</v>
      </c>
      <c r="K1163" s="3">
        <f t="shared" si="36"/>
        <v>0</v>
      </c>
      <c r="L1163" s="3">
        <f>IF(ISERROR(VLOOKUP(J1163,Lookups!$A$2:$A$16,1,FALSE)),1,0)</f>
        <v>0</v>
      </c>
      <c r="M1163" s="3">
        <f>IF(ISERROR(VLOOKUP(D1163,Data!$A$2:$D$223100,2,FALSE)),0,1)</f>
        <v>1</v>
      </c>
      <c r="N1163" s="3">
        <f t="shared" si="37"/>
        <v>0</v>
      </c>
      <c r="O1163" s="3" t="str">
        <f>IF(ISERROR(VLOOKUP(D1163,Data!$A$2:$C$223100,3,FALSE)),"INACTIVE",VLOOKUP(D1163,Data!$A$2:$C$223100,3,FALSE))</f>
        <v>180+</v>
      </c>
    </row>
    <row r="1164" spans="1:15" x14ac:dyDescent="0.25">
      <c r="A1164" t="s">
        <v>7088</v>
      </c>
      <c r="B1164" t="s">
        <v>7089</v>
      </c>
      <c r="C1164" t="s">
        <v>7090</v>
      </c>
      <c r="D1164" t="s">
        <v>7091</v>
      </c>
      <c r="E1164" t="s">
        <v>7094</v>
      </c>
      <c r="F1164" t="s">
        <v>5</v>
      </c>
      <c r="G1164" t="s">
        <v>5</v>
      </c>
      <c r="H1164" t="s">
        <v>5</v>
      </c>
      <c r="I1164" t="s">
        <v>6952</v>
      </c>
      <c r="J1164" t="s">
        <v>96</v>
      </c>
      <c r="K1164" s="3">
        <f t="shared" si="36"/>
        <v>0</v>
      </c>
      <c r="L1164" s="3">
        <f>IF(ISERROR(VLOOKUP(J1164,Lookups!$A$2:$A$16,1,FALSE)),1,0)</f>
        <v>0</v>
      </c>
      <c r="M1164" s="3">
        <f>IF(ISERROR(VLOOKUP(D1164,Data!$A$2:$D$223100,2,FALSE)),0,1)</f>
        <v>1</v>
      </c>
      <c r="N1164" s="3">
        <f t="shared" si="37"/>
        <v>0</v>
      </c>
      <c r="O1164" s="3" t="str">
        <f>IF(ISERROR(VLOOKUP(D1164,Data!$A$2:$C$223100,3,FALSE)),"INACTIVE",VLOOKUP(D1164,Data!$A$2:$C$223100,3,FALSE))</f>
        <v>180+</v>
      </c>
    </row>
    <row r="1165" spans="1:15" x14ac:dyDescent="0.25">
      <c r="A1165" t="s">
        <v>7088</v>
      </c>
      <c r="B1165" t="s">
        <v>7089</v>
      </c>
      <c r="C1165" t="s">
        <v>7090</v>
      </c>
      <c r="D1165" t="s">
        <v>7091</v>
      </c>
      <c r="E1165" t="s">
        <v>7095</v>
      </c>
      <c r="F1165" t="s">
        <v>5</v>
      </c>
      <c r="G1165" t="s">
        <v>5</v>
      </c>
      <c r="H1165" t="s">
        <v>5</v>
      </c>
      <c r="I1165" t="s">
        <v>6952</v>
      </c>
      <c r="J1165" t="s">
        <v>96</v>
      </c>
      <c r="K1165" s="3">
        <f t="shared" si="36"/>
        <v>0</v>
      </c>
      <c r="L1165" s="3">
        <f>IF(ISERROR(VLOOKUP(J1165,Lookups!$A$2:$A$16,1,FALSE)),1,0)</f>
        <v>0</v>
      </c>
      <c r="M1165" s="3">
        <f>IF(ISERROR(VLOOKUP(D1165,Data!$A$2:$D$223100,2,FALSE)),0,1)</f>
        <v>1</v>
      </c>
      <c r="N1165" s="3">
        <f t="shared" si="37"/>
        <v>0</v>
      </c>
      <c r="O1165" s="3" t="str">
        <f>IF(ISERROR(VLOOKUP(D1165,Data!$A$2:$C$223100,3,FALSE)),"INACTIVE",VLOOKUP(D1165,Data!$A$2:$C$223100,3,FALSE))</f>
        <v>180+</v>
      </c>
    </row>
    <row r="1166" spans="1:15" x14ac:dyDescent="0.25">
      <c r="A1166" t="s">
        <v>7088</v>
      </c>
      <c r="B1166" t="s">
        <v>7089</v>
      </c>
      <c r="C1166" t="s">
        <v>7090</v>
      </c>
      <c r="D1166" t="s">
        <v>7091</v>
      </c>
      <c r="E1166" t="s">
        <v>7096</v>
      </c>
      <c r="F1166" t="s">
        <v>5</v>
      </c>
      <c r="G1166" t="s">
        <v>5</v>
      </c>
      <c r="H1166" t="s">
        <v>5</v>
      </c>
      <c r="I1166" t="s">
        <v>6952</v>
      </c>
      <c r="J1166" t="s">
        <v>96</v>
      </c>
      <c r="K1166" s="3">
        <f t="shared" si="36"/>
        <v>0</v>
      </c>
      <c r="L1166" s="3">
        <f>IF(ISERROR(VLOOKUP(J1166,Lookups!$A$2:$A$16,1,FALSE)),1,0)</f>
        <v>0</v>
      </c>
      <c r="M1166" s="3">
        <f>IF(ISERROR(VLOOKUP(D1166,Data!$A$2:$D$223100,2,FALSE)),0,1)</f>
        <v>1</v>
      </c>
      <c r="N1166" s="3">
        <f t="shared" si="37"/>
        <v>0</v>
      </c>
      <c r="O1166" s="3" t="str">
        <f>IF(ISERROR(VLOOKUP(D1166,Data!$A$2:$C$223100,3,FALSE)),"INACTIVE",VLOOKUP(D1166,Data!$A$2:$C$223100,3,FALSE))</f>
        <v>180+</v>
      </c>
    </row>
    <row r="1167" spans="1:15" x14ac:dyDescent="0.25">
      <c r="A1167" t="s">
        <v>7088</v>
      </c>
      <c r="B1167" t="s">
        <v>7089</v>
      </c>
      <c r="C1167" t="s">
        <v>7090</v>
      </c>
      <c r="D1167" t="s">
        <v>7091</v>
      </c>
      <c r="E1167" t="s">
        <v>7097</v>
      </c>
      <c r="F1167" t="s">
        <v>5</v>
      </c>
      <c r="G1167" t="s">
        <v>5</v>
      </c>
      <c r="H1167" t="s">
        <v>5</v>
      </c>
      <c r="I1167" t="s">
        <v>6952</v>
      </c>
      <c r="J1167" t="s">
        <v>96</v>
      </c>
      <c r="K1167" s="3">
        <f t="shared" si="36"/>
        <v>0</v>
      </c>
      <c r="L1167" s="3">
        <f>IF(ISERROR(VLOOKUP(J1167,Lookups!$A$2:$A$16,1,FALSE)),1,0)</f>
        <v>0</v>
      </c>
      <c r="M1167" s="3">
        <f>IF(ISERROR(VLOOKUP(D1167,Data!$A$2:$D$223100,2,FALSE)),0,1)</f>
        <v>1</v>
      </c>
      <c r="N1167" s="3">
        <f t="shared" si="37"/>
        <v>0</v>
      </c>
      <c r="O1167" s="3" t="str">
        <f>IF(ISERROR(VLOOKUP(D1167,Data!$A$2:$C$223100,3,FALSE)),"INACTIVE",VLOOKUP(D1167,Data!$A$2:$C$223100,3,FALSE))</f>
        <v>180+</v>
      </c>
    </row>
    <row r="1168" spans="1:15" x14ac:dyDescent="0.25">
      <c r="A1168" t="s">
        <v>7088</v>
      </c>
      <c r="B1168" t="s">
        <v>7089</v>
      </c>
      <c r="C1168" t="s">
        <v>7090</v>
      </c>
      <c r="D1168" t="s">
        <v>7091</v>
      </c>
      <c r="E1168" t="s">
        <v>7097</v>
      </c>
      <c r="F1168" t="s">
        <v>5</v>
      </c>
      <c r="G1168" t="s">
        <v>5</v>
      </c>
      <c r="H1168" t="s">
        <v>5</v>
      </c>
      <c r="I1168" t="s">
        <v>6952</v>
      </c>
      <c r="J1168" t="s">
        <v>96</v>
      </c>
      <c r="K1168" s="3">
        <f t="shared" si="36"/>
        <v>0</v>
      </c>
      <c r="L1168" s="3">
        <f>IF(ISERROR(VLOOKUP(J1168,Lookups!$A$2:$A$16,1,FALSE)),1,0)</f>
        <v>0</v>
      </c>
      <c r="M1168" s="3">
        <f>IF(ISERROR(VLOOKUP(D1168,Data!$A$2:$D$223100,2,FALSE)),0,1)</f>
        <v>1</v>
      </c>
      <c r="N1168" s="3">
        <f t="shared" si="37"/>
        <v>0</v>
      </c>
      <c r="O1168" s="3" t="str">
        <f>IF(ISERROR(VLOOKUP(D1168,Data!$A$2:$C$223100,3,FALSE)),"INACTIVE",VLOOKUP(D1168,Data!$A$2:$C$223100,3,FALSE))</f>
        <v>180+</v>
      </c>
    </row>
    <row r="1169" spans="1:15" x14ac:dyDescent="0.25">
      <c r="A1169" t="s">
        <v>7088</v>
      </c>
      <c r="B1169" t="s">
        <v>7089</v>
      </c>
      <c r="C1169" t="s">
        <v>7090</v>
      </c>
      <c r="D1169" t="s">
        <v>7091</v>
      </c>
      <c r="E1169" t="s">
        <v>7098</v>
      </c>
      <c r="F1169" t="s">
        <v>5</v>
      </c>
      <c r="G1169" t="s">
        <v>5</v>
      </c>
      <c r="H1169" t="s">
        <v>5</v>
      </c>
      <c r="I1169" t="s">
        <v>6952</v>
      </c>
      <c r="J1169" t="s">
        <v>96</v>
      </c>
      <c r="K1169" s="3">
        <f t="shared" si="36"/>
        <v>0</v>
      </c>
      <c r="L1169" s="3">
        <f>IF(ISERROR(VLOOKUP(J1169,Lookups!$A$2:$A$16,1,FALSE)),1,0)</f>
        <v>0</v>
      </c>
      <c r="M1169" s="3">
        <f>IF(ISERROR(VLOOKUP(D1169,Data!$A$2:$D$223100,2,FALSE)),0,1)</f>
        <v>1</v>
      </c>
      <c r="N1169" s="3">
        <f t="shared" si="37"/>
        <v>0</v>
      </c>
      <c r="O1169" s="3" t="str">
        <f>IF(ISERROR(VLOOKUP(D1169,Data!$A$2:$C$223100,3,FALSE)),"INACTIVE",VLOOKUP(D1169,Data!$A$2:$C$223100,3,FALSE))</f>
        <v>180+</v>
      </c>
    </row>
    <row r="1170" spans="1:15" x14ac:dyDescent="0.25">
      <c r="A1170" t="s">
        <v>7088</v>
      </c>
      <c r="B1170" t="s">
        <v>7089</v>
      </c>
      <c r="C1170" t="s">
        <v>7090</v>
      </c>
      <c r="D1170" t="s">
        <v>7091</v>
      </c>
      <c r="E1170" t="s">
        <v>7099</v>
      </c>
      <c r="F1170" t="s">
        <v>5</v>
      </c>
      <c r="G1170" t="s">
        <v>5</v>
      </c>
      <c r="H1170" t="s">
        <v>5</v>
      </c>
      <c r="I1170" t="s">
        <v>6952</v>
      </c>
      <c r="J1170" t="s">
        <v>96</v>
      </c>
      <c r="K1170" s="3">
        <f t="shared" si="36"/>
        <v>0</v>
      </c>
      <c r="L1170" s="3">
        <f>IF(ISERROR(VLOOKUP(J1170,Lookups!$A$2:$A$16,1,FALSE)),1,0)</f>
        <v>0</v>
      </c>
      <c r="M1170" s="3">
        <f>IF(ISERROR(VLOOKUP(D1170,Data!$A$2:$D$223100,2,FALSE)),0,1)</f>
        <v>1</v>
      </c>
      <c r="N1170" s="3">
        <f t="shared" si="37"/>
        <v>0</v>
      </c>
      <c r="O1170" s="3" t="str">
        <f>IF(ISERROR(VLOOKUP(D1170,Data!$A$2:$C$223100,3,FALSE)),"INACTIVE",VLOOKUP(D1170,Data!$A$2:$C$223100,3,FALSE))</f>
        <v>180+</v>
      </c>
    </row>
    <row r="1171" spans="1:15" x14ac:dyDescent="0.25">
      <c r="A1171" t="s">
        <v>7088</v>
      </c>
      <c r="B1171" t="s">
        <v>7089</v>
      </c>
      <c r="C1171" t="s">
        <v>7090</v>
      </c>
      <c r="D1171" t="s">
        <v>7091</v>
      </c>
      <c r="E1171" t="s">
        <v>7099</v>
      </c>
      <c r="F1171" t="s">
        <v>5</v>
      </c>
      <c r="G1171" t="s">
        <v>5</v>
      </c>
      <c r="H1171" t="s">
        <v>5</v>
      </c>
      <c r="I1171" t="s">
        <v>6952</v>
      </c>
      <c r="J1171" t="s">
        <v>96</v>
      </c>
      <c r="K1171" s="3">
        <f t="shared" si="36"/>
        <v>0</v>
      </c>
      <c r="L1171" s="3">
        <f>IF(ISERROR(VLOOKUP(J1171,Lookups!$A$2:$A$16,1,FALSE)),1,0)</f>
        <v>0</v>
      </c>
      <c r="M1171" s="3">
        <f>IF(ISERROR(VLOOKUP(D1171,Data!$A$2:$D$223100,2,FALSE)),0,1)</f>
        <v>1</v>
      </c>
      <c r="N1171" s="3">
        <f t="shared" si="37"/>
        <v>0</v>
      </c>
      <c r="O1171" s="3" t="str">
        <f>IF(ISERROR(VLOOKUP(D1171,Data!$A$2:$C$223100,3,FALSE)),"INACTIVE",VLOOKUP(D1171,Data!$A$2:$C$223100,3,FALSE))</f>
        <v>180+</v>
      </c>
    </row>
    <row r="1172" spans="1:15" x14ac:dyDescent="0.25">
      <c r="A1172" t="s">
        <v>5624</v>
      </c>
      <c r="B1172" t="s">
        <v>6388</v>
      </c>
      <c r="C1172" t="s">
        <v>6389</v>
      </c>
      <c r="D1172" t="s">
        <v>6390</v>
      </c>
      <c r="E1172" t="s">
        <v>6391</v>
      </c>
      <c r="F1172" t="s">
        <v>5</v>
      </c>
      <c r="G1172" t="s">
        <v>5</v>
      </c>
      <c r="H1172" t="s">
        <v>5</v>
      </c>
      <c r="I1172" t="s">
        <v>6392</v>
      </c>
      <c r="J1172" t="s">
        <v>90</v>
      </c>
      <c r="K1172" s="3">
        <f t="shared" si="36"/>
        <v>0</v>
      </c>
      <c r="L1172" s="3">
        <f>IF(ISERROR(VLOOKUP(J1172,Lookups!$A$2:$A$16,1,FALSE)),1,0)</f>
        <v>0</v>
      </c>
      <c r="M1172" s="3">
        <f>IF(ISERROR(VLOOKUP(D1172,Data!$A$2:$D$223100,2,FALSE)),0,1)</f>
        <v>1</v>
      </c>
      <c r="N1172" s="3">
        <f t="shared" si="37"/>
        <v>0</v>
      </c>
      <c r="O1172" s="3" t="str">
        <f>IF(ISERROR(VLOOKUP(D1172,Data!$A$2:$C$223100,3,FALSE)),"INACTIVE",VLOOKUP(D1172,Data!$A$2:$C$223100,3,FALSE))</f>
        <v>Current</v>
      </c>
    </row>
    <row r="1173" spans="1:15" x14ac:dyDescent="0.25">
      <c r="A1173" t="s">
        <v>6665</v>
      </c>
      <c r="B1173" t="s">
        <v>6666</v>
      </c>
      <c r="C1173" t="s">
        <v>6667</v>
      </c>
      <c r="D1173" t="s">
        <v>6668</v>
      </c>
      <c r="E1173" t="s">
        <v>6669</v>
      </c>
      <c r="F1173" t="s">
        <v>5</v>
      </c>
      <c r="G1173" t="s">
        <v>5</v>
      </c>
      <c r="H1173" t="s">
        <v>5</v>
      </c>
      <c r="I1173" t="s">
        <v>6392</v>
      </c>
      <c r="J1173" t="s">
        <v>90</v>
      </c>
      <c r="K1173" s="3">
        <f t="shared" si="36"/>
        <v>0</v>
      </c>
      <c r="L1173" s="3">
        <f>IF(ISERROR(VLOOKUP(J1173,Lookups!$A$2:$A$16,1,FALSE)),1,0)</f>
        <v>0</v>
      </c>
      <c r="M1173" s="3">
        <f>IF(ISERROR(VLOOKUP(D1173,Data!$A$2:$D$223100,2,FALSE)),0,1)</f>
        <v>1</v>
      </c>
      <c r="N1173" s="3">
        <f t="shared" si="37"/>
        <v>0</v>
      </c>
      <c r="O1173" s="3" t="str">
        <f>IF(ISERROR(VLOOKUP(D1173,Data!$A$2:$C$223100,3,FALSE)),"INACTIVE",VLOOKUP(D1173,Data!$A$2:$C$223100,3,FALSE))</f>
        <v>30+</v>
      </c>
    </row>
    <row r="1174" spans="1:15" x14ac:dyDescent="0.25">
      <c r="A1174" t="s">
        <v>6670</v>
      </c>
      <c r="B1174" t="s">
        <v>6671</v>
      </c>
      <c r="C1174" t="s">
        <v>6672</v>
      </c>
      <c r="D1174" t="s">
        <v>6673</v>
      </c>
      <c r="E1174" t="s">
        <v>6674</v>
      </c>
      <c r="F1174" t="s">
        <v>5</v>
      </c>
      <c r="G1174" t="s">
        <v>5</v>
      </c>
      <c r="H1174" t="s">
        <v>5</v>
      </c>
      <c r="I1174" t="s">
        <v>6392</v>
      </c>
      <c r="J1174" t="s">
        <v>90</v>
      </c>
      <c r="K1174" s="3">
        <f t="shared" si="36"/>
        <v>0</v>
      </c>
      <c r="L1174" s="3">
        <f>IF(ISERROR(VLOOKUP(J1174,Lookups!$A$2:$A$16,1,FALSE)),1,0)</f>
        <v>0</v>
      </c>
      <c r="M1174" s="3">
        <f>IF(ISERROR(VLOOKUP(D1174,Data!$A$2:$D$223100,2,FALSE)),0,1)</f>
        <v>1</v>
      </c>
      <c r="N1174" s="3">
        <f t="shared" si="37"/>
        <v>0</v>
      </c>
      <c r="O1174" s="3" t="str">
        <f>IF(ISERROR(VLOOKUP(D1174,Data!$A$2:$C$223100,3,FALSE)),"INACTIVE",VLOOKUP(D1174,Data!$A$2:$C$223100,3,FALSE))</f>
        <v>FC</v>
      </c>
    </row>
    <row r="1175" spans="1:15" x14ac:dyDescent="0.25">
      <c r="A1175" t="s">
        <v>6769</v>
      </c>
      <c r="B1175" t="s">
        <v>6770</v>
      </c>
      <c r="C1175" t="s">
        <v>6771</v>
      </c>
      <c r="D1175" t="s">
        <v>6772</v>
      </c>
      <c r="E1175" t="s">
        <v>6773</v>
      </c>
      <c r="F1175" t="s">
        <v>5</v>
      </c>
      <c r="G1175" t="s">
        <v>5</v>
      </c>
      <c r="H1175" t="s">
        <v>5</v>
      </c>
      <c r="I1175" t="s">
        <v>6392</v>
      </c>
      <c r="J1175" t="s">
        <v>36</v>
      </c>
      <c r="K1175" s="3">
        <f t="shared" si="36"/>
        <v>0</v>
      </c>
      <c r="L1175" s="3">
        <f>IF(ISERROR(VLOOKUP(J1175,Lookups!$A$2:$A$16,1,FALSE)),1,0)</f>
        <v>1</v>
      </c>
      <c r="M1175" s="3">
        <f>IF(ISERROR(VLOOKUP(D1175,Data!$A$2:$D$223100,2,FALSE)),0,1)</f>
        <v>1</v>
      </c>
      <c r="N1175" s="3">
        <f t="shared" si="37"/>
        <v>1</v>
      </c>
      <c r="O1175" s="3" t="str">
        <f>IF(ISERROR(VLOOKUP(D1175,Data!$A$2:$C$223100,3,FALSE)),"INACTIVE",VLOOKUP(D1175,Data!$A$2:$C$223100,3,FALSE))</f>
        <v>Demand Letter</v>
      </c>
    </row>
    <row r="1176" spans="1:15" x14ac:dyDescent="0.25">
      <c r="A1176" t="s">
        <v>6825</v>
      </c>
      <c r="B1176" t="s">
        <v>6826</v>
      </c>
      <c r="C1176" t="s">
        <v>6827</v>
      </c>
      <c r="D1176" t="s">
        <v>6828</v>
      </c>
      <c r="E1176" t="s">
        <v>6829</v>
      </c>
      <c r="F1176" t="s">
        <v>5</v>
      </c>
      <c r="G1176" t="s">
        <v>5</v>
      </c>
      <c r="H1176" t="s">
        <v>5</v>
      </c>
      <c r="I1176" t="s">
        <v>6392</v>
      </c>
      <c r="J1176" t="s">
        <v>14</v>
      </c>
      <c r="K1176" s="3">
        <f t="shared" si="36"/>
        <v>0</v>
      </c>
      <c r="L1176" s="3">
        <f>IF(ISERROR(VLOOKUP(J1176,Lookups!$A$2:$A$16,1,FALSE)),1,0)</f>
        <v>1</v>
      </c>
      <c r="M1176" s="3">
        <f>IF(ISERROR(VLOOKUP(D1176,Data!$A$2:$D$223100,2,FALSE)),0,1)</f>
        <v>1</v>
      </c>
      <c r="N1176" s="3">
        <f t="shared" si="37"/>
        <v>1</v>
      </c>
      <c r="O1176" s="3" t="str">
        <f>IF(ISERROR(VLOOKUP(D1176,Data!$A$2:$C$223100,3,FALSE)),"INACTIVE",VLOOKUP(D1176,Data!$A$2:$C$223100,3,FALSE))</f>
        <v>FBA</v>
      </c>
    </row>
    <row r="1177" spans="1:15" x14ac:dyDescent="0.25">
      <c r="A1177" t="s">
        <v>6830</v>
      </c>
      <c r="B1177" t="s">
        <v>6831</v>
      </c>
      <c r="C1177" t="s">
        <v>6832</v>
      </c>
      <c r="D1177" t="s">
        <v>6833</v>
      </c>
      <c r="E1177" t="s">
        <v>5</v>
      </c>
      <c r="F1177" t="s">
        <v>6834</v>
      </c>
      <c r="G1177" t="s">
        <v>5</v>
      </c>
      <c r="H1177" t="s">
        <v>5</v>
      </c>
      <c r="I1177" t="s">
        <v>6392</v>
      </c>
      <c r="J1177" t="s">
        <v>7</v>
      </c>
      <c r="K1177" s="3">
        <f t="shared" si="36"/>
        <v>0</v>
      </c>
      <c r="L1177" s="3">
        <f>IF(ISERROR(VLOOKUP(J1177,Lookups!$A$2:$A$16,1,FALSE)),1,0)</f>
        <v>1</v>
      </c>
      <c r="M1177" s="3">
        <f>IF(ISERROR(VLOOKUP(D1177,Data!$A$2:$D$223100,2,FALSE)),0,1)</f>
        <v>1</v>
      </c>
      <c r="N1177" s="3">
        <f t="shared" si="37"/>
        <v>1</v>
      </c>
      <c r="O1177" s="3" t="str">
        <f>IF(ISERROR(VLOOKUP(D1177,Data!$A$2:$C$223100,3,FALSE)),"INACTIVE",VLOOKUP(D1177,Data!$A$2:$C$223100,3,FALSE))</f>
        <v>60+</v>
      </c>
    </row>
    <row r="1178" spans="1:15" x14ac:dyDescent="0.25">
      <c r="A1178" t="s">
        <v>6830</v>
      </c>
      <c r="B1178" t="s">
        <v>6831</v>
      </c>
      <c r="C1178" t="s">
        <v>6835</v>
      </c>
      <c r="D1178" t="s">
        <v>6836</v>
      </c>
      <c r="E1178" t="s">
        <v>5</v>
      </c>
      <c r="F1178" t="s">
        <v>6837</v>
      </c>
      <c r="G1178" t="s">
        <v>5</v>
      </c>
      <c r="H1178" t="s">
        <v>5</v>
      </c>
      <c r="I1178" t="s">
        <v>6392</v>
      </c>
      <c r="J1178" t="s">
        <v>7</v>
      </c>
      <c r="K1178" s="3">
        <f t="shared" si="36"/>
        <v>0</v>
      </c>
      <c r="L1178" s="3">
        <f>IF(ISERROR(VLOOKUP(J1178,Lookups!$A$2:$A$16,1,FALSE)),1,0)</f>
        <v>1</v>
      </c>
      <c r="M1178" s="3">
        <f>IF(ISERROR(VLOOKUP(D1178,Data!$A$2:$D$223100,2,FALSE)),0,1)</f>
        <v>0</v>
      </c>
      <c r="N1178" s="3">
        <f t="shared" si="37"/>
        <v>0</v>
      </c>
      <c r="O1178" s="3" t="str">
        <f>IF(ISERROR(VLOOKUP(D1178,Data!$A$2:$C$223100,3,FALSE)),"INACTIVE",VLOOKUP(D1178,Data!$A$2:$C$223100,3,FALSE))</f>
        <v>INACTIVE</v>
      </c>
    </row>
    <row r="1179" spans="1:15" x14ac:dyDescent="0.25">
      <c r="A1179" t="s">
        <v>7041</v>
      </c>
      <c r="B1179" t="s">
        <v>7042</v>
      </c>
      <c r="C1179" t="s">
        <v>7043</v>
      </c>
      <c r="D1179" t="s">
        <v>7044</v>
      </c>
      <c r="E1179" t="s">
        <v>7045</v>
      </c>
      <c r="F1179" t="s">
        <v>5</v>
      </c>
      <c r="G1179" t="s">
        <v>5</v>
      </c>
      <c r="H1179" t="s">
        <v>5</v>
      </c>
      <c r="I1179" t="s">
        <v>6392</v>
      </c>
      <c r="J1179" t="s">
        <v>14</v>
      </c>
      <c r="K1179" s="3">
        <f t="shared" si="36"/>
        <v>0</v>
      </c>
      <c r="L1179" s="3">
        <f>IF(ISERROR(VLOOKUP(J1179,Lookups!$A$2:$A$16,1,FALSE)),1,0)</f>
        <v>1</v>
      </c>
      <c r="M1179" s="3">
        <f>IF(ISERROR(VLOOKUP(D1179,Data!$A$2:$D$223100,2,FALSE)),0,1)</f>
        <v>1</v>
      </c>
      <c r="N1179" s="3">
        <f t="shared" si="37"/>
        <v>1</v>
      </c>
      <c r="O1179" s="3" t="str">
        <f>IF(ISERROR(VLOOKUP(D1179,Data!$A$2:$C$223100,3,FALSE)),"INACTIVE",VLOOKUP(D1179,Data!$A$2:$C$223100,3,FALSE))</f>
        <v>30+</v>
      </c>
    </row>
    <row r="1180" spans="1:15" x14ac:dyDescent="0.25">
      <c r="A1180" t="s">
        <v>7041</v>
      </c>
      <c r="B1180" t="s">
        <v>7042</v>
      </c>
      <c r="C1180" t="s">
        <v>7046</v>
      </c>
      <c r="D1180" t="s">
        <v>7047</v>
      </c>
      <c r="E1180" t="s">
        <v>7048</v>
      </c>
      <c r="F1180" t="s">
        <v>5</v>
      </c>
      <c r="G1180" t="s">
        <v>5</v>
      </c>
      <c r="H1180" t="s">
        <v>5</v>
      </c>
      <c r="I1180" t="s">
        <v>6392</v>
      </c>
      <c r="J1180" t="s">
        <v>14</v>
      </c>
      <c r="K1180" s="3">
        <f t="shared" si="36"/>
        <v>0</v>
      </c>
      <c r="L1180" s="3">
        <f>IF(ISERROR(VLOOKUP(J1180,Lookups!$A$2:$A$16,1,FALSE)),1,0)</f>
        <v>1</v>
      </c>
      <c r="M1180" s="3">
        <f>IF(ISERROR(VLOOKUP(D1180,Data!$A$2:$D$223100,2,FALSE)),0,1)</f>
        <v>1</v>
      </c>
      <c r="N1180" s="3">
        <f t="shared" si="37"/>
        <v>1</v>
      </c>
      <c r="O1180" s="3" t="str">
        <f>IF(ISERROR(VLOOKUP(D1180,Data!$A$2:$C$223100,3,FALSE)),"INACTIVE",VLOOKUP(D1180,Data!$A$2:$C$223100,3,FALSE))</f>
        <v>60+</v>
      </c>
    </row>
    <row r="1181" spans="1:15" x14ac:dyDescent="0.25">
      <c r="A1181" t="s">
        <v>7041</v>
      </c>
      <c r="B1181" t="s">
        <v>7042</v>
      </c>
      <c r="C1181" t="s">
        <v>7049</v>
      </c>
      <c r="D1181" t="s">
        <v>7050</v>
      </c>
      <c r="E1181" t="s">
        <v>7051</v>
      </c>
      <c r="F1181" t="s">
        <v>5</v>
      </c>
      <c r="G1181" t="s">
        <v>5</v>
      </c>
      <c r="H1181" t="s">
        <v>5</v>
      </c>
      <c r="I1181" t="s">
        <v>6392</v>
      </c>
      <c r="J1181" t="s">
        <v>96</v>
      </c>
      <c r="K1181" s="3">
        <f t="shared" si="36"/>
        <v>0</v>
      </c>
      <c r="L1181" s="3">
        <f>IF(ISERROR(VLOOKUP(J1181,Lookups!$A$2:$A$16,1,FALSE)),1,0)</f>
        <v>0</v>
      </c>
      <c r="M1181" s="3">
        <f>IF(ISERROR(VLOOKUP(D1181,Data!$A$2:$D$223100,2,FALSE)),0,1)</f>
        <v>0</v>
      </c>
      <c r="N1181" s="3">
        <f t="shared" si="37"/>
        <v>0</v>
      </c>
      <c r="O1181" s="3" t="str">
        <f>IF(ISERROR(VLOOKUP(D1181,Data!$A$2:$C$223100,3,FALSE)),"INACTIVE",VLOOKUP(D1181,Data!$A$2:$C$223100,3,FALSE))</f>
        <v>INACTIVE</v>
      </c>
    </row>
    <row r="1182" spans="1:15" x14ac:dyDescent="0.25">
      <c r="A1182" t="s">
        <v>7041</v>
      </c>
      <c r="B1182" t="s">
        <v>7042</v>
      </c>
      <c r="C1182" t="s">
        <v>7049</v>
      </c>
      <c r="D1182" t="s">
        <v>7050</v>
      </c>
      <c r="E1182" t="s">
        <v>7052</v>
      </c>
      <c r="F1182" t="s">
        <v>5</v>
      </c>
      <c r="G1182" t="s">
        <v>5</v>
      </c>
      <c r="H1182" t="s">
        <v>5</v>
      </c>
      <c r="I1182" t="s">
        <v>6392</v>
      </c>
      <c r="J1182" t="s">
        <v>96</v>
      </c>
      <c r="K1182" s="3">
        <f t="shared" si="36"/>
        <v>0</v>
      </c>
      <c r="L1182" s="3">
        <f>IF(ISERROR(VLOOKUP(J1182,Lookups!$A$2:$A$16,1,FALSE)),1,0)</f>
        <v>0</v>
      </c>
      <c r="M1182" s="3">
        <f>IF(ISERROR(VLOOKUP(D1182,Data!$A$2:$D$223100,2,FALSE)),0,1)</f>
        <v>0</v>
      </c>
      <c r="N1182" s="3">
        <f t="shared" si="37"/>
        <v>0</v>
      </c>
      <c r="O1182" s="3" t="str">
        <f>IF(ISERROR(VLOOKUP(D1182,Data!$A$2:$C$223100,3,FALSE)),"INACTIVE",VLOOKUP(D1182,Data!$A$2:$C$223100,3,FALSE))</f>
        <v>INACTIVE</v>
      </c>
    </row>
    <row r="1183" spans="1:15" x14ac:dyDescent="0.25">
      <c r="A1183" t="s">
        <v>7041</v>
      </c>
      <c r="B1183" t="s">
        <v>7042</v>
      </c>
      <c r="C1183" t="s">
        <v>7053</v>
      </c>
      <c r="D1183" t="s">
        <v>7054</v>
      </c>
      <c r="E1183" t="s">
        <v>7055</v>
      </c>
      <c r="F1183" t="s">
        <v>5</v>
      </c>
      <c r="G1183" t="s">
        <v>5</v>
      </c>
      <c r="H1183" t="s">
        <v>5</v>
      </c>
      <c r="I1183" t="s">
        <v>6392</v>
      </c>
      <c r="J1183" t="s">
        <v>14</v>
      </c>
      <c r="K1183" s="3">
        <f t="shared" si="36"/>
        <v>0</v>
      </c>
      <c r="L1183" s="3">
        <f>IF(ISERROR(VLOOKUP(J1183,Lookups!$A$2:$A$16,1,FALSE)),1,0)</f>
        <v>1</v>
      </c>
      <c r="M1183" s="3">
        <f>IF(ISERROR(VLOOKUP(D1183,Data!$A$2:$D$223100,2,FALSE)),0,1)</f>
        <v>1</v>
      </c>
      <c r="N1183" s="3">
        <f t="shared" si="37"/>
        <v>1</v>
      </c>
      <c r="O1183" s="3" t="str">
        <f>IF(ISERROR(VLOOKUP(D1183,Data!$A$2:$C$223100,3,FALSE)),"INACTIVE",VLOOKUP(D1183,Data!$A$2:$C$223100,3,FALSE))</f>
        <v>FC</v>
      </c>
    </row>
    <row r="1184" spans="1:15" x14ac:dyDescent="0.25">
      <c r="A1184" t="s">
        <v>7041</v>
      </c>
      <c r="B1184" t="s">
        <v>7042</v>
      </c>
      <c r="C1184" t="s">
        <v>7056</v>
      </c>
      <c r="D1184" t="s">
        <v>7057</v>
      </c>
      <c r="E1184" t="s">
        <v>7058</v>
      </c>
      <c r="F1184" t="s">
        <v>5</v>
      </c>
      <c r="G1184" t="s">
        <v>5</v>
      </c>
      <c r="H1184" t="s">
        <v>5</v>
      </c>
      <c r="I1184" t="s">
        <v>6392</v>
      </c>
      <c r="J1184" t="s">
        <v>14</v>
      </c>
      <c r="K1184" s="3">
        <f t="shared" si="36"/>
        <v>0</v>
      </c>
      <c r="L1184" s="3">
        <f>IF(ISERROR(VLOOKUP(J1184,Lookups!$A$2:$A$16,1,FALSE)),1,0)</f>
        <v>1</v>
      </c>
      <c r="M1184" s="3">
        <f>IF(ISERROR(VLOOKUP(D1184,Data!$A$2:$D$223100,2,FALSE)),0,1)</f>
        <v>1</v>
      </c>
      <c r="N1184" s="3">
        <f t="shared" si="37"/>
        <v>1</v>
      </c>
      <c r="O1184" s="3" t="str">
        <f>IF(ISERROR(VLOOKUP(D1184,Data!$A$2:$C$223100,3,FALSE)),"INACTIVE",VLOOKUP(D1184,Data!$A$2:$C$223100,3,FALSE))</f>
        <v>Demand Letter</v>
      </c>
    </row>
    <row r="1185" spans="1:15" x14ac:dyDescent="0.25">
      <c r="A1185" t="s">
        <v>7041</v>
      </c>
      <c r="B1185" t="s">
        <v>7042</v>
      </c>
      <c r="C1185" t="s">
        <v>7059</v>
      </c>
      <c r="D1185" t="s">
        <v>7060</v>
      </c>
      <c r="E1185" t="s">
        <v>7061</v>
      </c>
      <c r="F1185" t="s">
        <v>5</v>
      </c>
      <c r="G1185" t="s">
        <v>5</v>
      </c>
      <c r="H1185" t="s">
        <v>5</v>
      </c>
      <c r="I1185" t="s">
        <v>6392</v>
      </c>
      <c r="J1185" t="s">
        <v>14</v>
      </c>
      <c r="K1185" s="3">
        <f t="shared" si="36"/>
        <v>0</v>
      </c>
      <c r="L1185" s="3">
        <f>IF(ISERROR(VLOOKUP(J1185,Lookups!$A$2:$A$16,1,FALSE)),1,0)</f>
        <v>1</v>
      </c>
      <c r="M1185" s="3">
        <f>IF(ISERROR(VLOOKUP(D1185,Data!$A$2:$D$223100,2,FALSE)),0,1)</f>
        <v>1</v>
      </c>
      <c r="N1185" s="3">
        <f t="shared" si="37"/>
        <v>1</v>
      </c>
      <c r="O1185" s="3" t="str">
        <f>IF(ISERROR(VLOOKUP(D1185,Data!$A$2:$C$223100,3,FALSE)),"INACTIVE",VLOOKUP(D1185,Data!$A$2:$C$223100,3,FALSE))</f>
        <v>30+</v>
      </c>
    </row>
    <row r="1186" spans="1:15" x14ac:dyDescent="0.25">
      <c r="A1186" t="s">
        <v>7041</v>
      </c>
      <c r="B1186" t="s">
        <v>7042</v>
      </c>
      <c r="C1186" t="s">
        <v>7062</v>
      </c>
      <c r="D1186" t="s">
        <v>7063</v>
      </c>
      <c r="E1186" t="s">
        <v>7064</v>
      </c>
      <c r="F1186" t="s">
        <v>5</v>
      </c>
      <c r="G1186" t="s">
        <v>5</v>
      </c>
      <c r="H1186" t="s">
        <v>5</v>
      </c>
      <c r="I1186" t="s">
        <v>6392</v>
      </c>
      <c r="J1186" t="s">
        <v>14</v>
      </c>
      <c r="K1186" s="3">
        <f t="shared" si="36"/>
        <v>0</v>
      </c>
      <c r="L1186" s="3">
        <f>IF(ISERROR(VLOOKUP(J1186,Lookups!$A$2:$A$16,1,FALSE)),1,0)</f>
        <v>1</v>
      </c>
      <c r="M1186" s="3">
        <f>IF(ISERROR(VLOOKUP(D1186,Data!$A$2:$D$223100,2,FALSE)),0,1)</f>
        <v>1</v>
      </c>
      <c r="N1186" s="3">
        <f t="shared" si="37"/>
        <v>1</v>
      </c>
      <c r="O1186" s="3" t="str">
        <f>IF(ISERROR(VLOOKUP(D1186,Data!$A$2:$C$223100,3,FALSE)),"INACTIVE",VLOOKUP(D1186,Data!$A$2:$C$223100,3,FALSE))</f>
        <v>Current</v>
      </c>
    </row>
    <row r="1187" spans="1:15" x14ac:dyDescent="0.25">
      <c r="A1187" t="s">
        <v>7041</v>
      </c>
      <c r="B1187" t="s">
        <v>7042</v>
      </c>
      <c r="C1187" t="s">
        <v>7065</v>
      </c>
      <c r="D1187" t="s">
        <v>7066</v>
      </c>
      <c r="E1187" t="s">
        <v>7067</v>
      </c>
      <c r="F1187" t="s">
        <v>5</v>
      </c>
      <c r="G1187" t="s">
        <v>5</v>
      </c>
      <c r="H1187" t="s">
        <v>5</v>
      </c>
      <c r="I1187" t="s">
        <v>6392</v>
      </c>
      <c r="J1187" t="s">
        <v>14</v>
      </c>
      <c r="K1187" s="3">
        <f t="shared" si="36"/>
        <v>0</v>
      </c>
      <c r="L1187" s="3">
        <f>IF(ISERROR(VLOOKUP(J1187,Lookups!$A$2:$A$16,1,FALSE)),1,0)</f>
        <v>1</v>
      </c>
      <c r="M1187" s="3">
        <f>IF(ISERROR(VLOOKUP(D1187,Data!$A$2:$D$223100,2,FALSE)),0,1)</f>
        <v>0</v>
      </c>
      <c r="N1187" s="3">
        <f t="shared" si="37"/>
        <v>0</v>
      </c>
      <c r="O1187" s="3" t="str">
        <f>IF(ISERROR(VLOOKUP(D1187,Data!$A$2:$C$223100,3,FALSE)),"INACTIVE",VLOOKUP(D1187,Data!$A$2:$C$223100,3,FALSE))</f>
        <v>INACTIVE</v>
      </c>
    </row>
    <row r="1188" spans="1:15" x14ac:dyDescent="0.25">
      <c r="A1188" t="s">
        <v>7041</v>
      </c>
      <c r="B1188" t="s">
        <v>7042</v>
      </c>
      <c r="C1188" t="s">
        <v>7068</v>
      </c>
      <c r="D1188" t="s">
        <v>7069</v>
      </c>
      <c r="E1188" t="s">
        <v>7070</v>
      </c>
      <c r="F1188" t="s">
        <v>5</v>
      </c>
      <c r="G1188" t="s">
        <v>5</v>
      </c>
      <c r="H1188" t="s">
        <v>5</v>
      </c>
      <c r="I1188" t="s">
        <v>6392</v>
      </c>
      <c r="J1188" t="s">
        <v>96</v>
      </c>
      <c r="K1188" s="3">
        <f t="shared" si="36"/>
        <v>0</v>
      </c>
      <c r="L1188" s="3">
        <f>IF(ISERROR(VLOOKUP(J1188,Lookups!$A$2:$A$16,1,FALSE)),1,0)</f>
        <v>0</v>
      </c>
      <c r="M1188" s="3">
        <f>IF(ISERROR(VLOOKUP(D1188,Data!$A$2:$D$223100,2,FALSE)),0,1)</f>
        <v>1</v>
      </c>
      <c r="N1188" s="3">
        <f t="shared" si="37"/>
        <v>0</v>
      </c>
      <c r="O1188" s="3" t="str">
        <f>IF(ISERROR(VLOOKUP(D1188,Data!$A$2:$C$223100,3,FALSE)),"INACTIVE",VLOOKUP(D1188,Data!$A$2:$C$223100,3,FALSE))</f>
        <v>90+</v>
      </c>
    </row>
    <row r="1189" spans="1:15" x14ac:dyDescent="0.25">
      <c r="A1189" t="s">
        <v>7041</v>
      </c>
      <c r="B1189" t="s">
        <v>7042</v>
      </c>
      <c r="C1189" t="s">
        <v>7068</v>
      </c>
      <c r="D1189" t="s">
        <v>7069</v>
      </c>
      <c r="E1189" t="s">
        <v>7071</v>
      </c>
      <c r="F1189" t="s">
        <v>5</v>
      </c>
      <c r="G1189" t="s">
        <v>5</v>
      </c>
      <c r="H1189" t="s">
        <v>5</v>
      </c>
      <c r="I1189" t="s">
        <v>6392</v>
      </c>
      <c r="J1189" t="s">
        <v>96</v>
      </c>
      <c r="K1189" s="3">
        <f t="shared" si="36"/>
        <v>0</v>
      </c>
      <c r="L1189" s="3">
        <f>IF(ISERROR(VLOOKUP(J1189,Lookups!$A$2:$A$16,1,FALSE)),1,0)</f>
        <v>0</v>
      </c>
      <c r="M1189" s="3">
        <f>IF(ISERROR(VLOOKUP(D1189,Data!$A$2:$D$223100,2,FALSE)),0,1)</f>
        <v>1</v>
      </c>
      <c r="N1189" s="3">
        <f t="shared" si="37"/>
        <v>0</v>
      </c>
      <c r="O1189" s="3" t="str">
        <f>IF(ISERROR(VLOOKUP(D1189,Data!$A$2:$C$223100,3,FALSE)),"INACTIVE",VLOOKUP(D1189,Data!$A$2:$C$223100,3,FALSE))</f>
        <v>90+</v>
      </c>
    </row>
    <row r="1190" spans="1:15" x14ac:dyDescent="0.25">
      <c r="A1190" t="s">
        <v>7041</v>
      </c>
      <c r="B1190" t="s">
        <v>7042</v>
      </c>
      <c r="C1190" t="s">
        <v>7068</v>
      </c>
      <c r="D1190" t="s">
        <v>7069</v>
      </c>
      <c r="E1190" t="s">
        <v>7072</v>
      </c>
      <c r="F1190" t="s">
        <v>5</v>
      </c>
      <c r="G1190" t="s">
        <v>5</v>
      </c>
      <c r="H1190" t="s">
        <v>5</v>
      </c>
      <c r="I1190" t="s">
        <v>6392</v>
      </c>
      <c r="J1190" t="s">
        <v>96</v>
      </c>
      <c r="K1190" s="3">
        <f t="shared" si="36"/>
        <v>0</v>
      </c>
      <c r="L1190" s="3">
        <f>IF(ISERROR(VLOOKUP(J1190,Lookups!$A$2:$A$16,1,FALSE)),1,0)</f>
        <v>0</v>
      </c>
      <c r="M1190" s="3">
        <f>IF(ISERROR(VLOOKUP(D1190,Data!$A$2:$D$223100,2,FALSE)),0,1)</f>
        <v>1</v>
      </c>
      <c r="N1190" s="3">
        <f t="shared" si="37"/>
        <v>0</v>
      </c>
      <c r="O1190" s="3" t="str">
        <f>IF(ISERROR(VLOOKUP(D1190,Data!$A$2:$C$223100,3,FALSE)),"INACTIVE",VLOOKUP(D1190,Data!$A$2:$C$223100,3,FALSE))</f>
        <v>90+</v>
      </c>
    </row>
    <row r="1191" spans="1:15" x14ac:dyDescent="0.25">
      <c r="A1191" t="s">
        <v>7041</v>
      </c>
      <c r="B1191" t="s">
        <v>7042</v>
      </c>
      <c r="C1191" t="s">
        <v>7073</v>
      </c>
      <c r="D1191" t="s">
        <v>7074</v>
      </c>
      <c r="E1191" t="s">
        <v>7075</v>
      </c>
      <c r="F1191" t="s">
        <v>5</v>
      </c>
      <c r="G1191" t="s">
        <v>5</v>
      </c>
      <c r="H1191" t="s">
        <v>5</v>
      </c>
      <c r="I1191" t="s">
        <v>6392</v>
      </c>
      <c r="J1191" t="s">
        <v>14</v>
      </c>
      <c r="K1191" s="3">
        <f t="shared" si="36"/>
        <v>0</v>
      </c>
      <c r="L1191" s="3">
        <f>IF(ISERROR(VLOOKUP(J1191,Lookups!$A$2:$A$16,1,FALSE)),1,0)</f>
        <v>1</v>
      </c>
      <c r="M1191" s="3">
        <f>IF(ISERROR(VLOOKUP(D1191,Data!$A$2:$D$223100,2,FALSE)),0,1)</f>
        <v>1</v>
      </c>
      <c r="N1191" s="3">
        <f t="shared" si="37"/>
        <v>1</v>
      </c>
      <c r="O1191" s="3" t="str">
        <f>IF(ISERROR(VLOOKUP(D1191,Data!$A$2:$C$223100,3,FALSE)),"INACTIVE",VLOOKUP(D1191,Data!$A$2:$C$223100,3,FALSE))</f>
        <v>30+</v>
      </c>
    </row>
    <row r="1192" spans="1:15" x14ac:dyDescent="0.25">
      <c r="A1192" t="s">
        <v>7041</v>
      </c>
      <c r="B1192" t="s">
        <v>7042</v>
      </c>
      <c r="C1192" t="s">
        <v>7076</v>
      </c>
      <c r="D1192" t="s">
        <v>7077</v>
      </c>
      <c r="E1192" t="s">
        <v>7078</v>
      </c>
      <c r="F1192" t="s">
        <v>5</v>
      </c>
      <c r="G1192" t="s">
        <v>5</v>
      </c>
      <c r="H1192" t="s">
        <v>5</v>
      </c>
      <c r="I1192" t="s">
        <v>6392</v>
      </c>
      <c r="J1192" t="s">
        <v>14</v>
      </c>
      <c r="K1192" s="3">
        <f t="shared" si="36"/>
        <v>0</v>
      </c>
      <c r="L1192" s="3">
        <f>IF(ISERROR(VLOOKUP(J1192,Lookups!$A$2:$A$16,1,FALSE)),1,0)</f>
        <v>1</v>
      </c>
      <c r="M1192" s="3">
        <f>IF(ISERROR(VLOOKUP(D1192,Data!$A$2:$D$223100,2,FALSE)),0,1)</f>
        <v>1</v>
      </c>
      <c r="N1192" s="3">
        <f t="shared" si="37"/>
        <v>1</v>
      </c>
      <c r="O1192" s="3" t="str">
        <f>IF(ISERROR(VLOOKUP(D1192,Data!$A$2:$C$223100,3,FALSE)),"INACTIVE",VLOOKUP(D1192,Data!$A$2:$C$223100,3,FALSE))</f>
        <v>Demand Letter</v>
      </c>
    </row>
    <row r="1193" spans="1:15" x14ac:dyDescent="0.25">
      <c r="A1193" t="s">
        <v>7041</v>
      </c>
      <c r="B1193" t="s">
        <v>7042</v>
      </c>
      <c r="C1193" t="s">
        <v>7079</v>
      </c>
      <c r="D1193" t="s">
        <v>7080</v>
      </c>
      <c r="E1193" t="s">
        <v>7081</v>
      </c>
      <c r="F1193" t="s">
        <v>5</v>
      </c>
      <c r="G1193" t="s">
        <v>5</v>
      </c>
      <c r="H1193" t="s">
        <v>5</v>
      </c>
      <c r="I1193" t="s">
        <v>6392</v>
      </c>
      <c r="J1193" t="s">
        <v>14</v>
      </c>
      <c r="K1193" s="3">
        <f t="shared" si="36"/>
        <v>0</v>
      </c>
      <c r="L1193" s="3">
        <f>IF(ISERROR(VLOOKUP(J1193,Lookups!$A$2:$A$16,1,FALSE)),1,0)</f>
        <v>1</v>
      </c>
      <c r="M1193" s="3">
        <f>IF(ISERROR(VLOOKUP(D1193,Data!$A$2:$D$223100,2,FALSE)),0,1)</f>
        <v>1</v>
      </c>
      <c r="N1193" s="3">
        <f t="shared" si="37"/>
        <v>1</v>
      </c>
      <c r="O1193" s="3" t="str">
        <f>IF(ISERROR(VLOOKUP(D1193,Data!$A$2:$C$223100,3,FALSE)),"INACTIVE",VLOOKUP(D1193,Data!$A$2:$C$223100,3,FALSE))</f>
        <v>FC</v>
      </c>
    </row>
    <row r="1194" spans="1:15" x14ac:dyDescent="0.25">
      <c r="A1194" t="s">
        <v>7121</v>
      </c>
      <c r="B1194" t="s">
        <v>7122</v>
      </c>
      <c r="C1194" t="s">
        <v>7123</v>
      </c>
      <c r="D1194" t="s">
        <v>7124</v>
      </c>
      <c r="E1194" t="s">
        <v>5</v>
      </c>
      <c r="F1194" t="s">
        <v>5</v>
      </c>
      <c r="G1194" t="s">
        <v>7125</v>
      </c>
      <c r="H1194" t="s">
        <v>7126</v>
      </c>
      <c r="I1194" t="s">
        <v>6392</v>
      </c>
      <c r="J1194" t="s">
        <v>7</v>
      </c>
      <c r="K1194" s="3">
        <f t="shared" si="36"/>
        <v>0</v>
      </c>
      <c r="L1194" s="3">
        <f>IF(ISERROR(VLOOKUP(J1194,Lookups!$A$2:$A$16,1,FALSE)),1,0)</f>
        <v>1</v>
      </c>
      <c r="M1194" s="3">
        <f>IF(ISERROR(VLOOKUP(D1194,Data!$A$2:$D$223100,2,FALSE)),0,1)</f>
        <v>1</v>
      </c>
      <c r="N1194" s="3">
        <f t="shared" si="37"/>
        <v>1</v>
      </c>
      <c r="O1194" s="3" t="str">
        <f>IF(ISERROR(VLOOKUP(D1194,Data!$A$2:$C$223100,3,FALSE)),"INACTIVE",VLOOKUP(D1194,Data!$A$2:$C$223100,3,FALSE))</f>
        <v>BK13</v>
      </c>
    </row>
    <row r="1195" spans="1:15" x14ac:dyDescent="0.25">
      <c r="A1195" t="s">
        <v>7121</v>
      </c>
      <c r="B1195" t="s">
        <v>7122</v>
      </c>
      <c r="C1195" t="s">
        <v>7127</v>
      </c>
      <c r="D1195" t="s">
        <v>7128</v>
      </c>
      <c r="E1195" t="s">
        <v>5</v>
      </c>
      <c r="F1195" t="s">
        <v>5</v>
      </c>
      <c r="G1195" t="s">
        <v>7129</v>
      </c>
      <c r="H1195" t="s">
        <v>7130</v>
      </c>
      <c r="I1195" t="s">
        <v>6392</v>
      </c>
      <c r="J1195" t="s">
        <v>7</v>
      </c>
      <c r="K1195" s="3">
        <f t="shared" si="36"/>
        <v>0</v>
      </c>
      <c r="L1195" s="3">
        <f>IF(ISERROR(VLOOKUP(J1195,Lookups!$A$2:$A$16,1,FALSE)),1,0)</f>
        <v>1</v>
      </c>
      <c r="M1195" s="3">
        <f>IF(ISERROR(VLOOKUP(D1195,Data!$A$2:$D$223100,2,FALSE)),0,1)</f>
        <v>1</v>
      </c>
      <c r="N1195" s="3">
        <f t="shared" si="37"/>
        <v>1</v>
      </c>
      <c r="O1195" s="3" t="str">
        <f>IF(ISERROR(VLOOKUP(D1195,Data!$A$2:$C$223100,3,FALSE)),"INACTIVE",VLOOKUP(D1195,Data!$A$2:$C$223100,3,FALSE))</f>
        <v>FC</v>
      </c>
    </row>
    <row r="1196" spans="1:15" x14ac:dyDescent="0.25">
      <c r="A1196" t="s">
        <v>6648</v>
      </c>
      <c r="B1196" t="s">
        <v>6649</v>
      </c>
      <c r="C1196" t="s">
        <v>6650</v>
      </c>
      <c r="D1196" t="s">
        <v>6651</v>
      </c>
      <c r="E1196" t="s">
        <v>6652</v>
      </c>
      <c r="F1196" t="s">
        <v>5</v>
      </c>
      <c r="G1196" t="s">
        <v>5</v>
      </c>
      <c r="H1196" t="s">
        <v>5</v>
      </c>
      <c r="I1196" t="s">
        <v>6653</v>
      </c>
      <c r="J1196" t="s">
        <v>90</v>
      </c>
      <c r="K1196" s="3">
        <f t="shared" si="36"/>
        <v>0</v>
      </c>
      <c r="L1196" s="3">
        <f>IF(ISERROR(VLOOKUP(J1196,Lookups!$A$2:$A$16,1,FALSE)),1,0)</f>
        <v>0</v>
      </c>
      <c r="M1196" s="3">
        <f>IF(ISERROR(VLOOKUP(D1196,Data!$A$2:$D$223100,2,FALSE)),0,1)</f>
        <v>1</v>
      </c>
      <c r="N1196" s="3">
        <f t="shared" si="37"/>
        <v>0</v>
      </c>
      <c r="O1196" s="3" t="str">
        <f>IF(ISERROR(VLOOKUP(D1196,Data!$A$2:$C$223100,3,FALSE)),"INACTIVE",VLOOKUP(D1196,Data!$A$2:$C$223100,3,FALSE))</f>
        <v>Current</v>
      </c>
    </row>
    <row r="1197" spans="1:15" x14ac:dyDescent="0.25">
      <c r="A1197" t="s">
        <v>6265</v>
      </c>
      <c r="B1197" t="s">
        <v>6679</v>
      </c>
      <c r="C1197" t="s">
        <v>6680</v>
      </c>
      <c r="D1197" t="s">
        <v>6681</v>
      </c>
      <c r="E1197" t="s">
        <v>6682</v>
      </c>
      <c r="F1197" t="s">
        <v>5</v>
      </c>
      <c r="G1197" t="s">
        <v>5</v>
      </c>
      <c r="H1197" t="s">
        <v>5</v>
      </c>
      <c r="I1197" t="s">
        <v>6653</v>
      </c>
      <c r="J1197" t="s">
        <v>90</v>
      </c>
      <c r="K1197" s="3">
        <f t="shared" si="36"/>
        <v>0</v>
      </c>
      <c r="L1197" s="3">
        <f>IF(ISERROR(VLOOKUP(J1197,Lookups!$A$2:$A$16,1,FALSE)),1,0)</f>
        <v>0</v>
      </c>
      <c r="M1197" s="3">
        <f>IF(ISERROR(VLOOKUP(D1197,Data!$A$2:$D$223100,2,FALSE)),0,1)</f>
        <v>1</v>
      </c>
      <c r="N1197" s="3">
        <f t="shared" si="37"/>
        <v>0</v>
      </c>
      <c r="O1197" s="3" t="str">
        <f>IF(ISERROR(VLOOKUP(D1197,Data!$A$2:$C$223100,3,FALSE)),"INACTIVE",VLOOKUP(D1197,Data!$A$2:$C$223100,3,FALSE))</f>
        <v>BK13</v>
      </c>
    </row>
    <row r="1198" spans="1:15" x14ac:dyDescent="0.25">
      <c r="A1198" t="s">
        <v>6719</v>
      </c>
      <c r="B1198" t="s">
        <v>6720</v>
      </c>
      <c r="C1198" t="s">
        <v>6721</v>
      </c>
      <c r="D1198" t="s">
        <v>6722</v>
      </c>
      <c r="E1198" t="s">
        <v>6723</v>
      </c>
      <c r="F1198" t="s">
        <v>5</v>
      </c>
      <c r="G1198" t="s">
        <v>5</v>
      </c>
      <c r="H1198" t="s">
        <v>5</v>
      </c>
      <c r="I1198" t="s">
        <v>6653</v>
      </c>
      <c r="J1198" t="s">
        <v>90</v>
      </c>
      <c r="K1198" s="3">
        <f t="shared" si="36"/>
        <v>0</v>
      </c>
      <c r="L1198" s="3">
        <f>IF(ISERROR(VLOOKUP(J1198,Lookups!$A$2:$A$16,1,FALSE)),1,0)</f>
        <v>0</v>
      </c>
      <c r="M1198" s="3">
        <f>IF(ISERROR(VLOOKUP(D1198,Data!$A$2:$D$223100,2,FALSE)),0,1)</f>
        <v>0</v>
      </c>
      <c r="N1198" s="3">
        <f t="shared" si="37"/>
        <v>0</v>
      </c>
      <c r="O1198" s="3" t="str">
        <f>IF(ISERROR(VLOOKUP(D1198,Data!$A$2:$C$223100,3,FALSE)),"INACTIVE",VLOOKUP(D1198,Data!$A$2:$C$223100,3,FALSE))</f>
        <v>INACTIVE</v>
      </c>
    </row>
    <row r="1199" spans="1:15" x14ac:dyDescent="0.25">
      <c r="A1199" t="s">
        <v>6719</v>
      </c>
      <c r="B1199" t="s">
        <v>6720</v>
      </c>
      <c r="C1199" t="s">
        <v>6724</v>
      </c>
      <c r="D1199" t="s">
        <v>6722</v>
      </c>
      <c r="E1199" t="s">
        <v>6725</v>
      </c>
      <c r="F1199" t="s">
        <v>5</v>
      </c>
      <c r="G1199" t="s">
        <v>5</v>
      </c>
      <c r="H1199" t="s">
        <v>5</v>
      </c>
      <c r="I1199" t="s">
        <v>6653</v>
      </c>
      <c r="J1199" t="s">
        <v>90</v>
      </c>
      <c r="K1199" s="3">
        <f t="shared" si="36"/>
        <v>0</v>
      </c>
      <c r="L1199" s="3">
        <f>IF(ISERROR(VLOOKUP(J1199,Lookups!$A$2:$A$16,1,FALSE)),1,0)</f>
        <v>0</v>
      </c>
      <c r="M1199" s="3">
        <f>IF(ISERROR(VLOOKUP(D1199,Data!$A$2:$D$223100,2,FALSE)),0,1)</f>
        <v>0</v>
      </c>
      <c r="N1199" s="3">
        <f t="shared" si="37"/>
        <v>0</v>
      </c>
      <c r="O1199" s="3" t="str">
        <f>IF(ISERROR(VLOOKUP(D1199,Data!$A$2:$C$223100,3,FALSE)),"INACTIVE",VLOOKUP(D1199,Data!$A$2:$C$223100,3,FALSE))</f>
        <v>INACTIVE</v>
      </c>
    </row>
    <row r="1200" spans="1:15" x14ac:dyDescent="0.25">
      <c r="A1200" t="s">
        <v>6719</v>
      </c>
      <c r="B1200" t="s">
        <v>6720</v>
      </c>
      <c r="C1200" t="s">
        <v>6726</v>
      </c>
      <c r="D1200" t="s">
        <v>6727</v>
      </c>
      <c r="E1200" t="s">
        <v>6728</v>
      </c>
      <c r="F1200" t="s">
        <v>5</v>
      </c>
      <c r="G1200" t="s">
        <v>5</v>
      </c>
      <c r="H1200" t="s">
        <v>5</v>
      </c>
      <c r="I1200" t="s">
        <v>6653</v>
      </c>
      <c r="J1200" t="s">
        <v>96</v>
      </c>
      <c r="K1200" s="3">
        <f t="shared" si="36"/>
        <v>0</v>
      </c>
      <c r="L1200" s="3">
        <f>IF(ISERROR(VLOOKUP(J1200,Lookups!$A$2:$A$16,1,FALSE)),1,0)</f>
        <v>0</v>
      </c>
      <c r="M1200" s="3">
        <f>IF(ISERROR(VLOOKUP(D1200,Data!$A$2:$D$223100,2,FALSE)),0,1)</f>
        <v>1</v>
      </c>
      <c r="N1200" s="3">
        <f t="shared" si="37"/>
        <v>0</v>
      </c>
      <c r="O1200" s="3" t="str">
        <f>IF(ISERROR(VLOOKUP(D1200,Data!$A$2:$C$223100,3,FALSE)),"INACTIVE",VLOOKUP(D1200,Data!$A$2:$C$223100,3,FALSE))</f>
        <v>60+</v>
      </c>
    </row>
    <row r="1201" spans="1:15" x14ac:dyDescent="0.25">
      <c r="A1201" t="s">
        <v>6719</v>
      </c>
      <c r="B1201" t="s">
        <v>6720</v>
      </c>
      <c r="C1201" t="s">
        <v>6726</v>
      </c>
      <c r="D1201" t="s">
        <v>6727</v>
      </c>
      <c r="E1201" t="s">
        <v>6729</v>
      </c>
      <c r="F1201" t="s">
        <v>5</v>
      </c>
      <c r="G1201" t="s">
        <v>5</v>
      </c>
      <c r="H1201" t="s">
        <v>5</v>
      </c>
      <c r="I1201" t="s">
        <v>6653</v>
      </c>
      <c r="J1201" t="s">
        <v>96</v>
      </c>
      <c r="K1201" s="3">
        <f t="shared" si="36"/>
        <v>0</v>
      </c>
      <c r="L1201" s="3">
        <f>IF(ISERROR(VLOOKUP(J1201,Lookups!$A$2:$A$16,1,FALSE)),1,0)</f>
        <v>0</v>
      </c>
      <c r="M1201" s="3">
        <f>IF(ISERROR(VLOOKUP(D1201,Data!$A$2:$D$223100,2,FALSE)),0,1)</f>
        <v>1</v>
      </c>
      <c r="N1201" s="3">
        <f t="shared" si="37"/>
        <v>0</v>
      </c>
      <c r="O1201" s="3" t="str">
        <f>IF(ISERROR(VLOOKUP(D1201,Data!$A$2:$C$223100,3,FALSE)),"INACTIVE",VLOOKUP(D1201,Data!$A$2:$C$223100,3,FALSE))</f>
        <v>60+</v>
      </c>
    </row>
    <row r="1202" spans="1:15" x14ac:dyDescent="0.25">
      <c r="A1202" t="s">
        <v>6719</v>
      </c>
      <c r="B1202" t="s">
        <v>6720</v>
      </c>
      <c r="C1202" t="s">
        <v>6726</v>
      </c>
      <c r="D1202" t="s">
        <v>6727</v>
      </c>
      <c r="E1202" t="s">
        <v>6730</v>
      </c>
      <c r="F1202" t="s">
        <v>5</v>
      </c>
      <c r="G1202" t="s">
        <v>5</v>
      </c>
      <c r="H1202" t="s">
        <v>5</v>
      </c>
      <c r="I1202" t="s">
        <v>6653</v>
      </c>
      <c r="J1202" t="s">
        <v>96</v>
      </c>
      <c r="K1202" s="3">
        <f t="shared" si="36"/>
        <v>0</v>
      </c>
      <c r="L1202" s="3">
        <f>IF(ISERROR(VLOOKUP(J1202,Lookups!$A$2:$A$16,1,FALSE)),1,0)</f>
        <v>0</v>
      </c>
      <c r="M1202" s="3">
        <f>IF(ISERROR(VLOOKUP(D1202,Data!$A$2:$D$223100,2,FALSE)),0,1)</f>
        <v>1</v>
      </c>
      <c r="N1202" s="3">
        <f t="shared" si="37"/>
        <v>0</v>
      </c>
      <c r="O1202" s="3" t="str">
        <f>IF(ISERROR(VLOOKUP(D1202,Data!$A$2:$C$223100,3,FALSE)),"INACTIVE",VLOOKUP(D1202,Data!$A$2:$C$223100,3,FALSE))</f>
        <v>60+</v>
      </c>
    </row>
    <row r="1203" spans="1:15" x14ac:dyDescent="0.25">
      <c r="A1203" t="s">
        <v>6719</v>
      </c>
      <c r="B1203" t="s">
        <v>6720</v>
      </c>
      <c r="C1203" t="s">
        <v>6731</v>
      </c>
      <c r="D1203" t="s">
        <v>6732</v>
      </c>
      <c r="E1203" t="s">
        <v>6733</v>
      </c>
      <c r="F1203" t="s">
        <v>5</v>
      </c>
      <c r="G1203" t="s">
        <v>5</v>
      </c>
      <c r="H1203" t="s">
        <v>5</v>
      </c>
      <c r="I1203" t="s">
        <v>6653</v>
      </c>
      <c r="J1203" t="s">
        <v>96</v>
      </c>
      <c r="K1203" s="3">
        <f t="shared" si="36"/>
        <v>0</v>
      </c>
      <c r="L1203" s="3">
        <f>IF(ISERROR(VLOOKUP(J1203,Lookups!$A$2:$A$16,1,FALSE)),1,0)</f>
        <v>0</v>
      </c>
      <c r="M1203" s="3">
        <f>IF(ISERROR(VLOOKUP(D1203,Data!$A$2:$D$223100,2,FALSE)),0,1)</f>
        <v>1</v>
      </c>
      <c r="N1203" s="3">
        <f t="shared" si="37"/>
        <v>0</v>
      </c>
      <c r="O1203" s="3" t="str">
        <f>IF(ISERROR(VLOOKUP(D1203,Data!$A$2:$C$223100,3,FALSE)),"INACTIVE",VLOOKUP(D1203,Data!$A$2:$C$223100,3,FALSE))</f>
        <v>Current</v>
      </c>
    </row>
    <row r="1204" spans="1:15" x14ac:dyDescent="0.25">
      <c r="A1204" t="s">
        <v>6719</v>
      </c>
      <c r="B1204" t="s">
        <v>6720</v>
      </c>
      <c r="C1204" t="s">
        <v>6734</v>
      </c>
      <c r="D1204" t="s">
        <v>6735</v>
      </c>
      <c r="E1204" t="s">
        <v>6736</v>
      </c>
      <c r="F1204" t="s">
        <v>5</v>
      </c>
      <c r="G1204" t="s">
        <v>5</v>
      </c>
      <c r="H1204" t="s">
        <v>5</v>
      </c>
      <c r="I1204" t="s">
        <v>6653</v>
      </c>
      <c r="J1204" t="s">
        <v>90</v>
      </c>
      <c r="K1204" s="3">
        <f t="shared" si="36"/>
        <v>0</v>
      </c>
      <c r="L1204" s="3">
        <f>IF(ISERROR(VLOOKUP(J1204,Lookups!$A$2:$A$16,1,FALSE)),1,0)</f>
        <v>0</v>
      </c>
      <c r="M1204" s="3">
        <f>IF(ISERROR(VLOOKUP(D1204,Data!$A$2:$D$223100,2,FALSE)),0,1)</f>
        <v>1</v>
      </c>
      <c r="N1204" s="3">
        <f t="shared" si="37"/>
        <v>0</v>
      </c>
      <c r="O1204" s="3" t="str">
        <f>IF(ISERROR(VLOOKUP(D1204,Data!$A$2:$C$223100,3,FALSE)),"INACTIVE",VLOOKUP(D1204,Data!$A$2:$C$223100,3,FALSE))</f>
        <v>FC</v>
      </c>
    </row>
    <row r="1205" spans="1:15" x14ac:dyDescent="0.25">
      <c r="A1205" t="s">
        <v>6719</v>
      </c>
      <c r="B1205" t="s">
        <v>6720</v>
      </c>
      <c r="C1205" t="s">
        <v>6737</v>
      </c>
      <c r="D1205" t="s">
        <v>6738</v>
      </c>
      <c r="E1205" t="s">
        <v>6739</v>
      </c>
      <c r="F1205" t="s">
        <v>5</v>
      </c>
      <c r="G1205" t="s">
        <v>5</v>
      </c>
      <c r="H1205" t="s">
        <v>5</v>
      </c>
      <c r="I1205" t="s">
        <v>6653</v>
      </c>
      <c r="J1205" t="s">
        <v>96</v>
      </c>
      <c r="K1205" s="3">
        <f t="shared" si="36"/>
        <v>0</v>
      </c>
      <c r="L1205" s="3">
        <f>IF(ISERROR(VLOOKUP(J1205,Lookups!$A$2:$A$16,1,FALSE)),1,0)</f>
        <v>0</v>
      </c>
      <c r="M1205" s="3">
        <f>IF(ISERROR(VLOOKUP(D1205,Data!$A$2:$D$223100,2,FALSE)),0,1)</f>
        <v>1</v>
      </c>
      <c r="N1205" s="3">
        <f t="shared" si="37"/>
        <v>0</v>
      </c>
      <c r="O1205" s="3" t="str">
        <f>IF(ISERROR(VLOOKUP(D1205,Data!$A$2:$C$223100,3,FALSE)),"INACTIVE",VLOOKUP(D1205,Data!$A$2:$C$223100,3,FALSE))</f>
        <v>BK13</v>
      </c>
    </row>
    <row r="1206" spans="1:15" x14ac:dyDescent="0.25">
      <c r="A1206" t="s">
        <v>6719</v>
      </c>
      <c r="B1206" t="s">
        <v>6720</v>
      </c>
      <c r="C1206" t="s">
        <v>6740</v>
      </c>
      <c r="D1206" t="s">
        <v>6741</v>
      </c>
      <c r="E1206" t="s">
        <v>6742</v>
      </c>
      <c r="F1206" t="s">
        <v>5</v>
      </c>
      <c r="G1206" t="s">
        <v>5</v>
      </c>
      <c r="H1206" t="s">
        <v>5</v>
      </c>
      <c r="I1206" t="s">
        <v>6653</v>
      </c>
      <c r="J1206" t="s">
        <v>90</v>
      </c>
      <c r="K1206" s="3">
        <f t="shared" si="36"/>
        <v>0</v>
      </c>
      <c r="L1206" s="3">
        <f>IF(ISERROR(VLOOKUP(J1206,Lookups!$A$2:$A$16,1,FALSE)),1,0)</f>
        <v>0</v>
      </c>
      <c r="M1206" s="3">
        <f>IF(ISERROR(VLOOKUP(D1206,Data!$A$2:$D$223100,2,FALSE)),0,1)</f>
        <v>1</v>
      </c>
      <c r="N1206" s="3">
        <f t="shared" si="37"/>
        <v>0</v>
      </c>
      <c r="O1206" s="3" t="str">
        <f>IF(ISERROR(VLOOKUP(D1206,Data!$A$2:$C$223100,3,FALSE)),"INACTIVE",VLOOKUP(D1206,Data!$A$2:$C$223100,3,FALSE))</f>
        <v>Current</v>
      </c>
    </row>
    <row r="1207" spans="1:15" x14ac:dyDescent="0.25">
      <c r="A1207" t="s">
        <v>6719</v>
      </c>
      <c r="B1207" t="s">
        <v>6720</v>
      </c>
      <c r="C1207" t="s">
        <v>6743</v>
      </c>
      <c r="D1207" t="s">
        <v>6744</v>
      </c>
      <c r="E1207" t="s">
        <v>6745</v>
      </c>
      <c r="F1207" t="s">
        <v>5</v>
      </c>
      <c r="G1207" t="s">
        <v>5</v>
      </c>
      <c r="H1207" t="s">
        <v>5</v>
      </c>
      <c r="I1207" t="s">
        <v>6653</v>
      </c>
      <c r="J1207" t="s">
        <v>96</v>
      </c>
      <c r="K1207" s="3">
        <f t="shared" si="36"/>
        <v>0</v>
      </c>
      <c r="L1207" s="3">
        <f>IF(ISERROR(VLOOKUP(J1207,Lookups!$A$2:$A$16,1,FALSE)),1,0)</f>
        <v>0</v>
      </c>
      <c r="M1207" s="3">
        <f>IF(ISERROR(VLOOKUP(D1207,Data!$A$2:$D$223100,2,FALSE)),0,1)</f>
        <v>1</v>
      </c>
      <c r="N1207" s="3">
        <f t="shared" si="37"/>
        <v>0</v>
      </c>
      <c r="O1207" s="3" t="str">
        <f>IF(ISERROR(VLOOKUP(D1207,Data!$A$2:$C$223100,3,FALSE)),"INACTIVE",VLOOKUP(D1207,Data!$A$2:$C$223100,3,FALSE))</f>
        <v>30+</v>
      </c>
    </row>
    <row r="1208" spans="1:15" x14ac:dyDescent="0.25">
      <c r="A1208" t="s">
        <v>6719</v>
      </c>
      <c r="B1208" t="s">
        <v>6720</v>
      </c>
      <c r="C1208" t="s">
        <v>6746</v>
      </c>
      <c r="D1208" t="s">
        <v>6747</v>
      </c>
      <c r="E1208" t="s">
        <v>6748</v>
      </c>
      <c r="F1208" t="s">
        <v>5</v>
      </c>
      <c r="G1208" t="s">
        <v>5</v>
      </c>
      <c r="H1208" t="s">
        <v>5</v>
      </c>
      <c r="I1208" t="s">
        <v>6653</v>
      </c>
      <c r="J1208" t="s">
        <v>90</v>
      </c>
      <c r="K1208" s="3">
        <f t="shared" si="36"/>
        <v>0</v>
      </c>
      <c r="L1208" s="3">
        <f>IF(ISERROR(VLOOKUP(J1208,Lookups!$A$2:$A$16,1,FALSE)),1,0)</f>
        <v>0</v>
      </c>
      <c r="M1208" s="3">
        <f>IF(ISERROR(VLOOKUP(D1208,Data!$A$2:$D$223100,2,FALSE)),0,1)</f>
        <v>1</v>
      </c>
      <c r="N1208" s="3">
        <f t="shared" si="37"/>
        <v>0</v>
      </c>
      <c r="O1208" s="3" t="str">
        <f>IF(ISERROR(VLOOKUP(D1208,Data!$A$2:$C$223100,3,FALSE)),"INACTIVE",VLOOKUP(D1208,Data!$A$2:$C$223100,3,FALSE))</f>
        <v>BK13</v>
      </c>
    </row>
    <row r="1209" spans="1:15" x14ac:dyDescent="0.25">
      <c r="A1209" t="s">
        <v>6719</v>
      </c>
      <c r="B1209" t="s">
        <v>6720</v>
      </c>
      <c r="C1209" t="s">
        <v>6749</v>
      </c>
      <c r="D1209" t="s">
        <v>6750</v>
      </c>
      <c r="E1209" t="s">
        <v>6751</v>
      </c>
      <c r="F1209" t="s">
        <v>5</v>
      </c>
      <c r="G1209" t="s">
        <v>5</v>
      </c>
      <c r="H1209" t="s">
        <v>5</v>
      </c>
      <c r="I1209" t="s">
        <v>6653</v>
      </c>
      <c r="J1209" t="s">
        <v>96</v>
      </c>
      <c r="K1209" s="3">
        <f t="shared" si="36"/>
        <v>0</v>
      </c>
      <c r="L1209" s="3">
        <f>IF(ISERROR(VLOOKUP(J1209,Lookups!$A$2:$A$16,1,FALSE)),1,0)</f>
        <v>0</v>
      </c>
      <c r="M1209" s="3">
        <f>IF(ISERROR(VLOOKUP(D1209,Data!$A$2:$D$223100,2,FALSE)),0,1)</f>
        <v>1</v>
      </c>
      <c r="N1209" s="3">
        <f t="shared" si="37"/>
        <v>0</v>
      </c>
      <c r="O1209" s="3" t="str">
        <f>IF(ISERROR(VLOOKUP(D1209,Data!$A$2:$C$223100,3,FALSE)),"INACTIVE",VLOOKUP(D1209,Data!$A$2:$C$223100,3,FALSE))</f>
        <v>Current</v>
      </c>
    </row>
    <row r="1210" spans="1:15" x14ac:dyDescent="0.25">
      <c r="A1210" t="s">
        <v>6719</v>
      </c>
      <c r="B1210" t="s">
        <v>6720</v>
      </c>
      <c r="C1210" t="s">
        <v>6752</v>
      </c>
      <c r="D1210" t="s">
        <v>6753</v>
      </c>
      <c r="E1210" t="s">
        <v>6754</v>
      </c>
      <c r="F1210" t="s">
        <v>5</v>
      </c>
      <c r="G1210" t="s">
        <v>5</v>
      </c>
      <c r="H1210" t="s">
        <v>5</v>
      </c>
      <c r="I1210" t="s">
        <v>6653</v>
      </c>
      <c r="J1210" t="s">
        <v>90</v>
      </c>
      <c r="K1210" s="3">
        <f t="shared" si="36"/>
        <v>0</v>
      </c>
      <c r="L1210" s="3">
        <f>IF(ISERROR(VLOOKUP(J1210,Lookups!$A$2:$A$16,1,FALSE)),1,0)</f>
        <v>0</v>
      </c>
      <c r="M1210" s="3">
        <f>IF(ISERROR(VLOOKUP(D1210,Data!$A$2:$D$223100,2,FALSE)),0,1)</f>
        <v>1</v>
      </c>
      <c r="N1210" s="3">
        <f t="shared" si="37"/>
        <v>0</v>
      </c>
      <c r="O1210" s="3" t="str">
        <f>IF(ISERROR(VLOOKUP(D1210,Data!$A$2:$C$223100,3,FALSE)),"INACTIVE",VLOOKUP(D1210,Data!$A$2:$C$223100,3,FALSE))</f>
        <v>150+</v>
      </c>
    </row>
    <row r="1211" spans="1:15" x14ac:dyDescent="0.25">
      <c r="A1211" t="s">
        <v>6719</v>
      </c>
      <c r="B1211" t="s">
        <v>6720</v>
      </c>
      <c r="C1211" t="s">
        <v>6755</v>
      </c>
      <c r="D1211" t="s">
        <v>6756</v>
      </c>
      <c r="E1211" t="s">
        <v>6757</v>
      </c>
      <c r="F1211" t="s">
        <v>5</v>
      </c>
      <c r="G1211" t="s">
        <v>5</v>
      </c>
      <c r="H1211" t="s">
        <v>5</v>
      </c>
      <c r="I1211" t="s">
        <v>6653</v>
      </c>
      <c r="J1211" t="s">
        <v>90</v>
      </c>
      <c r="K1211" s="3">
        <f t="shared" si="36"/>
        <v>0</v>
      </c>
      <c r="L1211" s="3">
        <f>IF(ISERROR(VLOOKUP(J1211,Lookups!$A$2:$A$16,1,FALSE)),1,0)</f>
        <v>0</v>
      </c>
      <c r="M1211" s="3">
        <f>IF(ISERROR(VLOOKUP(D1211,Data!$A$2:$D$223100,2,FALSE)),0,1)</f>
        <v>1</v>
      </c>
      <c r="N1211" s="3">
        <f t="shared" si="37"/>
        <v>0</v>
      </c>
      <c r="O1211" s="3" t="str">
        <f>IF(ISERROR(VLOOKUP(D1211,Data!$A$2:$C$223100,3,FALSE)),"INACTIVE",VLOOKUP(D1211,Data!$A$2:$C$223100,3,FALSE))</f>
        <v>BK13</v>
      </c>
    </row>
    <row r="1212" spans="1:15" x14ac:dyDescent="0.25">
      <c r="A1212" t="s">
        <v>1149</v>
      </c>
      <c r="B1212" t="s">
        <v>6778</v>
      </c>
      <c r="C1212" t="s">
        <v>6779</v>
      </c>
      <c r="D1212" t="s">
        <v>6780</v>
      </c>
      <c r="E1212" t="s">
        <v>6781</v>
      </c>
      <c r="F1212" t="s">
        <v>5</v>
      </c>
      <c r="G1212" t="s">
        <v>5</v>
      </c>
      <c r="H1212" t="s">
        <v>5</v>
      </c>
      <c r="I1212" t="s">
        <v>6653</v>
      </c>
      <c r="J1212" t="s">
        <v>36</v>
      </c>
      <c r="K1212" s="3">
        <f t="shared" si="36"/>
        <v>0</v>
      </c>
      <c r="L1212" s="3">
        <f>IF(ISERROR(VLOOKUP(J1212,Lookups!$A$2:$A$16,1,FALSE)),1,0)</f>
        <v>1</v>
      </c>
      <c r="M1212" s="3">
        <f>IF(ISERROR(VLOOKUP(D1212,Data!$A$2:$D$223100,2,FALSE)),0,1)</f>
        <v>1</v>
      </c>
      <c r="N1212" s="3">
        <f t="shared" si="37"/>
        <v>1</v>
      </c>
      <c r="O1212" s="3" t="str">
        <f>IF(ISERROR(VLOOKUP(D1212,Data!$A$2:$C$223100,3,FALSE)),"INACTIVE",VLOOKUP(D1212,Data!$A$2:$C$223100,3,FALSE))</f>
        <v>Current</v>
      </c>
    </row>
    <row r="1213" spans="1:15" x14ac:dyDescent="0.25">
      <c r="A1213" t="s">
        <v>6782</v>
      </c>
      <c r="B1213" t="s">
        <v>6783</v>
      </c>
      <c r="C1213" t="s">
        <v>6784</v>
      </c>
      <c r="D1213" t="s">
        <v>6785</v>
      </c>
      <c r="E1213" t="s">
        <v>6786</v>
      </c>
      <c r="F1213" t="s">
        <v>5</v>
      </c>
      <c r="G1213" t="s">
        <v>5</v>
      </c>
      <c r="H1213" t="s">
        <v>5</v>
      </c>
      <c r="I1213" t="s">
        <v>6653</v>
      </c>
      <c r="J1213" t="s">
        <v>14</v>
      </c>
      <c r="K1213" s="3">
        <f t="shared" si="36"/>
        <v>0</v>
      </c>
      <c r="L1213" s="3">
        <f>IF(ISERROR(VLOOKUP(J1213,Lookups!$A$2:$A$16,1,FALSE)),1,0)</f>
        <v>1</v>
      </c>
      <c r="M1213" s="3">
        <f>IF(ISERROR(VLOOKUP(D1213,Data!$A$2:$D$223100,2,FALSE)),0,1)</f>
        <v>1</v>
      </c>
      <c r="N1213" s="3">
        <f t="shared" si="37"/>
        <v>1</v>
      </c>
      <c r="O1213" s="3" t="str">
        <f>IF(ISERROR(VLOOKUP(D1213,Data!$A$2:$C$223100,3,FALSE)),"INACTIVE",VLOOKUP(D1213,Data!$A$2:$C$223100,3,FALSE))</f>
        <v>FC</v>
      </c>
    </row>
    <row r="1214" spans="1:15" x14ac:dyDescent="0.25">
      <c r="A1214" t="s">
        <v>6814</v>
      </c>
      <c r="B1214" t="s">
        <v>6815</v>
      </c>
      <c r="C1214" t="s">
        <v>6816</v>
      </c>
      <c r="D1214" t="s">
        <v>6817</v>
      </c>
      <c r="E1214" t="s">
        <v>5</v>
      </c>
      <c r="F1214" t="s">
        <v>6818</v>
      </c>
      <c r="G1214" t="s">
        <v>5</v>
      </c>
      <c r="H1214" t="s">
        <v>5</v>
      </c>
      <c r="I1214" t="s">
        <v>6653</v>
      </c>
      <c r="J1214" t="s">
        <v>14</v>
      </c>
      <c r="K1214" s="3">
        <f t="shared" si="36"/>
        <v>0</v>
      </c>
      <c r="L1214" s="3">
        <f>IF(ISERROR(VLOOKUP(J1214,Lookups!$A$2:$A$16,1,FALSE)),1,0)</f>
        <v>1</v>
      </c>
      <c r="M1214" s="3">
        <f>IF(ISERROR(VLOOKUP(D1214,Data!$A$2:$D$223100,2,FALSE)),0,1)</f>
        <v>1</v>
      </c>
      <c r="N1214" s="3">
        <f t="shared" si="37"/>
        <v>1</v>
      </c>
      <c r="O1214" s="3" t="str">
        <f>IF(ISERROR(VLOOKUP(D1214,Data!$A$2:$C$223100,3,FALSE)),"INACTIVE",VLOOKUP(D1214,Data!$A$2:$C$223100,3,FALSE))</f>
        <v>Current</v>
      </c>
    </row>
    <row r="1215" spans="1:15" x14ac:dyDescent="0.25">
      <c r="A1215" t="s">
        <v>6843</v>
      </c>
      <c r="B1215" t="s">
        <v>6844</v>
      </c>
      <c r="C1215" t="s">
        <v>6845</v>
      </c>
      <c r="D1215" t="s">
        <v>6846</v>
      </c>
      <c r="E1215" t="s">
        <v>6847</v>
      </c>
      <c r="F1215" t="s">
        <v>5</v>
      </c>
      <c r="G1215" t="s">
        <v>5</v>
      </c>
      <c r="H1215" t="s">
        <v>5</v>
      </c>
      <c r="I1215" t="s">
        <v>6653</v>
      </c>
      <c r="J1215" t="s">
        <v>7</v>
      </c>
      <c r="K1215" s="3">
        <f t="shared" si="36"/>
        <v>0</v>
      </c>
      <c r="L1215" s="3">
        <f>IF(ISERROR(VLOOKUP(J1215,Lookups!$A$2:$A$16,1,FALSE)),1,0)</f>
        <v>1</v>
      </c>
      <c r="M1215" s="3">
        <f>IF(ISERROR(VLOOKUP(D1215,Data!$A$2:$D$223100,2,FALSE)),0,1)</f>
        <v>1</v>
      </c>
      <c r="N1215" s="3">
        <f t="shared" si="37"/>
        <v>1</v>
      </c>
      <c r="O1215" s="3" t="str">
        <f>IF(ISERROR(VLOOKUP(D1215,Data!$A$2:$C$223100,3,FALSE)),"INACTIVE",VLOOKUP(D1215,Data!$A$2:$C$223100,3,FALSE))</f>
        <v>FC</v>
      </c>
    </row>
    <row r="1216" spans="1:15" x14ac:dyDescent="0.25">
      <c r="A1216" t="s">
        <v>7110</v>
      </c>
      <c r="B1216" t="s">
        <v>7111</v>
      </c>
      <c r="C1216" t="s">
        <v>7112</v>
      </c>
      <c r="D1216" t="s">
        <v>7113</v>
      </c>
      <c r="E1216" t="s">
        <v>7114</v>
      </c>
      <c r="F1216" t="s">
        <v>7115</v>
      </c>
      <c r="G1216" t="s">
        <v>7116</v>
      </c>
      <c r="H1216" t="s">
        <v>7117</v>
      </c>
      <c r="I1216" t="s">
        <v>6653</v>
      </c>
      <c r="J1216" t="s">
        <v>7</v>
      </c>
      <c r="K1216" s="3">
        <f t="shared" si="36"/>
        <v>0</v>
      </c>
      <c r="L1216" s="3">
        <f>IF(ISERROR(VLOOKUP(J1216,Lookups!$A$2:$A$16,1,FALSE)),1,0)</f>
        <v>1</v>
      </c>
      <c r="M1216" s="3">
        <f>IF(ISERROR(VLOOKUP(D1216,Data!$A$2:$D$223100,2,FALSE)),0,1)</f>
        <v>0</v>
      </c>
      <c r="N1216" s="3">
        <f t="shared" si="37"/>
        <v>0</v>
      </c>
      <c r="O1216" s="3" t="str">
        <f>IF(ISERROR(VLOOKUP(D1216,Data!$A$2:$C$223100,3,FALSE)),"INACTIVE",VLOOKUP(D1216,Data!$A$2:$C$223100,3,FALSE))</f>
        <v>INACTIVE</v>
      </c>
    </row>
    <row r="1217" spans="1:15" x14ac:dyDescent="0.25">
      <c r="A1217" t="s">
        <v>7110</v>
      </c>
      <c r="B1217" t="s">
        <v>7111</v>
      </c>
      <c r="C1217" t="s">
        <v>7118</v>
      </c>
      <c r="D1217" t="s">
        <v>7119</v>
      </c>
      <c r="E1217" t="s">
        <v>5</v>
      </c>
      <c r="F1217" t="s">
        <v>5</v>
      </c>
      <c r="G1217" t="s">
        <v>5</v>
      </c>
      <c r="H1217" t="s">
        <v>7120</v>
      </c>
      <c r="I1217" t="s">
        <v>6653</v>
      </c>
      <c r="J1217" t="s">
        <v>96</v>
      </c>
      <c r="K1217" s="3">
        <f t="shared" si="36"/>
        <v>0</v>
      </c>
      <c r="L1217" s="3">
        <f>IF(ISERROR(VLOOKUP(J1217,Lookups!$A$2:$A$16,1,FALSE)),1,0)</f>
        <v>0</v>
      </c>
      <c r="M1217" s="3">
        <f>IF(ISERROR(VLOOKUP(D1217,Data!$A$2:$D$223100,2,FALSE)),0,1)</f>
        <v>1</v>
      </c>
      <c r="N1217" s="3">
        <f t="shared" si="37"/>
        <v>0</v>
      </c>
      <c r="O1217" s="3" t="str">
        <f>IF(ISERROR(VLOOKUP(D1217,Data!$A$2:$C$223100,3,FALSE)),"INACTIVE",VLOOKUP(D1217,Data!$A$2:$C$223100,3,FALSE))</f>
        <v>FC</v>
      </c>
    </row>
    <row r="1218" spans="1:15" x14ac:dyDescent="0.25">
      <c r="A1218" t="s">
        <v>7131</v>
      </c>
      <c r="B1218" t="s">
        <v>7132</v>
      </c>
      <c r="C1218" t="s">
        <v>7133</v>
      </c>
      <c r="D1218" t="s">
        <v>7134</v>
      </c>
      <c r="E1218" t="s">
        <v>5</v>
      </c>
      <c r="F1218" t="s">
        <v>5</v>
      </c>
      <c r="G1218" t="s">
        <v>5</v>
      </c>
      <c r="H1218" t="s">
        <v>7135</v>
      </c>
      <c r="I1218" t="s">
        <v>6653</v>
      </c>
      <c r="J1218" t="s">
        <v>96</v>
      </c>
      <c r="K1218" s="3">
        <f t="shared" si="36"/>
        <v>0</v>
      </c>
      <c r="L1218" s="3">
        <f>IF(ISERROR(VLOOKUP(J1218,Lookups!$A$2:$A$16,1,FALSE)),1,0)</f>
        <v>0</v>
      </c>
      <c r="M1218" s="3">
        <f>IF(ISERROR(VLOOKUP(D1218,Data!$A$2:$D$223100,2,FALSE)),0,1)</f>
        <v>1</v>
      </c>
      <c r="N1218" s="3">
        <f t="shared" si="37"/>
        <v>0</v>
      </c>
      <c r="O1218" s="3" t="str">
        <f>IF(ISERROR(VLOOKUP(D1218,Data!$A$2:$C$223100,3,FALSE)),"INACTIVE",VLOOKUP(D1218,Data!$A$2:$C$223100,3,FALSE))</f>
        <v>FC</v>
      </c>
    </row>
    <row r="1219" spans="1:15" x14ac:dyDescent="0.25">
      <c r="A1219" t="s">
        <v>7131</v>
      </c>
      <c r="B1219" t="s">
        <v>7132</v>
      </c>
      <c r="C1219" t="s">
        <v>7136</v>
      </c>
      <c r="D1219" t="s">
        <v>7137</v>
      </c>
      <c r="E1219" t="s">
        <v>5</v>
      </c>
      <c r="F1219" t="s">
        <v>5</v>
      </c>
      <c r="G1219" t="s">
        <v>5</v>
      </c>
      <c r="H1219" t="s">
        <v>7138</v>
      </c>
      <c r="I1219" t="s">
        <v>6653</v>
      </c>
      <c r="J1219" t="s">
        <v>7</v>
      </c>
      <c r="K1219" s="3">
        <f t="shared" ref="K1219:K1282" si="38">IF(ISERROR(FIND("LIEN",A1219,1)),0,1)</f>
        <v>0</v>
      </c>
      <c r="L1219" s="3">
        <f>IF(ISERROR(VLOOKUP(J1219,Lookups!$A$2:$A$16,1,FALSE)),1,0)</f>
        <v>1</v>
      </c>
      <c r="M1219" s="3">
        <f>IF(ISERROR(VLOOKUP(D1219,Data!$A$2:$D$223100,2,FALSE)),0,1)</f>
        <v>1</v>
      </c>
      <c r="N1219" s="3">
        <f t="shared" ref="N1219:N1282" si="39">IF(M1219=0,0,IF(SUM(K1219:L1219)&gt;0,1,0))</f>
        <v>1</v>
      </c>
      <c r="O1219" s="3" t="str">
        <f>IF(ISERROR(VLOOKUP(D1219,Data!$A$2:$C$223100,3,FALSE)),"INACTIVE",VLOOKUP(D1219,Data!$A$2:$C$223100,3,FALSE))</f>
        <v>FC</v>
      </c>
    </row>
    <row r="1220" spans="1:15" x14ac:dyDescent="0.25">
      <c r="A1220" t="s">
        <v>6654</v>
      </c>
      <c r="B1220" t="s">
        <v>6655</v>
      </c>
      <c r="C1220" t="s">
        <v>6656</v>
      </c>
      <c r="D1220" t="s">
        <v>6657</v>
      </c>
      <c r="E1220" t="s">
        <v>6658</v>
      </c>
      <c r="F1220" t="s">
        <v>5</v>
      </c>
      <c r="G1220" t="s">
        <v>5</v>
      </c>
      <c r="H1220" t="s">
        <v>5</v>
      </c>
      <c r="I1220" t="s">
        <v>6659</v>
      </c>
      <c r="J1220" t="s">
        <v>90</v>
      </c>
      <c r="K1220" s="3">
        <f t="shared" si="38"/>
        <v>0</v>
      </c>
      <c r="L1220" s="3">
        <f>IF(ISERROR(VLOOKUP(J1220,Lookups!$A$2:$A$16,1,FALSE)),1,0)</f>
        <v>0</v>
      </c>
      <c r="M1220" s="3">
        <f>IF(ISERROR(VLOOKUP(D1220,Data!$A$2:$D$223100,2,FALSE)),0,1)</f>
        <v>1</v>
      </c>
      <c r="N1220" s="3">
        <f t="shared" si="39"/>
        <v>0</v>
      </c>
      <c r="O1220" s="3" t="str">
        <f>IF(ISERROR(VLOOKUP(D1220,Data!$A$2:$C$223100,3,FALSE)),"INACTIVE",VLOOKUP(D1220,Data!$A$2:$C$223100,3,FALSE))</f>
        <v>Current</v>
      </c>
    </row>
    <row r="1221" spans="1:15" x14ac:dyDescent="0.25">
      <c r="A1221" t="s">
        <v>6660</v>
      </c>
      <c r="B1221" t="s">
        <v>6661</v>
      </c>
      <c r="C1221" t="s">
        <v>6662</v>
      </c>
      <c r="D1221" t="s">
        <v>6663</v>
      </c>
      <c r="E1221" t="s">
        <v>6664</v>
      </c>
      <c r="F1221" t="s">
        <v>5</v>
      </c>
      <c r="G1221" t="s">
        <v>5</v>
      </c>
      <c r="H1221" t="s">
        <v>5</v>
      </c>
      <c r="I1221" t="s">
        <v>6659</v>
      </c>
      <c r="J1221" t="s">
        <v>90</v>
      </c>
      <c r="K1221" s="3">
        <f t="shared" si="38"/>
        <v>0</v>
      </c>
      <c r="L1221" s="3">
        <f>IF(ISERROR(VLOOKUP(J1221,Lookups!$A$2:$A$16,1,FALSE)),1,0)</f>
        <v>0</v>
      </c>
      <c r="M1221" s="3">
        <f>IF(ISERROR(VLOOKUP(D1221,Data!$A$2:$D$223100,2,FALSE)),0,1)</f>
        <v>1</v>
      </c>
      <c r="N1221" s="3">
        <f t="shared" si="39"/>
        <v>0</v>
      </c>
      <c r="O1221" s="3" t="str">
        <f>IF(ISERROR(VLOOKUP(D1221,Data!$A$2:$C$223100,3,FALSE)),"INACTIVE",VLOOKUP(D1221,Data!$A$2:$C$223100,3,FALSE))</f>
        <v>180+</v>
      </c>
    </row>
    <row r="1222" spans="1:15" x14ac:dyDescent="0.25">
      <c r="A1222" t="s">
        <v>6806</v>
      </c>
      <c r="B1222" t="s">
        <v>6807</v>
      </c>
      <c r="C1222" t="s">
        <v>6808</v>
      </c>
      <c r="D1222" t="s">
        <v>6809</v>
      </c>
      <c r="E1222" t="s">
        <v>6810</v>
      </c>
      <c r="F1222" t="s">
        <v>5</v>
      </c>
      <c r="G1222" t="s">
        <v>5</v>
      </c>
      <c r="H1222" t="s">
        <v>5</v>
      </c>
      <c r="I1222" t="s">
        <v>6659</v>
      </c>
      <c r="J1222" t="s">
        <v>7</v>
      </c>
      <c r="K1222" s="3">
        <f t="shared" si="38"/>
        <v>0</v>
      </c>
      <c r="L1222" s="3">
        <f>IF(ISERROR(VLOOKUP(J1222,Lookups!$A$2:$A$16,1,FALSE)),1,0)</f>
        <v>1</v>
      </c>
      <c r="M1222" s="3">
        <f>IF(ISERROR(VLOOKUP(D1222,Data!$A$2:$D$223100,2,FALSE)),0,1)</f>
        <v>1</v>
      </c>
      <c r="N1222" s="3">
        <f t="shared" si="39"/>
        <v>1</v>
      </c>
      <c r="O1222" s="3" t="str">
        <f>IF(ISERROR(VLOOKUP(D1222,Data!$A$2:$C$223100,3,FALSE)),"INACTIVE",VLOOKUP(D1222,Data!$A$2:$C$223100,3,FALSE))</f>
        <v>30+</v>
      </c>
    </row>
    <row r="1223" spans="1:15" x14ac:dyDescent="0.25">
      <c r="A1223" t="s">
        <v>6806</v>
      </c>
      <c r="B1223" t="s">
        <v>6807</v>
      </c>
      <c r="C1223" t="s">
        <v>6811</v>
      </c>
      <c r="D1223" t="s">
        <v>6812</v>
      </c>
      <c r="E1223" t="s">
        <v>6813</v>
      </c>
      <c r="F1223" t="s">
        <v>5</v>
      </c>
      <c r="G1223" t="s">
        <v>5</v>
      </c>
      <c r="H1223" t="s">
        <v>5</v>
      </c>
      <c r="I1223" t="s">
        <v>6659</v>
      </c>
      <c r="J1223" t="s">
        <v>7</v>
      </c>
      <c r="K1223" s="3">
        <f t="shared" si="38"/>
        <v>0</v>
      </c>
      <c r="L1223" s="3">
        <f>IF(ISERROR(VLOOKUP(J1223,Lookups!$A$2:$A$16,1,FALSE)),1,0)</f>
        <v>1</v>
      </c>
      <c r="M1223" s="3">
        <f>IF(ISERROR(VLOOKUP(D1223,Data!$A$2:$D$223100,2,FALSE)),0,1)</f>
        <v>1</v>
      </c>
      <c r="N1223" s="3">
        <f t="shared" si="39"/>
        <v>1</v>
      </c>
      <c r="O1223" s="3" t="str">
        <f>IF(ISERROR(VLOOKUP(D1223,Data!$A$2:$C$223100,3,FALSE)),"INACTIVE",VLOOKUP(D1223,Data!$A$2:$C$223100,3,FALSE))</f>
        <v>Current</v>
      </c>
    </row>
    <row r="1224" spans="1:15" x14ac:dyDescent="0.25">
      <c r="A1224" t="s">
        <v>1149</v>
      </c>
      <c r="B1224" t="s">
        <v>6848</v>
      </c>
      <c r="C1224" t="s">
        <v>6849</v>
      </c>
      <c r="D1224" t="s">
        <v>6850</v>
      </c>
      <c r="E1224" t="s">
        <v>6851</v>
      </c>
      <c r="F1224" t="s">
        <v>5</v>
      </c>
      <c r="G1224" t="s">
        <v>5</v>
      </c>
      <c r="H1224" t="s">
        <v>5</v>
      </c>
      <c r="I1224" t="s">
        <v>6659</v>
      </c>
      <c r="J1224" t="s">
        <v>7</v>
      </c>
      <c r="K1224" s="3">
        <f t="shared" si="38"/>
        <v>0</v>
      </c>
      <c r="L1224" s="3">
        <f>IF(ISERROR(VLOOKUP(J1224,Lookups!$A$2:$A$16,1,FALSE)),1,0)</f>
        <v>1</v>
      </c>
      <c r="M1224" s="3">
        <f>IF(ISERROR(VLOOKUP(D1224,Data!$A$2:$D$223100,2,FALSE)),0,1)</f>
        <v>1</v>
      </c>
      <c r="N1224" s="3">
        <f t="shared" si="39"/>
        <v>1</v>
      </c>
      <c r="O1224" s="3" t="str">
        <f>IF(ISERROR(VLOOKUP(D1224,Data!$A$2:$C$223100,3,FALSE)),"INACTIVE",VLOOKUP(D1224,Data!$A$2:$C$223100,3,FALSE))</f>
        <v>60+</v>
      </c>
    </row>
    <row r="1225" spans="1:15" x14ac:dyDescent="0.25">
      <c r="A1225" t="s">
        <v>4720</v>
      </c>
      <c r="B1225" t="s">
        <v>6900</v>
      </c>
      <c r="C1225" t="s">
        <v>6901</v>
      </c>
      <c r="D1225" t="s">
        <v>6902</v>
      </c>
      <c r="E1225" t="s">
        <v>6903</v>
      </c>
      <c r="F1225" t="s">
        <v>5</v>
      </c>
      <c r="G1225" t="s">
        <v>5</v>
      </c>
      <c r="H1225" t="s">
        <v>5</v>
      </c>
      <c r="I1225" t="s">
        <v>6659</v>
      </c>
      <c r="J1225" t="s">
        <v>96</v>
      </c>
      <c r="K1225" s="3">
        <f t="shared" si="38"/>
        <v>0</v>
      </c>
      <c r="L1225" s="3">
        <f>IF(ISERROR(VLOOKUP(J1225,Lookups!$A$2:$A$16,1,FALSE)),1,0)</f>
        <v>0</v>
      </c>
      <c r="M1225" s="3">
        <f>IF(ISERROR(VLOOKUP(D1225,Data!$A$2:$D$223100,2,FALSE)),0,1)</f>
        <v>1</v>
      </c>
      <c r="N1225" s="3">
        <f t="shared" si="39"/>
        <v>0</v>
      </c>
      <c r="O1225" s="3" t="str">
        <f>IF(ISERROR(VLOOKUP(D1225,Data!$A$2:$C$223100,3,FALSE)),"INACTIVE",VLOOKUP(D1225,Data!$A$2:$C$223100,3,FALSE))</f>
        <v>Demand Letter</v>
      </c>
    </row>
    <row r="1226" spans="1:15" x14ac:dyDescent="0.25">
      <c r="A1226" t="s">
        <v>6911</v>
      </c>
      <c r="B1226" t="s">
        <v>6912</v>
      </c>
      <c r="C1226" t="s">
        <v>6913</v>
      </c>
      <c r="D1226" t="s">
        <v>6914</v>
      </c>
      <c r="E1226" t="s">
        <v>6915</v>
      </c>
      <c r="F1226" t="s">
        <v>5</v>
      </c>
      <c r="G1226" t="s">
        <v>5</v>
      </c>
      <c r="H1226" t="s">
        <v>5</v>
      </c>
      <c r="I1226" t="s">
        <v>6659</v>
      </c>
      <c r="J1226" t="s">
        <v>96</v>
      </c>
      <c r="K1226" s="3">
        <f t="shared" si="38"/>
        <v>0</v>
      </c>
      <c r="L1226" s="3">
        <f>IF(ISERROR(VLOOKUP(J1226,Lookups!$A$2:$A$16,1,FALSE)),1,0)</f>
        <v>0</v>
      </c>
      <c r="M1226" s="3">
        <f>IF(ISERROR(VLOOKUP(D1226,Data!$A$2:$D$223100,2,FALSE)),0,1)</f>
        <v>1</v>
      </c>
      <c r="N1226" s="3">
        <f t="shared" si="39"/>
        <v>0</v>
      </c>
      <c r="O1226" s="3" t="str">
        <f>IF(ISERROR(VLOOKUP(D1226,Data!$A$2:$C$223100,3,FALSE)),"INACTIVE",VLOOKUP(D1226,Data!$A$2:$C$223100,3,FALSE))</f>
        <v>60+</v>
      </c>
    </row>
    <row r="1227" spans="1:15" x14ac:dyDescent="0.25">
      <c r="A1227" t="s">
        <v>6933</v>
      </c>
      <c r="B1227" t="s">
        <v>6934</v>
      </c>
      <c r="C1227" t="s">
        <v>6935</v>
      </c>
      <c r="D1227" t="s">
        <v>6936</v>
      </c>
      <c r="E1227" t="s">
        <v>6937</v>
      </c>
      <c r="F1227" t="s">
        <v>5</v>
      </c>
      <c r="G1227" t="s">
        <v>5</v>
      </c>
      <c r="H1227" t="s">
        <v>5</v>
      </c>
      <c r="I1227" t="s">
        <v>6659</v>
      </c>
      <c r="J1227" t="s">
        <v>96</v>
      </c>
      <c r="K1227" s="3">
        <f t="shared" si="38"/>
        <v>0</v>
      </c>
      <c r="L1227" s="3">
        <f>IF(ISERROR(VLOOKUP(J1227,Lookups!$A$2:$A$16,1,FALSE)),1,0)</f>
        <v>0</v>
      </c>
      <c r="M1227" s="3">
        <f>IF(ISERROR(VLOOKUP(D1227,Data!$A$2:$D$223100,2,FALSE)),0,1)</f>
        <v>1</v>
      </c>
      <c r="N1227" s="3">
        <f t="shared" si="39"/>
        <v>0</v>
      </c>
      <c r="O1227" s="3" t="str">
        <f>IF(ISERROR(VLOOKUP(D1227,Data!$A$2:$C$223100,3,FALSE)),"INACTIVE",VLOOKUP(D1227,Data!$A$2:$C$223100,3,FALSE))</f>
        <v>Current</v>
      </c>
    </row>
    <row r="1228" spans="1:15" x14ac:dyDescent="0.25">
      <c r="A1228" t="s">
        <v>870</v>
      </c>
      <c r="B1228" t="s">
        <v>7020</v>
      </c>
      <c r="C1228" t="s">
        <v>7021</v>
      </c>
      <c r="D1228" t="s">
        <v>7022</v>
      </c>
      <c r="E1228" t="s">
        <v>7023</v>
      </c>
      <c r="F1228" t="s">
        <v>5</v>
      </c>
      <c r="G1228" t="s">
        <v>5</v>
      </c>
      <c r="H1228" t="s">
        <v>5</v>
      </c>
      <c r="I1228" t="s">
        <v>6659</v>
      </c>
      <c r="J1228" t="s">
        <v>14</v>
      </c>
      <c r="K1228" s="3">
        <f t="shared" si="38"/>
        <v>0</v>
      </c>
      <c r="L1228" s="3">
        <f>IF(ISERROR(VLOOKUP(J1228,Lookups!$A$2:$A$16,1,FALSE)),1,0)</f>
        <v>1</v>
      </c>
      <c r="M1228" s="3">
        <f>IF(ISERROR(VLOOKUP(D1228,Data!$A$2:$D$223100,2,FALSE)),0,1)</f>
        <v>0</v>
      </c>
      <c r="N1228" s="3">
        <f t="shared" si="39"/>
        <v>0</v>
      </c>
      <c r="O1228" s="3" t="str">
        <f>IF(ISERROR(VLOOKUP(D1228,Data!$A$2:$C$223100,3,FALSE)),"INACTIVE",VLOOKUP(D1228,Data!$A$2:$C$223100,3,FALSE))</f>
        <v>INACTIVE</v>
      </c>
    </row>
    <row r="1229" spans="1:15" x14ac:dyDescent="0.25">
      <c r="A1229" t="s">
        <v>870</v>
      </c>
      <c r="B1229" t="s">
        <v>7020</v>
      </c>
      <c r="C1229" t="s">
        <v>7024</v>
      </c>
      <c r="D1229" t="s">
        <v>7025</v>
      </c>
      <c r="E1229" t="s">
        <v>7026</v>
      </c>
      <c r="F1229" t="s">
        <v>5</v>
      </c>
      <c r="G1229" t="s">
        <v>5</v>
      </c>
      <c r="H1229" t="s">
        <v>5</v>
      </c>
      <c r="I1229" t="s">
        <v>6659</v>
      </c>
      <c r="J1229" t="s">
        <v>14</v>
      </c>
      <c r="K1229" s="3">
        <f t="shared" si="38"/>
        <v>0</v>
      </c>
      <c r="L1229" s="3">
        <f>IF(ISERROR(VLOOKUP(J1229,Lookups!$A$2:$A$16,1,FALSE)),1,0)</f>
        <v>1</v>
      </c>
      <c r="M1229" s="3">
        <f>IF(ISERROR(VLOOKUP(D1229,Data!$A$2:$D$223100,2,FALSE)),0,1)</f>
        <v>1</v>
      </c>
      <c r="N1229" s="3">
        <f t="shared" si="39"/>
        <v>1</v>
      </c>
      <c r="O1229" s="3" t="str">
        <f>IF(ISERROR(VLOOKUP(D1229,Data!$A$2:$C$223100,3,FALSE)),"INACTIVE",VLOOKUP(D1229,Data!$A$2:$C$223100,3,FALSE))</f>
        <v>Current</v>
      </c>
    </row>
    <row r="1230" spans="1:15" x14ac:dyDescent="0.25">
      <c r="A1230" t="s">
        <v>870</v>
      </c>
      <c r="B1230" t="s">
        <v>7020</v>
      </c>
      <c r="C1230" t="s">
        <v>7027</v>
      </c>
      <c r="D1230" t="s">
        <v>7028</v>
      </c>
      <c r="E1230" t="s">
        <v>7029</v>
      </c>
      <c r="F1230" t="s">
        <v>5</v>
      </c>
      <c r="G1230" t="s">
        <v>5</v>
      </c>
      <c r="H1230" t="s">
        <v>5</v>
      </c>
      <c r="I1230" t="s">
        <v>6659</v>
      </c>
      <c r="J1230" t="s">
        <v>14</v>
      </c>
      <c r="K1230" s="3">
        <f t="shared" si="38"/>
        <v>0</v>
      </c>
      <c r="L1230" s="3">
        <f>IF(ISERROR(VLOOKUP(J1230,Lookups!$A$2:$A$16,1,FALSE)),1,0)</f>
        <v>1</v>
      </c>
      <c r="M1230" s="3">
        <f>IF(ISERROR(VLOOKUP(D1230,Data!$A$2:$D$223100,2,FALSE)),0,1)</f>
        <v>1</v>
      </c>
      <c r="N1230" s="3">
        <f t="shared" si="39"/>
        <v>1</v>
      </c>
      <c r="O1230" s="3" t="str">
        <f>IF(ISERROR(VLOOKUP(D1230,Data!$A$2:$C$223100,3,FALSE)),"INACTIVE",VLOOKUP(D1230,Data!$A$2:$C$223100,3,FALSE))</f>
        <v>120+</v>
      </c>
    </row>
    <row r="1231" spans="1:15" x14ac:dyDescent="0.25">
      <c r="A1231" t="s">
        <v>870</v>
      </c>
      <c r="B1231" t="s">
        <v>7020</v>
      </c>
      <c r="C1231" t="s">
        <v>7030</v>
      </c>
      <c r="D1231" t="s">
        <v>7031</v>
      </c>
      <c r="E1231" t="s">
        <v>7032</v>
      </c>
      <c r="F1231" t="s">
        <v>5</v>
      </c>
      <c r="G1231" t="s">
        <v>5</v>
      </c>
      <c r="H1231" t="s">
        <v>5</v>
      </c>
      <c r="I1231" t="s">
        <v>6659</v>
      </c>
      <c r="J1231" t="s">
        <v>14</v>
      </c>
      <c r="K1231" s="3">
        <f t="shared" si="38"/>
        <v>0</v>
      </c>
      <c r="L1231" s="3">
        <f>IF(ISERROR(VLOOKUP(J1231,Lookups!$A$2:$A$16,1,FALSE)),1,0)</f>
        <v>1</v>
      </c>
      <c r="M1231" s="3">
        <f>IF(ISERROR(VLOOKUP(D1231,Data!$A$2:$D$223100,2,FALSE)),0,1)</f>
        <v>0</v>
      </c>
      <c r="N1231" s="3">
        <f t="shared" si="39"/>
        <v>0</v>
      </c>
      <c r="O1231" s="3" t="str">
        <f>IF(ISERROR(VLOOKUP(D1231,Data!$A$2:$C$223100,3,FALSE)),"INACTIVE",VLOOKUP(D1231,Data!$A$2:$C$223100,3,FALSE))</f>
        <v>INACTIVE</v>
      </c>
    </row>
    <row r="1232" spans="1:15" x14ac:dyDescent="0.25">
      <c r="A1232" t="s">
        <v>870</v>
      </c>
      <c r="B1232" t="s">
        <v>7020</v>
      </c>
      <c r="C1232" t="s">
        <v>7033</v>
      </c>
      <c r="D1232" t="s">
        <v>7034</v>
      </c>
      <c r="E1232" t="s">
        <v>7035</v>
      </c>
      <c r="F1232" t="s">
        <v>5</v>
      </c>
      <c r="G1232" t="s">
        <v>5</v>
      </c>
      <c r="H1232" t="s">
        <v>5</v>
      </c>
      <c r="I1232" t="s">
        <v>6659</v>
      </c>
      <c r="J1232" t="s">
        <v>14</v>
      </c>
      <c r="K1232" s="3">
        <f t="shared" si="38"/>
        <v>0</v>
      </c>
      <c r="L1232" s="3">
        <f>IF(ISERROR(VLOOKUP(J1232,Lookups!$A$2:$A$16,1,FALSE)),1,0)</f>
        <v>1</v>
      </c>
      <c r="M1232" s="3">
        <f>IF(ISERROR(VLOOKUP(D1232,Data!$A$2:$D$223100,2,FALSE)),0,1)</f>
        <v>1</v>
      </c>
      <c r="N1232" s="3">
        <f t="shared" si="39"/>
        <v>1</v>
      </c>
      <c r="O1232" s="3" t="str">
        <f>IF(ISERROR(VLOOKUP(D1232,Data!$A$2:$C$223100,3,FALSE)),"INACTIVE",VLOOKUP(D1232,Data!$A$2:$C$223100,3,FALSE))</f>
        <v>Current</v>
      </c>
    </row>
    <row r="1233" spans="1:15" x14ac:dyDescent="0.25">
      <c r="A1233" t="s">
        <v>338</v>
      </c>
      <c r="B1233" t="s">
        <v>6683</v>
      </c>
      <c r="C1233" t="s">
        <v>6684</v>
      </c>
      <c r="D1233" t="s">
        <v>6685</v>
      </c>
      <c r="E1233" t="s">
        <v>6686</v>
      </c>
      <c r="F1233" t="s">
        <v>5</v>
      </c>
      <c r="G1233" t="s">
        <v>5</v>
      </c>
      <c r="H1233" t="s">
        <v>5</v>
      </c>
      <c r="I1233" t="s">
        <v>6687</v>
      </c>
      <c r="J1233" t="s">
        <v>90</v>
      </c>
      <c r="K1233" s="3">
        <f t="shared" si="38"/>
        <v>0</v>
      </c>
      <c r="L1233" s="3">
        <f>IF(ISERROR(VLOOKUP(J1233,Lookups!$A$2:$A$16,1,FALSE)),1,0)</f>
        <v>0</v>
      </c>
      <c r="M1233" s="3">
        <f>IF(ISERROR(VLOOKUP(D1233,Data!$A$2:$D$223100,2,FALSE)),0,1)</f>
        <v>1</v>
      </c>
      <c r="N1233" s="3">
        <f t="shared" si="39"/>
        <v>0</v>
      </c>
      <c r="O1233" s="3" t="str">
        <f>IF(ISERROR(VLOOKUP(D1233,Data!$A$2:$C$223100,3,FALSE)),"INACTIVE",VLOOKUP(D1233,Data!$A$2:$C$223100,3,FALSE))</f>
        <v>30+</v>
      </c>
    </row>
    <row r="1234" spans="1:15" x14ac:dyDescent="0.25">
      <c r="A1234" t="s">
        <v>338</v>
      </c>
      <c r="B1234" t="s">
        <v>6683</v>
      </c>
      <c r="C1234" t="s">
        <v>6485</v>
      </c>
      <c r="D1234" t="s">
        <v>6486</v>
      </c>
      <c r="E1234" t="s">
        <v>6688</v>
      </c>
      <c r="F1234" t="s">
        <v>5</v>
      </c>
      <c r="G1234" t="s">
        <v>5</v>
      </c>
      <c r="H1234" t="s">
        <v>5</v>
      </c>
      <c r="I1234" t="s">
        <v>6687</v>
      </c>
      <c r="J1234" t="s">
        <v>90</v>
      </c>
      <c r="K1234" s="3">
        <f t="shared" si="38"/>
        <v>0</v>
      </c>
      <c r="L1234" s="3">
        <f>IF(ISERROR(VLOOKUP(J1234,Lookups!$A$2:$A$16,1,FALSE)),1,0)</f>
        <v>0</v>
      </c>
      <c r="M1234" s="3">
        <f>IF(ISERROR(VLOOKUP(D1234,Data!$A$2:$D$223100,2,FALSE)),0,1)</f>
        <v>1</v>
      </c>
      <c r="N1234" s="3">
        <f t="shared" si="39"/>
        <v>0</v>
      </c>
      <c r="O1234" s="3" t="str">
        <f>IF(ISERROR(VLOOKUP(D1234,Data!$A$2:$C$223100,3,FALSE)),"INACTIVE",VLOOKUP(D1234,Data!$A$2:$C$223100,3,FALSE))</f>
        <v>60+</v>
      </c>
    </row>
    <row r="1235" spans="1:15" x14ac:dyDescent="0.25">
      <c r="A1235" t="s">
        <v>338</v>
      </c>
      <c r="B1235" t="s">
        <v>6683</v>
      </c>
      <c r="C1235" t="s">
        <v>6689</v>
      </c>
      <c r="D1235" t="s">
        <v>6690</v>
      </c>
      <c r="E1235" t="s">
        <v>6691</v>
      </c>
      <c r="F1235" t="s">
        <v>5</v>
      </c>
      <c r="G1235" t="s">
        <v>5</v>
      </c>
      <c r="H1235" t="s">
        <v>5</v>
      </c>
      <c r="I1235" t="s">
        <v>6687</v>
      </c>
      <c r="J1235" t="s">
        <v>90</v>
      </c>
      <c r="K1235" s="3">
        <f t="shared" si="38"/>
        <v>0</v>
      </c>
      <c r="L1235" s="3">
        <f>IF(ISERROR(VLOOKUP(J1235,Lookups!$A$2:$A$16,1,FALSE)),1,0)</f>
        <v>0</v>
      </c>
      <c r="M1235" s="3">
        <f>IF(ISERROR(VLOOKUP(D1235,Data!$A$2:$D$223100,2,FALSE)),0,1)</f>
        <v>1</v>
      </c>
      <c r="N1235" s="3">
        <f t="shared" si="39"/>
        <v>0</v>
      </c>
      <c r="O1235" s="3" t="str">
        <f>IF(ISERROR(VLOOKUP(D1235,Data!$A$2:$C$223100,3,FALSE)),"INACTIVE",VLOOKUP(D1235,Data!$A$2:$C$223100,3,FALSE))</f>
        <v>FC</v>
      </c>
    </row>
    <row r="1236" spans="1:15" x14ac:dyDescent="0.25">
      <c r="A1236" t="s">
        <v>338</v>
      </c>
      <c r="B1236" t="s">
        <v>6683</v>
      </c>
      <c r="C1236" t="s">
        <v>6692</v>
      </c>
      <c r="D1236" t="s">
        <v>6693</v>
      </c>
      <c r="E1236" t="s">
        <v>6694</v>
      </c>
      <c r="F1236" t="s">
        <v>5</v>
      </c>
      <c r="G1236" t="s">
        <v>5</v>
      </c>
      <c r="H1236" t="s">
        <v>5</v>
      </c>
      <c r="I1236" t="s">
        <v>6687</v>
      </c>
      <c r="J1236" t="s">
        <v>90</v>
      </c>
      <c r="K1236" s="3">
        <f t="shared" si="38"/>
        <v>0</v>
      </c>
      <c r="L1236" s="3">
        <f>IF(ISERROR(VLOOKUP(J1236,Lookups!$A$2:$A$16,1,FALSE)),1,0)</f>
        <v>0</v>
      </c>
      <c r="M1236" s="3">
        <f>IF(ISERROR(VLOOKUP(D1236,Data!$A$2:$D$223100,2,FALSE)),0,1)</f>
        <v>1</v>
      </c>
      <c r="N1236" s="3">
        <f t="shared" si="39"/>
        <v>0</v>
      </c>
      <c r="O1236" s="3" t="str">
        <f>IF(ISERROR(VLOOKUP(D1236,Data!$A$2:$C$223100,3,FALSE)),"INACTIVE",VLOOKUP(D1236,Data!$A$2:$C$223100,3,FALSE))</f>
        <v>BK13</v>
      </c>
    </row>
    <row r="1237" spans="1:15" x14ac:dyDescent="0.25">
      <c r="A1237" t="s">
        <v>6838</v>
      </c>
      <c r="B1237" t="s">
        <v>6839</v>
      </c>
      <c r="C1237" t="s">
        <v>6840</v>
      </c>
      <c r="D1237" t="s">
        <v>6841</v>
      </c>
      <c r="E1237" t="s">
        <v>6842</v>
      </c>
      <c r="F1237" t="s">
        <v>5</v>
      </c>
      <c r="G1237" t="s">
        <v>5</v>
      </c>
      <c r="H1237" t="s">
        <v>5</v>
      </c>
      <c r="I1237" t="s">
        <v>6687</v>
      </c>
      <c r="J1237" t="s">
        <v>7</v>
      </c>
      <c r="K1237" s="3">
        <f t="shared" si="38"/>
        <v>0</v>
      </c>
      <c r="L1237" s="3">
        <f>IF(ISERROR(VLOOKUP(J1237,Lookups!$A$2:$A$16,1,FALSE)),1,0)</f>
        <v>1</v>
      </c>
      <c r="M1237" s="3">
        <f>IF(ISERROR(VLOOKUP(D1237,Data!$A$2:$D$223100,2,FALSE)),0,1)</f>
        <v>1</v>
      </c>
      <c r="N1237" s="3">
        <f t="shared" si="39"/>
        <v>1</v>
      </c>
      <c r="O1237" s="3" t="str">
        <f>IF(ISERROR(VLOOKUP(D1237,Data!$A$2:$C$223100,3,FALSE)),"INACTIVE",VLOOKUP(D1237,Data!$A$2:$C$223100,3,FALSE))</f>
        <v>90+</v>
      </c>
    </row>
    <row r="1238" spans="1:15" x14ac:dyDescent="0.25">
      <c r="A1238" t="s">
        <v>6891</v>
      </c>
      <c r="B1238" t="s">
        <v>6892</v>
      </c>
      <c r="C1238" t="s">
        <v>6893</v>
      </c>
      <c r="D1238" t="s">
        <v>6894</v>
      </c>
      <c r="E1238" t="s">
        <v>6895</v>
      </c>
      <c r="F1238" t="s">
        <v>5</v>
      </c>
      <c r="G1238" t="s">
        <v>5</v>
      </c>
      <c r="H1238" t="s">
        <v>5</v>
      </c>
      <c r="I1238" t="s">
        <v>6687</v>
      </c>
      <c r="J1238" t="s">
        <v>96</v>
      </c>
      <c r="K1238" s="3">
        <f t="shared" si="38"/>
        <v>0</v>
      </c>
      <c r="L1238" s="3">
        <f>IF(ISERROR(VLOOKUP(J1238,Lookups!$A$2:$A$16,1,FALSE)),1,0)</f>
        <v>0</v>
      </c>
      <c r="M1238" s="3">
        <f>IF(ISERROR(VLOOKUP(D1238,Data!$A$2:$D$223100,2,FALSE)),0,1)</f>
        <v>1</v>
      </c>
      <c r="N1238" s="3">
        <f t="shared" si="39"/>
        <v>0</v>
      </c>
      <c r="O1238" s="3" t="str">
        <f>IF(ISERROR(VLOOKUP(D1238,Data!$A$2:$C$223100,3,FALSE)),"INACTIVE",VLOOKUP(D1238,Data!$A$2:$C$223100,3,FALSE))</f>
        <v>Demand Letter</v>
      </c>
    </row>
    <row r="1239" spans="1:15" x14ac:dyDescent="0.25">
      <c r="A1239" t="s">
        <v>2107</v>
      </c>
      <c r="B1239" t="s">
        <v>6942</v>
      </c>
      <c r="C1239" t="s">
        <v>6943</v>
      </c>
      <c r="D1239" t="s">
        <v>6944</v>
      </c>
      <c r="E1239" t="s">
        <v>6945</v>
      </c>
      <c r="F1239" t="s">
        <v>6946</v>
      </c>
      <c r="G1239" t="s">
        <v>5</v>
      </c>
      <c r="H1239" t="s">
        <v>5</v>
      </c>
      <c r="I1239" t="s">
        <v>6687</v>
      </c>
      <c r="J1239" t="s">
        <v>96</v>
      </c>
      <c r="K1239" s="3">
        <f t="shared" si="38"/>
        <v>0</v>
      </c>
      <c r="L1239" s="3">
        <f>IF(ISERROR(VLOOKUP(J1239,Lookups!$A$2:$A$16,1,FALSE)),1,0)</f>
        <v>0</v>
      </c>
      <c r="M1239" s="3">
        <f>IF(ISERROR(VLOOKUP(D1239,Data!$A$2:$D$223100,2,FALSE)),0,1)</f>
        <v>0</v>
      </c>
      <c r="N1239" s="3">
        <f t="shared" si="39"/>
        <v>0</v>
      </c>
      <c r="O1239" s="3" t="str">
        <f>IF(ISERROR(VLOOKUP(D1239,Data!$A$2:$C$223100,3,FALSE)),"INACTIVE",VLOOKUP(D1239,Data!$A$2:$C$223100,3,FALSE))</f>
        <v>INACTIVE</v>
      </c>
    </row>
    <row r="1240" spans="1:15" x14ac:dyDescent="0.25">
      <c r="A1240" t="s">
        <v>1149</v>
      </c>
      <c r="B1240" t="s">
        <v>6557</v>
      </c>
      <c r="C1240" t="s">
        <v>6558</v>
      </c>
      <c r="D1240" t="s">
        <v>6559</v>
      </c>
      <c r="E1240" t="s">
        <v>6560</v>
      </c>
      <c r="F1240" t="s">
        <v>5</v>
      </c>
      <c r="G1240" t="s">
        <v>5</v>
      </c>
      <c r="H1240" t="s">
        <v>5</v>
      </c>
      <c r="I1240" t="s">
        <v>6561</v>
      </c>
      <c r="J1240" t="s">
        <v>90</v>
      </c>
      <c r="K1240" s="3">
        <f t="shared" si="38"/>
        <v>0</v>
      </c>
      <c r="L1240" s="3">
        <f>IF(ISERROR(VLOOKUP(J1240,Lookups!$A$2:$A$16,1,FALSE)),1,0)</f>
        <v>0</v>
      </c>
      <c r="M1240" s="3">
        <f>IF(ISERROR(VLOOKUP(D1240,Data!$A$2:$D$223100,2,FALSE)),0,1)</f>
        <v>0</v>
      </c>
      <c r="N1240" s="3">
        <f t="shared" si="39"/>
        <v>0</v>
      </c>
      <c r="O1240" s="3" t="str">
        <f>IF(ISERROR(VLOOKUP(D1240,Data!$A$2:$C$223100,3,FALSE)),"INACTIVE",VLOOKUP(D1240,Data!$A$2:$C$223100,3,FALSE))</f>
        <v>INACTIVE</v>
      </c>
    </row>
    <row r="1241" spans="1:15" x14ac:dyDescent="0.25">
      <c r="A1241" t="s">
        <v>3870</v>
      </c>
      <c r="B1241" t="s">
        <v>6896</v>
      </c>
      <c r="C1241" t="s">
        <v>6897</v>
      </c>
      <c r="D1241" t="s">
        <v>6898</v>
      </c>
      <c r="E1241" t="s">
        <v>6899</v>
      </c>
      <c r="F1241" t="s">
        <v>5</v>
      </c>
      <c r="G1241" t="s">
        <v>5</v>
      </c>
      <c r="H1241" t="s">
        <v>5</v>
      </c>
      <c r="I1241" t="s">
        <v>6561</v>
      </c>
      <c r="J1241" t="s">
        <v>96</v>
      </c>
      <c r="K1241" s="3">
        <f t="shared" si="38"/>
        <v>0</v>
      </c>
      <c r="L1241" s="3">
        <f>IF(ISERROR(VLOOKUP(J1241,Lookups!$A$2:$A$16,1,FALSE)),1,0)</f>
        <v>0</v>
      </c>
      <c r="M1241" s="3">
        <f>IF(ISERROR(VLOOKUP(D1241,Data!$A$2:$D$223100,2,FALSE)),0,1)</f>
        <v>1</v>
      </c>
      <c r="N1241" s="3">
        <f t="shared" si="39"/>
        <v>0</v>
      </c>
      <c r="O1241" s="3" t="str">
        <f>IF(ISERROR(VLOOKUP(D1241,Data!$A$2:$C$223100,3,FALSE)),"INACTIVE",VLOOKUP(D1241,Data!$A$2:$C$223100,3,FALSE))</f>
        <v>Current</v>
      </c>
    </row>
    <row r="1242" spans="1:15" x14ac:dyDescent="0.25">
      <c r="A1242" t="s">
        <v>3911</v>
      </c>
      <c r="B1242" t="s">
        <v>6938</v>
      </c>
      <c r="C1242" t="s">
        <v>6939</v>
      </c>
      <c r="D1242" t="s">
        <v>6940</v>
      </c>
      <c r="E1242" t="s">
        <v>6941</v>
      </c>
      <c r="F1242" t="s">
        <v>5</v>
      </c>
      <c r="G1242" t="s">
        <v>5</v>
      </c>
      <c r="H1242" t="s">
        <v>5</v>
      </c>
      <c r="I1242" t="s">
        <v>6561</v>
      </c>
      <c r="J1242" t="s">
        <v>96</v>
      </c>
      <c r="K1242" s="3">
        <f t="shared" si="38"/>
        <v>0</v>
      </c>
      <c r="L1242" s="3">
        <f>IF(ISERROR(VLOOKUP(J1242,Lookups!$A$2:$A$16,1,FALSE)),1,0)</f>
        <v>0</v>
      </c>
      <c r="M1242" s="3">
        <f>IF(ISERROR(VLOOKUP(D1242,Data!$A$2:$D$223100,2,FALSE)),0,1)</f>
        <v>1</v>
      </c>
      <c r="N1242" s="3">
        <f t="shared" si="39"/>
        <v>0</v>
      </c>
      <c r="O1242" s="3" t="str">
        <f>IF(ISERROR(VLOOKUP(D1242,Data!$A$2:$C$223100,3,FALSE)),"INACTIVE",VLOOKUP(D1242,Data!$A$2:$C$223100,3,FALSE))</f>
        <v>Current</v>
      </c>
    </row>
    <row r="1243" spans="1:15" x14ac:dyDescent="0.25">
      <c r="A1243" t="s">
        <v>6460</v>
      </c>
      <c r="B1243" t="s">
        <v>6461</v>
      </c>
      <c r="C1243" t="s">
        <v>6462</v>
      </c>
      <c r="D1243" t="s">
        <v>6463</v>
      </c>
      <c r="E1243" t="s">
        <v>6464</v>
      </c>
      <c r="F1243" t="s">
        <v>5</v>
      </c>
      <c r="G1243" t="s">
        <v>5</v>
      </c>
      <c r="H1243" t="s">
        <v>5</v>
      </c>
      <c r="I1243" t="s">
        <v>6465</v>
      </c>
      <c r="J1243" t="s">
        <v>90</v>
      </c>
      <c r="K1243" s="3">
        <f t="shared" si="38"/>
        <v>0</v>
      </c>
      <c r="L1243" s="3">
        <f>IF(ISERROR(VLOOKUP(J1243,Lookups!$A$2:$A$16,1,FALSE)),1,0)</f>
        <v>0</v>
      </c>
      <c r="M1243" s="3">
        <f>IF(ISERROR(VLOOKUP(D1243,Data!$A$2:$D$223100,2,FALSE)),0,1)</f>
        <v>1</v>
      </c>
      <c r="N1243" s="3">
        <f t="shared" si="39"/>
        <v>0</v>
      </c>
      <c r="O1243" s="3" t="str">
        <f>IF(ISERROR(VLOOKUP(D1243,Data!$A$2:$C$223100,3,FALSE)),"INACTIVE",VLOOKUP(D1243,Data!$A$2:$C$223100,3,FALSE))</f>
        <v>BK13</v>
      </c>
    </row>
    <row r="1244" spans="1:15" x14ac:dyDescent="0.25">
      <c r="A1244" t="s">
        <v>6589</v>
      </c>
      <c r="B1244" t="s">
        <v>6590</v>
      </c>
      <c r="C1244" t="s">
        <v>6591</v>
      </c>
      <c r="D1244" t="s">
        <v>6592</v>
      </c>
      <c r="E1244" t="s">
        <v>2044</v>
      </c>
      <c r="F1244" t="s">
        <v>5</v>
      </c>
      <c r="G1244" t="s">
        <v>5</v>
      </c>
      <c r="H1244" t="s">
        <v>5</v>
      </c>
      <c r="I1244" t="s">
        <v>6593</v>
      </c>
      <c r="J1244" t="s">
        <v>96</v>
      </c>
      <c r="K1244" s="3">
        <f t="shared" si="38"/>
        <v>0</v>
      </c>
      <c r="L1244" s="3">
        <f>IF(ISERROR(VLOOKUP(J1244,Lookups!$A$2:$A$16,1,FALSE)),1,0)</f>
        <v>0</v>
      </c>
      <c r="M1244" s="3">
        <f>IF(ISERROR(VLOOKUP(D1244,Data!$A$2:$D$223100,2,FALSE)),0,1)</f>
        <v>1</v>
      </c>
      <c r="N1244" s="3">
        <f t="shared" si="39"/>
        <v>0</v>
      </c>
      <c r="O1244" s="3" t="str">
        <f>IF(ISERROR(VLOOKUP(D1244,Data!$A$2:$C$223100,3,FALSE)),"INACTIVE",VLOOKUP(D1244,Data!$A$2:$C$223100,3,FALSE))</f>
        <v>Current</v>
      </c>
    </row>
    <row r="1245" spans="1:15" x14ac:dyDescent="0.25">
      <c r="A1245" t="s">
        <v>6589</v>
      </c>
      <c r="B1245" t="s">
        <v>6590</v>
      </c>
      <c r="C1245" t="s">
        <v>6591</v>
      </c>
      <c r="D1245" t="s">
        <v>6592</v>
      </c>
      <c r="E1245" t="s">
        <v>6594</v>
      </c>
      <c r="F1245" t="s">
        <v>5</v>
      </c>
      <c r="G1245" t="s">
        <v>5</v>
      </c>
      <c r="H1245" t="s">
        <v>5</v>
      </c>
      <c r="I1245" t="s">
        <v>6593</v>
      </c>
      <c r="J1245" t="s">
        <v>96</v>
      </c>
      <c r="K1245" s="3">
        <f t="shared" si="38"/>
        <v>0</v>
      </c>
      <c r="L1245" s="3">
        <f>IF(ISERROR(VLOOKUP(J1245,Lookups!$A$2:$A$16,1,FALSE)),1,0)</f>
        <v>0</v>
      </c>
      <c r="M1245" s="3">
        <f>IF(ISERROR(VLOOKUP(D1245,Data!$A$2:$D$223100,2,FALSE)),0,1)</f>
        <v>1</v>
      </c>
      <c r="N1245" s="3">
        <f t="shared" si="39"/>
        <v>0</v>
      </c>
      <c r="O1245" s="3" t="str">
        <f>IF(ISERROR(VLOOKUP(D1245,Data!$A$2:$C$223100,3,FALSE)),"INACTIVE",VLOOKUP(D1245,Data!$A$2:$C$223100,3,FALSE))</f>
        <v>Current</v>
      </c>
    </row>
    <row r="1246" spans="1:15" x14ac:dyDescent="0.25">
      <c r="A1246" t="s">
        <v>6589</v>
      </c>
      <c r="B1246" t="s">
        <v>6590</v>
      </c>
      <c r="C1246" t="s">
        <v>6595</v>
      </c>
      <c r="D1246" t="s">
        <v>6596</v>
      </c>
      <c r="E1246" t="s">
        <v>6597</v>
      </c>
      <c r="F1246" t="s">
        <v>5</v>
      </c>
      <c r="G1246" t="s">
        <v>5</v>
      </c>
      <c r="H1246" t="s">
        <v>5</v>
      </c>
      <c r="I1246" t="s">
        <v>6593</v>
      </c>
      <c r="J1246" t="s">
        <v>96</v>
      </c>
      <c r="K1246" s="3">
        <f t="shared" si="38"/>
        <v>0</v>
      </c>
      <c r="L1246" s="3">
        <f>IF(ISERROR(VLOOKUP(J1246,Lookups!$A$2:$A$16,1,FALSE)),1,0)</f>
        <v>0</v>
      </c>
      <c r="M1246" s="3">
        <f>IF(ISERROR(VLOOKUP(D1246,Data!$A$2:$D$223100,2,FALSE)),0,1)</f>
        <v>1</v>
      </c>
      <c r="N1246" s="3">
        <f t="shared" si="39"/>
        <v>0</v>
      </c>
      <c r="O1246" s="3" t="str">
        <f>IF(ISERROR(VLOOKUP(D1246,Data!$A$2:$C$223100,3,FALSE)),"INACTIVE",VLOOKUP(D1246,Data!$A$2:$C$223100,3,FALSE))</f>
        <v>FBA</v>
      </c>
    </row>
    <row r="1247" spans="1:15" x14ac:dyDescent="0.25">
      <c r="A1247" t="s">
        <v>6598</v>
      </c>
      <c r="B1247" t="s">
        <v>6599</v>
      </c>
      <c r="C1247" t="s">
        <v>6600</v>
      </c>
      <c r="D1247" t="s">
        <v>6601</v>
      </c>
      <c r="E1247" t="s">
        <v>6602</v>
      </c>
      <c r="F1247" t="s">
        <v>5</v>
      </c>
      <c r="G1247" t="s">
        <v>5</v>
      </c>
      <c r="H1247" t="s">
        <v>5</v>
      </c>
      <c r="I1247" t="s">
        <v>6593</v>
      </c>
      <c r="J1247" t="s">
        <v>96</v>
      </c>
      <c r="K1247" s="3">
        <f t="shared" si="38"/>
        <v>0</v>
      </c>
      <c r="L1247" s="3">
        <f>IF(ISERROR(VLOOKUP(J1247,Lookups!$A$2:$A$16,1,FALSE)),1,0)</f>
        <v>0</v>
      </c>
      <c r="M1247" s="3">
        <f>IF(ISERROR(VLOOKUP(D1247,Data!$A$2:$D$223100,2,FALSE)),0,1)</f>
        <v>1</v>
      </c>
      <c r="N1247" s="3">
        <f t="shared" si="39"/>
        <v>0</v>
      </c>
      <c r="O1247" s="3" t="str">
        <f>IF(ISERROR(VLOOKUP(D1247,Data!$A$2:$C$223100,3,FALSE)),"INACTIVE",VLOOKUP(D1247,Data!$A$2:$C$223100,3,FALSE))</f>
        <v>BK13</v>
      </c>
    </row>
    <row r="1248" spans="1:15" x14ac:dyDescent="0.25">
      <c r="A1248" t="s">
        <v>6598</v>
      </c>
      <c r="B1248" t="s">
        <v>6599</v>
      </c>
      <c r="C1248" t="s">
        <v>6603</v>
      </c>
      <c r="D1248" t="s">
        <v>6604</v>
      </c>
      <c r="E1248" t="s">
        <v>6605</v>
      </c>
      <c r="F1248" t="s">
        <v>5</v>
      </c>
      <c r="G1248" t="s">
        <v>5</v>
      </c>
      <c r="H1248" t="s">
        <v>5</v>
      </c>
      <c r="I1248" t="s">
        <v>6593</v>
      </c>
      <c r="J1248" t="s">
        <v>96</v>
      </c>
      <c r="K1248" s="3">
        <f t="shared" si="38"/>
        <v>0</v>
      </c>
      <c r="L1248" s="3">
        <f>IF(ISERROR(VLOOKUP(J1248,Lookups!$A$2:$A$16,1,FALSE)),1,0)</f>
        <v>0</v>
      </c>
      <c r="M1248" s="3">
        <f>IF(ISERROR(VLOOKUP(D1248,Data!$A$2:$D$223100,2,FALSE)),0,1)</f>
        <v>1</v>
      </c>
      <c r="N1248" s="3">
        <f t="shared" si="39"/>
        <v>0</v>
      </c>
      <c r="O1248" s="3" t="str">
        <f>IF(ISERROR(VLOOKUP(D1248,Data!$A$2:$C$223100,3,FALSE)),"INACTIVE",VLOOKUP(D1248,Data!$A$2:$C$223100,3,FALSE))</f>
        <v>Demand Letter</v>
      </c>
    </row>
    <row r="1249" spans="1:15" x14ac:dyDescent="0.25">
      <c r="A1249" t="s">
        <v>6642</v>
      </c>
      <c r="B1249" t="s">
        <v>6643</v>
      </c>
      <c r="C1249" t="s">
        <v>6644</v>
      </c>
      <c r="D1249" t="s">
        <v>6645</v>
      </c>
      <c r="E1249" t="s">
        <v>6646</v>
      </c>
      <c r="F1249" t="s">
        <v>5</v>
      </c>
      <c r="G1249" t="s">
        <v>5</v>
      </c>
      <c r="H1249" t="s">
        <v>5</v>
      </c>
      <c r="I1249" t="s">
        <v>6593</v>
      </c>
      <c r="J1249" t="s">
        <v>96</v>
      </c>
      <c r="K1249" s="3">
        <f t="shared" si="38"/>
        <v>0</v>
      </c>
      <c r="L1249" s="3">
        <f>IF(ISERROR(VLOOKUP(J1249,Lookups!$A$2:$A$16,1,FALSE)),1,0)</f>
        <v>0</v>
      </c>
      <c r="M1249" s="3">
        <f>IF(ISERROR(VLOOKUP(D1249,Data!$A$2:$D$223100,2,FALSE)),0,1)</f>
        <v>1</v>
      </c>
      <c r="N1249" s="3">
        <f t="shared" si="39"/>
        <v>0</v>
      </c>
      <c r="O1249" s="3" t="str">
        <f>IF(ISERROR(VLOOKUP(D1249,Data!$A$2:$C$223100,3,FALSE)),"INACTIVE",VLOOKUP(D1249,Data!$A$2:$C$223100,3,FALSE))</f>
        <v>Current</v>
      </c>
    </row>
    <row r="1250" spans="1:15" x14ac:dyDescent="0.25">
      <c r="A1250" t="s">
        <v>6642</v>
      </c>
      <c r="B1250" t="s">
        <v>6643</v>
      </c>
      <c r="C1250" t="s">
        <v>6644</v>
      </c>
      <c r="D1250" t="s">
        <v>6645</v>
      </c>
      <c r="E1250" t="s">
        <v>6647</v>
      </c>
      <c r="F1250" t="s">
        <v>5</v>
      </c>
      <c r="G1250" t="s">
        <v>5</v>
      </c>
      <c r="H1250" t="s">
        <v>5</v>
      </c>
      <c r="I1250" t="s">
        <v>6593</v>
      </c>
      <c r="J1250" t="s">
        <v>96</v>
      </c>
      <c r="K1250" s="3">
        <f t="shared" si="38"/>
        <v>0</v>
      </c>
      <c r="L1250" s="3">
        <f>IF(ISERROR(VLOOKUP(J1250,Lookups!$A$2:$A$16,1,FALSE)),1,0)</f>
        <v>0</v>
      </c>
      <c r="M1250" s="3">
        <f>IF(ISERROR(VLOOKUP(D1250,Data!$A$2:$D$223100,2,FALSE)),0,1)</f>
        <v>1</v>
      </c>
      <c r="N1250" s="3">
        <f t="shared" si="39"/>
        <v>0</v>
      </c>
      <c r="O1250" s="3" t="str">
        <f>IF(ISERROR(VLOOKUP(D1250,Data!$A$2:$C$223100,3,FALSE)),"INACTIVE",VLOOKUP(D1250,Data!$A$2:$C$223100,3,FALSE))</f>
        <v>Current</v>
      </c>
    </row>
    <row r="1251" spans="1:15" x14ac:dyDescent="0.25">
      <c r="A1251" t="s">
        <v>6852</v>
      </c>
      <c r="B1251" t="s">
        <v>6853</v>
      </c>
      <c r="C1251" t="s">
        <v>6854</v>
      </c>
      <c r="D1251" t="s">
        <v>6855</v>
      </c>
      <c r="E1251" t="s">
        <v>6856</v>
      </c>
      <c r="F1251" t="s">
        <v>5</v>
      </c>
      <c r="G1251" t="s">
        <v>5</v>
      </c>
      <c r="H1251" t="s">
        <v>5</v>
      </c>
      <c r="I1251" t="s">
        <v>6593</v>
      </c>
      <c r="J1251" t="s">
        <v>14</v>
      </c>
      <c r="K1251" s="3">
        <f t="shared" si="38"/>
        <v>0</v>
      </c>
      <c r="L1251" s="3">
        <f>IF(ISERROR(VLOOKUP(J1251,Lookups!$A$2:$A$16,1,FALSE)),1,0)</f>
        <v>1</v>
      </c>
      <c r="M1251" s="3">
        <f>IF(ISERROR(VLOOKUP(D1251,Data!$A$2:$D$223100,2,FALSE)),0,1)</f>
        <v>1</v>
      </c>
      <c r="N1251" s="3">
        <f t="shared" si="39"/>
        <v>1</v>
      </c>
      <c r="O1251" s="3" t="str">
        <f>IF(ISERROR(VLOOKUP(D1251,Data!$A$2:$C$223100,3,FALSE)),"INACTIVE",VLOOKUP(D1251,Data!$A$2:$C$223100,3,FALSE))</f>
        <v>Current</v>
      </c>
    </row>
    <row r="1252" spans="1:15" x14ac:dyDescent="0.25">
      <c r="A1252" t="s">
        <v>6852</v>
      </c>
      <c r="B1252" t="s">
        <v>6853</v>
      </c>
      <c r="C1252" t="s">
        <v>6857</v>
      </c>
      <c r="D1252" t="s">
        <v>6858</v>
      </c>
      <c r="E1252" t="s">
        <v>6859</v>
      </c>
      <c r="F1252" t="s">
        <v>5</v>
      </c>
      <c r="G1252" t="s">
        <v>5</v>
      </c>
      <c r="H1252" t="s">
        <v>5</v>
      </c>
      <c r="I1252" t="s">
        <v>6593</v>
      </c>
      <c r="J1252" t="s">
        <v>14</v>
      </c>
      <c r="K1252" s="3">
        <f t="shared" si="38"/>
        <v>0</v>
      </c>
      <c r="L1252" s="3">
        <f>IF(ISERROR(VLOOKUP(J1252,Lookups!$A$2:$A$16,1,FALSE)),1,0)</f>
        <v>1</v>
      </c>
      <c r="M1252" s="3">
        <f>IF(ISERROR(VLOOKUP(D1252,Data!$A$2:$D$223100,2,FALSE)),0,1)</f>
        <v>0</v>
      </c>
      <c r="N1252" s="3">
        <f t="shared" si="39"/>
        <v>0</v>
      </c>
      <c r="O1252" s="3" t="str">
        <f>IF(ISERROR(VLOOKUP(D1252,Data!$A$2:$C$223100,3,FALSE)),"INACTIVE",VLOOKUP(D1252,Data!$A$2:$C$223100,3,FALSE))</f>
        <v>INACTIVE</v>
      </c>
    </row>
    <row r="1253" spans="1:15" x14ac:dyDescent="0.25">
      <c r="A1253" t="s">
        <v>6852</v>
      </c>
      <c r="B1253" t="s">
        <v>6853</v>
      </c>
      <c r="C1253" t="s">
        <v>6860</v>
      </c>
      <c r="D1253" t="s">
        <v>6861</v>
      </c>
      <c r="E1253" t="s">
        <v>6862</v>
      </c>
      <c r="F1253" t="s">
        <v>5</v>
      </c>
      <c r="G1253" t="s">
        <v>5</v>
      </c>
      <c r="H1253" t="s">
        <v>5</v>
      </c>
      <c r="I1253" t="s">
        <v>6593</v>
      </c>
      <c r="J1253" t="s">
        <v>14</v>
      </c>
      <c r="K1253" s="3">
        <f t="shared" si="38"/>
        <v>0</v>
      </c>
      <c r="L1253" s="3">
        <f>IF(ISERROR(VLOOKUP(J1253,Lookups!$A$2:$A$16,1,FALSE)),1,0)</f>
        <v>1</v>
      </c>
      <c r="M1253" s="3">
        <f>IF(ISERROR(VLOOKUP(D1253,Data!$A$2:$D$223100,2,FALSE)),0,1)</f>
        <v>1</v>
      </c>
      <c r="N1253" s="3">
        <f t="shared" si="39"/>
        <v>1</v>
      </c>
      <c r="O1253" s="3" t="str">
        <f>IF(ISERROR(VLOOKUP(D1253,Data!$A$2:$C$223100,3,FALSE)),"INACTIVE",VLOOKUP(D1253,Data!$A$2:$C$223100,3,FALSE))</f>
        <v>120+</v>
      </c>
    </row>
    <row r="1254" spans="1:15" x14ac:dyDescent="0.25">
      <c r="A1254" t="s">
        <v>6852</v>
      </c>
      <c r="B1254" t="s">
        <v>6853</v>
      </c>
      <c r="C1254" t="s">
        <v>6863</v>
      </c>
      <c r="D1254" t="s">
        <v>6864</v>
      </c>
      <c r="E1254" t="s">
        <v>6865</v>
      </c>
      <c r="F1254" t="s">
        <v>5</v>
      </c>
      <c r="G1254" t="s">
        <v>5</v>
      </c>
      <c r="H1254" t="s">
        <v>5</v>
      </c>
      <c r="I1254" t="s">
        <v>6593</v>
      </c>
      <c r="J1254" t="s">
        <v>14</v>
      </c>
      <c r="K1254" s="3">
        <f t="shared" si="38"/>
        <v>0</v>
      </c>
      <c r="L1254" s="3">
        <f>IF(ISERROR(VLOOKUP(J1254,Lookups!$A$2:$A$16,1,FALSE)),1,0)</f>
        <v>1</v>
      </c>
      <c r="M1254" s="3">
        <f>IF(ISERROR(VLOOKUP(D1254,Data!$A$2:$D$223100,2,FALSE)),0,1)</f>
        <v>1</v>
      </c>
      <c r="N1254" s="3">
        <f t="shared" si="39"/>
        <v>1</v>
      </c>
      <c r="O1254" s="3" t="str">
        <f>IF(ISERROR(VLOOKUP(D1254,Data!$A$2:$C$223100,3,FALSE)),"INACTIVE",VLOOKUP(D1254,Data!$A$2:$C$223100,3,FALSE))</f>
        <v>90+</v>
      </c>
    </row>
    <row r="1255" spans="1:15" x14ac:dyDescent="0.25">
      <c r="A1255" t="s">
        <v>6852</v>
      </c>
      <c r="B1255" t="s">
        <v>6853</v>
      </c>
      <c r="C1255" t="s">
        <v>6866</v>
      </c>
      <c r="D1255" t="s">
        <v>6867</v>
      </c>
      <c r="E1255" t="s">
        <v>6868</v>
      </c>
      <c r="F1255" t="s">
        <v>5</v>
      </c>
      <c r="G1255" t="s">
        <v>5</v>
      </c>
      <c r="H1255" t="s">
        <v>5</v>
      </c>
      <c r="I1255" t="s">
        <v>6593</v>
      </c>
      <c r="J1255" t="s">
        <v>14</v>
      </c>
      <c r="K1255" s="3">
        <f t="shared" si="38"/>
        <v>0</v>
      </c>
      <c r="L1255" s="3">
        <f>IF(ISERROR(VLOOKUP(J1255,Lookups!$A$2:$A$16,1,FALSE)),1,0)</f>
        <v>1</v>
      </c>
      <c r="M1255" s="3">
        <f>IF(ISERROR(VLOOKUP(D1255,Data!$A$2:$D$223100,2,FALSE)),0,1)</f>
        <v>1</v>
      </c>
      <c r="N1255" s="3">
        <f t="shared" si="39"/>
        <v>1</v>
      </c>
      <c r="O1255" s="3" t="str">
        <f>IF(ISERROR(VLOOKUP(D1255,Data!$A$2:$C$223100,3,FALSE)),"INACTIVE",VLOOKUP(D1255,Data!$A$2:$C$223100,3,FALSE))</f>
        <v>Current</v>
      </c>
    </row>
    <row r="1256" spans="1:15" x14ac:dyDescent="0.25">
      <c r="A1256" t="s">
        <v>6880</v>
      </c>
      <c r="B1256" t="s">
        <v>6881</v>
      </c>
      <c r="C1256" t="s">
        <v>6882</v>
      </c>
      <c r="D1256" t="s">
        <v>6883</v>
      </c>
      <c r="E1256" t="s">
        <v>6884</v>
      </c>
      <c r="F1256" t="s">
        <v>5</v>
      </c>
      <c r="G1256" t="s">
        <v>5</v>
      </c>
      <c r="H1256" t="s">
        <v>5</v>
      </c>
      <c r="I1256" t="s">
        <v>6593</v>
      </c>
      <c r="J1256" t="s">
        <v>96</v>
      </c>
      <c r="K1256" s="3">
        <f t="shared" si="38"/>
        <v>0</v>
      </c>
      <c r="L1256" s="3">
        <f>IF(ISERROR(VLOOKUP(J1256,Lookups!$A$2:$A$16,1,FALSE)),1,0)</f>
        <v>0</v>
      </c>
      <c r="M1256" s="3">
        <f>IF(ISERROR(VLOOKUP(D1256,Data!$A$2:$D$223100,2,FALSE)),0,1)</f>
        <v>1</v>
      </c>
      <c r="N1256" s="3">
        <f t="shared" si="39"/>
        <v>0</v>
      </c>
      <c r="O1256" s="3" t="str">
        <f>IF(ISERROR(VLOOKUP(D1256,Data!$A$2:$C$223100,3,FALSE)),"INACTIVE",VLOOKUP(D1256,Data!$A$2:$C$223100,3,FALSE))</f>
        <v>Current</v>
      </c>
    </row>
    <row r="1257" spans="1:15" x14ac:dyDescent="0.25">
      <c r="A1257" t="s">
        <v>6880</v>
      </c>
      <c r="B1257" t="s">
        <v>6881</v>
      </c>
      <c r="C1257" t="s">
        <v>6885</v>
      </c>
      <c r="D1257" t="s">
        <v>6886</v>
      </c>
      <c r="E1257" t="s">
        <v>6887</v>
      </c>
      <c r="F1257" t="s">
        <v>5</v>
      </c>
      <c r="G1257" t="s">
        <v>5</v>
      </c>
      <c r="H1257" t="s">
        <v>5</v>
      </c>
      <c r="I1257" t="s">
        <v>6593</v>
      </c>
      <c r="J1257" t="s">
        <v>96</v>
      </c>
      <c r="K1257" s="3">
        <f t="shared" si="38"/>
        <v>0</v>
      </c>
      <c r="L1257" s="3">
        <f>IF(ISERROR(VLOOKUP(J1257,Lookups!$A$2:$A$16,1,FALSE)),1,0)</f>
        <v>0</v>
      </c>
      <c r="M1257" s="3">
        <f>IF(ISERROR(VLOOKUP(D1257,Data!$A$2:$D$223100,2,FALSE)),0,1)</f>
        <v>1</v>
      </c>
      <c r="N1257" s="3">
        <f t="shared" si="39"/>
        <v>0</v>
      </c>
      <c r="O1257" s="3" t="str">
        <f>IF(ISERROR(VLOOKUP(D1257,Data!$A$2:$C$223100,3,FALSE)),"INACTIVE",VLOOKUP(D1257,Data!$A$2:$C$223100,3,FALSE))</f>
        <v>Current</v>
      </c>
    </row>
    <row r="1258" spans="1:15" x14ac:dyDescent="0.25">
      <c r="A1258" t="s">
        <v>6880</v>
      </c>
      <c r="B1258" t="s">
        <v>6881</v>
      </c>
      <c r="C1258" t="s">
        <v>6888</v>
      </c>
      <c r="D1258" t="s">
        <v>6889</v>
      </c>
      <c r="E1258" t="s">
        <v>6890</v>
      </c>
      <c r="F1258" t="s">
        <v>5</v>
      </c>
      <c r="G1258" t="s">
        <v>5</v>
      </c>
      <c r="H1258" t="s">
        <v>5</v>
      </c>
      <c r="I1258" t="s">
        <v>6593</v>
      </c>
      <c r="J1258" t="s">
        <v>96</v>
      </c>
      <c r="K1258" s="3">
        <f t="shared" si="38"/>
        <v>0</v>
      </c>
      <c r="L1258" s="3">
        <f>IF(ISERROR(VLOOKUP(J1258,Lookups!$A$2:$A$16,1,FALSE)),1,0)</f>
        <v>0</v>
      </c>
      <c r="M1258" s="3">
        <f>IF(ISERROR(VLOOKUP(D1258,Data!$A$2:$D$223100,2,FALSE)),0,1)</f>
        <v>1</v>
      </c>
      <c r="N1258" s="3">
        <f t="shared" si="39"/>
        <v>0</v>
      </c>
      <c r="O1258" s="3" t="str">
        <f>IF(ISERROR(VLOOKUP(D1258,Data!$A$2:$C$223100,3,FALSE)),"INACTIVE",VLOOKUP(D1258,Data!$A$2:$C$223100,3,FALSE))</f>
        <v>60+</v>
      </c>
    </row>
    <row r="1259" spans="1:15" x14ac:dyDescent="0.25">
      <c r="A1259" t="s">
        <v>6298</v>
      </c>
      <c r="B1259" t="s">
        <v>6299</v>
      </c>
      <c r="C1259" t="s">
        <v>6300</v>
      </c>
      <c r="D1259" t="s">
        <v>6301</v>
      </c>
      <c r="E1259" t="s">
        <v>6302</v>
      </c>
      <c r="F1259" t="s">
        <v>5</v>
      </c>
      <c r="G1259" t="s">
        <v>5</v>
      </c>
      <c r="H1259" t="s">
        <v>5</v>
      </c>
      <c r="I1259" t="s">
        <v>6303</v>
      </c>
      <c r="J1259" t="s">
        <v>7</v>
      </c>
      <c r="K1259" s="3">
        <f t="shared" si="38"/>
        <v>0</v>
      </c>
      <c r="L1259" s="3">
        <f>IF(ISERROR(VLOOKUP(J1259,Lookups!$A$2:$A$16,1,FALSE)),1,0)</f>
        <v>1</v>
      </c>
      <c r="M1259" s="3">
        <f>IF(ISERROR(VLOOKUP(D1259,Data!$A$2:$D$223100,2,FALSE)),0,1)</f>
        <v>1</v>
      </c>
      <c r="N1259" s="3">
        <f t="shared" si="39"/>
        <v>1</v>
      </c>
      <c r="O1259" s="3" t="str">
        <f>IF(ISERROR(VLOOKUP(D1259,Data!$A$2:$C$223100,3,FALSE)),"INACTIVE",VLOOKUP(D1259,Data!$A$2:$C$223100,3,FALSE))</f>
        <v>60+</v>
      </c>
    </row>
    <row r="1260" spans="1:15" x14ac:dyDescent="0.25">
      <c r="A1260" t="s">
        <v>6298</v>
      </c>
      <c r="B1260" t="s">
        <v>6299</v>
      </c>
      <c r="C1260" t="s">
        <v>6304</v>
      </c>
      <c r="D1260" t="s">
        <v>6305</v>
      </c>
      <c r="E1260" t="s">
        <v>6306</v>
      </c>
      <c r="F1260" t="s">
        <v>5</v>
      </c>
      <c r="G1260" t="s">
        <v>5</v>
      </c>
      <c r="H1260" t="s">
        <v>5</v>
      </c>
      <c r="I1260" t="s">
        <v>6303</v>
      </c>
      <c r="J1260" t="s">
        <v>7</v>
      </c>
      <c r="K1260" s="3">
        <f t="shared" si="38"/>
        <v>0</v>
      </c>
      <c r="L1260" s="3">
        <f>IF(ISERROR(VLOOKUP(J1260,Lookups!$A$2:$A$16,1,FALSE)),1,0)</f>
        <v>1</v>
      </c>
      <c r="M1260" s="3">
        <f>IF(ISERROR(VLOOKUP(D1260,Data!$A$2:$D$223100,2,FALSE)),0,1)</f>
        <v>1</v>
      </c>
      <c r="N1260" s="3">
        <f t="shared" si="39"/>
        <v>1</v>
      </c>
      <c r="O1260" s="3" t="str">
        <f>IF(ISERROR(VLOOKUP(D1260,Data!$A$2:$C$223100,3,FALSE)),"INACTIVE",VLOOKUP(D1260,Data!$A$2:$C$223100,3,FALSE))</f>
        <v>Current</v>
      </c>
    </row>
    <row r="1261" spans="1:15" x14ac:dyDescent="0.25">
      <c r="A1261" t="s">
        <v>6298</v>
      </c>
      <c r="B1261" t="s">
        <v>6299</v>
      </c>
      <c r="C1261" t="s">
        <v>6307</v>
      </c>
      <c r="D1261" t="s">
        <v>6308</v>
      </c>
      <c r="E1261" t="s">
        <v>6309</v>
      </c>
      <c r="F1261" t="s">
        <v>5</v>
      </c>
      <c r="G1261" t="s">
        <v>5</v>
      </c>
      <c r="H1261" t="s">
        <v>5</v>
      </c>
      <c r="I1261" t="s">
        <v>6303</v>
      </c>
      <c r="J1261" t="s">
        <v>7</v>
      </c>
      <c r="K1261" s="3">
        <f t="shared" si="38"/>
        <v>0</v>
      </c>
      <c r="L1261" s="3">
        <f>IF(ISERROR(VLOOKUP(J1261,Lookups!$A$2:$A$16,1,FALSE)),1,0)</f>
        <v>1</v>
      </c>
      <c r="M1261" s="3">
        <f>IF(ISERROR(VLOOKUP(D1261,Data!$A$2:$D$223100,2,FALSE)),0,1)</f>
        <v>1</v>
      </c>
      <c r="N1261" s="3">
        <f t="shared" si="39"/>
        <v>1</v>
      </c>
      <c r="O1261" s="3" t="str">
        <f>IF(ISERROR(VLOOKUP(D1261,Data!$A$2:$C$223100,3,FALSE)),"INACTIVE",VLOOKUP(D1261,Data!$A$2:$C$223100,3,FALSE))</f>
        <v>FBA</v>
      </c>
    </row>
    <row r="1262" spans="1:15" x14ac:dyDescent="0.25">
      <c r="A1262" t="s">
        <v>6637</v>
      </c>
      <c r="B1262" t="s">
        <v>6638</v>
      </c>
      <c r="C1262" t="s">
        <v>6639</v>
      </c>
      <c r="D1262" t="s">
        <v>6640</v>
      </c>
      <c r="E1262" t="s">
        <v>6641</v>
      </c>
      <c r="F1262" t="s">
        <v>5</v>
      </c>
      <c r="G1262" t="s">
        <v>5</v>
      </c>
      <c r="H1262" t="s">
        <v>5</v>
      </c>
      <c r="I1262" t="s">
        <v>6303</v>
      </c>
      <c r="J1262" t="s">
        <v>7</v>
      </c>
      <c r="K1262" s="3">
        <f t="shared" si="38"/>
        <v>0</v>
      </c>
      <c r="L1262" s="3">
        <f>IF(ISERROR(VLOOKUP(J1262,Lookups!$A$2:$A$16,1,FALSE)),1,0)</f>
        <v>1</v>
      </c>
      <c r="M1262" s="3">
        <f>IF(ISERROR(VLOOKUP(D1262,Data!$A$2:$D$223100,2,FALSE)),0,1)</f>
        <v>0</v>
      </c>
      <c r="N1262" s="3">
        <f t="shared" si="39"/>
        <v>0</v>
      </c>
      <c r="O1262" s="3" t="str">
        <f>IF(ISERROR(VLOOKUP(D1262,Data!$A$2:$C$223100,3,FALSE)),"INACTIVE",VLOOKUP(D1262,Data!$A$2:$C$223100,3,FALSE))</f>
        <v>INACTIVE</v>
      </c>
    </row>
    <row r="1263" spans="1:15" x14ac:dyDescent="0.25">
      <c r="A1263" t="s">
        <v>6540</v>
      </c>
      <c r="B1263" t="s">
        <v>6541</v>
      </c>
      <c r="C1263" t="s">
        <v>6542</v>
      </c>
      <c r="D1263" t="s">
        <v>6543</v>
      </c>
      <c r="E1263" t="s">
        <v>6544</v>
      </c>
      <c r="F1263" t="s">
        <v>5</v>
      </c>
      <c r="G1263" t="s">
        <v>5</v>
      </c>
      <c r="H1263" t="s">
        <v>5</v>
      </c>
      <c r="I1263" t="s">
        <v>6545</v>
      </c>
      <c r="J1263" t="s">
        <v>14</v>
      </c>
      <c r="K1263" s="3">
        <f t="shared" si="38"/>
        <v>0</v>
      </c>
      <c r="L1263" s="3">
        <f>IF(ISERROR(VLOOKUP(J1263,Lookups!$A$2:$A$16,1,FALSE)),1,0)</f>
        <v>1</v>
      </c>
      <c r="M1263" s="3">
        <f>IF(ISERROR(VLOOKUP(D1263,Data!$A$2:$D$223100,2,FALSE)),0,1)</f>
        <v>1</v>
      </c>
      <c r="N1263" s="3">
        <f t="shared" si="39"/>
        <v>1</v>
      </c>
      <c r="O1263" s="3" t="str">
        <f>IF(ISERROR(VLOOKUP(D1263,Data!$A$2:$C$223100,3,FALSE)),"INACTIVE",VLOOKUP(D1263,Data!$A$2:$C$223100,3,FALSE))</f>
        <v>BK13</v>
      </c>
    </row>
    <row r="1264" spans="1:15" x14ac:dyDescent="0.25">
      <c r="A1264" t="s">
        <v>6695</v>
      </c>
      <c r="B1264" t="s">
        <v>6696</v>
      </c>
      <c r="C1264" t="s">
        <v>6697</v>
      </c>
      <c r="D1264" t="s">
        <v>6698</v>
      </c>
      <c r="E1264" t="s">
        <v>6699</v>
      </c>
      <c r="F1264" t="s">
        <v>5</v>
      </c>
      <c r="G1264" t="s">
        <v>5</v>
      </c>
      <c r="H1264" t="s">
        <v>5</v>
      </c>
      <c r="I1264" t="s">
        <v>6700</v>
      </c>
      <c r="J1264" t="s">
        <v>90</v>
      </c>
      <c r="K1264" s="3">
        <f t="shared" si="38"/>
        <v>0</v>
      </c>
      <c r="L1264" s="3">
        <f>IF(ISERROR(VLOOKUP(J1264,Lookups!$A$2:$A$16,1,FALSE)),1,0)</f>
        <v>0</v>
      </c>
      <c r="M1264" s="3">
        <f>IF(ISERROR(VLOOKUP(D1264,Data!$A$2:$D$223100,2,FALSE)),0,1)</f>
        <v>1</v>
      </c>
      <c r="N1264" s="3">
        <f t="shared" si="39"/>
        <v>0</v>
      </c>
      <c r="O1264" s="3" t="str">
        <f>IF(ISERROR(VLOOKUP(D1264,Data!$A$2:$C$223100,3,FALSE)),"INACTIVE",VLOOKUP(D1264,Data!$A$2:$C$223100,3,FALSE))</f>
        <v>180+</v>
      </c>
    </row>
    <row r="1265" spans="1:15" x14ac:dyDescent="0.25">
      <c r="A1265" t="s">
        <v>6695</v>
      </c>
      <c r="B1265" t="s">
        <v>6696</v>
      </c>
      <c r="C1265" t="s">
        <v>6701</v>
      </c>
      <c r="D1265" t="s">
        <v>6702</v>
      </c>
      <c r="E1265" t="s">
        <v>6703</v>
      </c>
      <c r="F1265" t="s">
        <v>5</v>
      </c>
      <c r="G1265" t="s">
        <v>5</v>
      </c>
      <c r="H1265" t="s">
        <v>5</v>
      </c>
      <c r="I1265" t="s">
        <v>6700</v>
      </c>
      <c r="J1265" t="s">
        <v>90</v>
      </c>
      <c r="K1265" s="3">
        <f t="shared" si="38"/>
        <v>0</v>
      </c>
      <c r="L1265" s="3">
        <f>IF(ISERROR(VLOOKUP(J1265,Lookups!$A$2:$A$16,1,FALSE)),1,0)</f>
        <v>0</v>
      </c>
      <c r="M1265" s="3">
        <f>IF(ISERROR(VLOOKUP(D1265,Data!$A$2:$D$223100,2,FALSE)),0,1)</f>
        <v>1</v>
      </c>
      <c r="N1265" s="3">
        <f t="shared" si="39"/>
        <v>0</v>
      </c>
      <c r="O1265" s="3" t="str">
        <f>IF(ISERROR(VLOOKUP(D1265,Data!$A$2:$C$223100,3,FALSE)),"INACTIVE",VLOOKUP(D1265,Data!$A$2:$C$223100,3,FALSE))</f>
        <v>FC</v>
      </c>
    </row>
    <row r="1266" spans="1:15" x14ac:dyDescent="0.25">
      <c r="A1266" t="s">
        <v>6695</v>
      </c>
      <c r="B1266" t="s">
        <v>6696</v>
      </c>
      <c r="C1266" t="s">
        <v>6704</v>
      </c>
      <c r="D1266" t="s">
        <v>6705</v>
      </c>
      <c r="E1266" t="s">
        <v>6706</v>
      </c>
      <c r="F1266" t="s">
        <v>5</v>
      </c>
      <c r="G1266" t="s">
        <v>5</v>
      </c>
      <c r="H1266" t="s">
        <v>5</v>
      </c>
      <c r="I1266" t="s">
        <v>6700</v>
      </c>
      <c r="J1266" t="s">
        <v>90</v>
      </c>
      <c r="K1266" s="3">
        <f t="shared" si="38"/>
        <v>0</v>
      </c>
      <c r="L1266" s="3">
        <f>IF(ISERROR(VLOOKUP(J1266,Lookups!$A$2:$A$16,1,FALSE)),1,0)</f>
        <v>0</v>
      </c>
      <c r="M1266" s="3">
        <f>IF(ISERROR(VLOOKUP(D1266,Data!$A$2:$D$223100,2,FALSE)),0,1)</f>
        <v>1</v>
      </c>
      <c r="N1266" s="3">
        <f t="shared" si="39"/>
        <v>0</v>
      </c>
      <c r="O1266" s="3" t="str">
        <f>IF(ISERROR(VLOOKUP(D1266,Data!$A$2:$C$223100,3,FALSE)),"INACTIVE",VLOOKUP(D1266,Data!$A$2:$C$223100,3,FALSE))</f>
        <v>180+</v>
      </c>
    </row>
    <row r="1267" spans="1:15" x14ac:dyDescent="0.25">
      <c r="A1267" t="s">
        <v>6695</v>
      </c>
      <c r="B1267" t="s">
        <v>6696</v>
      </c>
      <c r="C1267" t="s">
        <v>6707</v>
      </c>
      <c r="D1267" t="s">
        <v>6708</v>
      </c>
      <c r="E1267" t="s">
        <v>6709</v>
      </c>
      <c r="F1267" t="s">
        <v>5</v>
      </c>
      <c r="G1267" t="s">
        <v>5</v>
      </c>
      <c r="H1267" t="s">
        <v>5</v>
      </c>
      <c r="I1267" t="s">
        <v>6700</v>
      </c>
      <c r="J1267" t="s">
        <v>90</v>
      </c>
      <c r="K1267" s="3">
        <f t="shared" si="38"/>
        <v>0</v>
      </c>
      <c r="L1267" s="3">
        <f>IF(ISERROR(VLOOKUP(J1267,Lookups!$A$2:$A$16,1,FALSE)),1,0)</f>
        <v>0</v>
      </c>
      <c r="M1267" s="3">
        <f>IF(ISERROR(VLOOKUP(D1267,Data!$A$2:$D$223100,2,FALSE)),0,1)</f>
        <v>1</v>
      </c>
      <c r="N1267" s="3">
        <f t="shared" si="39"/>
        <v>0</v>
      </c>
      <c r="O1267" s="3" t="str">
        <f>IF(ISERROR(VLOOKUP(D1267,Data!$A$2:$C$223100,3,FALSE)),"INACTIVE",VLOOKUP(D1267,Data!$A$2:$C$223100,3,FALSE))</f>
        <v>BK13</v>
      </c>
    </row>
    <row r="1268" spans="1:15" x14ac:dyDescent="0.25">
      <c r="A1268" t="s">
        <v>6695</v>
      </c>
      <c r="B1268" t="s">
        <v>6696</v>
      </c>
      <c r="C1268" t="s">
        <v>6710</v>
      </c>
      <c r="D1268" t="s">
        <v>6711</v>
      </c>
      <c r="E1268" t="s">
        <v>6712</v>
      </c>
      <c r="F1268" t="s">
        <v>5</v>
      </c>
      <c r="G1268" t="s">
        <v>5</v>
      </c>
      <c r="H1268" t="s">
        <v>5</v>
      </c>
      <c r="I1268" t="s">
        <v>6700</v>
      </c>
      <c r="J1268" t="s">
        <v>90</v>
      </c>
      <c r="K1268" s="3">
        <f t="shared" si="38"/>
        <v>0</v>
      </c>
      <c r="L1268" s="3">
        <f>IF(ISERROR(VLOOKUP(J1268,Lookups!$A$2:$A$16,1,FALSE)),1,0)</f>
        <v>0</v>
      </c>
      <c r="M1268" s="3">
        <f>IF(ISERROR(VLOOKUP(D1268,Data!$A$2:$D$223100,2,FALSE)),0,1)</f>
        <v>1</v>
      </c>
      <c r="N1268" s="3">
        <f t="shared" si="39"/>
        <v>0</v>
      </c>
      <c r="O1268" s="3" t="str">
        <f>IF(ISERROR(VLOOKUP(D1268,Data!$A$2:$C$223100,3,FALSE)),"INACTIVE",VLOOKUP(D1268,Data!$A$2:$C$223100,3,FALSE))</f>
        <v>BK13</v>
      </c>
    </row>
    <row r="1269" spans="1:15" x14ac:dyDescent="0.25">
      <c r="A1269" t="s">
        <v>6695</v>
      </c>
      <c r="B1269" t="s">
        <v>6696</v>
      </c>
      <c r="C1269" t="s">
        <v>6713</v>
      </c>
      <c r="D1269" t="s">
        <v>6714</v>
      </c>
      <c r="E1269" t="s">
        <v>6715</v>
      </c>
      <c r="F1269" t="s">
        <v>5</v>
      </c>
      <c r="G1269" t="s">
        <v>5</v>
      </c>
      <c r="H1269" t="s">
        <v>5</v>
      </c>
      <c r="I1269" t="s">
        <v>6700</v>
      </c>
      <c r="J1269" t="s">
        <v>90</v>
      </c>
      <c r="K1269" s="3">
        <f t="shared" si="38"/>
        <v>0</v>
      </c>
      <c r="L1269" s="3">
        <f>IF(ISERROR(VLOOKUP(J1269,Lookups!$A$2:$A$16,1,FALSE)),1,0)</f>
        <v>0</v>
      </c>
      <c r="M1269" s="3">
        <f>IF(ISERROR(VLOOKUP(D1269,Data!$A$2:$D$223100,2,FALSE)),0,1)</f>
        <v>1</v>
      </c>
      <c r="N1269" s="3">
        <f t="shared" si="39"/>
        <v>0</v>
      </c>
      <c r="O1269" s="3" t="str">
        <f>IF(ISERROR(VLOOKUP(D1269,Data!$A$2:$C$223100,3,FALSE)),"INACTIVE",VLOOKUP(D1269,Data!$A$2:$C$223100,3,FALSE))</f>
        <v>BK13</v>
      </c>
    </row>
    <row r="1270" spans="1:15" x14ac:dyDescent="0.25">
      <c r="A1270" t="s">
        <v>6695</v>
      </c>
      <c r="B1270" t="s">
        <v>6696</v>
      </c>
      <c r="C1270" t="s">
        <v>6716</v>
      </c>
      <c r="D1270" t="s">
        <v>6717</v>
      </c>
      <c r="E1270" t="s">
        <v>6718</v>
      </c>
      <c r="F1270" t="s">
        <v>5</v>
      </c>
      <c r="G1270" t="s">
        <v>5</v>
      </c>
      <c r="H1270" t="s">
        <v>5</v>
      </c>
      <c r="I1270" t="s">
        <v>6700</v>
      </c>
      <c r="J1270" t="s">
        <v>90</v>
      </c>
      <c r="K1270" s="3">
        <f t="shared" si="38"/>
        <v>0</v>
      </c>
      <c r="L1270" s="3">
        <f>IF(ISERROR(VLOOKUP(J1270,Lookups!$A$2:$A$16,1,FALSE)),1,0)</f>
        <v>0</v>
      </c>
      <c r="M1270" s="3">
        <f>IF(ISERROR(VLOOKUP(D1270,Data!$A$2:$D$223100,2,FALSE)),0,1)</f>
        <v>1</v>
      </c>
      <c r="N1270" s="3">
        <f t="shared" si="39"/>
        <v>0</v>
      </c>
      <c r="O1270" s="3" t="str">
        <f>IF(ISERROR(VLOOKUP(D1270,Data!$A$2:$C$223100,3,FALSE)),"INACTIVE",VLOOKUP(D1270,Data!$A$2:$C$223100,3,FALSE))</f>
        <v>Current</v>
      </c>
    </row>
    <row r="1271" spans="1:15" x14ac:dyDescent="0.25">
      <c r="A1271" t="s">
        <v>6437</v>
      </c>
      <c r="B1271" t="s">
        <v>6438</v>
      </c>
      <c r="C1271" t="s">
        <v>6439</v>
      </c>
      <c r="D1271" t="s">
        <v>6440</v>
      </c>
      <c r="E1271" t="s">
        <v>6441</v>
      </c>
      <c r="F1271" t="s">
        <v>5</v>
      </c>
      <c r="G1271" t="s">
        <v>5</v>
      </c>
      <c r="H1271" t="s">
        <v>5</v>
      </c>
      <c r="I1271" t="s">
        <v>6442</v>
      </c>
      <c r="J1271" t="s">
        <v>90</v>
      </c>
      <c r="K1271" s="3">
        <f t="shared" si="38"/>
        <v>0</v>
      </c>
      <c r="L1271" s="3">
        <f>IF(ISERROR(VLOOKUP(J1271,Lookups!$A$2:$A$16,1,FALSE)),1,0)</f>
        <v>0</v>
      </c>
      <c r="M1271" s="3">
        <f>IF(ISERROR(VLOOKUP(D1271,Data!$A$2:$D$223100,2,FALSE)),0,1)</f>
        <v>1</v>
      </c>
      <c r="N1271" s="3">
        <f t="shared" si="39"/>
        <v>0</v>
      </c>
      <c r="O1271" s="3" t="str">
        <f>IF(ISERROR(VLOOKUP(D1271,Data!$A$2:$C$223100,3,FALSE)),"INACTIVE",VLOOKUP(D1271,Data!$A$2:$C$223100,3,FALSE))</f>
        <v>Current</v>
      </c>
    </row>
    <row r="1272" spans="1:15" x14ac:dyDescent="0.25">
      <c r="A1272" t="s">
        <v>6437</v>
      </c>
      <c r="B1272" t="s">
        <v>6438</v>
      </c>
      <c r="C1272" t="s">
        <v>6443</v>
      </c>
      <c r="D1272" t="s">
        <v>6444</v>
      </c>
      <c r="E1272" t="s">
        <v>6445</v>
      </c>
      <c r="F1272" t="s">
        <v>5</v>
      </c>
      <c r="G1272" t="s">
        <v>5</v>
      </c>
      <c r="H1272" t="s">
        <v>5</v>
      </c>
      <c r="I1272" t="s">
        <v>6442</v>
      </c>
      <c r="J1272" t="s">
        <v>90</v>
      </c>
      <c r="K1272" s="3">
        <f t="shared" si="38"/>
        <v>0</v>
      </c>
      <c r="L1272" s="3">
        <f>IF(ISERROR(VLOOKUP(J1272,Lookups!$A$2:$A$16,1,FALSE)),1,0)</f>
        <v>0</v>
      </c>
      <c r="M1272" s="3">
        <f>IF(ISERROR(VLOOKUP(D1272,Data!$A$2:$D$223100,2,FALSE)),0,1)</f>
        <v>0</v>
      </c>
      <c r="N1272" s="3">
        <f t="shared" si="39"/>
        <v>0</v>
      </c>
      <c r="O1272" s="3" t="str">
        <f>IF(ISERROR(VLOOKUP(D1272,Data!$A$2:$C$223100,3,FALSE)),"INACTIVE",VLOOKUP(D1272,Data!$A$2:$C$223100,3,FALSE))</f>
        <v>INACTIVE</v>
      </c>
    </row>
    <row r="1273" spans="1:15" x14ac:dyDescent="0.25">
      <c r="A1273" t="s">
        <v>6437</v>
      </c>
      <c r="B1273" t="s">
        <v>6438</v>
      </c>
      <c r="C1273" t="s">
        <v>6446</v>
      </c>
      <c r="D1273" t="s">
        <v>6447</v>
      </c>
      <c r="E1273" t="s">
        <v>6448</v>
      </c>
      <c r="F1273" t="s">
        <v>5</v>
      </c>
      <c r="G1273" t="s">
        <v>5</v>
      </c>
      <c r="H1273" t="s">
        <v>5</v>
      </c>
      <c r="I1273" t="s">
        <v>6442</v>
      </c>
      <c r="J1273" t="s">
        <v>90</v>
      </c>
      <c r="K1273" s="3">
        <f t="shared" si="38"/>
        <v>0</v>
      </c>
      <c r="L1273" s="3">
        <f>IF(ISERROR(VLOOKUP(J1273,Lookups!$A$2:$A$16,1,FALSE)),1,0)</f>
        <v>0</v>
      </c>
      <c r="M1273" s="3">
        <f>IF(ISERROR(VLOOKUP(D1273,Data!$A$2:$D$223100,2,FALSE)),0,1)</f>
        <v>1</v>
      </c>
      <c r="N1273" s="3">
        <f t="shared" si="39"/>
        <v>0</v>
      </c>
      <c r="O1273" s="3" t="str">
        <f>IF(ISERROR(VLOOKUP(D1273,Data!$A$2:$C$223100,3,FALSE)),"INACTIVE",VLOOKUP(D1273,Data!$A$2:$C$223100,3,FALSE))</f>
        <v>60+</v>
      </c>
    </row>
    <row r="1274" spans="1:15" x14ac:dyDescent="0.25">
      <c r="A1274" t="s">
        <v>6437</v>
      </c>
      <c r="B1274" t="s">
        <v>6438</v>
      </c>
      <c r="C1274" t="s">
        <v>6449</v>
      </c>
      <c r="D1274" t="s">
        <v>6450</v>
      </c>
      <c r="E1274" t="s">
        <v>6451</v>
      </c>
      <c r="F1274" t="s">
        <v>5</v>
      </c>
      <c r="G1274" t="s">
        <v>5</v>
      </c>
      <c r="H1274" t="s">
        <v>5</v>
      </c>
      <c r="I1274" t="s">
        <v>6442</v>
      </c>
      <c r="J1274" t="s">
        <v>90</v>
      </c>
      <c r="K1274" s="3">
        <f t="shared" si="38"/>
        <v>0</v>
      </c>
      <c r="L1274" s="3">
        <f>IF(ISERROR(VLOOKUP(J1274,Lookups!$A$2:$A$16,1,FALSE)),1,0)</f>
        <v>0</v>
      </c>
      <c r="M1274" s="3">
        <f>IF(ISERROR(VLOOKUP(D1274,Data!$A$2:$D$223100,2,FALSE)),0,1)</f>
        <v>1</v>
      </c>
      <c r="N1274" s="3">
        <f t="shared" si="39"/>
        <v>0</v>
      </c>
      <c r="O1274" s="3" t="str">
        <f>IF(ISERROR(VLOOKUP(D1274,Data!$A$2:$C$223100,3,FALSE)),"INACTIVE",VLOOKUP(D1274,Data!$A$2:$C$223100,3,FALSE))</f>
        <v>Current</v>
      </c>
    </row>
    <row r="1275" spans="1:15" x14ac:dyDescent="0.25">
      <c r="A1275" t="s">
        <v>6437</v>
      </c>
      <c r="B1275" t="s">
        <v>6438</v>
      </c>
      <c r="C1275" t="s">
        <v>6449</v>
      </c>
      <c r="D1275" t="s">
        <v>6452</v>
      </c>
      <c r="E1275" t="s">
        <v>6451</v>
      </c>
      <c r="F1275" t="s">
        <v>5</v>
      </c>
      <c r="G1275" t="s">
        <v>5</v>
      </c>
      <c r="H1275" t="s">
        <v>5</v>
      </c>
      <c r="I1275" t="s">
        <v>6442</v>
      </c>
      <c r="J1275" t="s">
        <v>90</v>
      </c>
      <c r="K1275" s="3">
        <f t="shared" si="38"/>
        <v>0</v>
      </c>
      <c r="L1275" s="3">
        <f>IF(ISERROR(VLOOKUP(J1275,Lookups!$A$2:$A$16,1,FALSE)),1,0)</f>
        <v>0</v>
      </c>
      <c r="M1275" s="3">
        <f>IF(ISERROR(VLOOKUP(D1275,Data!$A$2:$D$223100,2,FALSE)),0,1)</f>
        <v>1</v>
      </c>
      <c r="N1275" s="3">
        <f t="shared" si="39"/>
        <v>0</v>
      </c>
      <c r="O1275" s="3" t="str">
        <f>IF(ISERROR(VLOOKUP(D1275,Data!$A$2:$C$223100,3,FALSE)),"INACTIVE",VLOOKUP(D1275,Data!$A$2:$C$223100,3,FALSE))</f>
        <v>Current</v>
      </c>
    </row>
    <row r="1276" spans="1:15" x14ac:dyDescent="0.25">
      <c r="A1276" t="s">
        <v>6437</v>
      </c>
      <c r="B1276" t="s">
        <v>6438</v>
      </c>
      <c r="C1276" t="s">
        <v>6453</v>
      </c>
      <c r="D1276" t="s">
        <v>6454</v>
      </c>
      <c r="E1276" t="s">
        <v>6455</v>
      </c>
      <c r="F1276" t="s">
        <v>5</v>
      </c>
      <c r="G1276" t="s">
        <v>5</v>
      </c>
      <c r="H1276" t="s">
        <v>5</v>
      </c>
      <c r="I1276" t="s">
        <v>6442</v>
      </c>
      <c r="J1276" t="s">
        <v>96</v>
      </c>
      <c r="K1276" s="3">
        <f t="shared" si="38"/>
        <v>0</v>
      </c>
      <c r="L1276" s="3">
        <f>IF(ISERROR(VLOOKUP(J1276,Lookups!$A$2:$A$16,1,FALSE)),1,0)</f>
        <v>0</v>
      </c>
      <c r="M1276" s="3">
        <f>IF(ISERROR(VLOOKUP(D1276,Data!$A$2:$D$223100,2,FALSE)),0,1)</f>
        <v>0</v>
      </c>
      <c r="N1276" s="3">
        <f t="shared" si="39"/>
        <v>0</v>
      </c>
      <c r="O1276" s="3" t="str">
        <f>IF(ISERROR(VLOOKUP(D1276,Data!$A$2:$C$223100,3,FALSE)),"INACTIVE",VLOOKUP(D1276,Data!$A$2:$C$223100,3,FALSE))</f>
        <v>INACTIVE</v>
      </c>
    </row>
    <row r="1277" spans="1:15" x14ac:dyDescent="0.25">
      <c r="A1277" t="s">
        <v>6437</v>
      </c>
      <c r="B1277" t="s">
        <v>6438</v>
      </c>
      <c r="C1277" t="s">
        <v>6453</v>
      </c>
      <c r="D1277" t="s">
        <v>6454</v>
      </c>
      <c r="E1277" t="s">
        <v>6456</v>
      </c>
      <c r="F1277" t="s">
        <v>5</v>
      </c>
      <c r="G1277" t="s">
        <v>5</v>
      </c>
      <c r="H1277" t="s">
        <v>5</v>
      </c>
      <c r="I1277" t="s">
        <v>6442</v>
      </c>
      <c r="J1277" t="s">
        <v>96</v>
      </c>
      <c r="K1277" s="3">
        <f t="shared" si="38"/>
        <v>0</v>
      </c>
      <c r="L1277" s="3">
        <f>IF(ISERROR(VLOOKUP(J1277,Lookups!$A$2:$A$16,1,FALSE)),1,0)</f>
        <v>0</v>
      </c>
      <c r="M1277" s="3">
        <f>IF(ISERROR(VLOOKUP(D1277,Data!$A$2:$D$223100,2,FALSE)),0,1)</f>
        <v>0</v>
      </c>
      <c r="N1277" s="3">
        <f t="shared" si="39"/>
        <v>0</v>
      </c>
      <c r="O1277" s="3" t="str">
        <f>IF(ISERROR(VLOOKUP(D1277,Data!$A$2:$C$223100,3,FALSE)),"INACTIVE",VLOOKUP(D1277,Data!$A$2:$C$223100,3,FALSE))</f>
        <v>INACTIVE</v>
      </c>
    </row>
    <row r="1278" spans="1:15" x14ac:dyDescent="0.25">
      <c r="A1278" t="s">
        <v>6437</v>
      </c>
      <c r="B1278" t="s">
        <v>6438</v>
      </c>
      <c r="C1278" t="s">
        <v>6457</v>
      </c>
      <c r="D1278" t="s">
        <v>6458</v>
      </c>
      <c r="E1278" t="s">
        <v>6459</v>
      </c>
      <c r="F1278" t="s">
        <v>5</v>
      </c>
      <c r="G1278" t="s">
        <v>5</v>
      </c>
      <c r="H1278" t="s">
        <v>5</v>
      </c>
      <c r="I1278" t="s">
        <v>6442</v>
      </c>
      <c r="J1278" t="s">
        <v>90</v>
      </c>
      <c r="K1278" s="3">
        <f t="shared" si="38"/>
        <v>0</v>
      </c>
      <c r="L1278" s="3">
        <f>IF(ISERROR(VLOOKUP(J1278,Lookups!$A$2:$A$16,1,FALSE)),1,0)</f>
        <v>0</v>
      </c>
      <c r="M1278" s="3">
        <f>IF(ISERROR(VLOOKUP(D1278,Data!$A$2:$D$223100,2,FALSE)),0,1)</f>
        <v>1</v>
      </c>
      <c r="N1278" s="3">
        <f t="shared" si="39"/>
        <v>0</v>
      </c>
      <c r="O1278" s="3" t="str">
        <f>IF(ISERROR(VLOOKUP(D1278,Data!$A$2:$C$223100,3,FALSE)),"INACTIVE",VLOOKUP(D1278,Data!$A$2:$C$223100,3,FALSE))</f>
        <v>30+</v>
      </c>
    </row>
    <row r="1279" spans="1:15" x14ac:dyDescent="0.25">
      <c r="A1279" t="s">
        <v>6774</v>
      </c>
      <c r="B1279" t="s">
        <v>6775</v>
      </c>
      <c r="C1279" t="s">
        <v>6776</v>
      </c>
      <c r="D1279" t="s">
        <v>6777</v>
      </c>
      <c r="E1279" t="s">
        <v>2191</v>
      </c>
      <c r="F1279" t="s">
        <v>5</v>
      </c>
      <c r="G1279" t="s">
        <v>5</v>
      </c>
      <c r="H1279" t="s">
        <v>5</v>
      </c>
      <c r="I1279" t="s">
        <v>6442</v>
      </c>
      <c r="J1279" t="s">
        <v>36</v>
      </c>
      <c r="K1279" s="3">
        <f t="shared" si="38"/>
        <v>0</v>
      </c>
      <c r="L1279" s="3">
        <f>IF(ISERROR(VLOOKUP(J1279,Lookups!$A$2:$A$16,1,FALSE)),1,0)</f>
        <v>1</v>
      </c>
      <c r="M1279" s="3">
        <f>IF(ISERROR(VLOOKUP(D1279,Data!$A$2:$D$223100,2,FALSE)),0,1)</f>
        <v>1</v>
      </c>
      <c r="N1279" s="3">
        <f t="shared" si="39"/>
        <v>1</v>
      </c>
      <c r="O1279" s="3" t="str">
        <f>IF(ISERROR(VLOOKUP(D1279,Data!$A$2:$C$223100,3,FALSE)),"INACTIVE",VLOOKUP(D1279,Data!$A$2:$C$223100,3,FALSE))</f>
        <v>Current</v>
      </c>
    </row>
    <row r="1280" spans="1:15" x14ac:dyDescent="0.25">
      <c r="A1280" t="s">
        <v>6801</v>
      </c>
      <c r="B1280" t="s">
        <v>6802</v>
      </c>
      <c r="C1280" t="s">
        <v>6803</v>
      </c>
      <c r="D1280" t="s">
        <v>6804</v>
      </c>
      <c r="E1280" t="s">
        <v>6805</v>
      </c>
      <c r="F1280" t="s">
        <v>5</v>
      </c>
      <c r="G1280" t="s">
        <v>5</v>
      </c>
      <c r="H1280" t="s">
        <v>5</v>
      </c>
      <c r="I1280" t="s">
        <v>6442</v>
      </c>
      <c r="J1280" t="s">
        <v>96</v>
      </c>
      <c r="K1280" s="3">
        <f t="shared" si="38"/>
        <v>0</v>
      </c>
      <c r="L1280" s="3">
        <f>IF(ISERROR(VLOOKUP(J1280,Lookups!$A$2:$A$16,1,FALSE)),1,0)</f>
        <v>0</v>
      </c>
      <c r="M1280" s="3">
        <f>IF(ISERROR(VLOOKUP(D1280,Data!$A$2:$D$223100,2,FALSE)),0,1)</f>
        <v>1</v>
      </c>
      <c r="N1280" s="3">
        <f t="shared" si="39"/>
        <v>0</v>
      </c>
      <c r="O1280" s="3" t="str">
        <f>IF(ISERROR(VLOOKUP(D1280,Data!$A$2:$C$223100,3,FALSE)),"INACTIVE",VLOOKUP(D1280,Data!$A$2:$C$223100,3,FALSE))</f>
        <v>120+</v>
      </c>
    </row>
    <row r="1281" spans="1:15" x14ac:dyDescent="0.25">
      <c r="A1281" t="s">
        <v>6534</v>
      </c>
      <c r="B1281" t="s">
        <v>6535</v>
      </c>
      <c r="C1281" t="s">
        <v>6536</v>
      </c>
      <c r="D1281" t="s">
        <v>6537</v>
      </c>
      <c r="E1281" t="s">
        <v>6538</v>
      </c>
      <c r="F1281" t="s">
        <v>5</v>
      </c>
      <c r="G1281" t="s">
        <v>5</v>
      </c>
      <c r="H1281" t="s">
        <v>5</v>
      </c>
      <c r="I1281" t="s">
        <v>6539</v>
      </c>
      <c r="J1281" t="s">
        <v>14</v>
      </c>
      <c r="K1281" s="3">
        <f t="shared" si="38"/>
        <v>0</v>
      </c>
      <c r="L1281" s="3">
        <f>IF(ISERROR(VLOOKUP(J1281,Lookups!$A$2:$A$16,1,FALSE)),1,0)</f>
        <v>1</v>
      </c>
      <c r="M1281" s="3">
        <f>IF(ISERROR(VLOOKUP(D1281,Data!$A$2:$D$223100,2,FALSE)),0,1)</f>
        <v>1</v>
      </c>
      <c r="N1281" s="3">
        <f t="shared" si="39"/>
        <v>1</v>
      </c>
      <c r="O1281" s="3" t="str">
        <f>IF(ISERROR(VLOOKUP(D1281,Data!$A$2:$C$223100,3,FALSE)),"INACTIVE",VLOOKUP(D1281,Data!$A$2:$C$223100,3,FALSE))</f>
        <v>Current</v>
      </c>
    </row>
    <row r="1282" spans="1:15" x14ac:dyDescent="0.25">
      <c r="A1282" t="s">
        <v>6570</v>
      </c>
      <c r="B1282" t="s">
        <v>6571</v>
      </c>
      <c r="C1282" t="s">
        <v>6572</v>
      </c>
      <c r="D1282" t="s">
        <v>6573</v>
      </c>
      <c r="E1282" t="s">
        <v>6574</v>
      </c>
      <c r="F1282" t="s">
        <v>5</v>
      </c>
      <c r="G1282" t="s">
        <v>5</v>
      </c>
      <c r="H1282" t="s">
        <v>5</v>
      </c>
      <c r="I1282" t="s">
        <v>6539</v>
      </c>
      <c r="J1282" t="s">
        <v>96</v>
      </c>
      <c r="K1282" s="3">
        <f t="shared" si="38"/>
        <v>0</v>
      </c>
      <c r="L1282" s="3">
        <f>IF(ISERROR(VLOOKUP(J1282,Lookups!$A$2:$A$16,1,FALSE)),1,0)</f>
        <v>0</v>
      </c>
      <c r="M1282" s="3">
        <f>IF(ISERROR(VLOOKUP(D1282,Data!$A$2:$D$223100,2,FALSE)),0,1)</f>
        <v>1</v>
      </c>
      <c r="N1282" s="3">
        <f t="shared" si="39"/>
        <v>0</v>
      </c>
      <c r="O1282" s="3" t="str">
        <f>IF(ISERROR(VLOOKUP(D1282,Data!$A$2:$C$223100,3,FALSE)),"INACTIVE",VLOOKUP(D1282,Data!$A$2:$C$223100,3,FALSE))</f>
        <v>Current</v>
      </c>
    </row>
    <row r="1283" spans="1:15" x14ac:dyDescent="0.25">
      <c r="A1283" t="s">
        <v>6570</v>
      </c>
      <c r="B1283" t="s">
        <v>6571</v>
      </c>
      <c r="C1283" t="s">
        <v>6572</v>
      </c>
      <c r="D1283" t="s">
        <v>6573</v>
      </c>
      <c r="E1283" t="s">
        <v>6575</v>
      </c>
      <c r="F1283" t="s">
        <v>5</v>
      </c>
      <c r="G1283" t="s">
        <v>5</v>
      </c>
      <c r="H1283" t="s">
        <v>5</v>
      </c>
      <c r="I1283" t="s">
        <v>6539</v>
      </c>
      <c r="J1283" t="s">
        <v>96</v>
      </c>
      <c r="K1283" s="3">
        <f t="shared" ref="K1283:K1346" si="40">IF(ISERROR(FIND("LIEN",A1283,1)),0,1)</f>
        <v>0</v>
      </c>
      <c r="L1283" s="3">
        <f>IF(ISERROR(VLOOKUP(J1283,Lookups!$A$2:$A$16,1,FALSE)),1,0)</f>
        <v>0</v>
      </c>
      <c r="M1283" s="3">
        <f>IF(ISERROR(VLOOKUP(D1283,Data!$A$2:$D$223100,2,FALSE)),0,1)</f>
        <v>1</v>
      </c>
      <c r="N1283" s="3">
        <f t="shared" ref="N1283:N1346" si="41">IF(M1283=0,0,IF(SUM(K1283:L1283)&gt;0,1,0))</f>
        <v>0</v>
      </c>
      <c r="O1283" s="3" t="str">
        <f>IF(ISERROR(VLOOKUP(D1283,Data!$A$2:$C$223100,3,FALSE)),"INACTIVE",VLOOKUP(D1283,Data!$A$2:$C$223100,3,FALSE))</f>
        <v>Current</v>
      </c>
    </row>
    <row r="1284" spans="1:15" x14ac:dyDescent="0.25">
      <c r="A1284" t="s">
        <v>6570</v>
      </c>
      <c r="B1284" t="s">
        <v>6571</v>
      </c>
      <c r="C1284" t="s">
        <v>6572</v>
      </c>
      <c r="D1284" t="s">
        <v>6573</v>
      </c>
      <c r="E1284" t="s">
        <v>6576</v>
      </c>
      <c r="F1284" t="s">
        <v>5</v>
      </c>
      <c r="G1284" t="s">
        <v>5</v>
      </c>
      <c r="H1284" t="s">
        <v>5</v>
      </c>
      <c r="I1284" t="s">
        <v>6539</v>
      </c>
      <c r="J1284" t="s">
        <v>96</v>
      </c>
      <c r="K1284" s="3">
        <f t="shared" si="40"/>
        <v>0</v>
      </c>
      <c r="L1284" s="3">
        <f>IF(ISERROR(VLOOKUP(J1284,Lookups!$A$2:$A$16,1,FALSE)),1,0)</f>
        <v>0</v>
      </c>
      <c r="M1284" s="3">
        <f>IF(ISERROR(VLOOKUP(D1284,Data!$A$2:$D$223100,2,FALSE)),0,1)</f>
        <v>1</v>
      </c>
      <c r="N1284" s="3">
        <f t="shared" si="41"/>
        <v>0</v>
      </c>
      <c r="O1284" s="3" t="str">
        <f>IF(ISERROR(VLOOKUP(D1284,Data!$A$2:$C$223100,3,FALSE)),"INACTIVE",VLOOKUP(D1284,Data!$A$2:$C$223100,3,FALSE))</f>
        <v>Current</v>
      </c>
    </row>
    <row r="1285" spans="1:15" x14ac:dyDescent="0.25">
      <c r="A1285" t="s">
        <v>6570</v>
      </c>
      <c r="B1285" t="s">
        <v>6571</v>
      </c>
      <c r="C1285" t="s">
        <v>6572</v>
      </c>
      <c r="D1285" t="s">
        <v>6573</v>
      </c>
      <c r="E1285" t="s">
        <v>6577</v>
      </c>
      <c r="F1285" t="s">
        <v>5</v>
      </c>
      <c r="G1285" t="s">
        <v>5</v>
      </c>
      <c r="H1285" t="s">
        <v>5</v>
      </c>
      <c r="I1285" t="s">
        <v>6539</v>
      </c>
      <c r="J1285" t="s">
        <v>96</v>
      </c>
      <c r="K1285" s="3">
        <f t="shared" si="40"/>
        <v>0</v>
      </c>
      <c r="L1285" s="3">
        <f>IF(ISERROR(VLOOKUP(J1285,Lookups!$A$2:$A$16,1,FALSE)),1,0)</f>
        <v>0</v>
      </c>
      <c r="M1285" s="3">
        <f>IF(ISERROR(VLOOKUP(D1285,Data!$A$2:$D$223100,2,FALSE)),0,1)</f>
        <v>1</v>
      </c>
      <c r="N1285" s="3">
        <f t="shared" si="41"/>
        <v>0</v>
      </c>
      <c r="O1285" s="3" t="str">
        <f>IF(ISERROR(VLOOKUP(D1285,Data!$A$2:$C$223100,3,FALSE)),"INACTIVE",VLOOKUP(D1285,Data!$A$2:$C$223100,3,FALSE))</f>
        <v>Current</v>
      </c>
    </row>
    <row r="1286" spans="1:15" x14ac:dyDescent="0.25">
      <c r="A1286" t="s">
        <v>6570</v>
      </c>
      <c r="B1286" t="s">
        <v>6571</v>
      </c>
      <c r="C1286" t="s">
        <v>6572</v>
      </c>
      <c r="D1286" t="s">
        <v>6573</v>
      </c>
      <c r="E1286" t="s">
        <v>6578</v>
      </c>
      <c r="F1286" t="s">
        <v>5</v>
      </c>
      <c r="G1286" t="s">
        <v>5</v>
      </c>
      <c r="H1286" t="s">
        <v>5</v>
      </c>
      <c r="I1286" t="s">
        <v>6539</v>
      </c>
      <c r="J1286" t="s">
        <v>96</v>
      </c>
      <c r="K1286" s="3">
        <f t="shared" si="40"/>
        <v>0</v>
      </c>
      <c r="L1286" s="3">
        <f>IF(ISERROR(VLOOKUP(J1286,Lookups!$A$2:$A$16,1,FALSE)),1,0)</f>
        <v>0</v>
      </c>
      <c r="M1286" s="3">
        <f>IF(ISERROR(VLOOKUP(D1286,Data!$A$2:$D$223100,2,FALSE)),0,1)</f>
        <v>1</v>
      </c>
      <c r="N1286" s="3">
        <f t="shared" si="41"/>
        <v>0</v>
      </c>
      <c r="O1286" s="3" t="str">
        <f>IF(ISERROR(VLOOKUP(D1286,Data!$A$2:$C$223100,3,FALSE)),"INACTIVE",VLOOKUP(D1286,Data!$A$2:$C$223100,3,FALSE))</f>
        <v>Current</v>
      </c>
    </row>
    <row r="1287" spans="1:15" x14ac:dyDescent="0.25">
      <c r="A1287" t="s">
        <v>6579</v>
      </c>
      <c r="B1287" t="s">
        <v>6580</v>
      </c>
      <c r="C1287" t="s">
        <v>6581</v>
      </c>
      <c r="D1287" t="s">
        <v>4811</v>
      </c>
      <c r="E1287" t="s">
        <v>6582</v>
      </c>
      <c r="F1287" t="s">
        <v>5</v>
      </c>
      <c r="G1287" t="s">
        <v>5</v>
      </c>
      <c r="H1287" t="s">
        <v>5</v>
      </c>
      <c r="I1287" t="s">
        <v>6539</v>
      </c>
      <c r="J1287" t="s">
        <v>96</v>
      </c>
      <c r="K1287" s="3">
        <f t="shared" si="40"/>
        <v>0</v>
      </c>
      <c r="L1287" s="3">
        <f>IF(ISERROR(VLOOKUP(J1287,Lookups!$A$2:$A$16,1,FALSE)),1,0)</f>
        <v>0</v>
      </c>
      <c r="M1287" s="3">
        <f>IF(ISERROR(VLOOKUP(D1287,Data!$A$2:$D$223100,2,FALSE)),0,1)</f>
        <v>1</v>
      </c>
      <c r="N1287" s="3">
        <f t="shared" si="41"/>
        <v>0</v>
      </c>
      <c r="O1287" s="3" t="str">
        <f>IF(ISERROR(VLOOKUP(D1287,Data!$A$2:$C$223100,3,FALSE)),"INACTIVE",VLOOKUP(D1287,Data!$A$2:$C$223100,3,FALSE))</f>
        <v>180+</v>
      </c>
    </row>
    <row r="1288" spans="1:15" x14ac:dyDescent="0.25">
      <c r="A1288" t="s">
        <v>6579</v>
      </c>
      <c r="B1288" t="s">
        <v>6580</v>
      </c>
      <c r="C1288" t="s">
        <v>6583</v>
      </c>
      <c r="D1288" t="s">
        <v>6584</v>
      </c>
      <c r="E1288" t="s">
        <v>6585</v>
      </c>
      <c r="F1288" t="s">
        <v>5</v>
      </c>
      <c r="G1288" t="s">
        <v>5</v>
      </c>
      <c r="H1288" t="s">
        <v>5</v>
      </c>
      <c r="I1288" t="s">
        <v>6539</v>
      </c>
      <c r="J1288" t="s">
        <v>96</v>
      </c>
      <c r="K1288" s="3">
        <f t="shared" si="40"/>
        <v>0</v>
      </c>
      <c r="L1288" s="3">
        <f>IF(ISERROR(VLOOKUP(J1288,Lookups!$A$2:$A$16,1,FALSE)),1,0)</f>
        <v>0</v>
      </c>
      <c r="M1288" s="3">
        <f>IF(ISERROR(VLOOKUP(D1288,Data!$A$2:$D$223100,2,FALSE)),0,1)</f>
        <v>1</v>
      </c>
      <c r="N1288" s="3">
        <f t="shared" si="41"/>
        <v>0</v>
      </c>
      <c r="O1288" s="3" t="str">
        <f>IF(ISERROR(VLOOKUP(D1288,Data!$A$2:$C$223100,3,FALSE)),"INACTIVE",VLOOKUP(D1288,Data!$A$2:$C$223100,3,FALSE))</f>
        <v>30+</v>
      </c>
    </row>
    <row r="1289" spans="1:15" x14ac:dyDescent="0.25">
      <c r="A1289" t="s">
        <v>6579</v>
      </c>
      <c r="B1289" t="s">
        <v>6580</v>
      </c>
      <c r="C1289" t="s">
        <v>6586</v>
      </c>
      <c r="D1289" t="s">
        <v>6587</v>
      </c>
      <c r="E1289" t="s">
        <v>6588</v>
      </c>
      <c r="F1289" t="s">
        <v>5</v>
      </c>
      <c r="G1289" t="s">
        <v>5</v>
      </c>
      <c r="H1289" t="s">
        <v>5</v>
      </c>
      <c r="I1289" t="s">
        <v>6539</v>
      </c>
      <c r="J1289" t="s">
        <v>96</v>
      </c>
      <c r="K1289" s="3">
        <f t="shared" si="40"/>
        <v>0</v>
      </c>
      <c r="L1289" s="3">
        <f>IF(ISERROR(VLOOKUP(J1289,Lookups!$A$2:$A$16,1,FALSE)),1,0)</f>
        <v>0</v>
      </c>
      <c r="M1289" s="3">
        <f>IF(ISERROR(VLOOKUP(D1289,Data!$A$2:$D$223100,2,FALSE)),0,1)</f>
        <v>1</v>
      </c>
      <c r="N1289" s="3">
        <f t="shared" si="41"/>
        <v>0</v>
      </c>
      <c r="O1289" s="3" t="str">
        <f>IF(ISERROR(VLOOKUP(D1289,Data!$A$2:$C$223100,3,FALSE)),"INACTIVE",VLOOKUP(D1289,Data!$A$2:$C$223100,3,FALSE))</f>
        <v>FC</v>
      </c>
    </row>
    <row r="1290" spans="1:15" x14ac:dyDescent="0.25">
      <c r="A1290" t="s">
        <v>6796</v>
      </c>
      <c r="B1290" t="s">
        <v>6797</v>
      </c>
      <c r="C1290" t="s">
        <v>6798</v>
      </c>
      <c r="D1290" t="s">
        <v>6799</v>
      </c>
      <c r="E1290" t="s">
        <v>6800</v>
      </c>
      <c r="F1290" t="s">
        <v>5</v>
      </c>
      <c r="G1290" t="s">
        <v>5</v>
      </c>
      <c r="H1290" t="s">
        <v>5</v>
      </c>
      <c r="I1290" t="s">
        <v>6539</v>
      </c>
      <c r="J1290" t="s">
        <v>7</v>
      </c>
      <c r="K1290" s="3">
        <f t="shared" si="40"/>
        <v>0</v>
      </c>
      <c r="L1290" s="3">
        <f>IF(ISERROR(VLOOKUP(J1290,Lookups!$A$2:$A$16,1,FALSE)),1,0)</f>
        <v>1</v>
      </c>
      <c r="M1290" s="3">
        <f>IF(ISERROR(VLOOKUP(D1290,Data!$A$2:$D$223100,2,FALSE)),0,1)</f>
        <v>1</v>
      </c>
      <c r="N1290" s="3">
        <f t="shared" si="41"/>
        <v>1</v>
      </c>
      <c r="O1290" s="3" t="str">
        <f>IF(ISERROR(VLOOKUP(D1290,Data!$A$2:$C$223100,3,FALSE)),"INACTIVE",VLOOKUP(D1290,Data!$A$2:$C$223100,3,FALSE))</f>
        <v>180+</v>
      </c>
    </row>
    <row r="1291" spans="1:15" x14ac:dyDescent="0.25">
      <c r="A1291" t="s">
        <v>1383</v>
      </c>
      <c r="B1291" t="s">
        <v>6364</v>
      </c>
      <c r="C1291" t="s">
        <v>6365</v>
      </c>
      <c r="D1291" t="s">
        <v>6366</v>
      </c>
      <c r="E1291" t="s">
        <v>6367</v>
      </c>
      <c r="F1291" t="s">
        <v>5</v>
      </c>
      <c r="G1291" t="s">
        <v>5</v>
      </c>
      <c r="H1291" t="s">
        <v>5</v>
      </c>
      <c r="I1291" t="s">
        <v>6368</v>
      </c>
      <c r="J1291" t="s">
        <v>7</v>
      </c>
      <c r="K1291" s="3">
        <f t="shared" si="40"/>
        <v>0</v>
      </c>
      <c r="L1291" s="3">
        <f>IF(ISERROR(VLOOKUP(J1291,Lookups!$A$2:$A$16,1,FALSE)),1,0)</f>
        <v>1</v>
      </c>
      <c r="M1291" s="3">
        <f>IF(ISERROR(VLOOKUP(D1291,Data!$A$2:$D$223100,2,FALSE)),0,1)</f>
        <v>0</v>
      </c>
      <c r="N1291" s="3">
        <f t="shared" si="41"/>
        <v>0</v>
      </c>
      <c r="O1291" s="3" t="str">
        <f>IF(ISERROR(VLOOKUP(D1291,Data!$A$2:$C$223100,3,FALSE)),"INACTIVE",VLOOKUP(D1291,Data!$A$2:$C$223100,3,FALSE))</f>
        <v>INACTIVE</v>
      </c>
    </row>
    <row r="1292" spans="1:15" x14ac:dyDescent="0.25">
      <c r="A1292" t="s">
        <v>1383</v>
      </c>
      <c r="B1292" t="s">
        <v>6364</v>
      </c>
      <c r="C1292" t="s">
        <v>6369</v>
      </c>
      <c r="D1292" t="s">
        <v>6370</v>
      </c>
      <c r="E1292" t="s">
        <v>6371</v>
      </c>
      <c r="F1292" t="s">
        <v>5</v>
      </c>
      <c r="G1292" t="s">
        <v>5</v>
      </c>
      <c r="H1292" t="s">
        <v>5</v>
      </c>
      <c r="I1292" t="s">
        <v>6368</v>
      </c>
      <c r="J1292" t="s">
        <v>7</v>
      </c>
      <c r="K1292" s="3">
        <f t="shared" si="40"/>
        <v>0</v>
      </c>
      <c r="L1292" s="3">
        <f>IF(ISERROR(VLOOKUP(J1292,Lookups!$A$2:$A$16,1,FALSE)),1,0)</f>
        <v>1</v>
      </c>
      <c r="M1292" s="3">
        <f>IF(ISERROR(VLOOKUP(D1292,Data!$A$2:$D$223100,2,FALSE)),0,1)</f>
        <v>1</v>
      </c>
      <c r="N1292" s="3">
        <f t="shared" si="41"/>
        <v>1</v>
      </c>
      <c r="O1292" s="3" t="str">
        <f>IF(ISERROR(VLOOKUP(D1292,Data!$A$2:$C$223100,3,FALSE)),"INACTIVE",VLOOKUP(D1292,Data!$A$2:$C$223100,3,FALSE))</f>
        <v>FC</v>
      </c>
    </row>
    <row r="1293" spans="1:15" x14ac:dyDescent="0.25">
      <c r="A1293" t="s">
        <v>6470</v>
      </c>
      <c r="B1293" t="s">
        <v>6471</v>
      </c>
      <c r="C1293" t="s">
        <v>6472</v>
      </c>
      <c r="D1293" t="s">
        <v>6473</v>
      </c>
      <c r="E1293" t="s">
        <v>6474</v>
      </c>
      <c r="F1293" t="s">
        <v>5</v>
      </c>
      <c r="G1293" t="s">
        <v>5</v>
      </c>
      <c r="H1293" t="s">
        <v>5</v>
      </c>
      <c r="I1293" t="s">
        <v>6368</v>
      </c>
      <c r="J1293" t="s">
        <v>90</v>
      </c>
      <c r="K1293" s="3">
        <f t="shared" si="40"/>
        <v>0</v>
      </c>
      <c r="L1293" s="3">
        <f>IF(ISERROR(VLOOKUP(J1293,Lookups!$A$2:$A$16,1,FALSE)),1,0)</f>
        <v>0</v>
      </c>
      <c r="M1293" s="3">
        <f>IF(ISERROR(VLOOKUP(D1293,Data!$A$2:$D$223100,2,FALSE)),0,1)</f>
        <v>1</v>
      </c>
      <c r="N1293" s="3">
        <f t="shared" si="41"/>
        <v>0</v>
      </c>
      <c r="O1293" s="3" t="str">
        <f>IF(ISERROR(VLOOKUP(D1293,Data!$A$2:$C$223100,3,FALSE)),"INACTIVE",VLOOKUP(D1293,Data!$A$2:$C$223100,3,FALSE))</f>
        <v>30+</v>
      </c>
    </row>
    <row r="1294" spans="1:15" x14ac:dyDescent="0.25">
      <c r="A1294" t="s">
        <v>1378</v>
      </c>
      <c r="B1294" t="s">
        <v>6475</v>
      </c>
      <c r="C1294" t="s">
        <v>6476</v>
      </c>
      <c r="D1294" t="s">
        <v>6477</v>
      </c>
      <c r="E1294" t="s">
        <v>6478</v>
      </c>
      <c r="F1294" t="s">
        <v>5</v>
      </c>
      <c r="G1294" t="s">
        <v>5</v>
      </c>
      <c r="H1294" t="s">
        <v>5</v>
      </c>
      <c r="I1294" t="s">
        <v>6368</v>
      </c>
      <c r="J1294" t="s">
        <v>90</v>
      </c>
      <c r="K1294" s="3">
        <f t="shared" si="40"/>
        <v>0</v>
      </c>
      <c r="L1294" s="3">
        <f>IF(ISERROR(VLOOKUP(J1294,Lookups!$A$2:$A$16,1,FALSE)),1,0)</f>
        <v>0</v>
      </c>
      <c r="M1294" s="3">
        <f>IF(ISERROR(VLOOKUP(D1294,Data!$A$2:$D$223100,2,FALSE)),0,1)</f>
        <v>1</v>
      </c>
      <c r="N1294" s="3">
        <f t="shared" si="41"/>
        <v>0</v>
      </c>
      <c r="O1294" s="3" t="str">
        <f>IF(ISERROR(VLOOKUP(D1294,Data!$A$2:$C$223100,3,FALSE)),"INACTIVE",VLOOKUP(D1294,Data!$A$2:$C$223100,3,FALSE))</f>
        <v>180+</v>
      </c>
    </row>
    <row r="1295" spans="1:15" x14ac:dyDescent="0.25">
      <c r="A1295" t="s">
        <v>1378</v>
      </c>
      <c r="B1295" t="s">
        <v>6475</v>
      </c>
      <c r="C1295" t="s">
        <v>6476</v>
      </c>
      <c r="D1295" t="s">
        <v>6477</v>
      </c>
      <c r="E1295" t="s">
        <v>6479</v>
      </c>
      <c r="F1295" t="s">
        <v>5</v>
      </c>
      <c r="G1295" t="s">
        <v>5</v>
      </c>
      <c r="H1295" t="s">
        <v>5</v>
      </c>
      <c r="I1295" t="s">
        <v>6368</v>
      </c>
      <c r="J1295" t="s">
        <v>90</v>
      </c>
      <c r="K1295" s="3">
        <f t="shared" si="40"/>
        <v>0</v>
      </c>
      <c r="L1295" s="3">
        <f>IF(ISERROR(VLOOKUP(J1295,Lookups!$A$2:$A$16,1,FALSE)),1,0)</f>
        <v>0</v>
      </c>
      <c r="M1295" s="3">
        <f>IF(ISERROR(VLOOKUP(D1295,Data!$A$2:$D$223100,2,FALSE)),0,1)</f>
        <v>1</v>
      </c>
      <c r="N1295" s="3">
        <f t="shared" si="41"/>
        <v>0</v>
      </c>
      <c r="O1295" s="3" t="str">
        <f>IF(ISERROR(VLOOKUP(D1295,Data!$A$2:$C$223100,3,FALSE)),"INACTIVE",VLOOKUP(D1295,Data!$A$2:$C$223100,3,FALSE))</f>
        <v>180+</v>
      </c>
    </row>
    <row r="1296" spans="1:15" x14ac:dyDescent="0.25">
      <c r="A1296" t="s">
        <v>1378</v>
      </c>
      <c r="B1296" t="s">
        <v>6475</v>
      </c>
      <c r="C1296" t="s">
        <v>6480</v>
      </c>
      <c r="D1296" t="s">
        <v>6481</v>
      </c>
      <c r="E1296" t="s">
        <v>6478</v>
      </c>
      <c r="F1296" t="s">
        <v>5</v>
      </c>
      <c r="G1296" t="s">
        <v>5</v>
      </c>
      <c r="H1296" t="s">
        <v>5</v>
      </c>
      <c r="I1296" t="s">
        <v>6368</v>
      </c>
      <c r="J1296" t="s">
        <v>90</v>
      </c>
      <c r="K1296" s="3">
        <f t="shared" si="40"/>
        <v>0</v>
      </c>
      <c r="L1296" s="3">
        <f>IF(ISERROR(VLOOKUP(J1296,Lookups!$A$2:$A$16,1,FALSE)),1,0)</f>
        <v>0</v>
      </c>
      <c r="M1296" s="3">
        <f>IF(ISERROR(VLOOKUP(D1296,Data!$A$2:$D$223100,2,FALSE)),0,1)</f>
        <v>1</v>
      </c>
      <c r="N1296" s="3">
        <f t="shared" si="41"/>
        <v>0</v>
      </c>
      <c r="O1296" s="3" t="str">
        <f>IF(ISERROR(VLOOKUP(D1296,Data!$A$2:$C$223100,3,FALSE)),"INACTIVE",VLOOKUP(D1296,Data!$A$2:$C$223100,3,FALSE))</f>
        <v>Current</v>
      </c>
    </row>
    <row r="1297" spans="1:15" x14ac:dyDescent="0.25">
      <c r="A1297" t="s">
        <v>1378</v>
      </c>
      <c r="B1297" t="s">
        <v>6475</v>
      </c>
      <c r="C1297" t="s">
        <v>6480</v>
      </c>
      <c r="D1297" t="s">
        <v>6481</v>
      </c>
      <c r="E1297" t="s">
        <v>6482</v>
      </c>
      <c r="F1297" t="s">
        <v>5</v>
      </c>
      <c r="G1297" t="s">
        <v>5</v>
      </c>
      <c r="H1297" t="s">
        <v>5</v>
      </c>
      <c r="I1297" t="s">
        <v>6368</v>
      </c>
      <c r="J1297" t="s">
        <v>90</v>
      </c>
      <c r="K1297" s="3">
        <f t="shared" si="40"/>
        <v>0</v>
      </c>
      <c r="L1297" s="3">
        <f>IF(ISERROR(VLOOKUP(J1297,Lookups!$A$2:$A$16,1,FALSE)),1,0)</f>
        <v>0</v>
      </c>
      <c r="M1297" s="3">
        <f>IF(ISERROR(VLOOKUP(D1297,Data!$A$2:$D$223100,2,FALSE)),0,1)</f>
        <v>1</v>
      </c>
      <c r="N1297" s="3">
        <f t="shared" si="41"/>
        <v>0</v>
      </c>
      <c r="O1297" s="3" t="str">
        <f>IF(ISERROR(VLOOKUP(D1297,Data!$A$2:$C$223100,3,FALSE)),"INACTIVE",VLOOKUP(D1297,Data!$A$2:$C$223100,3,FALSE))</f>
        <v>Current</v>
      </c>
    </row>
    <row r="1298" spans="1:15" x14ac:dyDescent="0.25">
      <c r="A1298" t="s">
        <v>6606</v>
      </c>
      <c r="B1298" t="s">
        <v>6607</v>
      </c>
      <c r="C1298" t="s">
        <v>6608</v>
      </c>
      <c r="D1298" t="s">
        <v>6609</v>
      </c>
      <c r="E1298" t="s">
        <v>6610</v>
      </c>
      <c r="F1298" t="s">
        <v>5</v>
      </c>
      <c r="G1298" t="s">
        <v>5</v>
      </c>
      <c r="H1298" t="s">
        <v>5</v>
      </c>
      <c r="I1298" t="s">
        <v>6611</v>
      </c>
      <c r="J1298" t="s">
        <v>96</v>
      </c>
      <c r="K1298" s="3">
        <f t="shared" si="40"/>
        <v>0</v>
      </c>
      <c r="L1298" s="3">
        <f>IF(ISERROR(VLOOKUP(J1298,Lookups!$A$2:$A$16,1,FALSE)),1,0)</f>
        <v>0</v>
      </c>
      <c r="M1298" s="3">
        <f>IF(ISERROR(VLOOKUP(D1298,Data!$A$2:$D$223100,2,FALSE)),0,1)</f>
        <v>1</v>
      </c>
      <c r="N1298" s="3">
        <f t="shared" si="41"/>
        <v>0</v>
      </c>
      <c r="O1298" s="3" t="str">
        <f>IF(ISERROR(VLOOKUP(D1298,Data!$A$2:$C$223100,3,FALSE)),"INACTIVE",VLOOKUP(D1298,Data!$A$2:$C$223100,3,FALSE))</f>
        <v>Demand Letter</v>
      </c>
    </row>
    <row r="1299" spans="1:15" x14ac:dyDescent="0.25">
      <c r="A1299" t="s">
        <v>4813</v>
      </c>
      <c r="B1299" t="s">
        <v>6675</v>
      </c>
      <c r="C1299" t="s">
        <v>6676</v>
      </c>
      <c r="D1299" t="s">
        <v>6677</v>
      </c>
      <c r="E1299" t="s">
        <v>6678</v>
      </c>
      <c r="F1299" t="s">
        <v>5</v>
      </c>
      <c r="G1299" t="s">
        <v>5</v>
      </c>
      <c r="H1299" t="s">
        <v>5</v>
      </c>
      <c r="I1299" t="s">
        <v>6611</v>
      </c>
      <c r="J1299" t="s">
        <v>90</v>
      </c>
      <c r="K1299" s="3">
        <f t="shared" si="40"/>
        <v>0</v>
      </c>
      <c r="L1299" s="3">
        <f>IF(ISERROR(VLOOKUP(J1299,Lookups!$A$2:$A$16,1,FALSE)),1,0)</f>
        <v>0</v>
      </c>
      <c r="M1299" s="3">
        <f>IF(ISERROR(VLOOKUP(D1299,Data!$A$2:$D$223100,2,FALSE)),0,1)</f>
        <v>1</v>
      </c>
      <c r="N1299" s="3">
        <f t="shared" si="41"/>
        <v>0</v>
      </c>
      <c r="O1299" s="3" t="str">
        <f>IF(ISERROR(VLOOKUP(D1299,Data!$A$2:$C$223100,3,FALSE)),"INACTIVE",VLOOKUP(D1299,Data!$A$2:$C$223100,3,FALSE))</f>
        <v>Current</v>
      </c>
    </row>
    <row r="1300" spans="1:15" x14ac:dyDescent="0.25">
      <c r="A1300" t="s">
        <v>6787</v>
      </c>
      <c r="B1300" t="s">
        <v>6788</v>
      </c>
      <c r="C1300" t="s">
        <v>6789</v>
      </c>
      <c r="D1300" t="s">
        <v>6790</v>
      </c>
      <c r="E1300" t="s">
        <v>6791</v>
      </c>
      <c r="F1300" t="s">
        <v>5</v>
      </c>
      <c r="G1300" t="s">
        <v>5</v>
      </c>
      <c r="H1300" t="s">
        <v>5</v>
      </c>
      <c r="I1300" t="s">
        <v>6611</v>
      </c>
      <c r="J1300" t="s">
        <v>7</v>
      </c>
      <c r="K1300" s="3">
        <f t="shared" si="40"/>
        <v>0</v>
      </c>
      <c r="L1300" s="3">
        <f>IF(ISERROR(VLOOKUP(J1300,Lookups!$A$2:$A$16,1,FALSE)),1,0)</f>
        <v>1</v>
      </c>
      <c r="M1300" s="3">
        <f>IF(ISERROR(VLOOKUP(D1300,Data!$A$2:$D$223100,2,FALSE)),0,1)</f>
        <v>1</v>
      </c>
      <c r="N1300" s="3">
        <f t="shared" si="41"/>
        <v>1</v>
      </c>
      <c r="O1300" s="3" t="str">
        <f>IF(ISERROR(VLOOKUP(D1300,Data!$A$2:$C$223100,3,FALSE)),"INACTIVE",VLOOKUP(D1300,Data!$A$2:$C$223100,3,FALSE))</f>
        <v>BK13</v>
      </c>
    </row>
    <row r="1301" spans="1:15" x14ac:dyDescent="0.25">
      <c r="A1301" t="s">
        <v>6787</v>
      </c>
      <c r="B1301" t="s">
        <v>6788</v>
      </c>
      <c r="C1301" t="s">
        <v>6789</v>
      </c>
      <c r="D1301" t="s">
        <v>6790</v>
      </c>
      <c r="E1301" t="s">
        <v>6792</v>
      </c>
      <c r="F1301" t="s">
        <v>5</v>
      </c>
      <c r="G1301" t="s">
        <v>5</v>
      </c>
      <c r="H1301" t="s">
        <v>5</v>
      </c>
      <c r="I1301" t="s">
        <v>6611</v>
      </c>
      <c r="J1301" t="s">
        <v>7</v>
      </c>
      <c r="K1301" s="3">
        <f t="shared" si="40"/>
        <v>0</v>
      </c>
      <c r="L1301" s="3">
        <f>IF(ISERROR(VLOOKUP(J1301,Lookups!$A$2:$A$16,1,FALSE)),1,0)</f>
        <v>1</v>
      </c>
      <c r="M1301" s="3">
        <f>IF(ISERROR(VLOOKUP(D1301,Data!$A$2:$D$223100,2,FALSE)),0,1)</f>
        <v>1</v>
      </c>
      <c r="N1301" s="3">
        <f t="shared" si="41"/>
        <v>1</v>
      </c>
      <c r="O1301" s="3" t="str">
        <f>IF(ISERROR(VLOOKUP(D1301,Data!$A$2:$C$223100,3,FALSE)),"INACTIVE",VLOOKUP(D1301,Data!$A$2:$C$223100,3,FALSE))</f>
        <v>BK13</v>
      </c>
    </row>
    <row r="1302" spans="1:15" x14ac:dyDescent="0.25">
      <c r="A1302" t="s">
        <v>6787</v>
      </c>
      <c r="B1302" t="s">
        <v>6788</v>
      </c>
      <c r="C1302" t="s">
        <v>6793</v>
      </c>
      <c r="D1302" t="s">
        <v>6794</v>
      </c>
      <c r="E1302" t="s">
        <v>6795</v>
      </c>
      <c r="F1302" t="s">
        <v>5</v>
      </c>
      <c r="G1302" t="s">
        <v>5</v>
      </c>
      <c r="H1302" t="s">
        <v>5</v>
      </c>
      <c r="I1302" t="s">
        <v>6611</v>
      </c>
      <c r="J1302" t="s">
        <v>14</v>
      </c>
      <c r="K1302" s="3">
        <f t="shared" si="40"/>
        <v>0</v>
      </c>
      <c r="L1302" s="3">
        <f>IF(ISERROR(VLOOKUP(J1302,Lookups!$A$2:$A$16,1,FALSE)),1,0)</f>
        <v>1</v>
      </c>
      <c r="M1302" s="3">
        <f>IF(ISERROR(VLOOKUP(D1302,Data!$A$2:$D$223100,2,FALSE)),0,1)</f>
        <v>0</v>
      </c>
      <c r="N1302" s="3">
        <f t="shared" si="41"/>
        <v>0</v>
      </c>
      <c r="O1302" s="3" t="str">
        <f>IF(ISERROR(VLOOKUP(D1302,Data!$A$2:$C$223100,3,FALSE)),"INACTIVE",VLOOKUP(D1302,Data!$A$2:$C$223100,3,FALSE))</f>
        <v>INACTIVE</v>
      </c>
    </row>
    <row r="1303" spans="1:15" x14ac:dyDescent="0.25">
      <c r="A1303" t="s">
        <v>6504</v>
      </c>
      <c r="B1303" t="s">
        <v>6505</v>
      </c>
      <c r="C1303" t="s">
        <v>6506</v>
      </c>
      <c r="D1303" t="s">
        <v>6507</v>
      </c>
      <c r="E1303" t="s">
        <v>6508</v>
      </c>
      <c r="F1303" t="s">
        <v>5</v>
      </c>
      <c r="G1303" t="s">
        <v>5</v>
      </c>
      <c r="H1303" t="s">
        <v>5</v>
      </c>
      <c r="I1303" t="s">
        <v>6509</v>
      </c>
      <c r="J1303" t="s">
        <v>90</v>
      </c>
      <c r="K1303" s="3">
        <f t="shared" si="40"/>
        <v>0</v>
      </c>
      <c r="L1303" s="3">
        <f>IF(ISERROR(VLOOKUP(J1303,Lookups!$A$2:$A$16,1,FALSE)),1,0)</f>
        <v>0</v>
      </c>
      <c r="M1303" s="3">
        <f>IF(ISERROR(VLOOKUP(D1303,Data!$A$2:$D$223100,2,FALSE)),0,1)</f>
        <v>1</v>
      </c>
      <c r="N1303" s="3">
        <f t="shared" si="41"/>
        <v>0</v>
      </c>
      <c r="O1303" s="3" t="str">
        <f>IF(ISERROR(VLOOKUP(D1303,Data!$A$2:$C$223100,3,FALSE)),"INACTIVE",VLOOKUP(D1303,Data!$A$2:$C$223100,3,FALSE))</f>
        <v>30+</v>
      </c>
    </row>
    <row r="1304" spans="1:15" x14ac:dyDescent="0.25">
      <c r="A1304" t="s">
        <v>6546</v>
      </c>
      <c r="B1304" t="s">
        <v>6547</v>
      </c>
      <c r="C1304" t="s">
        <v>6536</v>
      </c>
      <c r="D1304" t="s">
        <v>6537</v>
      </c>
      <c r="E1304" t="s">
        <v>6548</v>
      </c>
      <c r="F1304" t="s">
        <v>5</v>
      </c>
      <c r="G1304" t="s">
        <v>5</v>
      </c>
      <c r="H1304" t="s">
        <v>5</v>
      </c>
      <c r="I1304" t="s">
        <v>6509</v>
      </c>
      <c r="J1304" t="s">
        <v>14</v>
      </c>
      <c r="K1304" s="3">
        <f t="shared" si="40"/>
        <v>0</v>
      </c>
      <c r="L1304" s="3">
        <f>IF(ISERROR(VLOOKUP(J1304,Lookups!$A$2:$A$16,1,FALSE)),1,0)</f>
        <v>1</v>
      </c>
      <c r="M1304" s="3">
        <f>IF(ISERROR(VLOOKUP(D1304,Data!$A$2:$D$223100,2,FALSE)),0,1)</f>
        <v>1</v>
      </c>
      <c r="N1304" s="3">
        <f t="shared" si="41"/>
        <v>1</v>
      </c>
      <c r="O1304" s="3" t="str">
        <f>IF(ISERROR(VLOOKUP(D1304,Data!$A$2:$C$223100,3,FALSE)),"INACTIVE",VLOOKUP(D1304,Data!$A$2:$C$223100,3,FALSE))</f>
        <v>Current</v>
      </c>
    </row>
    <row r="1305" spans="1:15" x14ac:dyDescent="0.25">
      <c r="A1305" t="s">
        <v>6218</v>
      </c>
      <c r="B1305" t="s">
        <v>6219</v>
      </c>
      <c r="C1305" t="s">
        <v>6220</v>
      </c>
      <c r="D1305" t="s">
        <v>6221</v>
      </c>
      <c r="E1305" t="s">
        <v>6222</v>
      </c>
      <c r="F1305" t="s">
        <v>5</v>
      </c>
      <c r="G1305" t="s">
        <v>5</v>
      </c>
      <c r="H1305" t="s">
        <v>5</v>
      </c>
      <c r="I1305" t="s">
        <v>6223</v>
      </c>
      <c r="J1305" t="s">
        <v>14</v>
      </c>
      <c r="K1305" s="3">
        <f t="shared" si="40"/>
        <v>0</v>
      </c>
      <c r="L1305" s="3">
        <f>IF(ISERROR(VLOOKUP(J1305,Lookups!$A$2:$A$16,1,FALSE)),1,0)</f>
        <v>1</v>
      </c>
      <c r="M1305" s="3">
        <f>IF(ISERROR(VLOOKUP(D1305,Data!$A$2:$D$223100,2,FALSE)),0,1)</f>
        <v>1</v>
      </c>
      <c r="N1305" s="3">
        <f t="shared" si="41"/>
        <v>1</v>
      </c>
      <c r="O1305" s="3" t="str">
        <f>IF(ISERROR(VLOOKUP(D1305,Data!$A$2:$C$223100,3,FALSE)),"INACTIVE",VLOOKUP(D1305,Data!$A$2:$C$223100,3,FALSE))</f>
        <v>Current</v>
      </c>
    </row>
    <row r="1306" spans="1:15" x14ac:dyDescent="0.25">
      <c r="A1306" t="s">
        <v>6218</v>
      </c>
      <c r="B1306" t="s">
        <v>6219</v>
      </c>
      <c r="C1306" t="s">
        <v>6224</v>
      </c>
      <c r="D1306" t="s">
        <v>6225</v>
      </c>
      <c r="E1306" t="s">
        <v>6226</v>
      </c>
      <c r="F1306" t="s">
        <v>5</v>
      </c>
      <c r="G1306" t="s">
        <v>5</v>
      </c>
      <c r="H1306" t="s">
        <v>5</v>
      </c>
      <c r="I1306" t="s">
        <v>6223</v>
      </c>
      <c r="J1306" t="s">
        <v>14</v>
      </c>
      <c r="K1306" s="3">
        <f t="shared" si="40"/>
        <v>0</v>
      </c>
      <c r="L1306" s="3">
        <f>IF(ISERROR(VLOOKUP(J1306,Lookups!$A$2:$A$16,1,FALSE)),1,0)</f>
        <v>1</v>
      </c>
      <c r="M1306" s="3">
        <f>IF(ISERROR(VLOOKUP(D1306,Data!$A$2:$D$223100,2,FALSE)),0,1)</f>
        <v>1</v>
      </c>
      <c r="N1306" s="3">
        <f t="shared" si="41"/>
        <v>1</v>
      </c>
      <c r="O1306" s="3" t="str">
        <f>IF(ISERROR(VLOOKUP(D1306,Data!$A$2:$C$223100,3,FALSE)),"INACTIVE",VLOOKUP(D1306,Data!$A$2:$C$223100,3,FALSE))</f>
        <v>FBA</v>
      </c>
    </row>
    <row r="1307" spans="1:15" x14ac:dyDescent="0.25">
      <c r="A1307" t="s">
        <v>4117</v>
      </c>
      <c r="B1307" t="s">
        <v>6466</v>
      </c>
      <c r="C1307" t="s">
        <v>6467</v>
      </c>
      <c r="D1307" t="s">
        <v>6468</v>
      </c>
      <c r="E1307" t="s">
        <v>6469</v>
      </c>
      <c r="F1307" t="s">
        <v>5</v>
      </c>
      <c r="G1307" t="s">
        <v>5</v>
      </c>
      <c r="H1307" t="s">
        <v>5</v>
      </c>
      <c r="I1307" t="s">
        <v>6223</v>
      </c>
      <c r="J1307" t="s">
        <v>90</v>
      </c>
      <c r="K1307" s="3">
        <f t="shared" si="40"/>
        <v>0</v>
      </c>
      <c r="L1307" s="3">
        <f>IF(ISERROR(VLOOKUP(J1307,Lookups!$A$2:$A$16,1,FALSE)),1,0)</f>
        <v>0</v>
      </c>
      <c r="M1307" s="3">
        <f>IF(ISERROR(VLOOKUP(D1307,Data!$A$2:$D$223100,2,FALSE)),0,1)</f>
        <v>0</v>
      </c>
      <c r="N1307" s="3">
        <f t="shared" si="41"/>
        <v>0</v>
      </c>
      <c r="O1307" s="3" t="str">
        <f>IF(ISERROR(VLOOKUP(D1307,Data!$A$2:$C$223100,3,FALSE)),"INACTIVE",VLOOKUP(D1307,Data!$A$2:$C$223100,3,FALSE))</f>
        <v>INACTIVE</v>
      </c>
    </row>
    <row r="1308" spans="1:15" x14ac:dyDescent="0.25">
      <c r="A1308" t="s">
        <v>6483</v>
      </c>
      <c r="B1308" t="s">
        <v>6484</v>
      </c>
      <c r="C1308" t="s">
        <v>6485</v>
      </c>
      <c r="D1308" t="s">
        <v>6486</v>
      </c>
      <c r="E1308" t="s">
        <v>6487</v>
      </c>
      <c r="F1308" t="s">
        <v>5</v>
      </c>
      <c r="G1308" t="s">
        <v>5</v>
      </c>
      <c r="H1308" t="s">
        <v>5</v>
      </c>
      <c r="I1308" t="s">
        <v>6223</v>
      </c>
      <c r="J1308" t="s">
        <v>90</v>
      </c>
      <c r="K1308" s="3">
        <f t="shared" si="40"/>
        <v>0</v>
      </c>
      <c r="L1308" s="3">
        <f>IF(ISERROR(VLOOKUP(J1308,Lookups!$A$2:$A$16,1,FALSE)),1,0)</f>
        <v>0</v>
      </c>
      <c r="M1308" s="3">
        <f>IF(ISERROR(VLOOKUP(D1308,Data!$A$2:$D$223100,2,FALSE)),0,1)</f>
        <v>1</v>
      </c>
      <c r="N1308" s="3">
        <f t="shared" si="41"/>
        <v>0</v>
      </c>
      <c r="O1308" s="3" t="str">
        <f>IF(ISERROR(VLOOKUP(D1308,Data!$A$2:$C$223100,3,FALSE)),"INACTIVE",VLOOKUP(D1308,Data!$A$2:$C$223100,3,FALSE))</f>
        <v>60+</v>
      </c>
    </row>
    <row r="1309" spans="1:15" x14ac:dyDescent="0.25">
      <c r="A1309" t="s">
        <v>6562</v>
      </c>
      <c r="B1309" t="s">
        <v>6563</v>
      </c>
      <c r="C1309" t="s">
        <v>6564</v>
      </c>
      <c r="D1309" t="s">
        <v>6565</v>
      </c>
      <c r="E1309" t="s">
        <v>6566</v>
      </c>
      <c r="F1309" t="s">
        <v>5</v>
      </c>
      <c r="G1309" t="s">
        <v>5</v>
      </c>
      <c r="H1309" t="s">
        <v>5</v>
      </c>
      <c r="I1309" t="s">
        <v>6223</v>
      </c>
      <c r="J1309" t="s">
        <v>90</v>
      </c>
      <c r="K1309" s="3">
        <f t="shared" si="40"/>
        <v>0</v>
      </c>
      <c r="L1309" s="3">
        <f>IF(ISERROR(VLOOKUP(J1309,Lookups!$A$2:$A$16,1,FALSE)),1,0)</f>
        <v>0</v>
      </c>
      <c r="M1309" s="3">
        <f>IF(ISERROR(VLOOKUP(D1309,Data!$A$2:$D$223100,2,FALSE)),0,1)</f>
        <v>1</v>
      </c>
      <c r="N1309" s="3">
        <f t="shared" si="41"/>
        <v>0</v>
      </c>
      <c r="O1309" s="3" t="str">
        <f>IF(ISERROR(VLOOKUP(D1309,Data!$A$2:$C$223100,3,FALSE)),"INACTIVE",VLOOKUP(D1309,Data!$A$2:$C$223100,3,FALSE))</f>
        <v>30+</v>
      </c>
    </row>
    <row r="1310" spans="1:15" x14ac:dyDescent="0.25">
      <c r="A1310" t="s">
        <v>6562</v>
      </c>
      <c r="B1310" t="s">
        <v>6563</v>
      </c>
      <c r="C1310" t="s">
        <v>6567</v>
      </c>
      <c r="D1310" t="s">
        <v>6568</v>
      </c>
      <c r="E1310" t="s">
        <v>6569</v>
      </c>
      <c r="F1310" t="s">
        <v>5</v>
      </c>
      <c r="G1310" t="s">
        <v>5</v>
      </c>
      <c r="H1310" t="s">
        <v>5</v>
      </c>
      <c r="I1310" t="s">
        <v>6223</v>
      </c>
      <c r="J1310" t="s">
        <v>90</v>
      </c>
      <c r="K1310" s="3">
        <f t="shared" si="40"/>
        <v>0</v>
      </c>
      <c r="L1310" s="3">
        <f>IF(ISERROR(VLOOKUP(J1310,Lookups!$A$2:$A$16,1,FALSE)),1,0)</f>
        <v>0</v>
      </c>
      <c r="M1310" s="3">
        <f>IF(ISERROR(VLOOKUP(D1310,Data!$A$2:$D$223100,2,FALSE)),0,1)</f>
        <v>1</v>
      </c>
      <c r="N1310" s="3">
        <f t="shared" si="41"/>
        <v>0</v>
      </c>
      <c r="O1310" s="3" t="str">
        <f>IF(ISERROR(VLOOKUP(D1310,Data!$A$2:$C$223100,3,FALSE)),"INACTIVE",VLOOKUP(D1310,Data!$A$2:$C$223100,3,FALSE))</f>
        <v>FC</v>
      </c>
    </row>
    <row r="1311" spans="1:15" x14ac:dyDescent="0.25">
      <c r="A1311" t="s">
        <v>6431</v>
      </c>
      <c r="B1311" t="s">
        <v>6432</v>
      </c>
      <c r="C1311" t="s">
        <v>6433</v>
      </c>
      <c r="D1311" t="s">
        <v>6434</v>
      </c>
      <c r="E1311" t="s">
        <v>6435</v>
      </c>
      <c r="F1311" t="s">
        <v>5</v>
      </c>
      <c r="G1311" t="s">
        <v>5</v>
      </c>
      <c r="H1311" t="s">
        <v>5</v>
      </c>
      <c r="I1311" t="s">
        <v>6436</v>
      </c>
      <c r="J1311" t="s">
        <v>90</v>
      </c>
      <c r="K1311" s="3">
        <f t="shared" si="40"/>
        <v>0</v>
      </c>
      <c r="L1311" s="3">
        <f>IF(ISERROR(VLOOKUP(J1311,Lookups!$A$2:$A$16,1,FALSE)),1,0)</f>
        <v>0</v>
      </c>
      <c r="M1311" s="3">
        <f>IF(ISERROR(VLOOKUP(D1311,Data!$A$2:$D$223100,2,FALSE)),0,1)</f>
        <v>1</v>
      </c>
      <c r="N1311" s="3">
        <f t="shared" si="41"/>
        <v>0</v>
      </c>
      <c r="O1311" s="3" t="str">
        <f>IF(ISERROR(VLOOKUP(D1311,Data!$A$2:$C$223100,3,FALSE)),"INACTIVE",VLOOKUP(D1311,Data!$A$2:$C$223100,3,FALSE))</f>
        <v>Current</v>
      </c>
    </row>
    <row r="1312" spans="1:15" x14ac:dyDescent="0.25">
      <c r="A1312" t="s">
        <v>1498</v>
      </c>
      <c r="B1312" t="s">
        <v>6321</v>
      </c>
      <c r="C1312" t="s">
        <v>6322</v>
      </c>
      <c r="D1312" t="s">
        <v>6323</v>
      </c>
      <c r="E1312" t="s">
        <v>6324</v>
      </c>
      <c r="F1312" t="s">
        <v>6324</v>
      </c>
      <c r="G1312" t="s">
        <v>5</v>
      </c>
      <c r="H1312" t="s">
        <v>5</v>
      </c>
      <c r="I1312" t="s">
        <v>6325</v>
      </c>
      <c r="J1312" t="s">
        <v>7</v>
      </c>
      <c r="K1312" s="3">
        <f t="shared" si="40"/>
        <v>0</v>
      </c>
      <c r="L1312" s="3">
        <f>IF(ISERROR(VLOOKUP(J1312,Lookups!$A$2:$A$16,1,FALSE)),1,0)</f>
        <v>1</v>
      </c>
      <c r="M1312" s="3">
        <f>IF(ISERROR(VLOOKUP(D1312,Data!$A$2:$D$223100,2,FALSE)),0,1)</f>
        <v>1</v>
      </c>
      <c r="N1312" s="3">
        <f t="shared" si="41"/>
        <v>1</v>
      </c>
      <c r="O1312" s="3" t="str">
        <f>IF(ISERROR(VLOOKUP(D1312,Data!$A$2:$C$223100,3,FALSE)),"INACTIVE",VLOOKUP(D1312,Data!$A$2:$C$223100,3,FALSE))</f>
        <v>Demand Letter</v>
      </c>
    </row>
    <row r="1313" spans="1:15" x14ac:dyDescent="0.25">
      <c r="A1313" t="s">
        <v>1498</v>
      </c>
      <c r="B1313" t="s">
        <v>6321</v>
      </c>
      <c r="C1313" t="s">
        <v>6326</v>
      </c>
      <c r="D1313" t="s">
        <v>6327</v>
      </c>
      <c r="E1313" t="s">
        <v>6328</v>
      </c>
      <c r="F1313" t="s">
        <v>6329</v>
      </c>
      <c r="G1313" t="s">
        <v>5</v>
      </c>
      <c r="H1313" t="s">
        <v>5</v>
      </c>
      <c r="I1313" t="s">
        <v>6325</v>
      </c>
      <c r="J1313" t="s">
        <v>7</v>
      </c>
      <c r="K1313" s="3">
        <f t="shared" si="40"/>
        <v>0</v>
      </c>
      <c r="L1313" s="3">
        <f>IF(ISERROR(VLOOKUP(J1313,Lookups!$A$2:$A$16,1,FALSE)),1,0)</f>
        <v>1</v>
      </c>
      <c r="M1313" s="3">
        <f>IF(ISERROR(VLOOKUP(D1313,Data!$A$2:$D$223100,2,FALSE)),0,1)</f>
        <v>1</v>
      </c>
      <c r="N1313" s="3">
        <f t="shared" si="41"/>
        <v>1</v>
      </c>
      <c r="O1313" s="3" t="str">
        <f>IF(ISERROR(VLOOKUP(D1313,Data!$A$2:$C$223100,3,FALSE)),"INACTIVE",VLOOKUP(D1313,Data!$A$2:$C$223100,3,FALSE))</f>
        <v>180+</v>
      </c>
    </row>
    <row r="1314" spans="1:15" x14ac:dyDescent="0.25">
      <c r="A1314" t="s">
        <v>1498</v>
      </c>
      <c r="B1314" t="s">
        <v>6321</v>
      </c>
      <c r="C1314" t="s">
        <v>6330</v>
      </c>
      <c r="D1314" t="s">
        <v>6331</v>
      </c>
      <c r="E1314" t="s">
        <v>6332</v>
      </c>
      <c r="F1314" t="s">
        <v>6333</v>
      </c>
      <c r="G1314" t="s">
        <v>5</v>
      </c>
      <c r="H1314" t="s">
        <v>5</v>
      </c>
      <c r="I1314" t="s">
        <v>6325</v>
      </c>
      <c r="J1314" t="s">
        <v>7</v>
      </c>
      <c r="K1314" s="3">
        <f t="shared" si="40"/>
        <v>0</v>
      </c>
      <c r="L1314" s="3">
        <f>IF(ISERROR(VLOOKUP(J1314,Lookups!$A$2:$A$16,1,FALSE)),1,0)</f>
        <v>1</v>
      </c>
      <c r="M1314" s="3">
        <f>IF(ISERROR(VLOOKUP(D1314,Data!$A$2:$D$223100,2,FALSE)),0,1)</f>
        <v>1</v>
      </c>
      <c r="N1314" s="3">
        <f t="shared" si="41"/>
        <v>1</v>
      </c>
      <c r="O1314" s="3" t="str">
        <f>IF(ISERROR(VLOOKUP(D1314,Data!$A$2:$C$223100,3,FALSE)),"INACTIVE",VLOOKUP(D1314,Data!$A$2:$C$223100,3,FALSE))</f>
        <v>FBA</v>
      </c>
    </row>
    <row r="1315" spans="1:15" x14ac:dyDescent="0.25">
      <c r="A1315" t="s">
        <v>1498</v>
      </c>
      <c r="B1315" t="s">
        <v>6321</v>
      </c>
      <c r="C1315" t="s">
        <v>6334</v>
      </c>
      <c r="D1315" t="s">
        <v>6335</v>
      </c>
      <c r="E1315" t="s">
        <v>5</v>
      </c>
      <c r="F1315" t="s">
        <v>6336</v>
      </c>
      <c r="G1315" t="s">
        <v>5</v>
      </c>
      <c r="H1315" t="s">
        <v>5</v>
      </c>
      <c r="I1315" t="s">
        <v>6325</v>
      </c>
      <c r="J1315" t="s">
        <v>7</v>
      </c>
      <c r="K1315" s="3">
        <f t="shared" si="40"/>
        <v>0</v>
      </c>
      <c r="L1315" s="3">
        <f>IF(ISERROR(VLOOKUP(J1315,Lookups!$A$2:$A$16,1,FALSE)),1,0)</f>
        <v>1</v>
      </c>
      <c r="M1315" s="3">
        <f>IF(ISERROR(VLOOKUP(D1315,Data!$A$2:$D$223100,2,FALSE)),0,1)</f>
        <v>1</v>
      </c>
      <c r="N1315" s="3">
        <f t="shared" si="41"/>
        <v>1</v>
      </c>
      <c r="O1315" s="3" t="str">
        <f>IF(ISERROR(VLOOKUP(D1315,Data!$A$2:$C$223100,3,FALSE)),"INACTIVE",VLOOKUP(D1315,Data!$A$2:$C$223100,3,FALSE))</f>
        <v>Current</v>
      </c>
    </row>
    <row r="1316" spans="1:15" x14ac:dyDescent="0.25">
      <c r="A1316" t="s">
        <v>1498</v>
      </c>
      <c r="B1316" t="s">
        <v>6321</v>
      </c>
      <c r="C1316" t="s">
        <v>6337</v>
      </c>
      <c r="D1316" t="s">
        <v>6338</v>
      </c>
      <c r="E1316" t="s">
        <v>6339</v>
      </c>
      <c r="F1316" t="s">
        <v>6339</v>
      </c>
      <c r="G1316" t="s">
        <v>5</v>
      </c>
      <c r="H1316" t="s">
        <v>5</v>
      </c>
      <c r="I1316" t="s">
        <v>6325</v>
      </c>
      <c r="J1316" t="s">
        <v>7</v>
      </c>
      <c r="K1316" s="3">
        <f t="shared" si="40"/>
        <v>0</v>
      </c>
      <c r="L1316" s="3">
        <f>IF(ISERROR(VLOOKUP(J1316,Lookups!$A$2:$A$16,1,FALSE)),1,0)</f>
        <v>1</v>
      </c>
      <c r="M1316" s="3">
        <f>IF(ISERROR(VLOOKUP(D1316,Data!$A$2:$D$223100,2,FALSE)),0,1)</f>
        <v>1</v>
      </c>
      <c r="N1316" s="3">
        <f t="shared" si="41"/>
        <v>1</v>
      </c>
      <c r="O1316" s="3" t="str">
        <f>IF(ISERROR(VLOOKUP(D1316,Data!$A$2:$C$223100,3,FALSE)),"INACTIVE",VLOOKUP(D1316,Data!$A$2:$C$223100,3,FALSE))</f>
        <v>FC</v>
      </c>
    </row>
    <row r="1317" spans="1:15" x14ac:dyDescent="0.25">
      <c r="A1317" t="s">
        <v>1498</v>
      </c>
      <c r="B1317" t="s">
        <v>6321</v>
      </c>
      <c r="C1317" t="s">
        <v>6340</v>
      </c>
      <c r="D1317" t="s">
        <v>6341</v>
      </c>
      <c r="E1317" t="s">
        <v>6342</v>
      </c>
      <c r="F1317" t="s">
        <v>5</v>
      </c>
      <c r="G1317" t="s">
        <v>5</v>
      </c>
      <c r="H1317" t="s">
        <v>5</v>
      </c>
      <c r="I1317" t="s">
        <v>6325</v>
      </c>
      <c r="J1317" t="s">
        <v>7</v>
      </c>
      <c r="K1317" s="3">
        <f t="shared" si="40"/>
        <v>0</v>
      </c>
      <c r="L1317" s="3">
        <f>IF(ISERROR(VLOOKUP(J1317,Lookups!$A$2:$A$16,1,FALSE)),1,0)</f>
        <v>1</v>
      </c>
      <c r="M1317" s="3">
        <f>IF(ISERROR(VLOOKUP(D1317,Data!$A$2:$D$223100,2,FALSE)),0,1)</f>
        <v>1</v>
      </c>
      <c r="N1317" s="3">
        <f t="shared" si="41"/>
        <v>1</v>
      </c>
      <c r="O1317" s="3" t="str">
        <f>IF(ISERROR(VLOOKUP(D1317,Data!$A$2:$C$223100,3,FALSE)),"INACTIVE",VLOOKUP(D1317,Data!$A$2:$C$223100,3,FALSE))</f>
        <v>Current</v>
      </c>
    </row>
    <row r="1318" spans="1:15" x14ac:dyDescent="0.25">
      <c r="A1318" t="s">
        <v>1498</v>
      </c>
      <c r="B1318" t="s">
        <v>6321</v>
      </c>
      <c r="C1318" t="s">
        <v>6343</v>
      </c>
      <c r="D1318" t="s">
        <v>6344</v>
      </c>
      <c r="E1318" t="s">
        <v>5</v>
      </c>
      <c r="F1318" t="s">
        <v>6345</v>
      </c>
      <c r="G1318" t="s">
        <v>5</v>
      </c>
      <c r="H1318" t="s">
        <v>5</v>
      </c>
      <c r="I1318" t="s">
        <v>6325</v>
      </c>
      <c r="J1318" t="s">
        <v>90</v>
      </c>
      <c r="K1318" s="3">
        <f t="shared" si="40"/>
        <v>0</v>
      </c>
      <c r="L1318" s="3">
        <f>IF(ISERROR(VLOOKUP(J1318,Lookups!$A$2:$A$16,1,FALSE)),1,0)</f>
        <v>0</v>
      </c>
      <c r="M1318" s="3">
        <f>IF(ISERROR(VLOOKUP(D1318,Data!$A$2:$D$223100,2,FALSE)),0,1)</f>
        <v>1</v>
      </c>
      <c r="N1318" s="3">
        <f t="shared" si="41"/>
        <v>0</v>
      </c>
      <c r="O1318" s="3" t="str">
        <f>IF(ISERROR(VLOOKUP(D1318,Data!$A$2:$C$223100,3,FALSE)),"INACTIVE",VLOOKUP(D1318,Data!$A$2:$C$223100,3,FALSE))</f>
        <v>FC</v>
      </c>
    </row>
    <row r="1319" spans="1:15" x14ac:dyDescent="0.25">
      <c r="A1319" t="s">
        <v>1498</v>
      </c>
      <c r="B1319" t="s">
        <v>6321</v>
      </c>
      <c r="C1319" t="s">
        <v>6343</v>
      </c>
      <c r="D1319" t="s">
        <v>6344</v>
      </c>
      <c r="E1319" t="s">
        <v>6346</v>
      </c>
      <c r="F1319" t="s">
        <v>6346</v>
      </c>
      <c r="G1319" t="s">
        <v>5</v>
      </c>
      <c r="H1319" t="s">
        <v>5</v>
      </c>
      <c r="I1319" t="s">
        <v>6325</v>
      </c>
      <c r="J1319" t="s">
        <v>90</v>
      </c>
      <c r="K1319" s="3">
        <f t="shared" si="40"/>
        <v>0</v>
      </c>
      <c r="L1319" s="3">
        <f>IF(ISERROR(VLOOKUP(J1319,Lookups!$A$2:$A$16,1,FALSE)),1,0)</f>
        <v>0</v>
      </c>
      <c r="M1319" s="3">
        <f>IF(ISERROR(VLOOKUP(D1319,Data!$A$2:$D$223100,2,FALSE)),0,1)</f>
        <v>1</v>
      </c>
      <c r="N1319" s="3">
        <f t="shared" si="41"/>
        <v>0</v>
      </c>
      <c r="O1319" s="3" t="str">
        <f>IF(ISERROR(VLOOKUP(D1319,Data!$A$2:$C$223100,3,FALSE)),"INACTIVE",VLOOKUP(D1319,Data!$A$2:$C$223100,3,FALSE))</f>
        <v>FC</v>
      </c>
    </row>
    <row r="1320" spans="1:15" x14ac:dyDescent="0.25">
      <c r="A1320" t="s">
        <v>1498</v>
      </c>
      <c r="B1320" t="s">
        <v>6321</v>
      </c>
      <c r="C1320" t="s">
        <v>6347</v>
      </c>
      <c r="D1320" t="s">
        <v>6348</v>
      </c>
      <c r="E1320" t="s">
        <v>5</v>
      </c>
      <c r="F1320" t="s">
        <v>6349</v>
      </c>
      <c r="G1320" t="s">
        <v>5</v>
      </c>
      <c r="H1320" t="s">
        <v>5</v>
      </c>
      <c r="I1320" t="s">
        <v>6325</v>
      </c>
      <c r="J1320" t="s">
        <v>96</v>
      </c>
      <c r="K1320" s="3">
        <f t="shared" si="40"/>
        <v>0</v>
      </c>
      <c r="L1320" s="3">
        <f>IF(ISERROR(VLOOKUP(J1320,Lookups!$A$2:$A$16,1,FALSE)),1,0)</f>
        <v>0</v>
      </c>
      <c r="M1320" s="3">
        <f>IF(ISERROR(VLOOKUP(D1320,Data!$A$2:$D$223100,2,FALSE)),0,1)</f>
        <v>1</v>
      </c>
      <c r="N1320" s="3">
        <f t="shared" si="41"/>
        <v>0</v>
      </c>
      <c r="O1320" s="3" t="str">
        <f>IF(ISERROR(VLOOKUP(D1320,Data!$A$2:$C$223100,3,FALSE)),"INACTIVE",VLOOKUP(D1320,Data!$A$2:$C$223100,3,FALSE))</f>
        <v>BK13</v>
      </c>
    </row>
    <row r="1321" spans="1:15" x14ac:dyDescent="0.25">
      <c r="A1321" t="s">
        <v>1498</v>
      </c>
      <c r="B1321" t="s">
        <v>6321</v>
      </c>
      <c r="C1321" t="s">
        <v>6347</v>
      </c>
      <c r="D1321" t="s">
        <v>6348</v>
      </c>
      <c r="E1321" t="s">
        <v>6350</v>
      </c>
      <c r="F1321" t="s">
        <v>5</v>
      </c>
      <c r="G1321" t="s">
        <v>5</v>
      </c>
      <c r="H1321" t="s">
        <v>5</v>
      </c>
      <c r="I1321" t="s">
        <v>6325</v>
      </c>
      <c r="J1321" t="s">
        <v>96</v>
      </c>
      <c r="K1321" s="3">
        <f t="shared" si="40"/>
        <v>0</v>
      </c>
      <c r="L1321" s="3">
        <f>IF(ISERROR(VLOOKUP(J1321,Lookups!$A$2:$A$16,1,FALSE)),1,0)</f>
        <v>0</v>
      </c>
      <c r="M1321" s="3">
        <f>IF(ISERROR(VLOOKUP(D1321,Data!$A$2:$D$223100,2,FALSE)),0,1)</f>
        <v>1</v>
      </c>
      <c r="N1321" s="3">
        <f t="shared" si="41"/>
        <v>0</v>
      </c>
      <c r="O1321" s="3" t="str">
        <f>IF(ISERROR(VLOOKUP(D1321,Data!$A$2:$C$223100,3,FALSE)),"INACTIVE",VLOOKUP(D1321,Data!$A$2:$C$223100,3,FALSE))</f>
        <v>BK13</v>
      </c>
    </row>
    <row r="1322" spans="1:15" x14ac:dyDescent="0.25">
      <c r="A1322" t="s">
        <v>1498</v>
      </c>
      <c r="B1322" t="s">
        <v>6321</v>
      </c>
      <c r="C1322" t="s">
        <v>6351</v>
      </c>
      <c r="D1322" t="s">
        <v>6352</v>
      </c>
      <c r="E1322" t="s">
        <v>5</v>
      </c>
      <c r="F1322" t="s">
        <v>6353</v>
      </c>
      <c r="G1322" t="s">
        <v>5</v>
      </c>
      <c r="H1322" t="s">
        <v>5</v>
      </c>
      <c r="I1322" t="s">
        <v>6325</v>
      </c>
      <c r="J1322" t="s">
        <v>7</v>
      </c>
      <c r="K1322" s="3">
        <f t="shared" si="40"/>
        <v>0</v>
      </c>
      <c r="L1322" s="3">
        <f>IF(ISERROR(VLOOKUP(J1322,Lookups!$A$2:$A$16,1,FALSE)),1,0)</f>
        <v>1</v>
      </c>
      <c r="M1322" s="3">
        <f>IF(ISERROR(VLOOKUP(D1322,Data!$A$2:$D$223100,2,FALSE)),0,1)</f>
        <v>1</v>
      </c>
      <c r="N1322" s="3">
        <f t="shared" si="41"/>
        <v>1</v>
      </c>
      <c r="O1322" s="3" t="str">
        <f>IF(ISERROR(VLOOKUP(D1322,Data!$A$2:$C$223100,3,FALSE)),"INACTIVE",VLOOKUP(D1322,Data!$A$2:$C$223100,3,FALSE))</f>
        <v>Current</v>
      </c>
    </row>
    <row r="1323" spans="1:15" x14ac:dyDescent="0.25">
      <c r="A1323" t="s">
        <v>1498</v>
      </c>
      <c r="B1323" t="s">
        <v>6321</v>
      </c>
      <c r="C1323" t="s">
        <v>6354</v>
      </c>
      <c r="D1323" t="s">
        <v>6355</v>
      </c>
      <c r="E1323" t="s">
        <v>5</v>
      </c>
      <c r="F1323" t="s">
        <v>6356</v>
      </c>
      <c r="G1323" t="s">
        <v>5</v>
      </c>
      <c r="H1323" t="s">
        <v>5</v>
      </c>
      <c r="I1323" t="s">
        <v>6325</v>
      </c>
      <c r="J1323" t="s">
        <v>90</v>
      </c>
      <c r="K1323" s="3">
        <f t="shared" si="40"/>
        <v>0</v>
      </c>
      <c r="L1323" s="3">
        <f>IF(ISERROR(VLOOKUP(J1323,Lookups!$A$2:$A$16,1,FALSE)),1,0)</f>
        <v>0</v>
      </c>
      <c r="M1323" s="3">
        <f>IF(ISERROR(VLOOKUP(D1323,Data!$A$2:$D$223100,2,FALSE)),0,1)</f>
        <v>1</v>
      </c>
      <c r="N1323" s="3">
        <f t="shared" si="41"/>
        <v>0</v>
      </c>
      <c r="O1323" s="3" t="str">
        <f>IF(ISERROR(VLOOKUP(D1323,Data!$A$2:$C$223100,3,FALSE)),"INACTIVE",VLOOKUP(D1323,Data!$A$2:$C$223100,3,FALSE))</f>
        <v>BK13</v>
      </c>
    </row>
    <row r="1324" spans="1:15" x14ac:dyDescent="0.25">
      <c r="A1324" t="s">
        <v>1498</v>
      </c>
      <c r="B1324" t="s">
        <v>6321</v>
      </c>
      <c r="C1324" t="s">
        <v>6354</v>
      </c>
      <c r="D1324" t="s">
        <v>6355</v>
      </c>
      <c r="E1324" t="s">
        <v>6357</v>
      </c>
      <c r="F1324" t="s">
        <v>6357</v>
      </c>
      <c r="G1324" t="s">
        <v>5</v>
      </c>
      <c r="H1324" t="s">
        <v>5</v>
      </c>
      <c r="I1324" t="s">
        <v>6325</v>
      </c>
      <c r="J1324" t="s">
        <v>90</v>
      </c>
      <c r="K1324" s="3">
        <f t="shared" si="40"/>
        <v>0</v>
      </c>
      <c r="L1324" s="3">
        <f>IF(ISERROR(VLOOKUP(J1324,Lookups!$A$2:$A$16,1,FALSE)),1,0)</f>
        <v>0</v>
      </c>
      <c r="M1324" s="3">
        <f>IF(ISERROR(VLOOKUP(D1324,Data!$A$2:$D$223100,2,FALSE)),0,1)</f>
        <v>1</v>
      </c>
      <c r="N1324" s="3">
        <f t="shared" si="41"/>
        <v>0</v>
      </c>
      <c r="O1324" s="3" t="str">
        <f>IF(ISERROR(VLOOKUP(D1324,Data!$A$2:$C$223100,3,FALSE)),"INACTIVE",VLOOKUP(D1324,Data!$A$2:$C$223100,3,FALSE))</f>
        <v>BK13</v>
      </c>
    </row>
    <row r="1325" spans="1:15" x14ac:dyDescent="0.25">
      <c r="A1325" t="s">
        <v>1498</v>
      </c>
      <c r="B1325" t="s">
        <v>6321</v>
      </c>
      <c r="C1325" t="s">
        <v>6358</v>
      </c>
      <c r="D1325" t="s">
        <v>6359</v>
      </c>
      <c r="E1325" t="s">
        <v>5</v>
      </c>
      <c r="F1325" t="s">
        <v>6360</v>
      </c>
      <c r="G1325" t="s">
        <v>5</v>
      </c>
      <c r="H1325" t="s">
        <v>5</v>
      </c>
      <c r="I1325" t="s">
        <v>6325</v>
      </c>
      <c r="J1325" t="s">
        <v>7</v>
      </c>
      <c r="K1325" s="3">
        <f t="shared" si="40"/>
        <v>0</v>
      </c>
      <c r="L1325" s="3">
        <f>IF(ISERROR(VLOOKUP(J1325,Lookups!$A$2:$A$16,1,FALSE)),1,0)</f>
        <v>1</v>
      </c>
      <c r="M1325" s="3">
        <f>IF(ISERROR(VLOOKUP(D1325,Data!$A$2:$D$223100,2,FALSE)),0,1)</f>
        <v>1</v>
      </c>
      <c r="N1325" s="3">
        <f t="shared" si="41"/>
        <v>1</v>
      </c>
      <c r="O1325" s="3" t="str">
        <f>IF(ISERROR(VLOOKUP(D1325,Data!$A$2:$C$223100,3,FALSE)),"INACTIVE",VLOOKUP(D1325,Data!$A$2:$C$223100,3,FALSE))</f>
        <v>30+</v>
      </c>
    </row>
    <row r="1326" spans="1:15" x14ac:dyDescent="0.25">
      <c r="A1326" t="s">
        <v>1498</v>
      </c>
      <c r="B1326" t="s">
        <v>6321</v>
      </c>
      <c r="C1326" t="s">
        <v>6361</v>
      </c>
      <c r="D1326" t="s">
        <v>6362</v>
      </c>
      <c r="E1326" t="s">
        <v>5</v>
      </c>
      <c r="F1326" t="s">
        <v>6363</v>
      </c>
      <c r="G1326" t="s">
        <v>5</v>
      </c>
      <c r="H1326" t="s">
        <v>5</v>
      </c>
      <c r="I1326" t="s">
        <v>6325</v>
      </c>
      <c r="J1326" t="s">
        <v>7</v>
      </c>
      <c r="K1326" s="3">
        <f t="shared" si="40"/>
        <v>0</v>
      </c>
      <c r="L1326" s="3">
        <f>IF(ISERROR(VLOOKUP(J1326,Lookups!$A$2:$A$16,1,FALSE)),1,0)</f>
        <v>1</v>
      </c>
      <c r="M1326" s="3">
        <f>IF(ISERROR(VLOOKUP(D1326,Data!$A$2:$D$223100,2,FALSE)),0,1)</f>
        <v>1</v>
      </c>
      <c r="N1326" s="3">
        <f t="shared" si="41"/>
        <v>1</v>
      </c>
      <c r="O1326" s="3" t="str">
        <f>IF(ISERROR(VLOOKUP(D1326,Data!$A$2:$C$223100,3,FALSE)),"INACTIVE",VLOOKUP(D1326,Data!$A$2:$C$223100,3,FALSE))</f>
        <v>BK13</v>
      </c>
    </row>
    <row r="1327" spans="1:15" x14ac:dyDescent="0.25">
      <c r="A1327" t="s">
        <v>6393</v>
      </c>
      <c r="B1327" t="s">
        <v>6394</v>
      </c>
      <c r="C1327" t="s">
        <v>6395</v>
      </c>
      <c r="D1327" t="s">
        <v>6396</v>
      </c>
      <c r="E1327" t="s">
        <v>6397</v>
      </c>
      <c r="F1327" t="s">
        <v>5</v>
      </c>
      <c r="G1327" t="s">
        <v>5</v>
      </c>
      <c r="H1327" t="s">
        <v>5</v>
      </c>
      <c r="I1327" t="s">
        <v>6325</v>
      </c>
      <c r="J1327" t="s">
        <v>90</v>
      </c>
      <c r="K1327" s="3">
        <f t="shared" si="40"/>
        <v>0</v>
      </c>
      <c r="L1327" s="3">
        <f>IF(ISERROR(VLOOKUP(J1327,Lookups!$A$2:$A$16,1,FALSE)),1,0)</f>
        <v>0</v>
      </c>
      <c r="M1327" s="3">
        <f>IF(ISERROR(VLOOKUP(D1327,Data!$A$2:$D$223100,2,FALSE)),0,1)</f>
        <v>1</v>
      </c>
      <c r="N1327" s="3">
        <f t="shared" si="41"/>
        <v>0</v>
      </c>
      <c r="O1327" s="3" t="str">
        <f>IF(ISERROR(VLOOKUP(D1327,Data!$A$2:$C$223100,3,FALSE)),"INACTIVE",VLOOKUP(D1327,Data!$A$2:$C$223100,3,FALSE))</f>
        <v>30+</v>
      </c>
    </row>
    <row r="1328" spans="1:15" x14ac:dyDescent="0.25">
      <c r="A1328" t="s">
        <v>6393</v>
      </c>
      <c r="B1328" t="s">
        <v>6394</v>
      </c>
      <c r="C1328" t="s">
        <v>6398</v>
      </c>
      <c r="D1328" t="s">
        <v>6399</v>
      </c>
      <c r="E1328" t="s">
        <v>6400</v>
      </c>
      <c r="F1328" t="s">
        <v>5</v>
      </c>
      <c r="G1328" t="s">
        <v>5</v>
      </c>
      <c r="H1328" t="s">
        <v>5</v>
      </c>
      <c r="I1328" t="s">
        <v>6325</v>
      </c>
      <c r="J1328" t="s">
        <v>90</v>
      </c>
      <c r="K1328" s="3">
        <f t="shared" si="40"/>
        <v>0</v>
      </c>
      <c r="L1328" s="3">
        <f>IF(ISERROR(VLOOKUP(J1328,Lookups!$A$2:$A$16,1,FALSE)),1,0)</f>
        <v>0</v>
      </c>
      <c r="M1328" s="3">
        <f>IF(ISERROR(VLOOKUP(D1328,Data!$A$2:$D$223100,2,FALSE)),0,1)</f>
        <v>1</v>
      </c>
      <c r="N1328" s="3">
        <f t="shared" si="41"/>
        <v>0</v>
      </c>
      <c r="O1328" s="3" t="str">
        <f>IF(ISERROR(VLOOKUP(D1328,Data!$A$2:$C$223100,3,FALSE)),"INACTIVE",VLOOKUP(D1328,Data!$A$2:$C$223100,3,FALSE))</f>
        <v>60+</v>
      </c>
    </row>
    <row r="1329" spans="1:15" x14ac:dyDescent="0.25">
      <c r="A1329" t="s">
        <v>6393</v>
      </c>
      <c r="B1329" t="s">
        <v>6394</v>
      </c>
      <c r="C1329" t="s">
        <v>6401</v>
      </c>
      <c r="D1329" t="s">
        <v>6402</v>
      </c>
      <c r="E1329" t="s">
        <v>6403</v>
      </c>
      <c r="F1329" t="s">
        <v>5</v>
      </c>
      <c r="G1329" t="s">
        <v>5</v>
      </c>
      <c r="H1329" t="s">
        <v>5</v>
      </c>
      <c r="I1329" t="s">
        <v>6325</v>
      </c>
      <c r="J1329" t="s">
        <v>90</v>
      </c>
      <c r="K1329" s="3">
        <f t="shared" si="40"/>
        <v>0</v>
      </c>
      <c r="L1329" s="3">
        <f>IF(ISERROR(VLOOKUP(J1329,Lookups!$A$2:$A$16,1,FALSE)),1,0)</f>
        <v>0</v>
      </c>
      <c r="M1329" s="3">
        <f>IF(ISERROR(VLOOKUP(D1329,Data!$A$2:$D$223100,2,FALSE)),0,1)</f>
        <v>1</v>
      </c>
      <c r="N1329" s="3">
        <f t="shared" si="41"/>
        <v>0</v>
      </c>
      <c r="O1329" s="3" t="str">
        <f>IF(ISERROR(VLOOKUP(D1329,Data!$A$2:$C$223100,3,FALSE)),"INACTIVE",VLOOKUP(D1329,Data!$A$2:$C$223100,3,FALSE))</f>
        <v>Current</v>
      </c>
    </row>
    <row r="1330" spans="1:15" x14ac:dyDescent="0.25">
      <c r="A1330" t="s">
        <v>6393</v>
      </c>
      <c r="B1330" t="s">
        <v>6394</v>
      </c>
      <c r="C1330" t="s">
        <v>6404</v>
      </c>
      <c r="D1330" t="s">
        <v>6405</v>
      </c>
      <c r="E1330" t="s">
        <v>6406</v>
      </c>
      <c r="F1330" t="s">
        <v>5</v>
      </c>
      <c r="G1330" t="s">
        <v>5</v>
      </c>
      <c r="H1330" t="s">
        <v>5</v>
      </c>
      <c r="I1330" t="s">
        <v>6325</v>
      </c>
      <c r="J1330" t="s">
        <v>90</v>
      </c>
      <c r="K1330" s="3">
        <f t="shared" si="40"/>
        <v>0</v>
      </c>
      <c r="L1330" s="3">
        <f>IF(ISERROR(VLOOKUP(J1330,Lookups!$A$2:$A$16,1,FALSE)),1,0)</f>
        <v>0</v>
      </c>
      <c r="M1330" s="3">
        <f>IF(ISERROR(VLOOKUP(D1330,Data!$A$2:$D$223100,2,FALSE)),0,1)</f>
        <v>1</v>
      </c>
      <c r="N1330" s="3">
        <f t="shared" si="41"/>
        <v>0</v>
      </c>
      <c r="O1330" s="3" t="str">
        <f>IF(ISERROR(VLOOKUP(D1330,Data!$A$2:$C$223100,3,FALSE)),"INACTIVE",VLOOKUP(D1330,Data!$A$2:$C$223100,3,FALSE))</f>
        <v>Current</v>
      </c>
    </row>
    <row r="1331" spans="1:15" x14ac:dyDescent="0.25">
      <c r="A1331" t="s">
        <v>6393</v>
      </c>
      <c r="B1331" t="s">
        <v>6394</v>
      </c>
      <c r="C1331" t="s">
        <v>6407</v>
      </c>
      <c r="D1331" t="s">
        <v>6408</v>
      </c>
      <c r="E1331" t="s">
        <v>6409</v>
      </c>
      <c r="F1331" t="s">
        <v>5</v>
      </c>
      <c r="G1331" t="s">
        <v>5</v>
      </c>
      <c r="H1331" t="s">
        <v>5</v>
      </c>
      <c r="I1331" t="s">
        <v>6325</v>
      </c>
      <c r="J1331" t="s">
        <v>90</v>
      </c>
      <c r="K1331" s="3">
        <f t="shared" si="40"/>
        <v>0</v>
      </c>
      <c r="L1331" s="3">
        <f>IF(ISERROR(VLOOKUP(J1331,Lookups!$A$2:$A$16,1,FALSE)),1,0)</f>
        <v>0</v>
      </c>
      <c r="M1331" s="3">
        <f>IF(ISERROR(VLOOKUP(D1331,Data!$A$2:$D$223100,2,FALSE)),0,1)</f>
        <v>1</v>
      </c>
      <c r="N1331" s="3">
        <f t="shared" si="41"/>
        <v>0</v>
      </c>
      <c r="O1331" s="3" t="str">
        <f>IF(ISERROR(VLOOKUP(D1331,Data!$A$2:$C$223100,3,FALSE)),"INACTIVE",VLOOKUP(D1331,Data!$A$2:$C$223100,3,FALSE))</f>
        <v>Current</v>
      </c>
    </row>
    <row r="1332" spans="1:15" x14ac:dyDescent="0.25">
      <c r="A1332" t="s">
        <v>6393</v>
      </c>
      <c r="B1332" t="s">
        <v>6394</v>
      </c>
      <c r="C1332" t="s">
        <v>6410</v>
      </c>
      <c r="D1332" t="s">
        <v>6411</v>
      </c>
      <c r="E1332" t="s">
        <v>6412</v>
      </c>
      <c r="F1332" t="s">
        <v>5</v>
      </c>
      <c r="G1332" t="s">
        <v>5</v>
      </c>
      <c r="H1332" t="s">
        <v>5</v>
      </c>
      <c r="I1332" t="s">
        <v>6325</v>
      </c>
      <c r="J1332" t="s">
        <v>90</v>
      </c>
      <c r="K1332" s="3">
        <f t="shared" si="40"/>
        <v>0</v>
      </c>
      <c r="L1332" s="3">
        <f>IF(ISERROR(VLOOKUP(J1332,Lookups!$A$2:$A$16,1,FALSE)),1,0)</f>
        <v>0</v>
      </c>
      <c r="M1332" s="3">
        <f>IF(ISERROR(VLOOKUP(D1332,Data!$A$2:$D$223100,2,FALSE)),0,1)</f>
        <v>1</v>
      </c>
      <c r="N1332" s="3">
        <f t="shared" si="41"/>
        <v>0</v>
      </c>
      <c r="O1332" s="3" t="str">
        <f>IF(ISERROR(VLOOKUP(D1332,Data!$A$2:$C$223100,3,FALSE)),"INACTIVE",VLOOKUP(D1332,Data!$A$2:$C$223100,3,FALSE))</f>
        <v>Current</v>
      </c>
    </row>
    <row r="1333" spans="1:15" x14ac:dyDescent="0.25">
      <c r="A1333" t="s">
        <v>6393</v>
      </c>
      <c r="B1333" t="s">
        <v>6394</v>
      </c>
      <c r="C1333" t="s">
        <v>6413</v>
      </c>
      <c r="D1333" t="s">
        <v>6414</v>
      </c>
      <c r="E1333" t="s">
        <v>6415</v>
      </c>
      <c r="F1333" t="s">
        <v>5</v>
      </c>
      <c r="G1333" t="s">
        <v>5</v>
      </c>
      <c r="H1333" t="s">
        <v>5</v>
      </c>
      <c r="I1333" t="s">
        <v>6325</v>
      </c>
      <c r="J1333" t="s">
        <v>90</v>
      </c>
      <c r="K1333" s="3">
        <f t="shared" si="40"/>
        <v>0</v>
      </c>
      <c r="L1333" s="3">
        <f>IF(ISERROR(VLOOKUP(J1333,Lookups!$A$2:$A$16,1,FALSE)),1,0)</f>
        <v>0</v>
      </c>
      <c r="M1333" s="3">
        <f>IF(ISERROR(VLOOKUP(D1333,Data!$A$2:$D$223100,2,FALSE)),0,1)</f>
        <v>1</v>
      </c>
      <c r="N1333" s="3">
        <f t="shared" si="41"/>
        <v>0</v>
      </c>
      <c r="O1333" s="3" t="str">
        <f>IF(ISERROR(VLOOKUP(D1333,Data!$A$2:$C$223100,3,FALSE)),"INACTIVE",VLOOKUP(D1333,Data!$A$2:$C$223100,3,FALSE))</f>
        <v>Current</v>
      </c>
    </row>
    <row r="1334" spans="1:15" x14ac:dyDescent="0.25">
      <c r="A1334" t="s">
        <v>6393</v>
      </c>
      <c r="B1334" t="s">
        <v>6394</v>
      </c>
      <c r="C1334" t="s">
        <v>6416</v>
      </c>
      <c r="D1334" t="s">
        <v>6417</v>
      </c>
      <c r="E1334" t="s">
        <v>6418</v>
      </c>
      <c r="F1334" t="s">
        <v>5</v>
      </c>
      <c r="G1334" t="s">
        <v>5</v>
      </c>
      <c r="H1334" t="s">
        <v>5</v>
      </c>
      <c r="I1334" t="s">
        <v>6325</v>
      </c>
      <c r="J1334" t="s">
        <v>90</v>
      </c>
      <c r="K1334" s="3">
        <f t="shared" si="40"/>
        <v>0</v>
      </c>
      <c r="L1334" s="3">
        <f>IF(ISERROR(VLOOKUP(J1334,Lookups!$A$2:$A$16,1,FALSE)),1,0)</f>
        <v>0</v>
      </c>
      <c r="M1334" s="3">
        <f>IF(ISERROR(VLOOKUP(D1334,Data!$A$2:$D$223100,2,FALSE)),0,1)</f>
        <v>1</v>
      </c>
      <c r="N1334" s="3">
        <f t="shared" si="41"/>
        <v>0</v>
      </c>
      <c r="O1334" s="3" t="str">
        <f>IF(ISERROR(VLOOKUP(D1334,Data!$A$2:$C$223100,3,FALSE)),"INACTIVE",VLOOKUP(D1334,Data!$A$2:$C$223100,3,FALSE))</f>
        <v>60+</v>
      </c>
    </row>
    <row r="1335" spans="1:15" x14ac:dyDescent="0.25">
      <c r="A1335" t="s">
        <v>6393</v>
      </c>
      <c r="B1335" t="s">
        <v>6394</v>
      </c>
      <c r="C1335" t="s">
        <v>6419</v>
      </c>
      <c r="D1335" t="s">
        <v>6420</v>
      </c>
      <c r="E1335" t="s">
        <v>6421</v>
      </c>
      <c r="F1335" t="s">
        <v>5</v>
      </c>
      <c r="G1335" t="s">
        <v>5</v>
      </c>
      <c r="H1335" t="s">
        <v>5</v>
      </c>
      <c r="I1335" t="s">
        <v>6325</v>
      </c>
      <c r="J1335" t="s">
        <v>90</v>
      </c>
      <c r="K1335" s="3">
        <f t="shared" si="40"/>
        <v>0</v>
      </c>
      <c r="L1335" s="3">
        <f>IF(ISERROR(VLOOKUP(J1335,Lookups!$A$2:$A$16,1,FALSE)),1,0)</f>
        <v>0</v>
      </c>
      <c r="M1335" s="3">
        <f>IF(ISERROR(VLOOKUP(D1335,Data!$A$2:$D$223100,2,FALSE)),0,1)</f>
        <v>1</v>
      </c>
      <c r="N1335" s="3">
        <f t="shared" si="41"/>
        <v>0</v>
      </c>
      <c r="O1335" s="3" t="str">
        <f>IF(ISERROR(VLOOKUP(D1335,Data!$A$2:$C$223100,3,FALSE)),"INACTIVE",VLOOKUP(D1335,Data!$A$2:$C$223100,3,FALSE))</f>
        <v>Current</v>
      </c>
    </row>
    <row r="1336" spans="1:15" x14ac:dyDescent="0.25">
      <c r="A1336" t="s">
        <v>6393</v>
      </c>
      <c r="B1336" t="s">
        <v>6394</v>
      </c>
      <c r="C1336" t="s">
        <v>6422</v>
      </c>
      <c r="D1336" t="s">
        <v>6423</v>
      </c>
      <c r="E1336" t="s">
        <v>6424</v>
      </c>
      <c r="F1336" t="s">
        <v>5</v>
      </c>
      <c r="G1336" t="s">
        <v>5</v>
      </c>
      <c r="H1336" t="s">
        <v>5</v>
      </c>
      <c r="I1336" t="s">
        <v>6325</v>
      </c>
      <c r="J1336" t="s">
        <v>90</v>
      </c>
      <c r="K1336" s="3">
        <f t="shared" si="40"/>
        <v>0</v>
      </c>
      <c r="L1336" s="3">
        <f>IF(ISERROR(VLOOKUP(J1336,Lookups!$A$2:$A$16,1,FALSE)),1,0)</f>
        <v>0</v>
      </c>
      <c r="M1336" s="3">
        <f>IF(ISERROR(VLOOKUP(D1336,Data!$A$2:$D$223100,2,FALSE)),0,1)</f>
        <v>0</v>
      </c>
      <c r="N1336" s="3">
        <f t="shared" si="41"/>
        <v>0</v>
      </c>
      <c r="O1336" s="3" t="str">
        <f>IF(ISERROR(VLOOKUP(D1336,Data!$A$2:$C$223100,3,FALSE)),"INACTIVE",VLOOKUP(D1336,Data!$A$2:$C$223100,3,FALSE))</f>
        <v>INACTIVE</v>
      </c>
    </row>
    <row r="1337" spans="1:15" x14ac:dyDescent="0.25">
      <c r="A1337" t="s">
        <v>6393</v>
      </c>
      <c r="B1337" t="s">
        <v>6394</v>
      </c>
      <c r="C1337" t="s">
        <v>6425</v>
      </c>
      <c r="D1337" t="s">
        <v>6426</v>
      </c>
      <c r="E1337" t="s">
        <v>6427</v>
      </c>
      <c r="F1337" t="s">
        <v>5</v>
      </c>
      <c r="G1337" t="s">
        <v>5</v>
      </c>
      <c r="H1337" t="s">
        <v>5</v>
      </c>
      <c r="I1337" t="s">
        <v>6325</v>
      </c>
      <c r="J1337" t="s">
        <v>90</v>
      </c>
      <c r="K1337" s="3">
        <f t="shared" si="40"/>
        <v>0</v>
      </c>
      <c r="L1337" s="3">
        <f>IF(ISERROR(VLOOKUP(J1337,Lookups!$A$2:$A$16,1,FALSE)),1,0)</f>
        <v>0</v>
      </c>
      <c r="M1337" s="3">
        <f>IF(ISERROR(VLOOKUP(D1337,Data!$A$2:$D$223100,2,FALSE)),0,1)</f>
        <v>1</v>
      </c>
      <c r="N1337" s="3">
        <f t="shared" si="41"/>
        <v>0</v>
      </c>
      <c r="O1337" s="3" t="str">
        <f>IF(ISERROR(VLOOKUP(D1337,Data!$A$2:$C$223100,3,FALSE)),"INACTIVE",VLOOKUP(D1337,Data!$A$2:$C$223100,3,FALSE))</f>
        <v>Current</v>
      </c>
    </row>
    <row r="1338" spans="1:15" x14ac:dyDescent="0.25">
      <c r="A1338" t="s">
        <v>6393</v>
      </c>
      <c r="B1338" t="s">
        <v>6394</v>
      </c>
      <c r="C1338" t="s">
        <v>6428</v>
      </c>
      <c r="D1338" t="s">
        <v>6429</v>
      </c>
      <c r="E1338" t="s">
        <v>6430</v>
      </c>
      <c r="F1338" t="s">
        <v>5</v>
      </c>
      <c r="G1338" t="s">
        <v>5</v>
      </c>
      <c r="H1338" t="s">
        <v>5</v>
      </c>
      <c r="I1338" t="s">
        <v>6325</v>
      </c>
      <c r="J1338" t="s">
        <v>90</v>
      </c>
      <c r="K1338" s="3">
        <f t="shared" si="40"/>
        <v>0</v>
      </c>
      <c r="L1338" s="3">
        <f>IF(ISERROR(VLOOKUP(J1338,Lookups!$A$2:$A$16,1,FALSE)),1,0)</f>
        <v>0</v>
      </c>
      <c r="M1338" s="3">
        <f>IF(ISERROR(VLOOKUP(D1338,Data!$A$2:$D$223100,2,FALSE)),0,1)</f>
        <v>1</v>
      </c>
      <c r="N1338" s="3">
        <f t="shared" si="41"/>
        <v>0</v>
      </c>
      <c r="O1338" s="3" t="str">
        <f>IF(ISERROR(VLOOKUP(D1338,Data!$A$2:$C$223100,3,FALSE)),"INACTIVE",VLOOKUP(D1338,Data!$A$2:$C$223100,3,FALSE))</f>
        <v>180+</v>
      </c>
    </row>
    <row r="1339" spans="1:15" x14ac:dyDescent="0.25">
      <c r="A1339" t="s">
        <v>6617</v>
      </c>
      <c r="B1339" t="s">
        <v>6618</v>
      </c>
      <c r="C1339" t="s">
        <v>6619</v>
      </c>
      <c r="D1339" t="s">
        <v>6620</v>
      </c>
      <c r="E1339" t="s">
        <v>6621</v>
      </c>
      <c r="F1339" t="s">
        <v>5</v>
      </c>
      <c r="G1339" t="s">
        <v>5</v>
      </c>
      <c r="H1339" t="s">
        <v>5</v>
      </c>
      <c r="I1339" t="s">
        <v>6325</v>
      </c>
      <c r="J1339" t="s">
        <v>7</v>
      </c>
      <c r="K1339" s="3">
        <f t="shared" si="40"/>
        <v>0</v>
      </c>
      <c r="L1339" s="3">
        <f>IF(ISERROR(VLOOKUP(J1339,Lookups!$A$2:$A$16,1,FALSE)),1,0)</f>
        <v>1</v>
      </c>
      <c r="M1339" s="3">
        <f>IF(ISERROR(VLOOKUP(D1339,Data!$A$2:$D$223100,2,FALSE)),0,1)</f>
        <v>0</v>
      </c>
      <c r="N1339" s="3">
        <f t="shared" si="41"/>
        <v>0</v>
      </c>
      <c r="O1339" s="3" t="str">
        <f>IF(ISERROR(VLOOKUP(D1339,Data!$A$2:$C$223100,3,FALSE)),"INACTIVE",VLOOKUP(D1339,Data!$A$2:$C$223100,3,FALSE))</f>
        <v>INACTIVE</v>
      </c>
    </row>
    <row r="1340" spans="1:15" x14ac:dyDescent="0.25">
      <c r="A1340" t="s">
        <v>6622</v>
      </c>
      <c r="B1340" t="s">
        <v>6623</v>
      </c>
      <c r="C1340" t="s">
        <v>6624</v>
      </c>
      <c r="D1340" t="s">
        <v>6625</v>
      </c>
      <c r="E1340" t="s">
        <v>6626</v>
      </c>
      <c r="F1340" t="s">
        <v>5</v>
      </c>
      <c r="G1340" t="s">
        <v>5</v>
      </c>
      <c r="H1340" t="s">
        <v>5</v>
      </c>
      <c r="I1340" t="s">
        <v>6325</v>
      </c>
      <c r="J1340" t="s">
        <v>7</v>
      </c>
      <c r="K1340" s="3">
        <f t="shared" si="40"/>
        <v>0</v>
      </c>
      <c r="L1340" s="3">
        <f>IF(ISERROR(VLOOKUP(J1340,Lookups!$A$2:$A$16,1,FALSE)),1,0)</f>
        <v>1</v>
      </c>
      <c r="M1340" s="3">
        <f>IF(ISERROR(VLOOKUP(D1340,Data!$A$2:$D$223100,2,FALSE)),0,1)</f>
        <v>1</v>
      </c>
      <c r="N1340" s="3">
        <f t="shared" si="41"/>
        <v>1</v>
      </c>
      <c r="O1340" s="3" t="str">
        <f>IF(ISERROR(VLOOKUP(D1340,Data!$A$2:$C$223100,3,FALSE)),"INACTIVE",VLOOKUP(D1340,Data!$A$2:$C$223100,3,FALSE))</f>
        <v>BK13</v>
      </c>
    </row>
    <row r="1341" spans="1:15" x14ac:dyDescent="0.25">
      <c r="A1341" t="s">
        <v>6627</v>
      </c>
      <c r="B1341" t="s">
        <v>6628</v>
      </c>
      <c r="C1341" t="s">
        <v>6629</v>
      </c>
      <c r="D1341" t="s">
        <v>6630</v>
      </c>
      <c r="E1341" t="s">
        <v>6631</v>
      </c>
      <c r="F1341" t="s">
        <v>5</v>
      </c>
      <c r="G1341" t="s">
        <v>5</v>
      </c>
      <c r="H1341" t="s">
        <v>5</v>
      </c>
      <c r="I1341" t="s">
        <v>6325</v>
      </c>
      <c r="J1341" t="s">
        <v>14</v>
      </c>
      <c r="K1341" s="3">
        <f t="shared" si="40"/>
        <v>0</v>
      </c>
      <c r="L1341" s="3">
        <f>IF(ISERROR(VLOOKUP(J1341,Lookups!$A$2:$A$16,1,FALSE)),1,0)</f>
        <v>1</v>
      </c>
      <c r="M1341" s="3">
        <f>IF(ISERROR(VLOOKUP(D1341,Data!$A$2:$D$223100,2,FALSE)),0,1)</f>
        <v>1</v>
      </c>
      <c r="N1341" s="3">
        <f t="shared" si="41"/>
        <v>1</v>
      </c>
      <c r="O1341" s="3" t="str">
        <f>IF(ISERROR(VLOOKUP(D1341,Data!$A$2:$C$223100,3,FALSE)),"INACTIVE",VLOOKUP(D1341,Data!$A$2:$C$223100,3,FALSE))</f>
        <v>Current</v>
      </c>
    </row>
    <row r="1342" spans="1:15" x14ac:dyDescent="0.25">
      <c r="A1342" t="s">
        <v>6315</v>
      </c>
      <c r="B1342" t="s">
        <v>6316</v>
      </c>
      <c r="C1342" t="s">
        <v>6317</v>
      </c>
      <c r="D1342" t="s">
        <v>6318</v>
      </c>
      <c r="E1342" t="s">
        <v>6319</v>
      </c>
      <c r="F1342" t="s">
        <v>5</v>
      </c>
      <c r="G1342" t="s">
        <v>5</v>
      </c>
      <c r="H1342" t="s">
        <v>5</v>
      </c>
      <c r="I1342" t="s">
        <v>6320</v>
      </c>
      <c r="J1342" t="s">
        <v>7</v>
      </c>
      <c r="K1342" s="3">
        <f t="shared" si="40"/>
        <v>0</v>
      </c>
      <c r="L1342" s="3">
        <f>IF(ISERROR(VLOOKUP(J1342,Lookups!$A$2:$A$16,1,FALSE)),1,0)</f>
        <v>1</v>
      </c>
      <c r="M1342" s="3">
        <f>IF(ISERROR(VLOOKUP(D1342,Data!$A$2:$D$223100,2,FALSE)),0,1)</f>
        <v>1</v>
      </c>
      <c r="N1342" s="3">
        <f t="shared" si="41"/>
        <v>1</v>
      </c>
      <c r="O1342" s="3" t="str">
        <f>IF(ISERROR(VLOOKUP(D1342,Data!$A$2:$C$223100,3,FALSE)),"INACTIVE",VLOOKUP(D1342,Data!$A$2:$C$223100,3,FALSE))</f>
        <v>30+</v>
      </c>
    </row>
    <row r="1343" spans="1:15" x14ac:dyDescent="0.25">
      <c r="A1343" t="s">
        <v>6499</v>
      </c>
      <c r="B1343" t="s">
        <v>6500</v>
      </c>
      <c r="C1343" t="s">
        <v>6501</v>
      </c>
      <c r="D1343" t="s">
        <v>6502</v>
      </c>
      <c r="E1343" t="s">
        <v>6503</v>
      </c>
      <c r="F1343" t="s">
        <v>5</v>
      </c>
      <c r="G1343" t="s">
        <v>5</v>
      </c>
      <c r="H1343" t="s">
        <v>5</v>
      </c>
      <c r="I1343" t="s">
        <v>6320</v>
      </c>
      <c r="J1343" t="s">
        <v>90</v>
      </c>
      <c r="K1343" s="3">
        <f t="shared" si="40"/>
        <v>0</v>
      </c>
      <c r="L1343" s="3">
        <f>IF(ISERROR(VLOOKUP(J1343,Lookups!$A$2:$A$16,1,FALSE)),1,0)</f>
        <v>0</v>
      </c>
      <c r="M1343" s="3">
        <f>IF(ISERROR(VLOOKUP(D1343,Data!$A$2:$D$223100,2,FALSE)),0,1)</f>
        <v>1</v>
      </c>
      <c r="N1343" s="3">
        <f t="shared" si="41"/>
        <v>0</v>
      </c>
      <c r="O1343" s="3" t="str">
        <f>IF(ISERROR(VLOOKUP(D1343,Data!$A$2:$C$223100,3,FALSE)),"INACTIVE",VLOOKUP(D1343,Data!$A$2:$C$223100,3,FALSE))</f>
        <v>Current</v>
      </c>
    </row>
    <row r="1344" spans="1:15" x14ac:dyDescent="0.25">
      <c r="A1344" t="s">
        <v>5922</v>
      </c>
      <c r="B1344" t="s">
        <v>6549</v>
      </c>
      <c r="C1344" t="s">
        <v>6550</v>
      </c>
      <c r="D1344" t="s">
        <v>6551</v>
      </c>
      <c r="E1344" t="s">
        <v>6552</v>
      </c>
      <c r="F1344" t="s">
        <v>6553</v>
      </c>
      <c r="G1344" t="s">
        <v>5</v>
      </c>
      <c r="H1344" t="s">
        <v>5</v>
      </c>
      <c r="I1344" t="s">
        <v>6320</v>
      </c>
      <c r="J1344" t="s">
        <v>90</v>
      </c>
      <c r="K1344" s="3">
        <f t="shared" si="40"/>
        <v>0</v>
      </c>
      <c r="L1344" s="3">
        <f>IF(ISERROR(VLOOKUP(J1344,Lookups!$A$2:$A$16,1,FALSE)),1,0)</f>
        <v>0</v>
      </c>
      <c r="M1344" s="3">
        <f>IF(ISERROR(VLOOKUP(D1344,Data!$A$2:$D$223100,2,FALSE)),0,1)</f>
        <v>1</v>
      </c>
      <c r="N1344" s="3">
        <f t="shared" si="41"/>
        <v>0</v>
      </c>
      <c r="O1344" s="3" t="str">
        <f>IF(ISERROR(VLOOKUP(D1344,Data!$A$2:$C$223100,3,FALSE)),"INACTIVE",VLOOKUP(D1344,Data!$A$2:$C$223100,3,FALSE))</f>
        <v>Current</v>
      </c>
    </row>
    <row r="1345" spans="1:15" x14ac:dyDescent="0.25">
      <c r="A1345" t="s">
        <v>5922</v>
      </c>
      <c r="B1345" t="s">
        <v>6549</v>
      </c>
      <c r="C1345" t="s">
        <v>6554</v>
      </c>
      <c r="D1345" t="s">
        <v>6555</v>
      </c>
      <c r="E1345" t="s">
        <v>6556</v>
      </c>
      <c r="F1345" t="s">
        <v>5</v>
      </c>
      <c r="G1345" t="s">
        <v>5</v>
      </c>
      <c r="H1345" t="s">
        <v>5</v>
      </c>
      <c r="I1345" t="s">
        <v>6320</v>
      </c>
      <c r="J1345" t="s">
        <v>90</v>
      </c>
      <c r="K1345" s="3">
        <f t="shared" si="40"/>
        <v>0</v>
      </c>
      <c r="L1345" s="3">
        <f>IF(ISERROR(VLOOKUP(J1345,Lookups!$A$2:$A$16,1,FALSE)),1,0)</f>
        <v>0</v>
      </c>
      <c r="M1345" s="3">
        <f>IF(ISERROR(VLOOKUP(D1345,Data!$A$2:$D$223100,2,FALSE)),0,1)</f>
        <v>0</v>
      </c>
      <c r="N1345" s="3">
        <f t="shared" si="41"/>
        <v>0</v>
      </c>
      <c r="O1345" s="3" t="str">
        <f>IF(ISERROR(VLOOKUP(D1345,Data!$A$2:$C$223100,3,FALSE)),"INACTIVE",VLOOKUP(D1345,Data!$A$2:$C$223100,3,FALSE))</f>
        <v>INACTIVE</v>
      </c>
    </row>
    <row r="1346" spans="1:15" x14ac:dyDescent="0.25">
      <c r="A1346" t="s">
        <v>6758</v>
      </c>
      <c r="B1346" t="s">
        <v>6759</v>
      </c>
      <c r="C1346" t="s">
        <v>6760</v>
      </c>
      <c r="D1346" t="s">
        <v>6761</v>
      </c>
      <c r="E1346" t="s">
        <v>6762</v>
      </c>
      <c r="F1346" t="s">
        <v>5</v>
      </c>
      <c r="G1346" t="s">
        <v>5</v>
      </c>
      <c r="H1346" t="s">
        <v>5</v>
      </c>
      <c r="I1346" t="s">
        <v>6320</v>
      </c>
      <c r="J1346" t="s">
        <v>90</v>
      </c>
      <c r="K1346" s="3">
        <f t="shared" si="40"/>
        <v>0</v>
      </c>
      <c r="L1346" s="3">
        <f>IF(ISERROR(VLOOKUP(J1346,Lookups!$A$2:$A$16,1,FALSE)),1,0)</f>
        <v>0</v>
      </c>
      <c r="M1346" s="3">
        <f>IF(ISERROR(VLOOKUP(D1346,Data!$A$2:$D$223100,2,FALSE)),0,1)</f>
        <v>1</v>
      </c>
      <c r="N1346" s="3">
        <f t="shared" si="41"/>
        <v>0</v>
      </c>
      <c r="O1346" s="3" t="str">
        <f>IF(ISERROR(VLOOKUP(D1346,Data!$A$2:$C$223100,3,FALSE)),"INACTIVE",VLOOKUP(D1346,Data!$A$2:$C$223100,3,FALSE))</f>
        <v>Current</v>
      </c>
    </row>
    <row r="1347" spans="1:15" x14ac:dyDescent="0.25">
      <c r="A1347" t="s">
        <v>6758</v>
      </c>
      <c r="B1347" t="s">
        <v>6759</v>
      </c>
      <c r="C1347" t="s">
        <v>6763</v>
      </c>
      <c r="D1347" t="s">
        <v>6764</v>
      </c>
      <c r="E1347" t="s">
        <v>6765</v>
      </c>
      <c r="F1347" t="s">
        <v>5</v>
      </c>
      <c r="G1347" t="s">
        <v>5</v>
      </c>
      <c r="H1347" t="s">
        <v>5</v>
      </c>
      <c r="I1347" t="s">
        <v>6320</v>
      </c>
      <c r="J1347" t="s">
        <v>90</v>
      </c>
      <c r="K1347" s="3">
        <f t="shared" ref="K1347:K1410" si="42">IF(ISERROR(FIND("LIEN",A1347,1)),0,1)</f>
        <v>0</v>
      </c>
      <c r="L1347" s="3">
        <f>IF(ISERROR(VLOOKUP(J1347,Lookups!$A$2:$A$16,1,FALSE)),1,0)</f>
        <v>0</v>
      </c>
      <c r="M1347" s="3">
        <f>IF(ISERROR(VLOOKUP(D1347,Data!$A$2:$D$223100,2,FALSE)),0,1)</f>
        <v>1</v>
      </c>
      <c r="N1347" s="3">
        <f t="shared" ref="N1347:N1410" si="43">IF(M1347=0,0,IF(SUM(K1347:L1347)&gt;0,1,0))</f>
        <v>0</v>
      </c>
      <c r="O1347" s="3" t="str">
        <f>IF(ISERROR(VLOOKUP(D1347,Data!$A$2:$C$223100,3,FALSE)),"INACTIVE",VLOOKUP(D1347,Data!$A$2:$C$223100,3,FALSE))</f>
        <v>180+</v>
      </c>
    </row>
    <row r="1348" spans="1:15" x14ac:dyDescent="0.25">
      <c r="A1348" t="s">
        <v>6758</v>
      </c>
      <c r="B1348" t="s">
        <v>6759</v>
      </c>
      <c r="C1348" t="s">
        <v>6766</v>
      </c>
      <c r="D1348" t="s">
        <v>6767</v>
      </c>
      <c r="E1348" t="s">
        <v>6768</v>
      </c>
      <c r="F1348" t="s">
        <v>5</v>
      </c>
      <c r="G1348" t="s">
        <v>5</v>
      </c>
      <c r="H1348" t="s">
        <v>5</v>
      </c>
      <c r="I1348" t="s">
        <v>6320</v>
      </c>
      <c r="J1348" t="s">
        <v>90</v>
      </c>
      <c r="K1348" s="3">
        <f t="shared" si="42"/>
        <v>0</v>
      </c>
      <c r="L1348" s="3">
        <f>IF(ISERROR(VLOOKUP(J1348,Lookups!$A$2:$A$16,1,FALSE)),1,0)</f>
        <v>0</v>
      </c>
      <c r="M1348" s="3">
        <f>IF(ISERROR(VLOOKUP(D1348,Data!$A$2:$D$223100,2,FALSE)),0,1)</f>
        <v>1</v>
      </c>
      <c r="N1348" s="3">
        <f t="shared" si="43"/>
        <v>0</v>
      </c>
      <c r="O1348" s="3" t="str">
        <f>IF(ISERROR(VLOOKUP(D1348,Data!$A$2:$C$223100,3,FALSE)),"INACTIVE",VLOOKUP(D1348,Data!$A$2:$C$223100,3,FALSE))</f>
        <v>FC</v>
      </c>
    </row>
    <row r="1349" spans="1:15" x14ac:dyDescent="0.25">
      <c r="A1349" t="s">
        <v>6189</v>
      </c>
      <c r="B1349" t="s">
        <v>6190</v>
      </c>
      <c r="C1349" t="s">
        <v>6191</v>
      </c>
      <c r="D1349" t="s">
        <v>6192</v>
      </c>
      <c r="E1349" t="s">
        <v>6193</v>
      </c>
      <c r="F1349" t="s">
        <v>5</v>
      </c>
      <c r="G1349" t="s">
        <v>5</v>
      </c>
      <c r="H1349" t="s">
        <v>5</v>
      </c>
      <c r="I1349" t="s">
        <v>6194</v>
      </c>
      <c r="J1349" t="s">
        <v>90</v>
      </c>
      <c r="K1349" s="3">
        <f t="shared" si="42"/>
        <v>0</v>
      </c>
      <c r="L1349" s="3">
        <f>IF(ISERROR(VLOOKUP(J1349,Lookups!$A$2:$A$16,1,FALSE)),1,0)</f>
        <v>0</v>
      </c>
      <c r="M1349" s="3">
        <f>IF(ISERROR(VLOOKUP(D1349,Data!$A$2:$D$223100,2,FALSE)),0,1)</f>
        <v>1</v>
      </c>
      <c r="N1349" s="3">
        <f t="shared" si="43"/>
        <v>0</v>
      </c>
      <c r="O1349" s="3" t="str">
        <f>IF(ISERROR(VLOOKUP(D1349,Data!$A$2:$C$223100,3,FALSE)),"INACTIVE",VLOOKUP(D1349,Data!$A$2:$C$223100,3,FALSE))</f>
        <v>Current</v>
      </c>
    </row>
    <row r="1350" spans="1:15" x14ac:dyDescent="0.25">
      <c r="A1350" t="s">
        <v>6189</v>
      </c>
      <c r="B1350" t="s">
        <v>6190</v>
      </c>
      <c r="C1350" t="s">
        <v>6195</v>
      </c>
      <c r="D1350" t="s">
        <v>6196</v>
      </c>
      <c r="E1350" t="s">
        <v>6197</v>
      </c>
      <c r="F1350" t="s">
        <v>5</v>
      </c>
      <c r="G1350" t="s">
        <v>5</v>
      </c>
      <c r="H1350" t="s">
        <v>5</v>
      </c>
      <c r="I1350" t="s">
        <v>6194</v>
      </c>
      <c r="J1350" t="s">
        <v>90</v>
      </c>
      <c r="K1350" s="3">
        <f t="shared" si="42"/>
        <v>0</v>
      </c>
      <c r="L1350" s="3">
        <f>IF(ISERROR(VLOOKUP(J1350,Lookups!$A$2:$A$16,1,FALSE)),1,0)</f>
        <v>0</v>
      </c>
      <c r="M1350" s="3">
        <f>IF(ISERROR(VLOOKUP(D1350,Data!$A$2:$D$223100,2,FALSE)),0,1)</f>
        <v>1</v>
      </c>
      <c r="N1350" s="3">
        <f t="shared" si="43"/>
        <v>0</v>
      </c>
      <c r="O1350" s="3" t="str">
        <f>IF(ISERROR(VLOOKUP(D1350,Data!$A$2:$C$223100,3,FALSE)),"INACTIVE",VLOOKUP(D1350,Data!$A$2:$C$223100,3,FALSE))</f>
        <v>Current</v>
      </c>
    </row>
    <row r="1351" spans="1:15" x14ac:dyDescent="0.25">
      <c r="A1351" t="s">
        <v>6227</v>
      </c>
      <c r="B1351" t="s">
        <v>6228</v>
      </c>
      <c r="C1351" t="s">
        <v>6229</v>
      </c>
      <c r="D1351" t="s">
        <v>6230</v>
      </c>
      <c r="E1351" t="s">
        <v>6231</v>
      </c>
      <c r="F1351" t="s">
        <v>6232</v>
      </c>
      <c r="G1351" t="s">
        <v>5</v>
      </c>
      <c r="H1351" t="s">
        <v>5</v>
      </c>
      <c r="I1351" t="s">
        <v>6194</v>
      </c>
      <c r="J1351" t="s">
        <v>90</v>
      </c>
      <c r="K1351" s="3">
        <f t="shared" si="42"/>
        <v>0</v>
      </c>
      <c r="L1351" s="3">
        <f>IF(ISERROR(VLOOKUP(J1351,Lookups!$A$2:$A$16,1,FALSE)),1,0)</f>
        <v>0</v>
      </c>
      <c r="M1351" s="3">
        <f>IF(ISERROR(VLOOKUP(D1351,Data!$A$2:$D$223100,2,FALSE)),0,1)</f>
        <v>1</v>
      </c>
      <c r="N1351" s="3">
        <f t="shared" si="43"/>
        <v>0</v>
      </c>
      <c r="O1351" s="3" t="str">
        <f>IF(ISERROR(VLOOKUP(D1351,Data!$A$2:$C$223100,3,FALSE)),"INACTIVE",VLOOKUP(D1351,Data!$A$2:$C$223100,3,FALSE))</f>
        <v>Current</v>
      </c>
    </row>
    <row r="1352" spans="1:15" x14ac:dyDescent="0.25">
      <c r="A1352" t="s">
        <v>6227</v>
      </c>
      <c r="B1352" t="s">
        <v>6228</v>
      </c>
      <c r="C1352" t="s">
        <v>6233</v>
      </c>
      <c r="D1352" t="s">
        <v>6234</v>
      </c>
      <c r="E1352" t="s">
        <v>6235</v>
      </c>
      <c r="F1352" t="s">
        <v>6236</v>
      </c>
      <c r="G1352" t="s">
        <v>5</v>
      </c>
      <c r="H1352" t="s">
        <v>5</v>
      </c>
      <c r="I1352" t="s">
        <v>6194</v>
      </c>
      <c r="J1352" t="s">
        <v>90</v>
      </c>
      <c r="K1352" s="3">
        <f t="shared" si="42"/>
        <v>0</v>
      </c>
      <c r="L1352" s="3">
        <f>IF(ISERROR(VLOOKUP(J1352,Lookups!$A$2:$A$16,1,FALSE)),1,0)</f>
        <v>0</v>
      </c>
      <c r="M1352" s="3">
        <f>IF(ISERROR(VLOOKUP(D1352,Data!$A$2:$D$223100,2,FALSE)),0,1)</f>
        <v>1</v>
      </c>
      <c r="N1352" s="3">
        <f t="shared" si="43"/>
        <v>0</v>
      </c>
      <c r="O1352" s="3" t="str">
        <f>IF(ISERROR(VLOOKUP(D1352,Data!$A$2:$C$223100,3,FALSE)),"INACTIVE",VLOOKUP(D1352,Data!$A$2:$C$223100,3,FALSE))</f>
        <v>Current</v>
      </c>
    </row>
    <row r="1353" spans="1:15" x14ac:dyDescent="0.25">
      <c r="A1353" t="s">
        <v>6227</v>
      </c>
      <c r="B1353" t="s">
        <v>6228</v>
      </c>
      <c r="C1353" t="s">
        <v>6237</v>
      </c>
      <c r="D1353" t="s">
        <v>6238</v>
      </c>
      <c r="E1353" t="s">
        <v>6239</v>
      </c>
      <c r="F1353" t="s">
        <v>5</v>
      </c>
      <c r="G1353" t="s">
        <v>5</v>
      </c>
      <c r="H1353" t="s">
        <v>5</v>
      </c>
      <c r="I1353" t="s">
        <v>6194</v>
      </c>
      <c r="J1353" t="s">
        <v>90</v>
      </c>
      <c r="K1353" s="3">
        <f t="shared" si="42"/>
        <v>0</v>
      </c>
      <c r="L1353" s="3">
        <f>IF(ISERROR(VLOOKUP(J1353,Lookups!$A$2:$A$16,1,FALSE)),1,0)</f>
        <v>0</v>
      </c>
      <c r="M1353" s="3">
        <f>IF(ISERROR(VLOOKUP(D1353,Data!$A$2:$D$223100,2,FALSE)),0,1)</f>
        <v>1</v>
      </c>
      <c r="N1353" s="3">
        <f t="shared" si="43"/>
        <v>0</v>
      </c>
      <c r="O1353" s="3" t="str">
        <f>IF(ISERROR(VLOOKUP(D1353,Data!$A$2:$C$223100,3,FALSE)),"INACTIVE",VLOOKUP(D1353,Data!$A$2:$C$223100,3,FALSE))</f>
        <v>BK13</v>
      </c>
    </row>
    <row r="1354" spans="1:15" x14ac:dyDescent="0.25">
      <c r="A1354" t="s">
        <v>6227</v>
      </c>
      <c r="B1354" t="s">
        <v>6228</v>
      </c>
      <c r="C1354" t="s">
        <v>6240</v>
      </c>
      <c r="D1354" t="s">
        <v>6238</v>
      </c>
      <c r="E1354" t="s">
        <v>6241</v>
      </c>
      <c r="F1354" t="s">
        <v>5</v>
      </c>
      <c r="G1354" t="s">
        <v>5</v>
      </c>
      <c r="H1354" t="s">
        <v>5</v>
      </c>
      <c r="I1354" t="s">
        <v>6194</v>
      </c>
      <c r="J1354" t="s">
        <v>90</v>
      </c>
      <c r="K1354" s="3">
        <f t="shared" si="42"/>
        <v>0</v>
      </c>
      <c r="L1354" s="3">
        <f>IF(ISERROR(VLOOKUP(J1354,Lookups!$A$2:$A$16,1,FALSE)),1,0)</f>
        <v>0</v>
      </c>
      <c r="M1354" s="3">
        <f>IF(ISERROR(VLOOKUP(D1354,Data!$A$2:$D$223100,2,FALSE)),0,1)</f>
        <v>1</v>
      </c>
      <c r="N1354" s="3">
        <f t="shared" si="43"/>
        <v>0</v>
      </c>
      <c r="O1354" s="3" t="str">
        <f>IF(ISERROR(VLOOKUP(D1354,Data!$A$2:$C$223100,3,FALSE)),"INACTIVE",VLOOKUP(D1354,Data!$A$2:$C$223100,3,FALSE))</f>
        <v>BK13</v>
      </c>
    </row>
    <row r="1355" spans="1:15" x14ac:dyDescent="0.25">
      <c r="A1355" t="s">
        <v>6227</v>
      </c>
      <c r="B1355" t="s">
        <v>6228</v>
      </c>
      <c r="C1355" t="s">
        <v>6242</v>
      </c>
      <c r="D1355" t="s">
        <v>6238</v>
      </c>
      <c r="E1355" t="s">
        <v>6243</v>
      </c>
      <c r="F1355" t="s">
        <v>6244</v>
      </c>
      <c r="G1355" t="s">
        <v>5</v>
      </c>
      <c r="H1355" t="s">
        <v>5</v>
      </c>
      <c r="I1355" t="s">
        <v>6194</v>
      </c>
      <c r="J1355" t="s">
        <v>90</v>
      </c>
      <c r="K1355" s="3">
        <f t="shared" si="42"/>
        <v>0</v>
      </c>
      <c r="L1355" s="3">
        <f>IF(ISERROR(VLOOKUP(J1355,Lookups!$A$2:$A$16,1,FALSE)),1,0)</f>
        <v>0</v>
      </c>
      <c r="M1355" s="3">
        <f>IF(ISERROR(VLOOKUP(D1355,Data!$A$2:$D$223100,2,FALSE)),0,1)</f>
        <v>1</v>
      </c>
      <c r="N1355" s="3">
        <f t="shared" si="43"/>
        <v>0</v>
      </c>
      <c r="O1355" s="3" t="str">
        <f>IF(ISERROR(VLOOKUP(D1355,Data!$A$2:$C$223100,3,FALSE)),"INACTIVE",VLOOKUP(D1355,Data!$A$2:$C$223100,3,FALSE))</f>
        <v>BK13</v>
      </c>
    </row>
    <row r="1356" spans="1:15" x14ac:dyDescent="0.25">
      <c r="A1356" t="s">
        <v>6377</v>
      </c>
      <c r="B1356" t="s">
        <v>6378</v>
      </c>
      <c r="C1356" t="s">
        <v>6379</v>
      </c>
      <c r="D1356" t="s">
        <v>6380</v>
      </c>
      <c r="E1356" t="s">
        <v>5</v>
      </c>
      <c r="F1356" t="s">
        <v>6381</v>
      </c>
      <c r="G1356" t="s">
        <v>5</v>
      </c>
      <c r="H1356" t="s">
        <v>5</v>
      </c>
      <c r="I1356" t="s">
        <v>6194</v>
      </c>
      <c r="J1356" t="s">
        <v>14</v>
      </c>
      <c r="K1356" s="3">
        <f t="shared" si="42"/>
        <v>0</v>
      </c>
      <c r="L1356" s="3">
        <f>IF(ISERROR(VLOOKUP(J1356,Lookups!$A$2:$A$16,1,FALSE)),1,0)</f>
        <v>1</v>
      </c>
      <c r="M1356" s="3">
        <f>IF(ISERROR(VLOOKUP(D1356,Data!$A$2:$D$223100,2,FALSE)),0,1)</f>
        <v>1</v>
      </c>
      <c r="N1356" s="3">
        <f t="shared" si="43"/>
        <v>1</v>
      </c>
      <c r="O1356" s="3" t="str">
        <f>IF(ISERROR(VLOOKUP(D1356,Data!$A$2:$C$223100,3,FALSE)),"INACTIVE",VLOOKUP(D1356,Data!$A$2:$C$223100,3,FALSE))</f>
        <v>FBA</v>
      </c>
    </row>
    <row r="1357" spans="1:15" x14ac:dyDescent="0.25">
      <c r="A1357" t="s">
        <v>6377</v>
      </c>
      <c r="B1357" t="s">
        <v>6378</v>
      </c>
      <c r="C1357" t="s">
        <v>6382</v>
      </c>
      <c r="D1357" t="s">
        <v>6383</v>
      </c>
      <c r="E1357" t="s">
        <v>5</v>
      </c>
      <c r="F1357" t="s">
        <v>6384</v>
      </c>
      <c r="G1357" t="s">
        <v>5</v>
      </c>
      <c r="H1357" t="s">
        <v>5</v>
      </c>
      <c r="I1357" t="s">
        <v>6194</v>
      </c>
      <c r="J1357" t="s">
        <v>14</v>
      </c>
      <c r="K1357" s="3">
        <f t="shared" si="42"/>
        <v>0</v>
      </c>
      <c r="L1357" s="3">
        <f>IF(ISERROR(VLOOKUP(J1357,Lookups!$A$2:$A$16,1,FALSE)),1,0)</f>
        <v>1</v>
      </c>
      <c r="M1357" s="3">
        <f>IF(ISERROR(VLOOKUP(D1357,Data!$A$2:$D$223100,2,FALSE)),0,1)</f>
        <v>1</v>
      </c>
      <c r="N1357" s="3">
        <f t="shared" si="43"/>
        <v>1</v>
      </c>
      <c r="O1357" s="3" t="str">
        <f>IF(ISERROR(VLOOKUP(D1357,Data!$A$2:$C$223100,3,FALSE)),"INACTIVE",VLOOKUP(D1357,Data!$A$2:$C$223100,3,FALSE))</f>
        <v>FBA</v>
      </c>
    </row>
    <row r="1358" spans="1:15" x14ac:dyDescent="0.25">
      <c r="A1358" t="s">
        <v>6377</v>
      </c>
      <c r="B1358" t="s">
        <v>6378</v>
      </c>
      <c r="C1358" t="s">
        <v>6385</v>
      </c>
      <c r="D1358" t="s">
        <v>6386</v>
      </c>
      <c r="E1358" t="s">
        <v>5</v>
      </c>
      <c r="F1358" t="s">
        <v>6387</v>
      </c>
      <c r="G1358" t="s">
        <v>5</v>
      </c>
      <c r="H1358" t="s">
        <v>5</v>
      </c>
      <c r="I1358" t="s">
        <v>6194</v>
      </c>
      <c r="J1358" t="s">
        <v>14</v>
      </c>
      <c r="K1358" s="3">
        <f t="shared" si="42"/>
        <v>0</v>
      </c>
      <c r="L1358" s="3">
        <f>IF(ISERROR(VLOOKUP(J1358,Lookups!$A$2:$A$16,1,FALSE)),1,0)</f>
        <v>1</v>
      </c>
      <c r="M1358" s="3">
        <f>IF(ISERROR(VLOOKUP(D1358,Data!$A$2:$D$223100,2,FALSE)),0,1)</f>
        <v>1</v>
      </c>
      <c r="N1358" s="3">
        <f t="shared" si="43"/>
        <v>1</v>
      </c>
      <c r="O1358" s="3" t="str">
        <f>IF(ISERROR(VLOOKUP(D1358,Data!$A$2:$C$223100,3,FALSE)),"INACTIVE",VLOOKUP(D1358,Data!$A$2:$C$223100,3,FALSE))</f>
        <v>30+</v>
      </c>
    </row>
    <row r="1359" spans="1:15" x14ac:dyDescent="0.25">
      <c r="A1359" t="s">
        <v>6488</v>
      </c>
      <c r="B1359" t="s">
        <v>6489</v>
      </c>
      <c r="C1359" t="s">
        <v>6490</v>
      </c>
      <c r="D1359" t="s">
        <v>6491</v>
      </c>
      <c r="E1359" t="s">
        <v>6492</v>
      </c>
      <c r="F1359" t="s">
        <v>5</v>
      </c>
      <c r="G1359" t="s">
        <v>5</v>
      </c>
      <c r="H1359" t="s">
        <v>5</v>
      </c>
      <c r="I1359" t="s">
        <v>6194</v>
      </c>
      <c r="J1359" t="s">
        <v>90</v>
      </c>
      <c r="K1359" s="3">
        <f t="shared" si="42"/>
        <v>0</v>
      </c>
      <c r="L1359" s="3">
        <f>IF(ISERROR(VLOOKUP(J1359,Lookups!$A$2:$A$16,1,FALSE)),1,0)</f>
        <v>0</v>
      </c>
      <c r="M1359" s="3">
        <f>IF(ISERROR(VLOOKUP(D1359,Data!$A$2:$D$223100,2,FALSE)),0,1)</f>
        <v>1</v>
      </c>
      <c r="N1359" s="3">
        <f t="shared" si="43"/>
        <v>0</v>
      </c>
      <c r="O1359" s="3" t="str">
        <f>IF(ISERROR(VLOOKUP(D1359,Data!$A$2:$C$223100,3,FALSE)),"INACTIVE",VLOOKUP(D1359,Data!$A$2:$C$223100,3,FALSE))</f>
        <v>60+</v>
      </c>
    </row>
    <row r="1360" spans="1:15" x14ac:dyDescent="0.25">
      <c r="A1360" t="s">
        <v>6151</v>
      </c>
      <c r="B1360" t="s">
        <v>6152</v>
      </c>
      <c r="C1360" t="s">
        <v>6153</v>
      </c>
      <c r="D1360" t="s">
        <v>6154</v>
      </c>
      <c r="E1360" t="s">
        <v>6155</v>
      </c>
      <c r="F1360" t="s">
        <v>5</v>
      </c>
      <c r="G1360" t="s">
        <v>5</v>
      </c>
      <c r="H1360" t="s">
        <v>5</v>
      </c>
      <c r="I1360" t="s">
        <v>6156</v>
      </c>
      <c r="J1360" t="s">
        <v>90</v>
      </c>
      <c r="K1360" s="3">
        <f t="shared" si="42"/>
        <v>0</v>
      </c>
      <c r="L1360" s="3">
        <f>IF(ISERROR(VLOOKUP(J1360,Lookups!$A$2:$A$16,1,FALSE)),1,0)</f>
        <v>0</v>
      </c>
      <c r="M1360" s="3">
        <f>IF(ISERROR(VLOOKUP(D1360,Data!$A$2:$D$223100,2,FALSE)),0,1)</f>
        <v>1</v>
      </c>
      <c r="N1360" s="3">
        <f t="shared" si="43"/>
        <v>0</v>
      </c>
      <c r="O1360" s="3" t="str">
        <f>IF(ISERROR(VLOOKUP(D1360,Data!$A$2:$C$223100,3,FALSE)),"INACTIVE",VLOOKUP(D1360,Data!$A$2:$C$223100,3,FALSE))</f>
        <v>150+</v>
      </c>
    </row>
    <row r="1361" spans="1:15" x14ac:dyDescent="0.25">
      <c r="A1361" t="s">
        <v>6151</v>
      </c>
      <c r="B1361" t="s">
        <v>6152</v>
      </c>
      <c r="C1361" t="s">
        <v>5672</v>
      </c>
      <c r="D1361" t="s">
        <v>5673</v>
      </c>
      <c r="E1361" t="s">
        <v>6157</v>
      </c>
      <c r="F1361" t="s">
        <v>5</v>
      </c>
      <c r="G1361" t="s">
        <v>5</v>
      </c>
      <c r="H1361" t="s">
        <v>5</v>
      </c>
      <c r="I1361" t="s">
        <v>6156</v>
      </c>
      <c r="J1361" t="s">
        <v>90</v>
      </c>
      <c r="K1361" s="3">
        <f t="shared" si="42"/>
        <v>0</v>
      </c>
      <c r="L1361" s="3">
        <f>IF(ISERROR(VLOOKUP(J1361,Lookups!$A$2:$A$16,1,FALSE)),1,0)</f>
        <v>0</v>
      </c>
      <c r="M1361" s="3">
        <f>IF(ISERROR(VLOOKUP(D1361,Data!$A$2:$D$223100,2,FALSE)),0,1)</f>
        <v>1</v>
      </c>
      <c r="N1361" s="3">
        <f t="shared" si="43"/>
        <v>0</v>
      </c>
      <c r="O1361" s="3" t="str">
        <f>IF(ISERROR(VLOOKUP(D1361,Data!$A$2:$C$223100,3,FALSE)),"INACTIVE",VLOOKUP(D1361,Data!$A$2:$C$223100,3,FALSE))</f>
        <v>Current</v>
      </c>
    </row>
    <row r="1362" spans="1:15" x14ac:dyDescent="0.25">
      <c r="A1362" t="s">
        <v>6310</v>
      </c>
      <c r="B1362" t="s">
        <v>6311</v>
      </c>
      <c r="C1362" t="s">
        <v>6312</v>
      </c>
      <c r="D1362" t="s">
        <v>6313</v>
      </c>
      <c r="E1362" t="s">
        <v>5</v>
      </c>
      <c r="F1362" t="s">
        <v>6314</v>
      </c>
      <c r="G1362" t="s">
        <v>5</v>
      </c>
      <c r="H1362" t="s">
        <v>5</v>
      </c>
      <c r="I1362" t="s">
        <v>6156</v>
      </c>
      <c r="J1362" t="s">
        <v>7</v>
      </c>
      <c r="K1362" s="3">
        <f t="shared" si="42"/>
        <v>0</v>
      </c>
      <c r="L1362" s="3">
        <f>IF(ISERROR(VLOOKUP(J1362,Lookups!$A$2:$A$16,1,FALSE)),1,0)</f>
        <v>1</v>
      </c>
      <c r="M1362" s="3">
        <f>IF(ISERROR(VLOOKUP(D1362,Data!$A$2:$D$223100,2,FALSE)),0,1)</f>
        <v>1</v>
      </c>
      <c r="N1362" s="3">
        <f t="shared" si="43"/>
        <v>1</v>
      </c>
      <c r="O1362" s="3" t="str">
        <f>IF(ISERROR(VLOOKUP(D1362,Data!$A$2:$C$223100,3,FALSE)),"INACTIVE",VLOOKUP(D1362,Data!$A$2:$C$223100,3,FALSE))</f>
        <v>Current</v>
      </c>
    </row>
    <row r="1363" spans="1:15" x14ac:dyDescent="0.25">
      <c r="A1363" t="s">
        <v>6510</v>
      </c>
      <c r="B1363" t="s">
        <v>6511</v>
      </c>
      <c r="C1363" t="s">
        <v>6512</v>
      </c>
      <c r="D1363" t="s">
        <v>6513</v>
      </c>
      <c r="E1363" t="s">
        <v>6514</v>
      </c>
      <c r="F1363" t="s">
        <v>5</v>
      </c>
      <c r="G1363" t="s">
        <v>5</v>
      </c>
      <c r="H1363" t="s">
        <v>5</v>
      </c>
      <c r="I1363" t="s">
        <v>6156</v>
      </c>
      <c r="J1363" t="s">
        <v>36</v>
      </c>
      <c r="K1363" s="3">
        <f t="shared" si="42"/>
        <v>0</v>
      </c>
      <c r="L1363" s="3">
        <f>IF(ISERROR(VLOOKUP(J1363,Lookups!$A$2:$A$16,1,FALSE)),1,0)</f>
        <v>1</v>
      </c>
      <c r="M1363" s="3">
        <f>IF(ISERROR(VLOOKUP(D1363,Data!$A$2:$D$223100,2,FALSE)),0,1)</f>
        <v>0</v>
      </c>
      <c r="N1363" s="3">
        <f t="shared" si="43"/>
        <v>0</v>
      </c>
      <c r="O1363" s="3" t="str">
        <f>IF(ISERROR(VLOOKUP(D1363,Data!$A$2:$C$223100,3,FALSE)),"INACTIVE",VLOOKUP(D1363,Data!$A$2:$C$223100,3,FALSE))</f>
        <v>INACTIVE</v>
      </c>
    </row>
    <row r="1364" spans="1:15" x14ac:dyDescent="0.25">
      <c r="A1364" t="s">
        <v>6612</v>
      </c>
      <c r="B1364" t="s">
        <v>6613</v>
      </c>
      <c r="C1364" t="s">
        <v>6614</v>
      </c>
      <c r="D1364" t="s">
        <v>6615</v>
      </c>
      <c r="E1364" t="s">
        <v>5</v>
      </c>
      <c r="F1364" t="s">
        <v>6616</v>
      </c>
      <c r="G1364" t="s">
        <v>5</v>
      </c>
      <c r="H1364" t="s">
        <v>5</v>
      </c>
      <c r="I1364" t="s">
        <v>6156</v>
      </c>
      <c r="J1364" t="s">
        <v>7</v>
      </c>
      <c r="K1364" s="3">
        <f t="shared" si="42"/>
        <v>0</v>
      </c>
      <c r="L1364" s="3">
        <f>IF(ISERROR(VLOOKUP(J1364,Lookups!$A$2:$A$16,1,FALSE)),1,0)</f>
        <v>1</v>
      </c>
      <c r="M1364" s="3">
        <f>IF(ISERROR(VLOOKUP(D1364,Data!$A$2:$D$223100,2,FALSE)),0,1)</f>
        <v>1</v>
      </c>
      <c r="N1364" s="3">
        <f t="shared" si="43"/>
        <v>1</v>
      </c>
      <c r="O1364" s="3" t="str">
        <f>IF(ISERROR(VLOOKUP(D1364,Data!$A$2:$C$223100,3,FALSE)),"INACTIVE",VLOOKUP(D1364,Data!$A$2:$C$223100,3,FALSE))</f>
        <v>FC</v>
      </c>
    </row>
    <row r="1365" spans="1:15" x14ac:dyDescent="0.25">
      <c r="A1365" t="s">
        <v>6632</v>
      </c>
      <c r="B1365" t="s">
        <v>6633</v>
      </c>
      <c r="C1365" t="s">
        <v>6634</v>
      </c>
      <c r="D1365" t="s">
        <v>6635</v>
      </c>
      <c r="E1365" t="s">
        <v>6636</v>
      </c>
      <c r="F1365" t="s">
        <v>5</v>
      </c>
      <c r="G1365" t="s">
        <v>5</v>
      </c>
      <c r="H1365" t="s">
        <v>5</v>
      </c>
      <c r="I1365" t="s">
        <v>6156</v>
      </c>
      <c r="J1365" t="s">
        <v>96</v>
      </c>
      <c r="K1365" s="3">
        <f t="shared" si="42"/>
        <v>0</v>
      </c>
      <c r="L1365" s="3">
        <f>IF(ISERROR(VLOOKUP(J1365,Lookups!$A$2:$A$16,1,FALSE)),1,0)</f>
        <v>0</v>
      </c>
      <c r="M1365" s="3">
        <f>IF(ISERROR(VLOOKUP(D1365,Data!$A$2:$D$223100,2,FALSE)),0,1)</f>
        <v>1</v>
      </c>
      <c r="N1365" s="3">
        <f t="shared" si="43"/>
        <v>0</v>
      </c>
      <c r="O1365" s="3" t="str">
        <f>IF(ISERROR(VLOOKUP(D1365,Data!$A$2:$C$223100,3,FALSE)),"INACTIVE",VLOOKUP(D1365,Data!$A$2:$C$223100,3,FALSE))</f>
        <v>Current</v>
      </c>
    </row>
    <row r="1366" spans="1:15" x14ac:dyDescent="0.25">
      <c r="A1366" t="s">
        <v>6493</v>
      </c>
      <c r="B1366" t="s">
        <v>6494</v>
      </c>
      <c r="C1366" t="s">
        <v>6495</v>
      </c>
      <c r="D1366" t="s">
        <v>6496</v>
      </c>
      <c r="E1366" t="s">
        <v>6497</v>
      </c>
      <c r="F1366" t="s">
        <v>5</v>
      </c>
      <c r="G1366" t="s">
        <v>5</v>
      </c>
      <c r="H1366" t="s">
        <v>5</v>
      </c>
      <c r="I1366" t="s">
        <v>6498</v>
      </c>
      <c r="J1366" t="s">
        <v>90</v>
      </c>
      <c r="K1366" s="3">
        <f t="shared" si="42"/>
        <v>0</v>
      </c>
      <c r="L1366" s="3">
        <f>IF(ISERROR(VLOOKUP(J1366,Lookups!$A$2:$A$16,1,FALSE)),1,0)</f>
        <v>0</v>
      </c>
      <c r="M1366" s="3">
        <f>IF(ISERROR(VLOOKUP(D1366,Data!$A$2:$D$223100,2,FALSE)),0,1)</f>
        <v>1</v>
      </c>
      <c r="N1366" s="3">
        <f t="shared" si="43"/>
        <v>0</v>
      </c>
      <c r="O1366" s="3" t="str">
        <f>IF(ISERROR(VLOOKUP(D1366,Data!$A$2:$C$223100,3,FALSE)),"INACTIVE",VLOOKUP(D1366,Data!$A$2:$C$223100,3,FALSE))</f>
        <v>Current</v>
      </c>
    </row>
    <row r="1367" spans="1:15" x14ac:dyDescent="0.25">
      <c r="A1367" t="s">
        <v>6529</v>
      </c>
      <c r="B1367" t="s">
        <v>6530</v>
      </c>
      <c r="C1367" t="s">
        <v>6531</v>
      </c>
      <c r="D1367" t="s">
        <v>6532</v>
      </c>
      <c r="E1367" t="s">
        <v>6533</v>
      </c>
      <c r="F1367" t="s">
        <v>5</v>
      </c>
      <c r="G1367" t="s">
        <v>5</v>
      </c>
      <c r="H1367" t="s">
        <v>5</v>
      </c>
      <c r="I1367" t="s">
        <v>6498</v>
      </c>
      <c r="J1367" t="s">
        <v>14</v>
      </c>
      <c r="K1367" s="3">
        <f t="shared" si="42"/>
        <v>0</v>
      </c>
      <c r="L1367" s="3">
        <f>IF(ISERROR(VLOOKUP(J1367,Lookups!$A$2:$A$16,1,FALSE)),1,0)</f>
        <v>1</v>
      </c>
      <c r="M1367" s="3">
        <f>IF(ISERROR(VLOOKUP(D1367,Data!$A$2:$D$223100,2,FALSE)),0,1)</f>
        <v>1</v>
      </c>
      <c r="N1367" s="3">
        <f t="shared" si="43"/>
        <v>1</v>
      </c>
      <c r="O1367" s="3" t="str">
        <f>IF(ISERROR(VLOOKUP(D1367,Data!$A$2:$C$223100,3,FALSE)),"INACTIVE",VLOOKUP(D1367,Data!$A$2:$C$223100,3,FALSE))</f>
        <v>FBA</v>
      </c>
    </row>
    <row r="1368" spans="1:15" x14ac:dyDescent="0.25">
      <c r="A1368" t="s">
        <v>6515</v>
      </c>
      <c r="B1368" t="s">
        <v>6516</v>
      </c>
      <c r="C1368" t="s">
        <v>6517</v>
      </c>
      <c r="D1368" t="s">
        <v>6518</v>
      </c>
      <c r="E1368" t="s">
        <v>6519</v>
      </c>
      <c r="F1368" t="s">
        <v>5</v>
      </c>
      <c r="G1368" t="s">
        <v>5</v>
      </c>
      <c r="H1368" t="s">
        <v>5</v>
      </c>
      <c r="I1368" t="s">
        <v>6520</v>
      </c>
      <c r="J1368" t="s">
        <v>96</v>
      </c>
      <c r="K1368" s="3">
        <f t="shared" si="42"/>
        <v>0</v>
      </c>
      <c r="L1368" s="3">
        <f>IF(ISERROR(VLOOKUP(J1368,Lookups!$A$2:$A$16,1,FALSE)),1,0)</f>
        <v>0</v>
      </c>
      <c r="M1368" s="3">
        <f>IF(ISERROR(VLOOKUP(D1368,Data!$A$2:$D$223100,2,FALSE)),0,1)</f>
        <v>1</v>
      </c>
      <c r="N1368" s="3">
        <f t="shared" si="43"/>
        <v>0</v>
      </c>
      <c r="O1368" s="3" t="str">
        <f>IF(ISERROR(VLOOKUP(D1368,Data!$A$2:$C$223100,3,FALSE)),"INACTIVE",VLOOKUP(D1368,Data!$A$2:$C$223100,3,FALSE))</f>
        <v>Current</v>
      </c>
    </row>
    <row r="1369" spans="1:15" x14ac:dyDescent="0.25">
      <c r="A1369" t="s">
        <v>6515</v>
      </c>
      <c r="B1369" t="s">
        <v>6516</v>
      </c>
      <c r="C1369" t="s">
        <v>6521</v>
      </c>
      <c r="D1369" t="s">
        <v>6522</v>
      </c>
      <c r="E1369" t="s">
        <v>6523</v>
      </c>
      <c r="F1369" t="s">
        <v>5</v>
      </c>
      <c r="G1369" t="s">
        <v>5</v>
      </c>
      <c r="H1369" t="s">
        <v>5</v>
      </c>
      <c r="I1369" t="s">
        <v>6520</v>
      </c>
      <c r="J1369" t="s">
        <v>96</v>
      </c>
      <c r="K1369" s="3">
        <f t="shared" si="42"/>
        <v>0</v>
      </c>
      <c r="L1369" s="3">
        <f>IF(ISERROR(VLOOKUP(J1369,Lookups!$A$2:$A$16,1,FALSE)),1,0)</f>
        <v>0</v>
      </c>
      <c r="M1369" s="3">
        <f>IF(ISERROR(VLOOKUP(D1369,Data!$A$2:$D$223100,2,FALSE)),0,1)</f>
        <v>1</v>
      </c>
      <c r="N1369" s="3">
        <f t="shared" si="43"/>
        <v>0</v>
      </c>
      <c r="O1369" s="3" t="str">
        <f>IF(ISERROR(VLOOKUP(D1369,Data!$A$2:$C$223100,3,FALSE)),"INACTIVE",VLOOKUP(D1369,Data!$A$2:$C$223100,3,FALSE))</f>
        <v>30+</v>
      </c>
    </row>
    <row r="1370" spans="1:15" x14ac:dyDescent="0.25">
      <c r="A1370" t="s">
        <v>6082</v>
      </c>
      <c r="B1370" t="s">
        <v>6083</v>
      </c>
      <c r="C1370" t="s">
        <v>6084</v>
      </c>
      <c r="D1370" t="s">
        <v>6085</v>
      </c>
      <c r="E1370" t="s">
        <v>6086</v>
      </c>
      <c r="F1370" t="s">
        <v>5</v>
      </c>
      <c r="G1370" t="s">
        <v>5</v>
      </c>
      <c r="H1370" t="s">
        <v>5</v>
      </c>
      <c r="I1370" t="s">
        <v>6087</v>
      </c>
      <c r="J1370" t="s">
        <v>90</v>
      </c>
      <c r="K1370" s="3">
        <f t="shared" si="42"/>
        <v>0</v>
      </c>
      <c r="L1370" s="3">
        <f>IF(ISERROR(VLOOKUP(J1370,Lookups!$A$2:$A$16,1,FALSE)),1,0)</f>
        <v>0</v>
      </c>
      <c r="M1370" s="3">
        <f>IF(ISERROR(VLOOKUP(D1370,Data!$A$2:$D$223100,2,FALSE)),0,1)</f>
        <v>1</v>
      </c>
      <c r="N1370" s="3">
        <f t="shared" si="43"/>
        <v>0</v>
      </c>
      <c r="O1370" s="3" t="str">
        <f>IF(ISERROR(VLOOKUP(D1370,Data!$A$2:$C$223100,3,FALSE)),"INACTIVE",VLOOKUP(D1370,Data!$A$2:$C$223100,3,FALSE))</f>
        <v>30+</v>
      </c>
    </row>
    <row r="1371" spans="1:15" x14ac:dyDescent="0.25">
      <c r="A1371" t="s">
        <v>6198</v>
      </c>
      <c r="B1371" t="s">
        <v>6199</v>
      </c>
      <c r="C1371" t="s">
        <v>6200</v>
      </c>
      <c r="D1371" t="s">
        <v>6201</v>
      </c>
      <c r="E1371" t="s">
        <v>6202</v>
      </c>
      <c r="F1371" t="s">
        <v>5</v>
      </c>
      <c r="G1371" t="s">
        <v>5</v>
      </c>
      <c r="H1371" t="s">
        <v>5</v>
      </c>
      <c r="I1371" t="s">
        <v>6087</v>
      </c>
      <c r="J1371" t="s">
        <v>90</v>
      </c>
      <c r="K1371" s="3">
        <f t="shared" si="42"/>
        <v>0</v>
      </c>
      <c r="L1371" s="3">
        <f>IF(ISERROR(VLOOKUP(J1371,Lookups!$A$2:$A$16,1,FALSE)),1,0)</f>
        <v>0</v>
      </c>
      <c r="M1371" s="3">
        <f>IF(ISERROR(VLOOKUP(D1371,Data!$A$2:$D$223100,2,FALSE)),0,1)</f>
        <v>1</v>
      </c>
      <c r="N1371" s="3">
        <f t="shared" si="43"/>
        <v>0</v>
      </c>
      <c r="O1371" s="3" t="str">
        <f>IF(ISERROR(VLOOKUP(D1371,Data!$A$2:$C$223100,3,FALSE)),"INACTIVE",VLOOKUP(D1371,Data!$A$2:$C$223100,3,FALSE))</f>
        <v>30+</v>
      </c>
    </row>
    <row r="1372" spans="1:15" x14ac:dyDescent="0.25">
      <c r="A1372" t="s">
        <v>6198</v>
      </c>
      <c r="B1372" t="s">
        <v>6199</v>
      </c>
      <c r="C1372" t="s">
        <v>6203</v>
      </c>
      <c r="D1372" t="s">
        <v>6204</v>
      </c>
      <c r="E1372" t="s">
        <v>6205</v>
      </c>
      <c r="F1372" t="s">
        <v>5</v>
      </c>
      <c r="G1372" t="s">
        <v>5</v>
      </c>
      <c r="H1372" t="s">
        <v>5</v>
      </c>
      <c r="I1372" t="s">
        <v>6087</v>
      </c>
      <c r="J1372" t="s">
        <v>90</v>
      </c>
      <c r="K1372" s="3">
        <f t="shared" si="42"/>
        <v>0</v>
      </c>
      <c r="L1372" s="3">
        <f>IF(ISERROR(VLOOKUP(J1372,Lookups!$A$2:$A$16,1,FALSE)),1,0)</f>
        <v>0</v>
      </c>
      <c r="M1372" s="3">
        <f>IF(ISERROR(VLOOKUP(D1372,Data!$A$2:$D$223100,2,FALSE)),0,1)</f>
        <v>1</v>
      </c>
      <c r="N1372" s="3">
        <f t="shared" si="43"/>
        <v>0</v>
      </c>
      <c r="O1372" s="3" t="str">
        <f>IF(ISERROR(VLOOKUP(D1372,Data!$A$2:$C$223100,3,FALSE)),"INACTIVE",VLOOKUP(D1372,Data!$A$2:$C$223100,3,FALSE))</f>
        <v>BK13</v>
      </c>
    </row>
    <row r="1373" spans="1:15" x14ac:dyDescent="0.25">
      <c r="A1373" t="s">
        <v>5631</v>
      </c>
      <c r="B1373" t="s">
        <v>6214</v>
      </c>
      <c r="C1373" t="s">
        <v>6215</v>
      </c>
      <c r="D1373" t="s">
        <v>6216</v>
      </c>
      <c r="E1373" t="s">
        <v>6217</v>
      </c>
      <c r="F1373" t="s">
        <v>5</v>
      </c>
      <c r="G1373" t="s">
        <v>5</v>
      </c>
      <c r="H1373" t="s">
        <v>5</v>
      </c>
      <c r="I1373" t="s">
        <v>6087</v>
      </c>
      <c r="J1373" t="s">
        <v>96</v>
      </c>
      <c r="K1373" s="3">
        <f t="shared" si="42"/>
        <v>0</v>
      </c>
      <c r="L1373" s="3">
        <f>IF(ISERROR(VLOOKUP(J1373,Lookups!$A$2:$A$16,1,FALSE)),1,0)</f>
        <v>0</v>
      </c>
      <c r="M1373" s="3">
        <f>IF(ISERROR(VLOOKUP(D1373,Data!$A$2:$D$223100,2,FALSE)),0,1)</f>
        <v>1</v>
      </c>
      <c r="N1373" s="3">
        <f t="shared" si="43"/>
        <v>0</v>
      </c>
      <c r="O1373" s="3" t="str">
        <f>IF(ISERROR(VLOOKUP(D1373,Data!$A$2:$C$223100,3,FALSE)),"INACTIVE",VLOOKUP(D1373,Data!$A$2:$C$223100,3,FALSE))</f>
        <v>Current</v>
      </c>
    </row>
    <row r="1374" spans="1:15" x14ac:dyDescent="0.25">
      <c r="A1374" t="s">
        <v>6524</v>
      </c>
      <c r="B1374" t="s">
        <v>6525</v>
      </c>
      <c r="C1374" t="s">
        <v>6526</v>
      </c>
      <c r="D1374" t="s">
        <v>6527</v>
      </c>
      <c r="E1374" t="s">
        <v>6528</v>
      </c>
      <c r="F1374" t="s">
        <v>5</v>
      </c>
      <c r="G1374" t="s">
        <v>5</v>
      </c>
      <c r="H1374" t="s">
        <v>5</v>
      </c>
      <c r="I1374" t="s">
        <v>6087</v>
      </c>
      <c r="J1374" t="s">
        <v>96</v>
      </c>
      <c r="K1374" s="3">
        <f t="shared" si="42"/>
        <v>0</v>
      </c>
      <c r="L1374" s="3">
        <f>IF(ISERROR(VLOOKUP(J1374,Lookups!$A$2:$A$16,1,FALSE)),1,0)</f>
        <v>0</v>
      </c>
      <c r="M1374" s="3">
        <f>IF(ISERROR(VLOOKUP(D1374,Data!$A$2:$D$223100,2,FALSE)),0,1)</f>
        <v>1</v>
      </c>
      <c r="N1374" s="3">
        <f t="shared" si="43"/>
        <v>0</v>
      </c>
      <c r="O1374" s="3" t="str">
        <f>IF(ISERROR(VLOOKUP(D1374,Data!$A$2:$C$223100,3,FALSE)),"INACTIVE",VLOOKUP(D1374,Data!$A$2:$C$223100,3,FALSE))</f>
        <v>Demand Letter</v>
      </c>
    </row>
    <row r="1375" spans="1:15" x14ac:dyDescent="0.25">
      <c r="A1375" t="s">
        <v>6206</v>
      </c>
      <c r="B1375" t="s">
        <v>6207</v>
      </c>
      <c r="C1375" t="s">
        <v>6208</v>
      </c>
      <c r="D1375" t="s">
        <v>6209</v>
      </c>
      <c r="E1375" t="s">
        <v>6210</v>
      </c>
      <c r="F1375" t="s">
        <v>5</v>
      </c>
      <c r="G1375" t="s">
        <v>5</v>
      </c>
      <c r="H1375" t="s">
        <v>5</v>
      </c>
      <c r="I1375" t="s">
        <v>6211</v>
      </c>
      <c r="J1375" t="s">
        <v>96</v>
      </c>
      <c r="K1375" s="3">
        <f t="shared" si="42"/>
        <v>0</v>
      </c>
      <c r="L1375" s="3">
        <f>IF(ISERROR(VLOOKUP(J1375,Lookups!$A$2:$A$16,1,FALSE)),1,0)</f>
        <v>0</v>
      </c>
      <c r="M1375" s="3">
        <f>IF(ISERROR(VLOOKUP(D1375,Data!$A$2:$D$223100,2,FALSE)),0,1)</f>
        <v>1</v>
      </c>
      <c r="N1375" s="3">
        <f t="shared" si="43"/>
        <v>0</v>
      </c>
      <c r="O1375" s="3" t="str">
        <f>IF(ISERROR(VLOOKUP(D1375,Data!$A$2:$C$223100,3,FALSE)),"INACTIVE",VLOOKUP(D1375,Data!$A$2:$C$223100,3,FALSE))</f>
        <v>180+</v>
      </c>
    </row>
    <row r="1376" spans="1:15" x14ac:dyDescent="0.25">
      <c r="A1376" t="s">
        <v>6206</v>
      </c>
      <c r="B1376" t="s">
        <v>6207</v>
      </c>
      <c r="C1376" t="s">
        <v>6208</v>
      </c>
      <c r="D1376" t="s">
        <v>6209</v>
      </c>
      <c r="E1376" t="s">
        <v>6212</v>
      </c>
      <c r="F1376" t="s">
        <v>5</v>
      </c>
      <c r="G1376" t="s">
        <v>5</v>
      </c>
      <c r="H1376" t="s">
        <v>5</v>
      </c>
      <c r="I1376" t="s">
        <v>6211</v>
      </c>
      <c r="J1376" t="s">
        <v>96</v>
      </c>
      <c r="K1376" s="3">
        <f t="shared" si="42"/>
        <v>0</v>
      </c>
      <c r="L1376" s="3">
        <f>IF(ISERROR(VLOOKUP(J1376,Lookups!$A$2:$A$16,1,FALSE)),1,0)</f>
        <v>0</v>
      </c>
      <c r="M1376" s="3">
        <f>IF(ISERROR(VLOOKUP(D1376,Data!$A$2:$D$223100,2,FALSE)),0,1)</f>
        <v>1</v>
      </c>
      <c r="N1376" s="3">
        <f t="shared" si="43"/>
        <v>0</v>
      </c>
      <c r="O1376" s="3" t="str">
        <f>IF(ISERROR(VLOOKUP(D1376,Data!$A$2:$C$223100,3,FALSE)),"INACTIVE",VLOOKUP(D1376,Data!$A$2:$C$223100,3,FALSE))</f>
        <v>180+</v>
      </c>
    </row>
    <row r="1377" spans="1:15" x14ac:dyDescent="0.25">
      <c r="A1377" t="s">
        <v>6206</v>
      </c>
      <c r="B1377" t="s">
        <v>6207</v>
      </c>
      <c r="C1377" t="s">
        <v>6208</v>
      </c>
      <c r="D1377" t="s">
        <v>6209</v>
      </c>
      <c r="E1377" t="s">
        <v>6213</v>
      </c>
      <c r="F1377" t="s">
        <v>5</v>
      </c>
      <c r="G1377" t="s">
        <v>5</v>
      </c>
      <c r="H1377" t="s">
        <v>5</v>
      </c>
      <c r="I1377" t="s">
        <v>6211</v>
      </c>
      <c r="J1377" t="s">
        <v>96</v>
      </c>
      <c r="K1377" s="3">
        <f t="shared" si="42"/>
        <v>0</v>
      </c>
      <c r="L1377" s="3">
        <f>IF(ISERROR(VLOOKUP(J1377,Lookups!$A$2:$A$16,1,FALSE)),1,0)</f>
        <v>0</v>
      </c>
      <c r="M1377" s="3">
        <f>IF(ISERROR(VLOOKUP(D1377,Data!$A$2:$D$223100,2,FALSE)),0,1)</f>
        <v>1</v>
      </c>
      <c r="N1377" s="3">
        <f t="shared" si="43"/>
        <v>0</v>
      </c>
      <c r="O1377" s="3" t="str">
        <f>IF(ISERROR(VLOOKUP(D1377,Data!$A$2:$C$223100,3,FALSE)),"INACTIVE",VLOOKUP(D1377,Data!$A$2:$C$223100,3,FALSE))</f>
        <v>180+</v>
      </c>
    </row>
    <row r="1378" spans="1:15" x14ac:dyDescent="0.25">
      <c r="A1378" t="s">
        <v>6265</v>
      </c>
      <c r="B1378" t="s">
        <v>6266</v>
      </c>
      <c r="C1378" t="s">
        <v>6267</v>
      </c>
      <c r="D1378" t="s">
        <v>6268</v>
      </c>
      <c r="E1378" t="s">
        <v>6269</v>
      </c>
      <c r="F1378" t="s">
        <v>5</v>
      </c>
      <c r="G1378" t="s">
        <v>5</v>
      </c>
      <c r="H1378" t="s">
        <v>5</v>
      </c>
      <c r="I1378" t="s">
        <v>6211</v>
      </c>
      <c r="J1378" t="s">
        <v>96</v>
      </c>
      <c r="K1378" s="3">
        <f t="shared" si="42"/>
        <v>0</v>
      </c>
      <c r="L1378" s="3">
        <f>IF(ISERROR(VLOOKUP(J1378,Lookups!$A$2:$A$16,1,FALSE)),1,0)</f>
        <v>0</v>
      </c>
      <c r="M1378" s="3">
        <f>IF(ISERROR(VLOOKUP(D1378,Data!$A$2:$D$223100,2,FALSE)),0,1)</f>
        <v>1</v>
      </c>
      <c r="N1378" s="3">
        <f t="shared" si="43"/>
        <v>0</v>
      </c>
      <c r="O1378" s="3" t="str">
        <f>IF(ISERROR(VLOOKUP(D1378,Data!$A$2:$C$223100,3,FALSE)),"INACTIVE",VLOOKUP(D1378,Data!$A$2:$C$223100,3,FALSE))</f>
        <v>BK13</v>
      </c>
    </row>
    <row r="1379" spans="1:15" x14ac:dyDescent="0.25">
      <c r="A1379" t="s">
        <v>6372</v>
      </c>
      <c r="B1379" t="s">
        <v>6373</v>
      </c>
      <c r="C1379" t="s">
        <v>6374</v>
      </c>
      <c r="D1379" t="s">
        <v>6375</v>
      </c>
      <c r="E1379" t="s">
        <v>6376</v>
      </c>
      <c r="F1379" t="s">
        <v>5</v>
      </c>
      <c r="G1379" t="s">
        <v>5</v>
      </c>
      <c r="H1379" t="s">
        <v>5</v>
      </c>
      <c r="I1379" t="s">
        <v>6211</v>
      </c>
      <c r="J1379" t="s">
        <v>7</v>
      </c>
      <c r="K1379" s="3">
        <f t="shared" si="42"/>
        <v>0</v>
      </c>
      <c r="L1379" s="3">
        <f>IF(ISERROR(VLOOKUP(J1379,Lookups!$A$2:$A$16,1,FALSE)),1,0)</f>
        <v>1</v>
      </c>
      <c r="M1379" s="3">
        <f>IF(ISERROR(VLOOKUP(D1379,Data!$A$2:$D$223100,2,FALSE)),0,1)</f>
        <v>1</v>
      </c>
      <c r="N1379" s="3">
        <f t="shared" si="43"/>
        <v>1</v>
      </c>
      <c r="O1379" s="3" t="str">
        <f>IF(ISERROR(VLOOKUP(D1379,Data!$A$2:$C$223100,3,FALSE)),"INACTIVE",VLOOKUP(D1379,Data!$A$2:$C$223100,3,FALSE))</f>
        <v>60+</v>
      </c>
    </row>
    <row r="1380" spans="1:15" x14ac:dyDescent="0.25">
      <c r="A1380" t="s">
        <v>6103</v>
      </c>
      <c r="B1380" t="s">
        <v>6104</v>
      </c>
      <c r="C1380" t="s">
        <v>6105</v>
      </c>
      <c r="D1380" t="s">
        <v>6106</v>
      </c>
      <c r="E1380" t="s">
        <v>5</v>
      </c>
      <c r="F1380" t="s">
        <v>6107</v>
      </c>
      <c r="G1380" t="s">
        <v>5</v>
      </c>
      <c r="H1380" t="s">
        <v>5</v>
      </c>
      <c r="I1380" t="s">
        <v>6108</v>
      </c>
      <c r="J1380" t="s">
        <v>7</v>
      </c>
      <c r="K1380" s="3">
        <f t="shared" si="42"/>
        <v>0</v>
      </c>
      <c r="L1380" s="3">
        <f>IF(ISERROR(VLOOKUP(J1380,Lookups!$A$2:$A$16,1,FALSE)),1,0)</f>
        <v>1</v>
      </c>
      <c r="M1380" s="3">
        <f>IF(ISERROR(VLOOKUP(D1380,Data!$A$2:$D$223100,2,FALSE)),0,1)</f>
        <v>1</v>
      </c>
      <c r="N1380" s="3">
        <f t="shared" si="43"/>
        <v>1</v>
      </c>
      <c r="O1380" s="3" t="str">
        <f>IF(ISERROR(VLOOKUP(D1380,Data!$A$2:$C$223100,3,FALSE)),"INACTIVE",VLOOKUP(D1380,Data!$A$2:$C$223100,3,FALSE))</f>
        <v>150+</v>
      </c>
    </row>
    <row r="1381" spans="1:15" x14ac:dyDescent="0.25">
      <c r="A1381" t="s">
        <v>6163</v>
      </c>
      <c r="B1381" t="s">
        <v>6164</v>
      </c>
      <c r="C1381" t="s">
        <v>6165</v>
      </c>
      <c r="D1381" t="s">
        <v>6166</v>
      </c>
      <c r="E1381" t="s">
        <v>6167</v>
      </c>
      <c r="F1381" t="s">
        <v>5</v>
      </c>
      <c r="G1381" t="s">
        <v>5</v>
      </c>
      <c r="H1381" t="s">
        <v>5</v>
      </c>
      <c r="I1381" t="s">
        <v>6108</v>
      </c>
      <c r="J1381" t="s">
        <v>7</v>
      </c>
      <c r="K1381" s="3">
        <f t="shared" si="42"/>
        <v>0</v>
      </c>
      <c r="L1381" s="3">
        <f>IF(ISERROR(VLOOKUP(J1381,Lookups!$A$2:$A$16,1,FALSE)),1,0)</f>
        <v>1</v>
      </c>
      <c r="M1381" s="3">
        <f>IF(ISERROR(VLOOKUP(D1381,Data!$A$2:$D$223100,2,FALSE)),0,1)</f>
        <v>1</v>
      </c>
      <c r="N1381" s="3">
        <f t="shared" si="43"/>
        <v>1</v>
      </c>
      <c r="O1381" s="3" t="str">
        <f>IF(ISERROR(VLOOKUP(D1381,Data!$A$2:$C$223100,3,FALSE)),"INACTIVE",VLOOKUP(D1381,Data!$A$2:$C$223100,3,FALSE))</f>
        <v>FC</v>
      </c>
    </row>
    <row r="1382" spans="1:15" x14ac:dyDescent="0.25">
      <c r="A1382" t="s">
        <v>6245</v>
      </c>
      <c r="B1382" t="s">
        <v>6246</v>
      </c>
      <c r="C1382" t="s">
        <v>6247</v>
      </c>
      <c r="D1382" t="s">
        <v>6248</v>
      </c>
      <c r="E1382" t="s">
        <v>6249</v>
      </c>
      <c r="F1382" t="s">
        <v>5</v>
      </c>
      <c r="G1382" t="s">
        <v>5</v>
      </c>
      <c r="H1382" t="s">
        <v>5</v>
      </c>
      <c r="I1382" t="s">
        <v>6108</v>
      </c>
      <c r="J1382" t="s">
        <v>36</v>
      </c>
      <c r="K1382" s="3">
        <f t="shared" si="42"/>
        <v>0</v>
      </c>
      <c r="L1382" s="3">
        <f>IF(ISERROR(VLOOKUP(J1382,Lookups!$A$2:$A$16,1,FALSE)),1,0)</f>
        <v>1</v>
      </c>
      <c r="M1382" s="3">
        <f>IF(ISERROR(VLOOKUP(D1382,Data!$A$2:$D$223100,2,FALSE)),0,1)</f>
        <v>1</v>
      </c>
      <c r="N1382" s="3">
        <f t="shared" si="43"/>
        <v>1</v>
      </c>
      <c r="O1382" s="3" t="str">
        <f>IF(ISERROR(VLOOKUP(D1382,Data!$A$2:$C$223100,3,FALSE)),"INACTIVE",VLOOKUP(D1382,Data!$A$2:$C$223100,3,FALSE))</f>
        <v>30+</v>
      </c>
    </row>
    <row r="1383" spans="1:15" x14ac:dyDescent="0.25">
      <c r="A1383" t="s">
        <v>6245</v>
      </c>
      <c r="B1383" t="s">
        <v>6246</v>
      </c>
      <c r="C1383" t="s">
        <v>6250</v>
      </c>
      <c r="D1383" t="s">
        <v>6251</v>
      </c>
      <c r="E1383" t="s">
        <v>6252</v>
      </c>
      <c r="F1383" t="s">
        <v>5</v>
      </c>
      <c r="G1383" t="s">
        <v>5</v>
      </c>
      <c r="H1383" t="s">
        <v>5</v>
      </c>
      <c r="I1383" t="s">
        <v>6108</v>
      </c>
      <c r="J1383" t="s">
        <v>36</v>
      </c>
      <c r="K1383" s="3">
        <f t="shared" si="42"/>
        <v>0</v>
      </c>
      <c r="L1383" s="3">
        <f>IF(ISERROR(VLOOKUP(J1383,Lookups!$A$2:$A$16,1,FALSE)),1,0)</f>
        <v>1</v>
      </c>
      <c r="M1383" s="3">
        <f>IF(ISERROR(VLOOKUP(D1383,Data!$A$2:$D$223100,2,FALSE)),0,1)</f>
        <v>1</v>
      </c>
      <c r="N1383" s="3">
        <f t="shared" si="43"/>
        <v>1</v>
      </c>
      <c r="O1383" s="3" t="str">
        <f>IF(ISERROR(VLOOKUP(D1383,Data!$A$2:$C$223100,3,FALSE)),"INACTIVE",VLOOKUP(D1383,Data!$A$2:$C$223100,3,FALSE))</f>
        <v>150+</v>
      </c>
    </row>
    <row r="1384" spans="1:15" x14ac:dyDescent="0.25">
      <c r="A1384" t="s">
        <v>6245</v>
      </c>
      <c r="B1384" t="s">
        <v>6246</v>
      </c>
      <c r="C1384" t="s">
        <v>6253</v>
      </c>
      <c r="D1384" t="s">
        <v>6254</v>
      </c>
      <c r="E1384" t="s">
        <v>6255</v>
      </c>
      <c r="F1384" t="s">
        <v>5</v>
      </c>
      <c r="G1384" t="s">
        <v>5</v>
      </c>
      <c r="H1384" t="s">
        <v>5</v>
      </c>
      <c r="I1384" t="s">
        <v>6108</v>
      </c>
      <c r="J1384" t="s">
        <v>14</v>
      </c>
      <c r="K1384" s="3">
        <f t="shared" si="42"/>
        <v>0</v>
      </c>
      <c r="L1384" s="3">
        <f>IF(ISERROR(VLOOKUP(J1384,Lookups!$A$2:$A$16,1,FALSE)),1,0)</f>
        <v>1</v>
      </c>
      <c r="M1384" s="3">
        <f>IF(ISERROR(VLOOKUP(D1384,Data!$A$2:$D$223100,2,FALSE)),0,1)</f>
        <v>1</v>
      </c>
      <c r="N1384" s="3">
        <f t="shared" si="43"/>
        <v>1</v>
      </c>
      <c r="O1384" s="3" t="str">
        <f>IF(ISERROR(VLOOKUP(D1384,Data!$A$2:$C$223100,3,FALSE)),"INACTIVE",VLOOKUP(D1384,Data!$A$2:$C$223100,3,FALSE))</f>
        <v>Current</v>
      </c>
    </row>
    <row r="1385" spans="1:15" x14ac:dyDescent="0.25">
      <c r="A1385" t="s">
        <v>6245</v>
      </c>
      <c r="B1385" t="s">
        <v>6246</v>
      </c>
      <c r="C1385" t="s">
        <v>6256</v>
      </c>
      <c r="D1385" t="s">
        <v>6257</v>
      </c>
      <c r="E1385" t="s">
        <v>6258</v>
      </c>
      <c r="F1385" t="s">
        <v>5</v>
      </c>
      <c r="G1385" t="s">
        <v>5</v>
      </c>
      <c r="H1385" t="s">
        <v>5</v>
      </c>
      <c r="I1385" t="s">
        <v>6108</v>
      </c>
      <c r="J1385" t="s">
        <v>36</v>
      </c>
      <c r="K1385" s="3">
        <f t="shared" si="42"/>
        <v>0</v>
      </c>
      <c r="L1385" s="3">
        <f>IF(ISERROR(VLOOKUP(J1385,Lookups!$A$2:$A$16,1,FALSE)),1,0)</f>
        <v>1</v>
      </c>
      <c r="M1385" s="3">
        <f>IF(ISERROR(VLOOKUP(D1385,Data!$A$2:$D$223100,2,FALSE)),0,1)</f>
        <v>1</v>
      </c>
      <c r="N1385" s="3">
        <f t="shared" si="43"/>
        <v>1</v>
      </c>
      <c r="O1385" s="3" t="str">
        <f>IF(ISERROR(VLOOKUP(D1385,Data!$A$2:$C$223100,3,FALSE)),"INACTIVE",VLOOKUP(D1385,Data!$A$2:$C$223100,3,FALSE))</f>
        <v>Current</v>
      </c>
    </row>
    <row r="1386" spans="1:15" x14ac:dyDescent="0.25">
      <c r="A1386" t="s">
        <v>6245</v>
      </c>
      <c r="B1386" t="s">
        <v>6246</v>
      </c>
      <c r="C1386" t="s">
        <v>6259</v>
      </c>
      <c r="D1386" t="s">
        <v>6260</v>
      </c>
      <c r="E1386" t="s">
        <v>6261</v>
      </c>
      <c r="F1386" t="s">
        <v>5</v>
      </c>
      <c r="G1386" t="s">
        <v>5</v>
      </c>
      <c r="H1386" t="s">
        <v>5</v>
      </c>
      <c r="I1386" t="s">
        <v>6108</v>
      </c>
      <c r="J1386" t="s">
        <v>36</v>
      </c>
      <c r="K1386" s="3">
        <f t="shared" si="42"/>
        <v>0</v>
      </c>
      <c r="L1386" s="3">
        <f>IF(ISERROR(VLOOKUP(J1386,Lookups!$A$2:$A$16,1,FALSE)),1,0)</f>
        <v>1</v>
      </c>
      <c r="M1386" s="3">
        <f>IF(ISERROR(VLOOKUP(D1386,Data!$A$2:$D$223100,2,FALSE)),0,1)</f>
        <v>1</v>
      </c>
      <c r="N1386" s="3">
        <f t="shared" si="43"/>
        <v>1</v>
      </c>
      <c r="O1386" s="3" t="str">
        <f>IF(ISERROR(VLOOKUP(D1386,Data!$A$2:$C$223100,3,FALSE)),"INACTIVE",VLOOKUP(D1386,Data!$A$2:$C$223100,3,FALSE))</f>
        <v>120+</v>
      </c>
    </row>
    <row r="1387" spans="1:15" x14ac:dyDescent="0.25">
      <c r="A1387" t="s">
        <v>6245</v>
      </c>
      <c r="B1387" t="s">
        <v>6246</v>
      </c>
      <c r="C1387" t="s">
        <v>6262</v>
      </c>
      <c r="D1387" t="s">
        <v>6263</v>
      </c>
      <c r="E1387" t="s">
        <v>6264</v>
      </c>
      <c r="F1387" t="s">
        <v>5</v>
      </c>
      <c r="G1387" t="s">
        <v>5</v>
      </c>
      <c r="H1387" t="s">
        <v>5</v>
      </c>
      <c r="I1387" t="s">
        <v>6108</v>
      </c>
      <c r="J1387" t="s">
        <v>36</v>
      </c>
      <c r="K1387" s="3">
        <f t="shared" si="42"/>
        <v>0</v>
      </c>
      <c r="L1387" s="3">
        <f>IF(ISERROR(VLOOKUP(J1387,Lookups!$A$2:$A$16,1,FALSE)),1,0)</f>
        <v>1</v>
      </c>
      <c r="M1387" s="3">
        <f>IF(ISERROR(VLOOKUP(D1387,Data!$A$2:$D$223100,2,FALSE)),0,1)</f>
        <v>1</v>
      </c>
      <c r="N1387" s="3">
        <f t="shared" si="43"/>
        <v>1</v>
      </c>
      <c r="O1387" s="3" t="str">
        <f>IF(ISERROR(VLOOKUP(D1387,Data!$A$2:$C$223100,3,FALSE)),"INACTIVE",VLOOKUP(D1387,Data!$A$2:$C$223100,3,FALSE))</f>
        <v>120+</v>
      </c>
    </row>
    <row r="1388" spans="1:15" x14ac:dyDescent="0.25">
      <c r="A1388" t="s">
        <v>6270</v>
      </c>
      <c r="B1388" t="s">
        <v>6271</v>
      </c>
      <c r="C1388" t="s">
        <v>5736</v>
      </c>
      <c r="D1388" t="s">
        <v>5737</v>
      </c>
      <c r="E1388" t="s">
        <v>5</v>
      </c>
      <c r="F1388" t="s">
        <v>5</v>
      </c>
      <c r="G1388" t="s">
        <v>5</v>
      </c>
      <c r="H1388" t="s">
        <v>5</v>
      </c>
      <c r="I1388" t="s">
        <v>6108</v>
      </c>
      <c r="J1388" t="s">
        <v>96</v>
      </c>
      <c r="K1388" s="3">
        <f t="shared" si="42"/>
        <v>1</v>
      </c>
      <c r="L1388" s="3">
        <f>IF(ISERROR(VLOOKUP(J1388,Lookups!$A$2:$A$16,1,FALSE)),1,0)</f>
        <v>0</v>
      </c>
      <c r="M1388" s="3">
        <f>IF(ISERROR(VLOOKUP(D1388,Data!$A$2:$D$223100,2,FALSE)),0,1)</f>
        <v>0</v>
      </c>
      <c r="N1388" s="3">
        <f t="shared" si="43"/>
        <v>0</v>
      </c>
      <c r="O1388" s="3" t="str">
        <f>IF(ISERROR(VLOOKUP(D1388,Data!$A$2:$C$223100,3,FALSE)),"INACTIVE",VLOOKUP(D1388,Data!$A$2:$C$223100,3,FALSE))</f>
        <v>INACTIVE</v>
      </c>
    </row>
    <row r="1389" spans="1:15" x14ac:dyDescent="0.25">
      <c r="A1389" t="s">
        <v>6272</v>
      </c>
      <c r="B1389" t="s">
        <v>6273</v>
      </c>
      <c r="C1389" t="s">
        <v>5740</v>
      </c>
      <c r="D1389" t="s">
        <v>5741</v>
      </c>
      <c r="E1389" t="s">
        <v>5</v>
      </c>
      <c r="F1389" t="s">
        <v>5</v>
      </c>
      <c r="G1389" t="s">
        <v>5</v>
      </c>
      <c r="H1389" t="s">
        <v>5</v>
      </c>
      <c r="I1389" t="s">
        <v>6108</v>
      </c>
      <c r="J1389" t="s">
        <v>96</v>
      </c>
      <c r="K1389" s="3">
        <f t="shared" si="42"/>
        <v>1</v>
      </c>
      <c r="L1389" s="3">
        <f>IF(ISERROR(VLOOKUP(J1389,Lookups!$A$2:$A$16,1,FALSE)),1,0)</f>
        <v>0</v>
      </c>
      <c r="M1389" s="3">
        <f>IF(ISERROR(VLOOKUP(D1389,Data!$A$2:$D$223100,2,FALSE)),0,1)</f>
        <v>1</v>
      </c>
      <c r="N1389" s="3">
        <f t="shared" si="43"/>
        <v>1</v>
      </c>
      <c r="O1389" s="3" t="str">
        <f>IF(ISERROR(VLOOKUP(D1389,Data!$A$2:$C$223100,3,FALSE)),"INACTIVE",VLOOKUP(D1389,Data!$A$2:$C$223100,3,FALSE))</f>
        <v>Current</v>
      </c>
    </row>
    <row r="1390" spans="1:15" x14ac:dyDescent="0.25">
      <c r="A1390" t="s">
        <v>6272</v>
      </c>
      <c r="B1390" t="s">
        <v>6273</v>
      </c>
      <c r="C1390" t="s">
        <v>5736</v>
      </c>
      <c r="D1390" t="s">
        <v>5737</v>
      </c>
      <c r="E1390" t="s">
        <v>5</v>
      </c>
      <c r="F1390" t="s">
        <v>5</v>
      </c>
      <c r="G1390" t="s">
        <v>5</v>
      </c>
      <c r="H1390" t="s">
        <v>5</v>
      </c>
      <c r="I1390" t="s">
        <v>6108</v>
      </c>
      <c r="J1390" t="s">
        <v>96</v>
      </c>
      <c r="K1390" s="3">
        <f t="shared" si="42"/>
        <v>1</v>
      </c>
      <c r="L1390" s="3">
        <f>IF(ISERROR(VLOOKUP(J1390,Lookups!$A$2:$A$16,1,FALSE)),1,0)</f>
        <v>0</v>
      </c>
      <c r="M1390" s="3">
        <f>IF(ISERROR(VLOOKUP(D1390,Data!$A$2:$D$223100,2,FALSE)),0,1)</f>
        <v>0</v>
      </c>
      <c r="N1390" s="3">
        <f t="shared" si="43"/>
        <v>0</v>
      </c>
      <c r="O1390" s="3" t="str">
        <f>IF(ISERROR(VLOOKUP(D1390,Data!$A$2:$C$223100,3,FALSE)),"INACTIVE",VLOOKUP(D1390,Data!$A$2:$C$223100,3,FALSE))</f>
        <v>INACTIVE</v>
      </c>
    </row>
    <row r="1391" spans="1:15" x14ac:dyDescent="0.25">
      <c r="A1391" t="s">
        <v>6272</v>
      </c>
      <c r="B1391" t="s">
        <v>6273</v>
      </c>
      <c r="C1391" t="s">
        <v>5742</v>
      </c>
      <c r="D1391" t="s">
        <v>5743</v>
      </c>
      <c r="E1391" t="s">
        <v>5</v>
      </c>
      <c r="F1391" t="s">
        <v>5</v>
      </c>
      <c r="G1391" t="s">
        <v>5</v>
      </c>
      <c r="H1391" t="s">
        <v>5</v>
      </c>
      <c r="I1391" t="s">
        <v>6108</v>
      </c>
      <c r="J1391" t="s">
        <v>96</v>
      </c>
      <c r="K1391" s="3">
        <f t="shared" si="42"/>
        <v>1</v>
      </c>
      <c r="L1391" s="3">
        <f>IF(ISERROR(VLOOKUP(J1391,Lookups!$A$2:$A$16,1,FALSE)),1,0)</f>
        <v>0</v>
      </c>
      <c r="M1391" s="3">
        <f>IF(ISERROR(VLOOKUP(D1391,Data!$A$2:$D$223100,2,FALSE)),0,1)</f>
        <v>1</v>
      </c>
      <c r="N1391" s="3">
        <f t="shared" si="43"/>
        <v>1</v>
      </c>
      <c r="O1391" s="3" t="str">
        <f>IF(ISERROR(VLOOKUP(D1391,Data!$A$2:$C$223100,3,FALSE)),"INACTIVE",VLOOKUP(D1391,Data!$A$2:$C$223100,3,FALSE))</f>
        <v>Current</v>
      </c>
    </row>
    <row r="1392" spans="1:15" x14ac:dyDescent="0.25">
      <c r="A1392" t="s">
        <v>6272</v>
      </c>
      <c r="B1392" t="s">
        <v>6273</v>
      </c>
      <c r="C1392" t="s">
        <v>5744</v>
      </c>
      <c r="D1392" t="s">
        <v>5745</v>
      </c>
      <c r="E1392" t="s">
        <v>5</v>
      </c>
      <c r="F1392" t="s">
        <v>5</v>
      </c>
      <c r="G1392" t="s">
        <v>5</v>
      </c>
      <c r="H1392" t="s">
        <v>5</v>
      </c>
      <c r="I1392" t="s">
        <v>6108</v>
      </c>
      <c r="J1392" t="s">
        <v>96</v>
      </c>
      <c r="K1392" s="3">
        <f t="shared" si="42"/>
        <v>1</v>
      </c>
      <c r="L1392" s="3">
        <f>IF(ISERROR(VLOOKUP(J1392,Lookups!$A$2:$A$16,1,FALSE)),1,0)</f>
        <v>0</v>
      </c>
      <c r="M1392" s="3">
        <f>IF(ISERROR(VLOOKUP(D1392,Data!$A$2:$D$223100,2,FALSE)),0,1)</f>
        <v>1</v>
      </c>
      <c r="N1392" s="3">
        <f t="shared" si="43"/>
        <v>1</v>
      </c>
      <c r="O1392" s="3" t="str">
        <f>IF(ISERROR(VLOOKUP(D1392,Data!$A$2:$C$223100,3,FALSE)),"INACTIVE",VLOOKUP(D1392,Data!$A$2:$C$223100,3,FALSE))</f>
        <v>120+</v>
      </c>
    </row>
    <row r="1393" spans="1:15" x14ac:dyDescent="0.25">
      <c r="A1393" t="s">
        <v>6272</v>
      </c>
      <c r="B1393" t="s">
        <v>6273</v>
      </c>
      <c r="C1393" t="s">
        <v>6274</v>
      </c>
      <c r="D1393" t="s">
        <v>6275</v>
      </c>
      <c r="E1393" t="s">
        <v>5</v>
      </c>
      <c r="F1393" t="s">
        <v>5</v>
      </c>
      <c r="G1393" t="s">
        <v>5</v>
      </c>
      <c r="H1393" t="s">
        <v>5</v>
      </c>
      <c r="I1393" t="s">
        <v>6108</v>
      </c>
      <c r="J1393" t="s">
        <v>96</v>
      </c>
      <c r="K1393" s="3">
        <f t="shared" si="42"/>
        <v>1</v>
      </c>
      <c r="L1393" s="3">
        <f>IF(ISERROR(VLOOKUP(J1393,Lookups!$A$2:$A$16,1,FALSE)),1,0)</f>
        <v>0</v>
      </c>
      <c r="M1393" s="3">
        <f>IF(ISERROR(VLOOKUP(D1393,Data!$A$2:$D$223100,2,FALSE)),0,1)</f>
        <v>0</v>
      </c>
      <c r="N1393" s="3">
        <f t="shared" si="43"/>
        <v>0</v>
      </c>
      <c r="O1393" s="3" t="str">
        <f>IF(ISERROR(VLOOKUP(D1393,Data!$A$2:$C$223100,3,FALSE)),"INACTIVE",VLOOKUP(D1393,Data!$A$2:$C$223100,3,FALSE))</f>
        <v>INACTIVE</v>
      </c>
    </row>
    <row r="1394" spans="1:15" x14ac:dyDescent="0.25">
      <c r="A1394" t="s">
        <v>6272</v>
      </c>
      <c r="B1394" t="s">
        <v>6273</v>
      </c>
      <c r="C1394" t="s">
        <v>5746</v>
      </c>
      <c r="D1394" t="s">
        <v>5747</v>
      </c>
      <c r="E1394" t="s">
        <v>5</v>
      </c>
      <c r="F1394" t="s">
        <v>5</v>
      </c>
      <c r="G1394" t="s">
        <v>5</v>
      </c>
      <c r="H1394" t="s">
        <v>5</v>
      </c>
      <c r="I1394" t="s">
        <v>6108</v>
      </c>
      <c r="J1394" t="s">
        <v>96</v>
      </c>
      <c r="K1394" s="3">
        <f t="shared" si="42"/>
        <v>1</v>
      </c>
      <c r="L1394" s="3">
        <f>IF(ISERROR(VLOOKUP(J1394,Lookups!$A$2:$A$16,1,FALSE)),1,0)</f>
        <v>0</v>
      </c>
      <c r="M1394" s="3">
        <f>IF(ISERROR(VLOOKUP(D1394,Data!$A$2:$D$223100,2,FALSE)),0,1)</f>
        <v>1</v>
      </c>
      <c r="N1394" s="3">
        <f t="shared" si="43"/>
        <v>1</v>
      </c>
      <c r="O1394" s="3" t="str">
        <f>IF(ISERROR(VLOOKUP(D1394,Data!$A$2:$C$223100,3,FALSE)),"INACTIVE",VLOOKUP(D1394,Data!$A$2:$C$223100,3,FALSE))</f>
        <v>FC</v>
      </c>
    </row>
    <row r="1395" spans="1:15" x14ac:dyDescent="0.25">
      <c r="A1395" t="s">
        <v>6276</v>
      </c>
      <c r="B1395" t="s">
        <v>6277</v>
      </c>
      <c r="C1395" t="s">
        <v>5750</v>
      </c>
      <c r="D1395" t="s">
        <v>5751</v>
      </c>
      <c r="E1395" t="s">
        <v>5</v>
      </c>
      <c r="F1395" t="s">
        <v>5</v>
      </c>
      <c r="G1395" t="s">
        <v>5</v>
      </c>
      <c r="H1395" t="s">
        <v>5</v>
      </c>
      <c r="I1395" t="s">
        <v>6108</v>
      </c>
      <c r="J1395" t="s">
        <v>96</v>
      </c>
      <c r="K1395" s="3">
        <f t="shared" si="42"/>
        <v>1</v>
      </c>
      <c r="L1395" s="3">
        <f>IF(ISERROR(VLOOKUP(J1395,Lookups!$A$2:$A$16,1,FALSE)),1,0)</f>
        <v>0</v>
      </c>
      <c r="M1395" s="3">
        <f>IF(ISERROR(VLOOKUP(D1395,Data!$A$2:$D$223100,2,FALSE)),0,1)</f>
        <v>1</v>
      </c>
      <c r="N1395" s="3">
        <f t="shared" si="43"/>
        <v>1</v>
      </c>
      <c r="O1395" s="3" t="str">
        <f>IF(ISERROR(VLOOKUP(D1395,Data!$A$2:$C$223100,3,FALSE)),"INACTIVE",VLOOKUP(D1395,Data!$A$2:$C$223100,3,FALSE))</f>
        <v>FC</v>
      </c>
    </row>
    <row r="1396" spans="1:15" x14ac:dyDescent="0.25">
      <c r="A1396" t="s">
        <v>6276</v>
      </c>
      <c r="B1396" t="s">
        <v>6277</v>
      </c>
      <c r="C1396" t="s">
        <v>5752</v>
      </c>
      <c r="D1396" t="s">
        <v>5753</v>
      </c>
      <c r="E1396" t="s">
        <v>5</v>
      </c>
      <c r="F1396" t="s">
        <v>5</v>
      </c>
      <c r="G1396" t="s">
        <v>5</v>
      </c>
      <c r="H1396" t="s">
        <v>5</v>
      </c>
      <c r="I1396" t="s">
        <v>6108</v>
      </c>
      <c r="J1396" t="s">
        <v>96</v>
      </c>
      <c r="K1396" s="3">
        <f t="shared" si="42"/>
        <v>1</v>
      </c>
      <c r="L1396" s="3">
        <f>IF(ISERROR(VLOOKUP(J1396,Lookups!$A$2:$A$16,1,FALSE)),1,0)</f>
        <v>0</v>
      </c>
      <c r="M1396" s="3">
        <f>IF(ISERROR(VLOOKUP(D1396,Data!$A$2:$D$223100,2,FALSE)),0,1)</f>
        <v>1</v>
      </c>
      <c r="N1396" s="3">
        <f t="shared" si="43"/>
        <v>1</v>
      </c>
      <c r="O1396" s="3" t="str">
        <f>IF(ISERROR(VLOOKUP(D1396,Data!$A$2:$C$223100,3,FALSE)),"INACTIVE",VLOOKUP(D1396,Data!$A$2:$C$223100,3,FALSE))</f>
        <v>FC</v>
      </c>
    </row>
    <row r="1397" spans="1:15" x14ac:dyDescent="0.25">
      <c r="A1397" t="s">
        <v>6276</v>
      </c>
      <c r="B1397" t="s">
        <v>6277</v>
      </c>
      <c r="C1397" t="s">
        <v>5754</v>
      </c>
      <c r="D1397" t="s">
        <v>5755</v>
      </c>
      <c r="E1397" t="s">
        <v>5</v>
      </c>
      <c r="F1397" t="s">
        <v>5</v>
      </c>
      <c r="G1397" t="s">
        <v>5</v>
      </c>
      <c r="H1397" t="s">
        <v>5</v>
      </c>
      <c r="I1397" t="s">
        <v>6108</v>
      </c>
      <c r="J1397" t="s">
        <v>96</v>
      </c>
      <c r="K1397" s="3">
        <f t="shared" si="42"/>
        <v>1</v>
      </c>
      <c r="L1397" s="3">
        <f>IF(ISERROR(VLOOKUP(J1397,Lookups!$A$2:$A$16,1,FALSE)),1,0)</f>
        <v>0</v>
      </c>
      <c r="M1397" s="3">
        <f>IF(ISERROR(VLOOKUP(D1397,Data!$A$2:$D$223100,2,FALSE)),0,1)</f>
        <v>1</v>
      </c>
      <c r="N1397" s="3">
        <f t="shared" si="43"/>
        <v>1</v>
      </c>
      <c r="O1397" s="3" t="str">
        <f>IF(ISERROR(VLOOKUP(D1397,Data!$A$2:$C$223100,3,FALSE)),"INACTIVE",VLOOKUP(D1397,Data!$A$2:$C$223100,3,FALSE))</f>
        <v>FC</v>
      </c>
    </row>
    <row r="1398" spans="1:15" x14ac:dyDescent="0.25">
      <c r="A1398" t="s">
        <v>6276</v>
      </c>
      <c r="B1398" t="s">
        <v>6277</v>
      </c>
      <c r="C1398" t="s">
        <v>5756</v>
      </c>
      <c r="D1398" t="s">
        <v>5757</v>
      </c>
      <c r="E1398" t="s">
        <v>5</v>
      </c>
      <c r="F1398" t="s">
        <v>5</v>
      </c>
      <c r="G1398" t="s">
        <v>5</v>
      </c>
      <c r="H1398" t="s">
        <v>5</v>
      </c>
      <c r="I1398" t="s">
        <v>6108</v>
      </c>
      <c r="J1398" t="s">
        <v>96</v>
      </c>
      <c r="K1398" s="3">
        <f t="shared" si="42"/>
        <v>1</v>
      </c>
      <c r="L1398" s="3">
        <f>IF(ISERROR(VLOOKUP(J1398,Lookups!$A$2:$A$16,1,FALSE)),1,0)</f>
        <v>0</v>
      </c>
      <c r="M1398" s="3">
        <f>IF(ISERROR(VLOOKUP(D1398,Data!$A$2:$D$223100,2,FALSE)),0,1)</f>
        <v>1</v>
      </c>
      <c r="N1398" s="3">
        <f t="shared" si="43"/>
        <v>1</v>
      </c>
      <c r="O1398" s="3" t="str">
        <f>IF(ISERROR(VLOOKUP(D1398,Data!$A$2:$C$223100,3,FALSE)),"INACTIVE",VLOOKUP(D1398,Data!$A$2:$C$223100,3,FALSE))</f>
        <v>FC</v>
      </c>
    </row>
    <row r="1399" spans="1:15" x14ac:dyDescent="0.25">
      <c r="A1399" t="s">
        <v>6278</v>
      </c>
      <c r="B1399" t="s">
        <v>6279</v>
      </c>
      <c r="C1399" t="s">
        <v>6280</v>
      </c>
      <c r="D1399" t="s">
        <v>6281</v>
      </c>
      <c r="E1399" t="s">
        <v>5</v>
      </c>
      <c r="F1399" t="s">
        <v>5</v>
      </c>
      <c r="G1399" t="s">
        <v>5</v>
      </c>
      <c r="H1399" t="s">
        <v>5</v>
      </c>
      <c r="I1399" t="s">
        <v>6108</v>
      </c>
      <c r="J1399" t="s">
        <v>96</v>
      </c>
      <c r="K1399" s="3">
        <f t="shared" si="42"/>
        <v>1</v>
      </c>
      <c r="L1399" s="3">
        <f>IF(ISERROR(VLOOKUP(J1399,Lookups!$A$2:$A$16,1,FALSE)),1,0)</f>
        <v>0</v>
      </c>
      <c r="M1399" s="3">
        <f>IF(ISERROR(VLOOKUP(D1399,Data!$A$2:$D$223100,2,FALSE)),0,1)</f>
        <v>1</v>
      </c>
      <c r="N1399" s="3">
        <f t="shared" si="43"/>
        <v>1</v>
      </c>
      <c r="O1399" s="3" t="str">
        <f>IF(ISERROR(VLOOKUP(D1399,Data!$A$2:$C$223100,3,FALSE)),"INACTIVE",VLOOKUP(D1399,Data!$A$2:$C$223100,3,FALSE))</f>
        <v>FBA</v>
      </c>
    </row>
    <row r="1400" spans="1:15" x14ac:dyDescent="0.25">
      <c r="A1400" t="s">
        <v>6278</v>
      </c>
      <c r="B1400" t="s">
        <v>6279</v>
      </c>
      <c r="C1400" t="s">
        <v>5750</v>
      </c>
      <c r="D1400" t="s">
        <v>5751</v>
      </c>
      <c r="E1400" t="s">
        <v>5</v>
      </c>
      <c r="F1400" t="s">
        <v>5</v>
      </c>
      <c r="G1400" t="s">
        <v>5</v>
      </c>
      <c r="H1400" t="s">
        <v>5</v>
      </c>
      <c r="I1400" t="s">
        <v>6108</v>
      </c>
      <c r="J1400" t="s">
        <v>96</v>
      </c>
      <c r="K1400" s="3">
        <f t="shared" si="42"/>
        <v>1</v>
      </c>
      <c r="L1400" s="3">
        <f>IF(ISERROR(VLOOKUP(J1400,Lookups!$A$2:$A$16,1,FALSE)),1,0)</f>
        <v>0</v>
      </c>
      <c r="M1400" s="3">
        <f>IF(ISERROR(VLOOKUP(D1400,Data!$A$2:$D$223100,2,FALSE)),0,1)</f>
        <v>1</v>
      </c>
      <c r="N1400" s="3">
        <f t="shared" si="43"/>
        <v>1</v>
      </c>
      <c r="O1400" s="3" t="str">
        <f>IF(ISERROR(VLOOKUP(D1400,Data!$A$2:$C$223100,3,FALSE)),"INACTIVE",VLOOKUP(D1400,Data!$A$2:$C$223100,3,FALSE))</f>
        <v>FC</v>
      </c>
    </row>
    <row r="1401" spans="1:15" x14ac:dyDescent="0.25">
      <c r="A1401" t="s">
        <v>6278</v>
      </c>
      <c r="B1401" t="s">
        <v>6279</v>
      </c>
      <c r="C1401" t="s">
        <v>5752</v>
      </c>
      <c r="D1401" t="s">
        <v>5753</v>
      </c>
      <c r="E1401" t="s">
        <v>5</v>
      </c>
      <c r="F1401" t="s">
        <v>5</v>
      </c>
      <c r="G1401" t="s">
        <v>5</v>
      </c>
      <c r="H1401" t="s">
        <v>5</v>
      </c>
      <c r="I1401" t="s">
        <v>6108</v>
      </c>
      <c r="J1401" t="s">
        <v>96</v>
      </c>
      <c r="K1401" s="3">
        <f t="shared" si="42"/>
        <v>1</v>
      </c>
      <c r="L1401" s="3">
        <f>IF(ISERROR(VLOOKUP(J1401,Lookups!$A$2:$A$16,1,FALSE)),1,0)</f>
        <v>0</v>
      </c>
      <c r="M1401" s="3">
        <f>IF(ISERROR(VLOOKUP(D1401,Data!$A$2:$D$223100,2,FALSE)),0,1)</f>
        <v>1</v>
      </c>
      <c r="N1401" s="3">
        <f t="shared" si="43"/>
        <v>1</v>
      </c>
      <c r="O1401" s="3" t="str">
        <f>IF(ISERROR(VLOOKUP(D1401,Data!$A$2:$C$223100,3,FALSE)),"INACTIVE",VLOOKUP(D1401,Data!$A$2:$C$223100,3,FALSE))</f>
        <v>FC</v>
      </c>
    </row>
    <row r="1402" spans="1:15" x14ac:dyDescent="0.25">
      <c r="A1402" t="s">
        <v>6278</v>
      </c>
      <c r="B1402" t="s">
        <v>6279</v>
      </c>
      <c r="C1402" t="s">
        <v>5754</v>
      </c>
      <c r="D1402" t="s">
        <v>5755</v>
      </c>
      <c r="E1402" t="s">
        <v>5</v>
      </c>
      <c r="F1402" t="s">
        <v>5</v>
      </c>
      <c r="G1402" t="s">
        <v>5</v>
      </c>
      <c r="H1402" t="s">
        <v>5</v>
      </c>
      <c r="I1402" t="s">
        <v>6108</v>
      </c>
      <c r="J1402" t="s">
        <v>96</v>
      </c>
      <c r="K1402" s="3">
        <f t="shared" si="42"/>
        <v>1</v>
      </c>
      <c r="L1402" s="3">
        <f>IF(ISERROR(VLOOKUP(J1402,Lookups!$A$2:$A$16,1,FALSE)),1,0)</f>
        <v>0</v>
      </c>
      <c r="M1402" s="3">
        <f>IF(ISERROR(VLOOKUP(D1402,Data!$A$2:$D$223100,2,FALSE)),0,1)</f>
        <v>1</v>
      </c>
      <c r="N1402" s="3">
        <f t="shared" si="43"/>
        <v>1</v>
      </c>
      <c r="O1402" s="3" t="str">
        <f>IF(ISERROR(VLOOKUP(D1402,Data!$A$2:$C$223100,3,FALSE)),"INACTIVE",VLOOKUP(D1402,Data!$A$2:$C$223100,3,FALSE))</f>
        <v>FC</v>
      </c>
    </row>
    <row r="1403" spans="1:15" x14ac:dyDescent="0.25">
      <c r="A1403" t="s">
        <v>6278</v>
      </c>
      <c r="B1403" t="s">
        <v>6279</v>
      </c>
      <c r="C1403" t="s">
        <v>5760</v>
      </c>
      <c r="D1403" t="s">
        <v>5761</v>
      </c>
      <c r="E1403" t="s">
        <v>5</v>
      </c>
      <c r="F1403" t="s">
        <v>5</v>
      </c>
      <c r="G1403" t="s">
        <v>5</v>
      </c>
      <c r="H1403" t="s">
        <v>5</v>
      </c>
      <c r="I1403" t="s">
        <v>6108</v>
      </c>
      <c r="J1403" t="s">
        <v>96</v>
      </c>
      <c r="K1403" s="3">
        <f t="shared" si="42"/>
        <v>1</v>
      </c>
      <c r="L1403" s="3">
        <f>IF(ISERROR(VLOOKUP(J1403,Lookups!$A$2:$A$16,1,FALSE)),1,0)</f>
        <v>0</v>
      </c>
      <c r="M1403" s="3">
        <f>IF(ISERROR(VLOOKUP(D1403,Data!$A$2:$D$223100,2,FALSE)),0,1)</f>
        <v>1</v>
      </c>
      <c r="N1403" s="3">
        <f t="shared" si="43"/>
        <v>1</v>
      </c>
      <c r="O1403" s="3" t="str">
        <f>IF(ISERROR(VLOOKUP(D1403,Data!$A$2:$C$223100,3,FALSE)),"INACTIVE",VLOOKUP(D1403,Data!$A$2:$C$223100,3,FALSE))</f>
        <v>FC</v>
      </c>
    </row>
    <row r="1404" spans="1:15" x14ac:dyDescent="0.25">
      <c r="A1404" t="s">
        <v>6278</v>
      </c>
      <c r="B1404" t="s">
        <v>6279</v>
      </c>
      <c r="C1404" t="s">
        <v>5756</v>
      </c>
      <c r="D1404" t="s">
        <v>5757</v>
      </c>
      <c r="E1404" t="s">
        <v>5</v>
      </c>
      <c r="F1404" t="s">
        <v>5</v>
      </c>
      <c r="G1404" t="s">
        <v>5</v>
      </c>
      <c r="H1404" t="s">
        <v>5</v>
      </c>
      <c r="I1404" t="s">
        <v>6108</v>
      </c>
      <c r="J1404" t="s">
        <v>96</v>
      </c>
      <c r="K1404" s="3">
        <f t="shared" si="42"/>
        <v>1</v>
      </c>
      <c r="L1404" s="3">
        <f>IF(ISERROR(VLOOKUP(J1404,Lookups!$A$2:$A$16,1,FALSE)),1,0)</f>
        <v>0</v>
      </c>
      <c r="M1404" s="3">
        <f>IF(ISERROR(VLOOKUP(D1404,Data!$A$2:$D$223100,2,FALSE)),0,1)</f>
        <v>1</v>
      </c>
      <c r="N1404" s="3">
        <f t="shared" si="43"/>
        <v>1</v>
      </c>
      <c r="O1404" s="3" t="str">
        <f>IF(ISERROR(VLOOKUP(D1404,Data!$A$2:$C$223100,3,FALSE)),"INACTIVE",VLOOKUP(D1404,Data!$A$2:$C$223100,3,FALSE))</f>
        <v>FC</v>
      </c>
    </row>
    <row r="1405" spans="1:15" x14ac:dyDescent="0.25">
      <c r="A1405" t="s">
        <v>6278</v>
      </c>
      <c r="B1405" t="s">
        <v>6279</v>
      </c>
      <c r="C1405" t="s">
        <v>5762</v>
      </c>
      <c r="D1405" t="s">
        <v>5763</v>
      </c>
      <c r="E1405" t="s">
        <v>5</v>
      </c>
      <c r="F1405" t="s">
        <v>5</v>
      </c>
      <c r="G1405" t="s">
        <v>5</v>
      </c>
      <c r="H1405" t="s">
        <v>5</v>
      </c>
      <c r="I1405" t="s">
        <v>6108</v>
      </c>
      <c r="J1405" t="s">
        <v>96</v>
      </c>
      <c r="K1405" s="3">
        <f t="shared" si="42"/>
        <v>1</v>
      </c>
      <c r="L1405" s="3">
        <f>IF(ISERROR(VLOOKUP(J1405,Lookups!$A$2:$A$16,1,FALSE)),1,0)</f>
        <v>0</v>
      </c>
      <c r="M1405" s="3">
        <f>IF(ISERROR(VLOOKUP(D1405,Data!$A$2:$D$223100,2,FALSE)),0,1)</f>
        <v>1</v>
      </c>
      <c r="N1405" s="3">
        <f t="shared" si="43"/>
        <v>1</v>
      </c>
      <c r="O1405" s="3" t="str">
        <f>IF(ISERROR(VLOOKUP(D1405,Data!$A$2:$C$223100,3,FALSE)),"INACTIVE",VLOOKUP(D1405,Data!$A$2:$C$223100,3,FALSE))</f>
        <v>30+</v>
      </c>
    </row>
    <row r="1406" spans="1:15" x14ac:dyDescent="0.25">
      <c r="A1406" t="s">
        <v>6278</v>
      </c>
      <c r="B1406" t="s">
        <v>6279</v>
      </c>
      <c r="C1406" t="s">
        <v>5764</v>
      </c>
      <c r="D1406" t="s">
        <v>5765</v>
      </c>
      <c r="E1406" t="s">
        <v>5</v>
      </c>
      <c r="F1406" t="s">
        <v>5</v>
      </c>
      <c r="G1406" t="s">
        <v>5</v>
      </c>
      <c r="H1406" t="s">
        <v>5</v>
      </c>
      <c r="I1406" t="s">
        <v>6108</v>
      </c>
      <c r="J1406" t="s">
        <v>96</v>
      </c>
      <c r="K1406" s="3">
        <f t="shared" si="42"/>
        <v>1</v>
      </c>
      <c r="L1406" s="3">
        <f>IF(ISERROR(VLOOKUP(J1406,Lookups!$A$2:$A$16,1,FALSE)),1,0)</f>
        <v>0</v>
      </c>
      <c r="M1406" s="3">
        <f>IF(ISERROR(VLOOKUP(D1406,Data!$A$2:$D$223100,2,FALSE)),0,1)</f>
        <v>1</v>
      </c>
      <c r="N1406" s="3">
        <f t="shared" si="43"/>
        <v>1</v>
      </c>
      <c r="O1406" s="3" t="str">
        <f>IF(ISERROR(VLOOKUP(D1406,Data!$A$2:$C$223100,3,FALSE)),"INACTIVE",VLOOKUP(D1406,Data!$A$2:$C$223100,3,FALSE))</f>
        <v>Current</v>
      </c>
    </row>
    <row r="1407" spans="1:15" x14ac:dyDescent="0.25">
      <c r="A1407" t="s">
        <v>6278</v>
      </c>
      <c r="B1407" t="s">
        <v>6279</v>
      </c>
      <c r="C1407" t="s">
        <v>5766</v>
      </c>
      <c r="D1407" t="s">
        <v>5767</v>
      </c>
      <c r="E1407" t="s">
        <v>5</v>
      </c>
      <c r="F1407" t="s">
        <v>5</v>
      </c>
      <c r="G1407" t="s">
        <v>5</v>
      </c>
      <c r="H1407" t="s">
        <v>5</v>
      </c>
      <c r="I1407" t="s">
        <v>6108</v>
      </c>
      <c r="J1407" t="s">
        <v>96</v>
      </c>
      <c r="K1407" s="3">
        <f t="shared" si="42"/>
        <v>1</v>
      </c>
      <c r="L1407" s="3">
        <f>IF(ISERROR(VLOOKUP(J1407,Lookups!$A$2:$A$16,1,FALSE)),1,0)</f>
        <v>0</v>
      </c>
      <c r="M1407" s="3">
        <f>IF(ISERROR(VLOOKUP(D1407,Data!$A$2:$D$223100,2,FALSE)),0,1)</f>
        <v>1</v>
      </c>
      <c r="N1407" s="3">
        <f t="shared" si="43"/>
        <v>1</v>
      </c>
      <c r="O1407" s="3" t="str">
        <f>IF(ISERROR(VLOOKUP(D1407,Data!$A$2:$C$223100,3,FALSE)),"INACTIVE",VLOOKUP(D1407,Data!$A$2:$C$223100,3,FALSE))</f>
        <v>FC</v>
      </c>
    </row>
    <row r="1408" spans="1:15" x14ac:dyDescent="0.25">
      <c r="A1408" t="s">
        <v>6278</v>
      </c>
      <c r="B1408" t="s">
        <v>6279</v>
      </c>
      <c r="C1408" t="s">
        <v>5768</v>
      </c>
      <c r="D1408" t="s">
        <v>5769</v>
      </c>
      <c r="E1408" t="s">
        <v>5</v>
      </c>
      <c r="F1408" t="s">
        <v>5</v>
      </c>
      <c r="G1408" t="s">
        <v>5</v>
      </c>
      <c r="H1408" t="s">
        <v>5</v>
      </c>
      <c r="I1408" t="s">
        <v>6108</v>
      </c>
      <c r="J1408" t="s">
        <v>96</v>
      </c>
      <c r="K1408" s="3">
        <f t="shared" si="42"/>
        <v>1</v>
      </c>
      <c r="L1408" s="3">
        <f>IF(ISERROR(VLOOKUP(J1408,Lookups!$A$2:$A$16,1,FALSE)),1,0)</f>
        <v>0</v>
      </c>
      <c r="M1408" s="3">
        <f>IF(ISERROR(VLOOKUP(D1408,Data!$A$2:$D$223100,2,FALSE)),0,1)</f>
        <v>1</v>
      </c>
      <c r="N1408" s="3">
        <f t="shared" si="43"/>
        <v>1</v>
      </c>
      <c r="O1408" s="3" t="str">
        <f>IF(ISERROR(VLOOKUP(D1408,Data!$A$2:$C$223100,3,FALSE)),"INACTIVE",VLOOKUP(D1408,Data!$A$2:$C$223100,3,FALSE))</f>
        <v>FC</v>
      </c>
    </row>
    <row r="1409" spans="1:15" x14ac:dyDescent="0.25">
      <c r="A1409" t="s">
        <v>6278</v>
      </c>
      <c r="B1409" t="s">
        <v>6279</v>
      </c>
      <c r="C1409" t="s">
        <v>5770</v>
      </c>
      <c r="D1409" t="s">
        <v>5771</v>
      </c>
      <c r="E1409" t="s">
        <v>5</v>
      </c>
      <c r="F1409" t="s">
        <v>5</v>
      </c>
      <c r="G1409" t="s">
        <v>5</v>
      </c>
      <c r="H1409" t="s">
        <v>5</v>
      </c>
      <c r="I1409" t="s">
        <v>6108</v>
      </c>
      <c r="J1409" t="s">
        <v>96</v>
      </c>
      <c r="K1409" s="3">
        <f t="shared" si="42"/>
        <v>1</v>
      </c>
      <c r="L1409" s="3">
        <f>IF(ISERROR(VLOOKUP(J1409,Lookups!$A$2:$A$16,1,FALSE)),1,0)</f>
        <v>0</v>
      </c>
      <c r="M1409" s="3">
        <f>IF(ISERROR(VLOOKUP(D1409,Data!$A$2:$D$223100,2,FALSE)),0,1)</f>
        <v>1</v>
      </c>
      <c r="N1409" s="3">
        <f t="shared" si="43"/>
        <v>1</v>
      </c>
      <c r="O1409" s="3" t="str">
        <f>IF(ISERROR(VLOOKUP(D1409,Data!$A$2:$C$223100,3,FALSE)),"INACTIVE",VLOOKUP(D1409,Data!$A$2:$C$223100,3,FALSE))</f>
        <v>60+</v>
      </c>
    </row>
    <row r="1410" spans="1:15" x14ac:dyDescent="0.25">
      <c r="A1410" t="s">
        <v>6278</v>
      </c>
      <c r="B1410" t="s">
        <v>6279</v>
      </c>
      <c r="C1410" t="s">
        <v>5772</v>
      </c>
      <c r="D1410" t="s">
        <v>5773</v>
      </c>
      <c r="E1410" t="s">
        <v>5</v>
      </c>
      <c r="F1410" t="s">
        <v>5</v>
      </c>
      <c r="G1410" t="s">
        <v>5</v>
      </c>
      <c r="H1410" t="s">
        <v>5</v>
      </c>
      <c r="I1410" t="s">
        <v>6108</v>
      </c>
      <c r="J1410" t="s">
        <v>96</v>
      </c>
      <c r="K1410" s="3">
        <f t="shared" si="42"/>
        <v>1</v>
      </c>
      <c r="L1410" s="3">
        <f>IF(ISERROR(VLOOKUP(J1410,Lookups!$A$2:$A$16,1,FALSE)),1,0)</f>
        <v>0</v>
      </c>
      <c r="M1410" s="3">
        <f>IF(ISERROR(VLOOKUP(D1410,Data!$A$2:$D$223100,2,FALSE)),0,1)</f>
        <v>1</v>
      </c>
      <c r="N1410" s="3">
        <f t="shared" si="43"/>
        <v>1</v>
      </c>
      <c r="O1410" s="3" t="str">
        <f>IF(ISERROR(VLOOKUP(D1410,Data!$A$2:$C$223100,3,FALSE)),"INACTIVE",VLOOKUP(D1410,Data!$A$2:$C$223100,3,FALSE))</f>
        <v>FC</v>
      </c>
    </row>
    <row r="1411" spans="1:15" x14ac:dyDescent="0.25">
      <c r="A1411" t="s">
        <v>6278</v>
      </c>
      <c r="B1411" t="s">
        <v>6279</v>
      </c>
      <c r="C1411" t="s">
        <v>5774</v>
      </c>
      <c r="D1411" t="s">
        <v>5775</v>
      </c>
      <c r="E1411" t="s">
        <v>5</v>
      </c>
      <c r="F1411" t="s">
        <v>5</v>
      </c>
      <c r="G1411" t="s">
        <v>5</v>
      </c>
      <c r="H1411" t="s">
        <v>5</v>
      </c>
      <c r="I1411" t="s">
        <v>6108</v>
      </c>
      <c r="J1411" t="s">
        <v>96</v>
      </c>
      <c r="K1411" s="3">
        <f t="shared" ref="K1411:K1474" si="44">IF(ISERROR(FIND("LIEN",A1411,1)),0,1)</f>
        <v>1</v>
      </c>
      <c r="L1411" s="3">
        <f>IF(ISERROR(VLOOKUP(J1411,Lookups!$A$2:$A$16,1,FALSE)),1,0)</f>
        <v>0</v>
      </c>
      <c r="M1411" s="3">
        <f>IF(ISERROR(VLOOKUP(D1411,Data!$A$2:$D$223100,2,FALSE)),0,1)</f>
        <v>1</v>
      </c>
      <c r="N1411" s="3">
        <f t="shared" ref="N1411:N1474" si="45">IF(M1411=0,0,IF(SUM(K1411:L1411)&gt;0,1,0))</f>
        <v>1</v>
      </c>
      <c r="O1411" s="3" t="str">
        <f>IF(ISERROR(VLOOKUP(D1411,Data!$A$2:$C$223100,3,FALSE)),"INACTIVE",VLOOKUP(D1411,Data!$A$2:$C$223100,3,FALSE))</f>
        <v>FC</v>
      </c>
    </row>
    <row r="1412" spans="1:15" x14ac:dyDescent="0.25">
      <c r="A1412" t="s">
        <v>6282</v>
      </c>
      <c r="B1412" t="s">
        <v>6283</v>
      </c>
      <c r="C1412" t="s">
        <v>5778</v>
      </c>
      <c r="D1412" t="s">
        <v>5779</v>
      </c>
      <c r="E1412" t="s">
        <v>5</v>
      </c>
      <c r="F1412" t="s">
        <v>5</v>
      </c>
      <c r="G1412" t="s">
        <v>5</v>
      </c>
      <c r="H1412" t="s">
        <v>5</v>
      </c>
      <c r="I1412" t="s">
        <v>6108</v>
      </c>
      <c r="J1412" t="s">
        <v>96</v>
      </c>
      <c r="K1412" s="3">
        <f t="shared" si="44"/>
        <v>1</v>
      </c>
      <c r="L1412" s="3">
        <f>IF(ISERROR(VLOOKUP(J1412,Lookups!$A$2:$A$16,1,FALSE)),1,0)</f>
        <v>0</v>
      </c>
      <c r="M1412" s="3">
        <f>IF(ISERROR(VLOOKUP(D1412,Data!$A$2:$D$223100,2,FALSE)),0,1)</f>
        <v>1</v>
      </c>
      <c r="N1412" s="3">
        <f t="shared" si="45"/>
        <v>1</v>
      </c>
      <c r="O1412" s="3" t="str">
        <f>IF(ISERROR(VLOOKUP(D1412,Data!$A$2:$C$223100,3,FALSE)),"INACTIVE",VLOOKUP(D1412,Data!$A$2:$C$223100,3,FALSE))</f>
        <v>120+</v>
      </c>
    </row>
    <row r="1413" spans="1:15" x14ac:dyDescent="0.25">
      <c r="A1413" t="s">
        <v>6284</v>
      </c>
      <c r="B1413" t="s">
        <v>6285</v>
      </c>
      <c r="C1413" t="s">
        <v>5782</v>
      </c>
      <c r="D1413" t="s">
        <v>5783</v>
      </c>
      <c r="E1413" t="s">
        <v>5</v>
      </c>
      <c r="F1413" t="s">
        <v>5</v>
      </c>
      <c r="G1413" t="s">
        <v>5</v>
      </c>
      <c r="H1413" t="s">
        <v>5</v>
      </c>
      <c r="I1413" t="s">
        <v>6108</v>
      </c>
      <c r="J1413" t="s">
        <v>96</v>
      </c>
      <c r="K1413" s="3">
        <f t="shared" si="44"/>
        <v>1</v>
      </c>
      <c r="L1413" s="3">
        <f>IF(ISERROR(VLOOKUP(J1413,Lookups!$A$2:$A$16,1,FALSE)),1,0)</f>
        <v>0</v>
      </c>
      <c r="M1413" s="3">
        <f>IF(ISERROR(VLOOKUP(D1413,Data!$A$2:$D$223100,2,FALSE)),0,1)</f>
        <v>1</v>
      </c>
      <c r="N1413" s="3">
        <f t="shared" si="45"/>
        <v>1</v>
      </c>
      <c r="O1413" s="3" t="str">
        <f>IF(ISERROR(VLOOKUP(D1413,Data!$A$2:$C$223100,3,FALSE)),"INACTIVE",VLOOKUP(D1413,Data!$A$2:$C$223100,3,FALSE))</f>
        <v>120+</v>
      </c>
    </row>
    <row r="1414" spans="1:15" x14ac:dyDescent="0.25">
      <c r="A1414" t="s">
        <v>6284</v>
      </c>
      <c r="B1414" t="s">
        <v>6285</v>
      </c>
      <c r="C1414" t="s">
        <v>6286</v>
      </c>
      <c r="D1414" t="s">
        <v>6287</v>
      </c>
      <c r="E1414" t="s">
        <v>5</v>
      </c>
      <c r="F1414" t="s">
        <v>5</v>
      </c>
      <c r="G1414" t="s">
        <v>5</v>
      </c>
      <c r="H1414" t="s">
        <v>5</v>
      </c>
      <c r="I1414" t="s">
        <v>6108</v>
      </c>
      <c r="J1414" t="s">
        <v>96</v>
      </c>
      <c r="K1414" s="3">
        <f t="shared" si="44"/>
        <v>1</v>
      </c>
      <c r="L1414" s="3">
        <f>IF(ISERROR(VLOOKUP(J1414,Lookups!$A$2:$A$16,1,FALSE)),1,0)</f>
        <v>0</v>
      </c>
      <c r="M1414" s="3">
        <f>IF(ISERROR(VLOOKUP(D1414,Data!$A$2:$D$223100,2,FALSE)),0,1)</f>
        <v>1</v>
      </c>
      <c r="N1414" s="3">
        <f t="shared" si="45"/>
        <v>1</v>
      </c>
      <c r="O1414" s="3" t="str">
        <f>IF(ISERROR(VLOOKUP(D1414,Data!$A$2:$C$223100,3,FALSE)),"INACTIVE",VLOOKUP(D1414,Data!$A$2:$C$223100,3,FALSE))</f>
        <v>FC</v>
      </c>
    </row>
    <row r="1415" spans="1:15" x14ac:dyDescent="0.25">
      <c r="A1415" t="s">
        <v>6288</v>
      </c>
      <c r="B1415" t="s">
        <v>6289</v>
      </c>
      <c r="C1415" t="s">
        <v>5782</v>
      </c>
      <c r="D1415" t="s">
        <v>5783</v>
      </c>
      <c r="E1415" t="s">
        <v>5</v>
      </c>
      <c r="F1415" t="s">
        <v>5</v>
      </c>
      <c r="G1415" t="s">
        <v>5</v>
      </c>
      <c r="H1415" t="s">
        <v>5</v>
      </c>
      <c r="I1415" t="s">
        <v>6108</v>
      </c>
      <c r="J1415" t="s">
        <v>96</v>
      </c>
      <c r="K1415" s="3">
        <f t="shared" si="44"/>
        <v>1</v>
      </c>
      <c r="L1415" s="3">
        <f>IF(ISERROR(VLOOKUP(J1415,Lookups!$A$2:$A$16,1,FALSE)),1,0)</f>
        <v>0</v>
      </c>
      <c r="M1415" s="3">
        <f>IF(ISERROR(VLOOKUP(D1415,Data!$A$2:$D$223100,2,FALSE)),0,1)</f>
        <v>1</v>
      </c>
      <c r="N1415" s="3">
        <f t="shared" si="45"/>
        <v>1</v>
      </c>
      <c r="O1415" s="3" t="str">
        <f>IF(ISERROR(VLOOKUP(D1415,Data!$A$2:$C$223100,3,FALSE)),"INACTIVE",VLOOKUP(D1415,Data!$A$2:$C$223100,3,FALSE))</f>
        <v>120+</v>
      </c>
    </row>
    <row r="1416" spans="1:15" x14ac:dyDescent="0.25">
      <c r="A1416" t="s">
        <v>6288</v>
      </c>
      <c r="B1416" t="s">
        <v>6289</v>
      </c>
      <c r="C1416" t="s">
        <v>5786</v>
      </c>
      <c r="D1416" t="s">
        <v>5787</v>
      </c>
      <c r="E1416" t="s">
        <v>5</v>
      </c>
      <c r="F1416" t="s">
        <v>5</v>
      </c>
      <c r="G1416" t="s">
        <v>5</v>
      </c>
      <c r="H1416" t="s">
        <v>5</v>
      </c>
      <c r="I1416" t="s">
        <v>6108</v>
      </c>
      <c r="J1416" t="s">
        <v>96</v>
      </c>
      <c r="K1416" s="3">
        <f t="shared" si="44"/>
        <v>1</v>
      </c>
      <c r="L1416" s="3">
        <f>IF(ISERROR(VLOOKUP(J1416,Lookups!$A$2:$A$16,1,FALSE)),1,0)</f>
        <v>0</v>
      </c>
      <c r="M1416" s="3">
        <f>IF(ISERROR(VLOOKUP(D1416,Data!$A$2:$D$223100,2,FALSE)),0,1)</f>
        <v>1</v>
      </c>
      <c r="N1416" s="3">
        <f t="shared" si="45"/>
        <v>1</v>
      </c>
      <c r="O1416" s="3" t="str">
        <f>IF(ISERROR(VLOOKUP(D1416,Data!$A$2:$C$223100,3,FALSE)),"INACTIVE",VLOOKUP(D1416,Data!$A$2:$C$223100,3,FALSE))</f>
        <v>Demand Letter</v>
      </c>
    </row>
    <row r="1417" spans="1:15" x14ac:dyDescent="0.25">
      <c r="A1417" t="s">
        <v>6288</v>
      </c>
      <c r="B1417" t="s">
        <v>6289</v>
      </c>
      <c r="C1417" t="s">
        <v>6286</v>
      </c>
      <c r="D1417" t="s">
        <v>6287</v>
      </c>
      <c r="E1417" t="s">
        <v>5</v>
      </c>
      <c r="F1417" t="s">
        <v>5</v>
      </c>
      <c r="G1417" t="s">
        <v>5</v>
      </c>
      <c r="H1417" t="s">
        <v>5</v>
      </c>
      <c r="I1417" t="s">
        <v>6108</v>
      </c>
      <c r="J1417" t="s">
        <v>96</v>
      </c>
      <c r="K1417" s="3">
        <f t="shared" si="44"/>
        <v>1</v>
      </c>
      <c r="L1417" s="3">
        <f>IF(ISERROR(VLOOKUP(J1417,Lookups!$A$2:$A$16,1,FALSE)),1,0)</f>
        <v>0</v>
      </c>
      <c r="M1417" s="3">
        <f>IF(ISERROR(VLOOKUP(D1417,Data!$A$2:$D$223100,2,FALSE)),0,1)</f>
        <v>1</v>
      </c>
      <c r="N1417" s="3">
        <f t="shared" si="45"/>
        <v>1</v>
      </c>
      <c r="O1417" s="3" t="str">
        <f>IF(ISERROR(VLOOKUP(D1417,Data!$A$2:$C$223100,3,FALSE)),"INACTIVE",VLOOKUP(D1417,Data!$A$2:$C$223100,3,FALSE))</f>
        <v>FC</v>
      </c>
    </row>
    <row r="1418" spans="1:15" x14ac:dyDescent="0.25">
      <c r="A1418" t="s">
        <v>6288</v>
      </c>
      <c r="B1418" t="s">
        <v>6289</v>
      </c>
      <c r="C1418" t="s">
        <v>6290</v>
      </c>
      <c r="D1418" t="s">
        <v>6291</v>
      </c>
      <c r="E1418" t="s">
        <v>5</v>
      </c>
      <c r="F1418" t="s">
        <v>5</v>
      </c>
      <c r="G1418" t="s">
        <v>5</v>
      </c>
      <c r="H1418" t="s">
        <v>5</v>
      </c>
      <c r="I1418" t="s">
        <v>6108</v>
      </c>
      <c r="J1418" t="s">
        <v>96</v>
      </c>
      <c r="K1418" s="3">
        <f t="shared" si="44"/>
        <v>1</v>
      </c>
      <c r="L1418" s="3">
        <f>IF(ISERROR(VLOOKUP(J1418,Lookups!$A$2:$A$16,1,FALSE)),1,0)</f>
        <v>0</v>
      </c>
      <c r="M1418" s="3">
        <f>IF(ISERROR(VLOOKUP(D1418,Data!$A$2:$D$223100,2,FALSE)),0,1)</f>
        <v>1</v>
      </c>
      <c r="N1418" s="3">
        <f t="shared" si="45"/>
        <v>1</v>
      </c>
      <c r="O1418" s="3" t="str">
        <f>IF(ISERROR(VLOOKUP(D1418,Data!$A$2:$C$223100,3,FALSE)),"INACTIVE",VLOOKUP(D1418,Data!$A$2:$C$223100,3,FALSE))</f>
        <v>Current</v>
      </c>
    </row>
    <row r="1419" spans="1:15" x14ac:dyDescent="0.25">
      <c r="A1419" t="s">
        <v>6288</v>
      </c>
      <c r="B1419" t="s">
        <v>6289</v>
      </c>
      <c r="C1419" t="s">
        <v>5788</v>
      </c>
      <c r="D1419" t="s">
        <v>5789</v>
      </c>
      <c r="E1419" t="s">
        <v>5</v>
      </c>
      <c r="F1419" t="s">
        <v>5</v>
      </c>
      <c r="G1419" t="s">
        <v>5</v>
      </c>
      <c r="H1419" t="s">
        <v>5</v>
      </c>
      <c r="I1419" t="s">
        <v>6108</v>
      </c>
      <c r="J1419" t="s">
        <v>96</v>
      </c>
      <c r="K1419" s="3">
        <f t="shared" si="44"/>
        <v>1</v>
      </c>
      <c r="L1419" s="3">
        <f>IF(ISERROR(VLOOKUP(J1419,Lookups!$A$2:$A$16,1,FALSE)),1,0)</f>
        <v>0</v>
      </c>
      <c r="M1419" s="3">
        <f>IF(ISERROR(VLOOKUP(D1419,Data!$A$2:$D$223100,2,FALSE)),0,1)</f>
        <v>1</v>
      </c>
      <c r="N1419" s="3">
        <f t="shared" si="45"/>
        <v>1</v>
      </c>
      <c r="O1419" s="3" t="str">
        <f>IF(ISERROR(VLOOKUP(D1419,Data!$A$2:$C$223100,3,FALSE)),"INACTIVE",VLOOKUP(D1419,Data!$A$2:$C$223100,3,FALSE))</f>
        <v>Demand Letter</v>
      </c>
    </row>
    <row r="1420" spans="1:15" x14ac:dyDescent="0.25">
      <c r="A1420" t="s">
        <v>6288</v>
      </c>
      <c r="B1420" t="s">
        <v>6289</v>
      </c>
      <c r="C1420" t="s">
        <v>6292</v>
      </c>
      <c r="D1420" t="s">
        <v>6293</v>
      </c>
      <c r="E1420" t="s">
        <v>5</v>
      </c>
      <c r="F1420" t="s">
        <v>5</v>
      </c>
      <c r="G1420" t="s">
        <v>5</v>
      </c>
      <c r="H1420" t="s">
        <v>5</v>
      </c>
      <c r="I1420" t="s">
        <v>6108</v>
      </c>
      <c r="J1420" t="s">
        <v>96</v>
      </c>
      <c r="K1420" s="3">
        <f t="shared" si="44"/>
        <v>1</v>
      </c>
      <c r="L1420" s="3">
        <f>IF(ISERROR(VLOOKUP(J1420,Lookups!$A$2:$A$16,1,FALSE)),1,0)</f>
        <v>0</v>
      </c>
      <c r="M1420" s="3">
        <f>IF(ISERROR(VLOOKUP(D1420,Data!$A$2:$D$223100,2,FALSE)),0,1)</f>
        <v>1</v>
      </c>
      <c r="N1420" s="3">
        <f t="shared" si="45"/>
        <v>1</v>
      </c>
      <c r="O1420" s="3" t="str">
        <f>IF(ISERROR(VLOOKUP(D1420,Data!$A$2:$C$223100,3,FALSE)),"INACTIVE",VLOOKUP(D1420,Data!$A$2:$C$223100,3,FALSE))</f>
        <v>150+</v>
      </c>
    </row>
    <row r="1421" spans="1:15" x14ac:dyDescent="0.25">
      <c r="A1421" t="s">
        <v>6288</v>
      </c>
      <c r="B1421" t="s">
        <v>6289</v>
      </c>
      <c r="C1421" t="s">
        <v>5790</v>
      </c>
      <c r="D1421" t="s">
        <v>5791</v>
      </c>
      <c r="E1421" t="s">
        <v>5</v>
      </c>
      <c r="F1421" t="s">
        <v>5</v>
      </c>
      <c r="G1421" t="s">
        <v>5</v>
      </c>
      <c r="H1421" t="s">
        <v>5</v>
      </c>
      <c r="I1421" t="s">
        <v>6108</v>
      </c>
      <c r="J1421" t="s">
        <v>96</v>
      </c>
      <c r="K1421" s="3">
        <f t="shared" si="44"/>
        <v>1</v>
      </c>
      <c r="L1421" s="3">
        <f>IF(ISERROR(VLOOKUP(J1421,Lookups!$A$2:$A$16,1,FALSE)),1,0)</f>
        <v>0</v>
      </c>
      <c r="M1421" s="3">
        <f>IF(ISERROR(VLOOKUP(D1421,Data!$A$2:$D$223100,2,FALSE)),0,1)</f>
        <v>1</v>
      </c>
      <c r="N1421" s="3">
        <f t="shared" si="45"/>
        <v>1</v>
      </c>
      <c r="O1421" s="3" t="str">
        <f>IF(ISERROR(VLOOKUP(D1421,Data!$A$2:$C$223100,3,FALSE)),"INACTIVE",VLOOKUP(D1421,Data!$A$2:$C$223100,3,FALSE))</f>
        <v>Current</v>
      </c>
    </row>
    <row r="1422" spans="1:15" x14ac:dyDescent="0.25">
      <c r="A1422" t="s">
        <v>6288</v>
      </c>
      <c r="B1422" t="s">
        <v>6289</v>
      </c>
      <c r="C1422" t="s">
        <v>5792</v>
      </c>
      <c r="D1422" t="s">
        <v>5793</v>
      </c>
      <c r="E1422" t="s">
        <v>5</v>
      </c>
      <c r="F1422" t="s">
        <v>5</v>
      </c>
      <c r="G1422" t="s">
        <v>5</v>
      </c>
      <c r="H1422" t="s">
        <v>5</v>
      </c>
      <c r="I1422" t="s">
        <v>6108</v>
      </c>
      <c r="J1422" t="s">
        <v>96</v>
      </c>
      <c r="K1422" s="3">
        <f t="shared" si="44"/>
        <v>1</v>
      </c>
      <c r="L1422" s="3">
        <f>IF(ISERROR(VLOOKUP(J1422,Lookups!$A$2:$A$16,1,FALSE)),1,0)</f>
        <v>0</v>
      </c>
      <c r="M1422" s="3">
        <f>IF(ISERROR(VLOOKUP(D1422,Data!$A$2:$D$223100,2,FALSE)),0,1)</f>
        <v>1</v>
      </c>
      <c r="N1422" s="3">
        <f t="shared" si="45"/>
        <v>1</v>
      </c>
      <c r="O1422" s="3" t="str">
        <f>IF(ISERROR(VLOOKUP(D1422,Data!$A$2:$C$223100,3,FALSE)),"INACTIVE",VLOOKUP(D1422,Data!$A$2:$C$223100,3,FALSE))</f>
        <v>FC</v>
      </c>
    </row>
    <row r="1423" spans="1:15" x14ac:dyDescent="0.25">
      <c r="A1423" t="s">
        <v>6294</v>
      </c>
      <c r="B1423" t="s">
        <v>6295</v>
      </c>
      <c r="C1423" t="s">
        <v>5796</v>
      </c>
      <c r="D1423" t="s">
        <v>5797</v>
      </c>
      <c r="E1423" t="s">
        <v>5</v>
      </c>
      <c r="F1423" t="s">
        <v>5</v>
      </c>
      <c r="G1423" t="s">
        <v>5</v>
      </c>
      <c r="H1423" t="s">
        <v>5</v>
      </c>
      <c r="I1423" t="s">
        <v>6108</v>
      </c>
      <c r="J1423" t="s">
        <v>96</v>
      </c>
      <c r="K1423" s="3">
        <f t="shared" si="44"/>
        <v>1</v>
      </c>
      <c r="L1423" s="3">
        <f>IF(ISERROR(VLOOKUP(J1423,Lookups!$A$2:$A$16,1,FALSE)),1,0)</f>
        <v>0</v>
      </c>
      <c r="M1423" s="3">
        <f>IF(ISERROR(VLOOKUP(D1423,Data!$A$2:$D$223100,2,FALSE)),0,1)</f>
        <v>1</v>
      </c>
      <c r="N1423" s="3">
        <f t="shared" si="45"/>
        <v>1</v>
      </c>
      <c r="O1423" s="3" t="str">
        <f>IF(ISERROR(VLOOKUP(D1423,Data!$A$2:$C$223100,3,FALSE)),"INACTIVE",VLOOKUP(D1423,Data!$A$2:$C$223100,3,FALSE))</f>
        <v>120+</v>
      </c>
    </row>
    <row r="1424" spans="1:15" x14ac:dyDescent="0.25">
      <c r="A1424" t="s">
        <v>6294</v>
      </c>
      <c r="B1424" t="s">
        <v>6295</v>
      </c>
      <c r="C1424" t="s">
        <v>6296</v>
      </c>
      <c r="D1424" t="s">
        <v>6297</v>
      </c>
      <c r="E1424" t="s">
        <v>5</v>
      </c>
      <c r="F1424" t="s">
        <v>5</v>
      </c>
      <c r="G1424" t="s">
        <v>5</v>
      </c>
      <c r="H1424" t="s">
        <v>5</v>
      </c>
      <c r="I1424" t="s">
        <v>6108</v>
      </c>
      <c r="J1424" t="s">
        <v>96</v>
      </c>
      <c r="K1424" s="3">
        <f t="shared" si="44"/>
        <v>1</v>
      </c>
      <c r="L1424" s="3">
        <f>IF(ISERROR(VLOOKUP(J1424,Lookups!$A$2:$A$16,1,FALSE)),1,0)</f>
        <v>0</v>
      </c>
      <c r="M1424" s="3">
        <f>IF(ISERROR(VLOOKUP(D1424,Data!$A$2:$D$223100,2,FALSE)),0,1)</f>
        <v>1</v>
      </c>
      <c r="N1424" s="3">
        <f t="shared" si="45"/>
        <v>1</v>
      </c>
      <c r="O1424" s="3" t="str">
        <f>IF(ISERROR(VLOOKUP(D1424,Data!$A$2:$C$223100,3,FALSE)),"INACTIVE",VLOOKUP(D1424,Data!$A$2:$C$223100,3,FALSE))</f>
        <v>FC</v>
      </c>
    </row>
    <row r="1425" spans="1:15" x14ac:dyDescent="0.25">
      <c r="A1425" t="s">
        <v>6294</v>
      </c>
      <c r="B1425" t="s">
        <v>6295</v>
      </c>
      <c r="C1425" t="s">
        <v>5798</v>
      </c>
      <c r="D1425" t="s">
        <v>5799</v>
      </c>
      <c r="E1425" t="s">
        <v>5</v>
      </c>
      <c r="F1425" t="s">
        <v>5</v>
      </c>
      <c r="G1425" t="s">
        <v>5</v>
      </c>
      <c r="H1425" t="s">
        <v>5</v>
      </c>
      <c r="I1425" t="s">
        <v>6108</v>
      </c>
      <c r="J1425" t="s">
        <v>96</v>
      </c>
      <c r="K1425" s="3">
        <f t="shared" si="44"/>
        <v>1</v>
      </c>
      <c r="L1425" s="3">
        <f>IF(ISERROR(VLOOKUP(J1425,Lookups!$A$2:$A$16,1,FALSE)),1,0)</f>
        <v>0</v>
      </c>
      <c r="M1425" s="3">
        <f>IF(ISERROR(VLOOKUP(D1425,Data!$A$2:$D$223100,2,FALSE)),0,1)</f>
        <v>0</v>
      </c>
      <c r="N1425" s="3">
        <f t="shared" si="45"/>
        <v>0</v>
      </c>
      <c r="O1425" s="3" t="str">
        <f>IF(ISERROR(VLOOKUP(D1425,Data!$A$2:$C$223100,3,FALSE)),"INACTIVE",VLOOKUP(D1425,Data!$A$2:$C$223100,3,FALSE))</f>
        <v>INACTIVE</v>
      </c>
    </row>
    <row r="1426" spans="1:15" x14ac:dyDescent="0.25">
      <c r="A1426" t="s">
        <v>6294</v>
      </c>
      <c r="B1426" t="s">
        <v>6295</v>
      </c>
      <c r="C1426" t="s">
        <v>5800</v>
      </c>
      <c r="D1426" t="s">
        <v>5801</v>
      </c>
      <c r="E1426" t="s">
        <v>5</v>
      </c>
      <c r="F1426" t="s">
        <v>5</v>
      </c>
      <c r="G1426" t="s">
        <v>5</v>
      </c>
      <c r="H1426" t="s">
        <v>5</v>
      </c>
      <c r="I1426" t="s">
        <v>6108</v>
      </c>
      <c r="J1426" t="s">
        <v>96</v>
      </c>
      <c r="K1426" s="3">
        <f t="shared" si="44"/>
        <v>1</v>
      </c>
      <c r="L1426" s="3">
        <f>IF(ISERROR(VLOOKUP(J1426,Lookups!$A$2:$A$16,1,FALSE)),1,0)</f>
        <v>0</v>
      </c>
      <c r="M1426" s="3">
        <f>IF(ISERROR(VLOOKUP(D1426,Data!$A$2:$D$223100,2,FALSE)),0,1)</f>
        <v>0</v>
      </c>
      <c r="N1426" s="3">
        <f t="shared" si="45"/>
        <v>0</v>
      </c>
      <c r="O1426" s="3" t="str">
        <f>IF(ISERROR(VLOOKUP(D1426,Data!$A$2:$C$223100,3,FALSE)),"INACTIVE",VLOOKUP(D1426,Data!$A$2:$C$223100,3,FALSE))</f>
        <v>INACTIVE</v>
      </c>
    </row>
    <row r="1427" spans="1:15" x14ac:dyDescent="0.25">
      <c r="A1427" t="s">
        <v>6294</v>
      </c>
      <c r="B1427" t="s">
        <v>6295</v>
      </c>
      <c r="C1427" t="s">
        <v>5802</v>
      </c>
      <c r="D1427" t="s">
        <v>5803</v>
      </c>
      <c r="E1427" t="s">
        <v>5</v>
      </c>
      <c r="F1427" t="s">
        <v>5</v>
      </c>
      <c r="G1427" t="s">
        <v>5</v>
      </c>
      <c r="H1427" t="s">
        <v>5</v>
      </c>
      <c r="I1427" t="s">
        <v>6108</v>
      </c>
      <c r="J1427" t="s">
        <v>96</v>
      </c>
      <c r="K1427" s="3">
        <f t="shared" si="44"/>
        <v>1</v>
      </c>
      <c r="L1427" s="3">
        <f>IF(ISERROR(VLOOKUP(J1427,Lookups!$A$2:$A$16,1,FALSE)),1,0)</f>
        <v>0</v>
      </c>
      <c r="M1427" s="3">
        <f>IF(ISERROR(VLOOKUP(D1427,Data!$A$2:$D$223100,2,FALSE)),0,1)</f>
        <v>1</v>
      </c>
      <c r="N1427" s="3">
        <f t="shared" si="45"/>
        <v>1</v>
      </c>
      <c r="O1427" s="3" t="str">
        <f>IF(ISERROR(VLOOKUP(D1427,Data!$A$2:$C$223100,3,FALSE)),"INACTIVE",VLOOKUP(D1427,Data!$A$2:$C$223100,3,FALSE))</f>
        <v>Current</v>
      </c>
    </row>
    <row r="1428" spans="1:15" x14ac:dyDescent="0.25">
      <c r="A1428" t="s">
        <v>6037</v>
      </c>
      <c r="B1428" t="s">
        <v>6038</v>
      </c>
      <c r="C1428" t="s">
        <v>6039</v>
      </c>
      <c r="D1428" t="s">
        <v>6040</v>
      </c>
      <c r="E1428" t="s">
        <v>6041</v>
      </c>
      <c r="F1428" t="s">
        <v>5</v>
      </c>
      <c r="G1428" t="s">
        <v>5</v>
      </c>
      <c r="H1428" t="s">
        <v>5</v>
      </c>
      <c r="I1428" t="s">
        <v>6042</v>
      </c>
      <c r="J1428" t="s">
        <v>96</v>
      </c>
      <c r="K1428" s="3">
        <f t="shared" si="44"/>
        <v>0</v>
      </c>
      <c r="L1428" s="3">
        <f>IF(ISERROR(VLOOKUP(J1428,Lookups!$A$2:$A$16,1,FALSE)),1,0)</f>
        <v>0</v>
      </c>
      <c r="M1428" s="3">
        <f>IF(ISERROR(VLOOKUP(D1428,Data!$A$2:$D$223100,2,FALSE)),0,1)</f>
        <v>1</v>
      </c>
      <c r="N1428" s="3">
        <f t="shared" si="45"/>
        <v>0</v>
      </c>
      <c r="O1428" s="3" t="str">
        <f>IF(ISERROR(VLOOKUP(D1428,Data!$A$2:$C$223100,3,FALSE)),"INACTIVE",VLOOKUP(D1428,Data!$A$2:$C$223100,3,FALSE))</f>
        <v>Demand Letter</v>
      </c>
    </row>
    <row r="1429" spans="1:15" x14ac:dyDescent="0.25">
      <c r="A1429" t="s">
        <v>6057</v>
      </c>
      <c r="B1429" t="s">
        <v>6058</v>
      </c>
      <c r="C1429" t="s">
        <v>6059</v>
      </c>
      <c r="D1429" t="s">
        <v>6060</v>
      </c>
      <c r="E1429" t="s">
        <v>6061</v>
      </c>
      <c r="F1429" t="s">
        <v>5</v>
      </c>
      <c r="G1429" t="s">
        <v>5</v>
      </c>
      <c r="H1429" t="s">
        <v>5</v>
      </c>
      <c r="I1429" t="s">
        <v>6062</v>
      </c>
      <c r="J1429" t="s">
        <v>90</v>
      </c>
      <c r="K1429" s="3">
        <f t="shared" si="44"/>
        <v>0</v>
      </c>
      <c r="L1429" s="3">
        <f>IF(ISERROR(VLOOKUP(J1429,Lookups!$A$2:$A$16,1,FALSE)),1,0)</f>
        <v>0</v>
      </c>
      <c r="M1429" s="3">
        <f>IF(ISERROR(VLOOKUP(D1429,Data!$A$2:$D$223100,2,FALSE)),0,1)</f>
        <v>1</v>
      </c>
      <c r="N1429" s="3">
        <f t="shared" si="45"/>
        <v>0</v>
      </c>
      <c r="O1429" s="3" t="str">
        <f>IF(ISERROR(VLOOKUP(D1429,Data!$A$2:$C$223100,3,FALSE)),"INACTIVE",VLOOKUP(D1429,Data!$A$2:$C$223100,3,FALSE))</f>
        <v>Current</v>
      </c>
    </row>
    <row r="1430" spans="1:15" x14ac:dyDescent="0.25">
      <c r="A1430" t="s">
        <v>6057</v>
      </c>
      <c r="B1430" t="s">
        <v>6058</v>
      </c>
      <c r="C1430" t="s">
        <v>6063</v>
      </c>
      <c r="D1430" t="s">
        <v>6064</v>
      </c>
      <c r="E1430" t="s">
        <v>6065</v>
      </c>
      <c r="F1430" t="s">
        <v>5</v>
      </c>
      <c r="G1430" t="s">
        <v>5</v>
      </c>
      <c r="H1430" t="s">
        <v>5</v>
      </c>
      <c r="I1430" t="s">
        <v>6062</v>
      </c>
      <c r="J1430" t="s">
        <v>90</v>
      </c>
      <c r="K1430" s="3">
        <f t="shared" si="44"/>
        <v>0</v>
      </c>
      <c r="L1430" s="3">
        <f>IF(ISERROR(VLOOKUP(J1430,Lookups!$A$2:$A$16,1,FALSE)),1,0)</f>
        <v>0</v>
      </c>
      <c r="M1430" s="3">
        <f>IF(ISERROR(VLOOKUP(D1430,Data!$A$2:$D$223100,2,FALSE)),0,1)</f>
        <v>1</v>
      </c>
      <c r="N1430" s="3">
        <f t="shared" si="45"/>
        <v>0</v>
      </c>
      <c r="O1430" s="3" t="str">
        <f>IF(ISERROR(VLOOKUP(D1430,Data!$A$2:$C$223100,3,FALSE)),"INACTIVE",VLOOKUP(D1430,Data!$A$2:$C$223100,3,FALSE))</f>
        <v>60+</v>
      </c>
    </row>
    <row r="1431" spans="1:15" x14ac:dyDescent="0.25">
      <c r="A1431" t="s">
        <v>6158</v>
      </c>
      <c r="B1431" t="s">
        <v>6159</v>
      </c>
      <c r="C1431" t="s">
        <v>6160</v>
      </c>
      <c r="D1431" t="s">
        <v>6161</v>
      </c>
      <c r="E1431" t="s">
        <v>6162</v>
      </c>
      <c r="F1431" t="s">
        <v>5</v>
      </c>
      <c r="G1431" t="s">
        <v>5</v>
      </c>
      <c r="H1431" t="s">
        <v>5</v>
      </c>
      <c r="I1431" t="s">
        <v>6062</v>
      </c>
      <c r="J1431" t="s">
        <v>7</v>
      </c>
      <c r="K1431" s="3">
        <f t="shared" si="44"/>
        <v>0</v>
      </c>
      <c r="L1431" s="3">
        <f>IF(ISERROR(VLOOKUP(J1431,Lookups!$A$2:$A$16,1,FALSE)),1,0)</f>
        <v>1</v>
      </c>
      <c r="M1431" s="3">
        <f>IF(ISERROR(VLOOKUP(D1431,Data!$A$2:$D$223100,2,FALSE)),0,1)</f>
        <v>1</v>
      </c>
      <c r="N1431" s="3">
        <f t="shared" si="45"/>
        <v>1</v>
      </c>
      <c r="O1431" s="3" t="str">
        <f>IF(ISERROR(VLOOKUP(D1431,Data!$A$2:$C$223100,3,FALSE)),"INACTIVE",VLOOKUP(D1431,Data!$A$2:$C$223100,3,FALSE))</f>
        <v>30+</v>
      </c>
    </row>
    <row r="1432" spans="1:15" x14ac:dyDescent="0.25">
      <c r="A1432" t="s">
        <v>6168</v>
      </c>
      <c r="B1432" t="s">
        <v>6169</v>
      </c>
      <c r="C1432" t="s">
        <v>6170</v>
      </c>
      <c r="D1432" t="s">
        <v>6171</v>
      </c>
      <c r="E1432" t="s">
        <v>5</v>
      </c>
      <c r="F1432" t="s">
        <v>6172</v>
      </c>
      <c r="G1432" t="s">
        <v>5</v>
      </c>
      <c r="H1432" t="s">
        <v>5</v>
      </c>
      <c r="I1432" t="s">
        <v>6062</v>
      </c>
      <c r="J1432" t="s">
        <v>7</v>
      </c>
      <c r="K1432" s="3">
        <f t="shared" si="44"/>
        <v>0</v>
      </c>
      <c r="L1432" s="3">
        <f>IF(ISERROR(VLOOKUP(J1432,Lookups!$A$2:$A$16,1,FALSE)),1,0)</f>
        <v>1</v>
      </c>
      <c r="M1432" s="3">
        <f>IF(ISERROR(VLOOKUP(D1432,Data!$A$2:$D$223100,2,FALSE)),0,1)</f>
        <v>1</v>
      </c>
      <c r="N1432" s="3">
        <f t="shared" si="45"/>
        <v>1</v>
      </c>
      <c r="O1432" s="3" t="str">
        <f>IF(ISERROR(VLOOKUP(D1432,Data!$A$2:$C$223100,3,FALSE)),"INACTIVE",VLOOKUP(D1432,Data!$A$2:$C$223100,3,FALSE))</f>
        <v>FBA</v>
      </c>
    </row>
    <row r="1433" spans="1:15" x14ac:dyDescent="0.25">
      <c r="A1433" t="s">
        <v>5721</v>
      </c>
      <c r="B1433" t="s">
        <v>5722</v>
      </c>
      <c r="C1433" t="s">
        <v>5723</v>
      </c>
      <c r="D1433" t="s">
        <v>5724</v>
      </c>
      <c r="E1433" t="s">
        <v>5</v>
      </c>
      <c r="F1433" t="s">
        <v>5</v>
      </c>
      <c r="G1433" t="s">
        <v>5725</v>
      </c>
      <c r="H1433" t="s">
        <v>5726</v>
      </c>
      <c r="I1433" t="s">
        <v>5727</v>
      </c>
      <c r="J1433" t="s">
        <v>7</v>
      </c>
      <c r="K1433" s="3">
        <f t="shared" si="44"/>
        <v>0</v>
      </c>
      <c r="L1433" s="3">
        <f>IF(ISERROR(VLOOKUP(J1433,Lookups!$A$2:$A$16,1,FALSE)),1,0)</f>
        <v>1</v>
      </c>
      <c r="M1433" s="3">
        <f>IF(ISERROR(VLOOKUP(D1433,Data!$A$2:$D$223100,2,FALSE)),0,1)</f>
        <v>1</v>
      </c>
      <c r="N1433" s="3">
        <f t="shared" si="45"/>
        <v>1</v>
      </c>
      <c r="O1433" s="3" t="str">
        <f>IF(ISERROR(VLOOKUP(D1433,Data!$A$2:$C$223100,3,FALSE)),"INACTIVE",VLOOKUP(D1433,Data!$A$2:$C$223100,3,FALSE))</f>
        <v>BK13</v>
      </c>
    </row>
    <row r="1434" spans="1:15" x14ac:dyDescent="0.25">
      <c r="A1434" t="s">
        <v>5721</v>
      </c>
      <c r="B1434" t="s">
        <v>5722</v>
      </c>
      <c r="C1434" t="s">
        <v>5728</v>
      </c>
      <c r="D1434" t="s">
        <v>5729</v>
      </c>
      <c r="E1434" t="s">
        <v>5</v>
      </c>
      <c r="F1434" t="s">
        <v>5</v>
      </c>
      <c r="G1434" t="s">
        <v>5</v>
      </c>
      <c r="H1434" t="s">
        <v>5730</v>
      </c>
      <c r="I1434" t="s">
        <v>5727</v>
      </c>
      <c r="J1434" t="s">
        <v>7</v>
      </c>
      <c r="K1434" s="3">
        <f t="shared" si="44"/>
        <v>0</v>
      </c>
      <c r="L1434" s="3">
        <f>IF(ISERROR(VLOOKUP(J1434,Lookups!$A$2:$A$16,1,FALSE)),1,0)</f>
        <v>1</v>
      </c>
      <c r="M1434" s="3">
        <f>IF(ISERROR(VLOOKUP(D1434,Data!$A$2:$D$223100,2,FALSE)),0,1)</f>
        <v>1</v>
      </c>
      <c r="N1434" s="3">
        <f t="shared" si="45"/>
        <v>1</v>
      </c>
      <c r="O1434" s="3" t="str">
        <f>IF(ISERROR(VLOOKUP(D1434,Data!$A$2:$C$223100,3,FALSE)),"INACTIVE",VLOOKUP(D1434,Data!$A$2:$C$223100,3,FALSE))</f>
        <v>Current</v>
      </c>
    </row>
    <row r="1435" spans="1:15" x14ac:dyDescent="0.25">
      <c r="A1435" t="s">
        <v>5721</v>
      </c>
      <c r="B1435" t="s">
        <v>5722</v>
      </c>
      <c r="C1435" t="s">
        <v>5731</v>
      </c>
      <c r="D1435" t="s">
        <v>5732</v>
      </c>
      <c r="E1435" t="s">
        <v>5</v>
      </c>
      <c r="F1435" t="s">
        <v>5</v>
      </c>
      <c r="G1435" t="s">
        <v>5733</v>
      </c>
      <c r="H1435" t="s">
        <v>5733</v>
      </c>
      <c r="I1435" t="s">
        <v>5727</v>
      </c>
      <c r="J1435" t="s">
        <v>7</v>
      </c>
      <c r="K1435" s="3">
        <f t="shared" si="44"/>
        <v>0</v>
      </c>
      <c r="L1435" s="3">
        <f>IF(ISERROR(VLOOKUP(J1435,Lookups!$A$2:$A$16,1,FALSE)),1,0)</f>
        <v>1</v>
      </c>
      <c r="M1435" s="3">
        <f>IF(ISERROR(VLOOKUP(D1435,Data!$A$2:$D$223100,2,FALSE)),0,1)</f>
        <v>1</v>
      </c>
      <c r="N1435" s="3">
        <f t="shared" si="45"/>
        <v>1</v>
      </c>
      <c r="O1435" s="3" t="str">
        <f>IF(ISERROR(VLOOKUP(D1435,Data!$A$2:$C$223100,3,FALSE)),"INACTIVE",VLOOKUP(D1435,Data!$A$2:$C$223100,3,FALSE))</f>
        <v>30+</v>
      </c>
    </row>
    <row r="1436" spans="1:15" x14ac:dyDescent="0.25">
      <c r="A1436" t="s">
        <v>6115</v>
      </c>
      <c r="B1436" t="s">
        <v>6116</v>
      </c>
      <c r="C1436" t="s">
        <v>5574</v>
      </c>
      <c r="D1436" t="s">
        <v>5575</v>
      </c>
      <c r="E1436" t="s">
        <v>6117</v>
      </c>
      <c r="F1436" t="s">
        <v>5</v>
      </c>
      <c r="G1436" t="s">
        <v>5</v>
      </c>
      <c r="H1436" t="s">
        <v>5</v>
      </c>
      <c r="I1436" t="s">
        <v>5727</v>
      </c>
      <c r="J1436" t="s">
        <v>96</v>
      </c>
      <c r="K1436" s="3">
        <f t="shared" si="44"/>
        <v>0</v>
      </c>
      <c r="L1436" s="3">
        <f>IF(ISERROR(VLOOKUP(J1436,Lookups!$A$2:$A$16,1,FALSE)),1,0)</f>
        <v>0</v>
      </c>
      <c r="M1436" s="3">
        <f>IF(ISERROR(VLOOKUP(D1436,Data!$A$2:$D$223100,2,FALSE)),0,1)</f>
        <v>1</v>
      </c>
      <c r="N1436" s="3">
        <f t="shared" si="45"/>
        <v>0</v>
      </c>
      <c r="O1436" s="3" t="str">
        <f>IF(ISERROR(VLOOKUP(D1436,Data!$A$2:$C$223100,3,FALSE)),"INACTIVE",VLOOKUP(D1436,Data!$A$2:$C$223100,3,FALSE))</f>
        <v>90+</v>
      </c>
    </row>
    <row r="1437" spans="1:15" x14ac:dyDescent="0.25">
      <c r="A1437" t="s">
        <v>6138</v>
      </c>
      <c r="B1437" t="s">
        <v>6139</v>
      </c>
      <c r="C1437" t="s">
        <v>6140</v>
      </c>
      <c r="D1437" t="s">
        <v>6141</v>
      </c>
      <c r="E1437" t="s">
        <v>6142</v>
      </c>
      <c r="F1437" t="s">
        <v>6142</v>
      </c>
      <c r="G1437" t="s">
        <v>5</v>
      </c>
      <c r="H1437" t="s">
        <v>5</v>
      </c>
      <c r="I1437" t="s">
        <v>6143</v>
      </c>
      <c r="J1437" t="s">
        <v>7</v>
      </c>
      <c r="K1437" s="3">
        <f t="shared" si="44"/>
        <v>0</v>
      </c>
      <c r="L1437" s="3">
        <f>IF(ISERROR(VLOOKUP(J1437,Lookups!$A$2:$A$16,1,FALSE)),1,0)</f>
        <v>1</v>
      </c>
      <c r="M1437" s="3">
        <f>IF(ISERROR(VLOOKUP(D1437,Data!$A$2:$D$223100,2,FALSE)),0,1)</f>
        <v>1</v>
      </c>
      <c r="N1437" s="3">
        <f t="shared" si="45"/>
        <v>1</v>
      </c>
      <c r="O1437" s="3" t="str">
        <f>IF(ISERROR(VLOOKUP(D1437,Data!$A$2:$C$223100,3,FALSE)),"INACTIVE",VLOOKUP(D1437,Data!$A$2:$C$223100,3,FALSE))</f>
        <v>FC</v>
      </c>
    </row>
    <row r="1438" spans="1:15" x14ac:dyDescent="0.25">
      <c r="A1438" t="s">
        <v>6138</v>
      </c>
      <c r="B1438" t="s">
        <v>6139</v>
      </c>
      <c r="C1438" t="s">
        <v>6144</v>
      </c>
      <c r="D1438" t="s">
        <v>6145</v>
      </c>
      <c r="E1438" t="s">
        <v>6146</v>
      </c>
      <c r="F1438" t="s">
        <v>6146</v>
      </c>
      <c r="G1438" t="s">
        <v>5</v>
      </c>
      <c r="H1438" t="s">
        <v>5</v>
      </c>
      <c r="I1438" t="s">
        <v>6143</v>
      </c>
      <c r="J1438" t="s">
        <v>7</v>
      </c>
      <c r="K1438" s="3">
        <f t="shared" si="44"/>
        <v>0</v>
      </c>
      <c r="L1438" s="3">
        <f>IF(ISERROR(VLOOKUP(J1438,Lookups!$A$2:$A$16,1,FALSE)),1,0)</f>
        <v>1</v>
      </c>
      <c r="M1438" s="3">
        <f>IF(ISERROR(VLOOKUP(D1438,Data!$A$2:$D$223100,2,FALSE)),0,1)</f>
        <v>0</v>
      </c>
      <c r="N1438" s="3">
        <f t="shared" si="45"/>
        <v>0</v>
      </c>
      <c r="O1438" s="3" t="str">
        <f>IF(ISERROR(VLOOKUP(D1438,Data!$A$2:$C$223100,3,FALSE)),"INACTIVE",VLOOKUP(D1438,Data!$A$2:$C$223100,3,FALSE))</f>
        <v>INACTIVE</v>
      </c>
    </row>
    <row r="1439" spans="1:15" x14ac:dyDescent="0.25">
      <c r="A1439" t="s">
        <v>6138</v>
      </c>
      <c r="B1439" t="s">
        <v>6139</v>
      </c>
      <c r="C1439" t="s">
        <v>6147</v>
      </c>
      <c r="D1439" t="s">
        <v>6148</v>
      </c>
      <c r="E1439" t="s">
        <v>6149</v>
      </c>
      <c r="F1439" t="s">
        <v>5</v>
      </c>
      <c r="G1439" t="s">
        <v>5</v>
      </c>
      <c r="H1439" t="s">
        <v>5</v>
      </c>
      <c r="I1439" t="s">
        <v>6143</v>
      </c>
      <c r="J1439" t="s">
        <v>96</v>
      </c>
      <c r="K1439" s="3">
        <f t="shared" si="44"/>
        <v>0</v>
      </c>
      <c r="L1439" s="3">
        <f>IF(ISERROR(VLOOKUP(J1439,Lookups!$A$2:$A$16,1,FALSE)),1,0)</f>
        <v>0</v>
      </c>
      <c r="M1439" s="3">
        <f>IF(ISERROR(VLOOKUP(D1439,Data!$A$2:$D$223100,2,FALSE)),0,1)</f>
        <v>1</v>
      </c>
      <c r="N1439" s="3">
        <f t="shared" si="45"/>
        <v>0</v>
      </c>
      <c r="O1439" s="3" t="str">
        <f>IF(ISERROR(VLOOKUP(D1439,Data!$A$2:$C$223100,3,FALSE)),"INACTIVE",VLOOKUP(D1439,Data!$A$2:$C$223100,3,FALSE))</f>
        <v>FC</v>
      </c>
    </row>
    <row r="1440" spans="1:15" x14ac:dyDescent="0.25">
      <c r="A1440" t="s">
        <v>6138</v>
      </c>
      <c r="B1440" t="s">
        <v>6139</v>
      </c>
      <c r="C1440" t="s">
        <v>6147</v>
      </c>
      <c r="D1440" t="s">
        <v>6148</v>
      </c>
      <c r="E1440" t="s">
        <v>6150</v>
      </c>
      <c r="F1440" t="s">
        <v>6150</v>
      </c>
      <c r="G1440" t="s">
        <v>5</v>
      </c>
      <c r="H1440" t="s">
        <v>5</v>
      </c>
      <c r="I1440" t="s">
        <v>6143</v>
      </c>
      <c r="J1440" t="s">
        <v>96</v>
      </c>
      <c r="K1440" s="3">
        <f t="shared" si="44"/>
        <v>0</v>
      </c>
      <c r="L1440" s="3">
        <f>IF(ISERROR(VLOOKUP(J1440,Lookups!$A$2:$A$16,1,FALSE)),1,0)</f>
        <v>0</v>
      </c>
      <c r="M1440" s="3">
        <f>IF(ISERROR(VLOOKUP(D1440,Data!$A$2:$D$223100,2,FALSE)),0,1)</f>
        <v>1</v>
      </c>
      <c r="N1440" s="3">
        <f t="shared" si="45"/>
        <v>0</v>
      </c>
      <c r="O1440" s="3" t="str">
        <f>IF(ISERROR(VLOOKUP(D1440,Data!$A$2:$C$223100,3,FALSE)),"INACTIVE",VLOOKUP(D1440,Data!$A$2:$C$223100,3,FALSE))</f>
        <v>FC</v>
      </c>
    </row>
    <row r="1441" spans="1:15" x14ac:dyDescent="0.25">
      <c r="A1441" t="s">
        <v>5676</v>
      </c>
      <c r="B1441" t="s">
        <v>5677</v>
      </c>
      <c r="C1441" t="s">
        <v>5678</v>
      </c>
      <c r="D1441" t="s">
        <v>5679</v>
      </c>
      <c r="E1441" t="s">
        <v>5680</v>
      </c>
      <c r="F1441" t="s">
        <v>5681</v>
      </c>
      <c r="G1441" t="s">
        <v>5</v>
      </c>
      <c r="H1441" t="s">
        <v>5</v>
      </c>
      <c r="I1441" t="s">
        <v>5682</v>
      </c>
      <c r="J1441" t="s">
        <v>96</v>
      </c>
      <c r="K1441" s="3">
        <f t="shared" si="44"/>
        <v>0</v>
      </c>
      <c r="L1441" s="3">
        <f>IF(ISERROR(VLOOKUP(J1441,Lookups!$A$2:$A$16,1,FALSE)),1,0)</f>
        <v>0</v>
      </c>
      <c r="M1441" s="3">
        <f>IF(ISERROR(VLOOKUP(D1441,Data!$A$2:$D$223100,2,FALSE)),0,1)</f>
        <v>0</v>
      </c>
      <c r="N1441" s="3">
        <f t="shared" si="45"/>
        <v>0</v>
      </c>
      <c r="O1441" s="3" t="str">
        <f>IF(ISERROR(VLOOKUP(D1441,Data!$A$2:$C$223100,3,FALSE)),"INACTIVE",VLOOKUP(D1441,Data!$A$2:$C$223100,3,FALSE))</f>
        <v>INACTIVE</v>
      </c>
    </row>
    <row r="1442" spans="1:15" x14ac:dyDescent="0.25">
      <c r="A1442" t="s">
        <v>5676</v>
      </c>
      <c r="B1442" t="s">
        <v>5677</v>
      </c>
      <c r="C1442" t="s">
        <v>5683</v>
      </c>
      <c r="D1442" t="s">
        <v>5684</v>
      </c>
      <c r="E1442" t="s">
        <v>5</v>
      </c>
      <c r="F1442" t="s">
        <v>5685</v>
      </c>
      <c r="G1442" t="s">
        <v>5</v>
      </c>
      <c r="H1442" t="s">
        <v>5</v>
      </c>
      <c r="I1442" t="s">
        <v>5682</v>
      </c>
      <c r="J1442" t="s">
        <v>96</v>
      </c>
      <c r="K1442" s="3">
        <f t="shared" si="44"/>
        <v>0</v>
      </c>
      <c r="L1442" s="3">
        <f>IF(ISERROR(VLOOKUP(J1442,Lookups!$A$2:$A$16,1,FALSE)),1,0)</f>
        <v>0</v>
      </c>
      <c r="M1442" s="3">
        <f>IF(ISERROR(VLOOKUP(D1442,Data!$A$2:$D$223100,2,FALSE)),0,1)</f>
        <v>0</v>
      </c>
      <c r="N1442" s="3">
        <f t="shared" si="45"/>
        <v>0</v>
      </c>
      <c r="O1442" s="3" t="str">
        <f>IF(ISERROR(VLOOKUP(D1442,Data!$A$2:$C$223100,3,FALSE)),"INACTIVE",VLOOKUP(D1442,Data!$A$2:$C$223100,3,FALSE))</f>
        <v>INACTIVE</v>
      </c>
    </row>
    <row r="1443" spans="1:15" x14ac:dyDescent="0.25">
      <c r="A1443" t="s">
        <v>5965</v>
      </c>
      <c r="B1443" t="s">
        <v>5966</v>
      </c>
      <c r="C1443" t="s">
        <v>5967</v>
      </c>
      <c r="D1443" t="s">
        <v>5968</v>
      </c>
      <c r="E1443" t="s">
        <v>5969</v>
      </c>
      <c r="F1443" t="s">
        <v>5</v>
      </c>
      <c r="G1443" t="s">
        <v>5</v>
      </c>
      <c r="H1443" t="s">
        <v>5</v>
      </c>
      <c r="I1443" t="s">
        <v>5682</v>
      </c>
      <c r="J1443" t="s">
        <v>90</v>
      </c>
      <c r="K1443" s="3">
        <f t="shared" si="44"/>
        <v>0</v>
      </c>
      <c r="L1443" s="3">
        <f>IF(ISERROR(VLOOKUP(J1443,Lookups!$A$2:$A$16,1,FALSE)),1,0)</f>
        <v>0</v>
      </c>
      <c r="M1443" s="3">
        <f>IF(ISERROR(VLOOKUP(D1443,Data!$A$2:$D$223100,2,FALSE)),0,1)</f>
        <v>1</v>
      </c>
      <c r="N1443" s="3">
        <f t="shared" si="45"/>
        <v>0</v>
      </c>
      <c r="O1443" s="3" t="str">
        <f>IF(ISERROR(VLOOKUP(D1443,Data!$A$2:$C$223100,3,FALSE)),"INACTIVE",VLOOKUP(D1443,Data!$A$2:$C$223100,3,FALSE))</f>
        <v>FC</v>
      </c>
    </row>
    <row r="1444" spans="1:15" x14ac:dyDescent="0.25">
      <c r="A1444" t="s">
        <v>5965</v>
      </c>
      <c r="B1444" t="s">
        <v>5966</v>
      </c>
      <c r="C1444" t="s">
        <v>5970</v>
      </c>
      <c r="D1444" t="s">
        <v>5971</v>
      </c>
      <c r="E1444" t="s">
        <v>5972</v>
      </c>
      <c r="F1444" t="s">
        <v>5</v>
      </c>
      <c r="G1444" t="s">
        <v>5</v>
      </c>
      <c r="H1444" t="s">
        <v>5</v>
      </c>
      <c r="I1444" t="s">
        <v>5682</v>
      </c>
      <c r="J1444" t="s">
        <v>90</v>
      </c>
      <c r="K1444" s="3">
        <f t="shared" si="44"/>
        <v>0</v>
      </c>
      <c r="L1444" s="3">
        <f>IF(ISERROR(VLOOKUP(J1444,Lookups!$A$2:$A$16,1,FALSE)),1,0)</f>
        <v>0</v>
      </c>
      <c r="M1444" s="3">
        <f>IF(ISERROR(VLOOKUP(D1444,Data!$A$2:$D$223100,2,FALSE)),0,1)</f>
        <v>1</v>
      </c>
      <c r="N1444" s="3">
        <f t="shared" si="45"/>
        <v>0</v>
      </c>
      <c r="O1444" s="3" t="str">
        <f>IF(ISERROR(VLOOKUP(D1444,Data!$A$2:$C$223100,3,FALSE)),"INACTIVE",VLOOKUP(D1444,Data!$A$2:$C$223100,3,FALSE))</f>
        <v>180+</v>
      </c>
    </row>
    <row r="1445" spans="1:15" x14ac:dyDescent="0.25">
      <c r="A1445" t="s">
        <v>6066</v>
      </c>
      <c r="B1445" t="s">
        <v>6067</v>
      </c>
      <c r="C1445" t="s">
        <v>6068</v>
      </c>
      <c r="D1445" t="s">
        <v>6069</v>
      </c>
      <c r="E1445" t="s">
        <v>6070</v>
      </c>
      <c r="F1445" t="s">
        <v>5</v>
      </c>
      <c r="G1445" t="s">
        <v>5</v>
      </c>
      <c r="H1445" t="s">
        <v>5</v>
      </c>
      <c r="I1445" t="s">
        <v>5682</v>
      </c>
      <c r="J1445" t="s">
        <v>7</v>
      </c>
      <c r="K1445" s="3">
        <f t="shared" si="44"/>
        <v>0</v>
      </c>
      <c r="L1445" s="3">
        <f>IF(ISERROR(VLOOKUP(J1445,Lookups!$A$2:$A$16,1,FALSE)),1,0)</f>
        <v>1</v>
      </c>
      <c r="M1445" s="3">
        <f>IF(ISERROR(VLOOKUP(D1445,Data!$A$2:$D$223100,2,FALSE)),0,1)</f>
        <v>1</v>
      </c>
      <c r="N1445" s="3">
        <f t="shared" si="45"/>
        <v>1</v>
      </c>
      <c r="O1445" s="3" t="str">
        <f>IF(ISERROR(VLOOKUP(D1445,Data!$A$2:$C$223100,3,FALSE)),"INACTIVE",VLOOKUP(D1445,Data!$A$2:$C$223100,3,FALSE))</f>
        <v>Demand Letter</v>
      </c>
    </row>
    <row r="1446" spans="1:15" x14ac:dyDescent="0.25">
      <c r="A1446" t="s">
        <v>5609</v>
      </c>
      <c r="B1446" t="s">
        <v>5610</v>
      </c>
      <c r="C1446" t="s">
        <v>5611</v>
      </c>
      <c r="D1446" t="s">
        <v>5612</v>
      </c>
      <c r="E1446" t="s">
        <v>5</v>
      </c>
      <c r="F1446" t="s">
        <v>5613</v>
      </c>
      <c r="G1446" t="s">
        <v>5</v>
      </c>
      <c r="H1446" t="s">
        <v>5</v>
      </c>
      <c r="I1446" t="s">
        <v>5614</v>
      </c>
      <c r="J1446" t="s">
        <v>7</v>
      </c>
      <c r="K1446" s="3">
        <f t="shared" si="44"/>
        <v>0</v>
      </c>
      <c r="L1446" s="3">
        <f>IF(ISERROR(VLOOKUP(J1446,Lookups!$A$2:$A$16,1,FALSE)),1,0)</f>
        <v>1</v>
      </c>
      <c r="M1446" s="3">
        <f>IF(ISERROR(VLOOKUP(D1446,Data!$A$2:$D$223100,2,FALSE)),0,1)</f>
        <v>0</v>
      </c>
      <c r="N1446" s="3">
        <f t="shared" si="45"/>
        <v>0</v>
      </c>
      <c r="O1446" s="3" t="str">
        <f>IF(ISERROR(VLOOKUP(D1446,Data!$A$2:$C$223100,3,FALSE)),"INACTIVE",VLOOKUP(D1446,Data!$A$2:$C$223100,3,FALSE))</f>
        <v>INACTIVE</v>
      </c>
    </row>
    <row r="1447" spans="1:15" x14ac:dyDescent="0.25">
      <c r="A1447" t="s">
        <v>5609</v>
      </c>
      <c r="B1447" t="s">
        <v>5610</v>
      </c>
      <c r="C1447" t="s">
        <v>5615</v>
      </c>
      <c r="D1447" t="s">
        <v>5616</v>
      </c>
      <c r="E1447" t="s">
        <v>5</v>
      </c>
      <c r="F1447" t="s">
        <v>5617</v>
      </c>
      <c r="G1447" t="s">
        <v>5</v>
      </c>
      <c r="H1447" t="s">
        <v>5</v>
      </c>
      <c r="I1447" t="s">
        <v>5614</v>
      </c>
      <c r="J1447" t="s">
        <v>7</v>
      </c>
      <c r="K1447" s="3">
        <f t="shared" si="44"/>
        <v>0</v>
      </c>
      <c r="L1447" s="3">
        <f>IF(ISERROR(VLOOKUP(J1447,Lookups!$A$2:$A$16,1,FALSE)),1,0)</f>
        <v>1</v>
      </c>
      <c r="M1447" s="3">
        <f>IF(ISERROR(VLOOKUP(D1447,Data!$A$2:$D$223100,2,FALSE)),0,1)</f>
        <v>1</v>
      </c>
      <c r="N1447" s="3">
        <f t="shared" si="45"/>
        <v>1</v>
      </c>
      <c r="O1447" s="3" t="str">
        <f>IF(ISERROR(VLOOKUP(D1447,Data!$A$2:$C$223100,3,FALSE)),"INACTIVE",VLOOKUP(D1447,Data!$A$2:$C$223100,3,FALSE))</f>
        <v>120+</v>
      </c>
    </row>
    <row r="1448" spans="1:15" x14ac:dyDescent="0.25">
      <c r="A1448" t="s">
        <v>5609</v>
      </c>
      <c r="B1448" t="s">
        <v>5610</v>
      </c>
      <c r="C1448" t="s">
        <v>5618</v>
      </c>
      <c r="D1448" t="s">
        <v>5619</v>
      </c>
      <c r="E1448" t="s">
        <v>5</v>
      </c>
      <c r="F1448" t="s">
        <v>5620</v>
      </c>
      <c r="G1448" t="s">
        <v>5</v>
      </c>
      <c r="H1448" t="s">
        <v>5</v>
      </c>
      <c r="I1448" t="s">
        <v>5614</v>
      </c>
      <c r="J1448" t="s">
        <v>7</v>
      </c>
      <c r="K1448" s="3">
        <f t="shared" si="44"/>
        <v>0</v>
      </c>
      <c r="L1448" s="3">
        <f>IF(ISERROR(VLOOKUP(J1448,Lookups!$A$2:$A$16,1,FALSE)),1,0)</f>
        <v>1</v>
      </c>
      <c r="M1448" s="3">
        <f>IF(ISERROR(VLOOKUP(D1448,Data!$A$2:$D$223100,2,FALSE)),0,1)</f>
        <v>1</v>
      </c>
      <c r="N1448" s="3">
        <f t="shared" si="45"/>
        <v>1</v>
      </c>
      <c r="O1448" s="3" t="str">
        <f>IF(ISERROR(VLOOKUP(D1448,Data!$A$2:$C$223100,3,FALSE)),"INACTIVE",VLOOKUP(D1448,Data!$A$2:$C$223100,3,FALSE))</f>
        <v>Current</v>
      </c>
    </row>
    <row r="1449" spans="1:15" x14ac:dyDescent="0.25">
      <c r="A1449" t="s">
        <v>5609</v>
      </c>
      <c r="B1449" t="s">
        <v>5610</v>
      </c>
      <c r="C1449" t="s">
        <v>5621</v>
      </c>
      <c r="D1449" t="s">
        <v>5622</v>
      </c>
      <c r="E1449" t="s">
        <v>5623</v>
      </c>
      <c r="F1449" t="s">
        <v>5623</v>
      </c>
      <c r="G1449" t="s">
        <v>5</v>
      </c>
      <c r="H1449" t="s">
        <v>5</v>
      </c>
      <c r="I1449" t="s">
        <v>5614</v>
      </c>
      <c r="J1449" t="s">
        <v>7</v>
      </c>
      <c r="K1449" s="3">
        <f t="shared" si="44"/>
        <v>0</v>
      </c>
      <c r="L1449" s="3">
        <f>IF(ISERROR(VLOOKUP(J1449,Lookups!$A$2:$A$16,1,FALSE)),1,0)</f>
        <v>1</v>
      </c>
      <c r="M1449" s="3">
        <f>IF(ISERROR(VLOOKUP(D1449,Data!$A$2:$D$223100,2,FALSE)),0,1)</f>
        <v>1</v>
      </c>
      <c r="N1449" s="3">
        <f t="shared" si="45"/>
        <v>1</v>
      </c>
      <c r="O1449" s="3" t="str">
        <f>IF(ISERROR(VLOOKUP(D1449,Data!$A$2:$C$223100,3,FALSE)),"INACTIVE",VLOOKUP(D1449,Data!$A$2:$C$223100,3,FALSE))</f>
        <v>90+</v>
      </c>
    </row>
    <row r="1450" spans="1:15" x14ac:dyDescent="0.25">
      <c r="A1450" t="s">
        <v>5649</v>
      </c>
      <c r="B1450" t="s">
        <v>5650</v>
      </c>
      <c r="C1450" t="s">
        <v>5651</v>
      </c>
      <c r="D1450" t="s">
        <v>5652</v>
      </c>
      <c r="E1450" t="s">
        <v>5653</v>
      </c>
      <c r="F1450" t="s">
        <v>5</v>
      </c>
      <c r="G1450" t="s">
        <v>5</v>
      </c>
      <c r="H1450" t="s">
        <v>5</v>
      </c>
      <c r="I1450" t="s">
        <v>5614</v>
      </c>
      <c r="J1450" t="s">
        <v>96</v>
      </c>
      <c r="K1450" s="3">
        <f t="shared" si="44"/>
        <v>0</v>
      </c>
      <c r="L1450" s="3">
        <f>IF(ISERROR(VLOOKUP(J1450,Lookups!$A$2:$A$16,1,FALSE)),1,0)</f>
        <v>0</v>
      </c>
      <c r="M1450" s="3">
        <f>IF(ISERROR(VLOOKUP(D1450,Data!$A$2:$D$223100,2,FALSE)),0,1)</f>
        <v>1</v>
      </c>
      <c r="N1450" s="3">
        <f t="shared" si="45"/>
        <v>0</v>
      </c>
      <c r="O1450" s="3" t="str">
        <f>IF(ISERROR(VLOOKUP(D1450,Data!$A$2:$C$223100,3,FALSE)),"INACTIVE",VLOOKUP(D1450,Data!$A$2:$C$223100,3,FALSE))</f>
        <v>FC</v>
      </c>
    </row>
    <row r="1451" spans="1:15" x14ac:dyDescent="0.25">
      <c r="A1451" t="s">
        <v>5649</v>
      </c>
      <c r="B1451" t="s">
        <v>5650</v>
      </c>
      <c r="C1451" t="s">
        <v>5654</v>
      </c>
      <c r="D1451" t="s">
        <v>5655</v>
      </c>
      <c r="E1451" t="s">
        <v>5656</v>
      </c>
      <c r="F1451" t="s">
        <v>5</v>
      </c>
      <c r="G1451" t="s">
        <v>5</v>
      </c>
      <c r="H1451" t="s">
        <v>5</v>
      </c>
      <c r="I1451" t="s">
        <v>5614</v>
      </c>
      <c r="J1451" t="s">
        <v>96</v>
      </c>
      <c r="K1451" s="3">
        <f t="shared" si="44"/>
        <v>0</v>
      </c>
      <c r="L1451" s="3">
        <f>IF(ISERROR(VLOOKUP(J1451,Lookups!$A$2:$A$16,1,FALSE)),1,0)</f>
        <v>0</v>
      </c>
      <c r="M1451" s="3">
        <f>IF(ISERROR(VLOOKUP(D1451,Data!$A$2:$D$223100,2,FALSE)),0,1)</f>
        <v>1</v>
      </c>
      <c r="N1451" s="3">
        <f t="shared" si="45"/>
        <v>0</v>
      </c>
      <c r="O1451" s="3" t="str">
        <f>IF(ISERROR(VLOOKUP(D1451,Data!$A$2:$C$223100,3,FALSE)),"INACTIVE",VLOOKUP(D1451,Data!$A$2:$C$223100,3,FALSE))</f>
        <v>Current</v>
      </c>
    </row>
    <row r="1452" spans="1:15" x14ac:dyDescent="0.25">
      <c r="A1452" t="s">
        <v>6053</v>
      </c>
      <c r="B1452" t="s">
        <v>6054</v>
      </c>
      <c r="C1452" t="s">
        <v>5590</v>
      </c>
      <c r="D1452" t="s">
        <v>5591</v>
      </c>
      <c r="E1452" t="s">
        <v>6055</v>
      </c>
      <c r="F1452" t="s">
        <v>5</v>
      </c>
      <c r="G1452" t="s">
        <v>5</v>
      </c>
      <c r="H1452" t="s">
        <v>5</v>
      </c>
      <c r="I1452" t="s">
        <v>5614</v>
      </c>
      <c r="J1452" t="s">
        <v>90</v>
      </c>
      <c r="K1452" s="3">
        <f t="shared" si="44"/>
        <v>0</v>
      </c>
      <c r="L1452" s="3">
        <f>IF(ISERROR(VLOOKUP(J1452,Lookups!$A$2:$A$16,1,FALSE)),1,0)</f>
        <v>0</v>
      </c>
      <c r="M1452" s="3">
        <f>IF(ISERROR(VLOOKUP(D1452,Data!$A$2:$D$223100,2,FALSE)),0,1)</f>
        <v>0</v>
      </c>
      <c r="N1452" s="3">
        <f t="shared" si="45"/>
        <v>0</v>
      </c>
      <c r="O1452" s="3" t="str">
        <f>IF(ISERROR(VLOOKUP(D1452,Data!$A$2:$C$223100,3,FALSE)),"INACTIVE",VLOOKUP(D1452,Data!$A$2:$C$223100,3,FALSE))</f>
        <v>INACTIVE</v>
      </c>
    </row>
    <row r="1453" spans="1:15" x14ac:dyDescent="0.25">
      <c r="A1453" t="s">
        <v>6053</v>
      </c>
      <c r="B1453" t="s">
        <v>6054</v>
      </c>
      <c r="C1453" t="s">
        <v>5590</v>
      </c>
      <c r="D1453" t="s">
        <v>5591</v>
      </c>
      <c r="E1453" t="s">
        <v>6056</v>
      </c>
      <c r="F1453" t="s">
        <v>5</v>
      </c>
      <c r="G1453" t="s">
        <v>5</v>
      </c>
      <c r="H1453" t="s">
        <v>5</v>
      </c>
      <c r="I1453" t="s">
        <v>5614</v>
      </c>
      <c r="J1453" t="s">
        <v>90</v>
      </c>
      <c r="K1453" s="3">
        <f t="shared" si="44"/>
        <v>0</v>
      </c>
      <c r="L1453" s="3">
        <f>IF(ISERROR(VLOOKUP(J1453,Lookups!$A$2:$A$16,1,FALSE)),1,0)</f>
        <v>0</v>
      </c>
      <c r="M1453" s="3">
        <f>IF(ISERROR(VLOOKUP(D1453,Data!$A$2:$D$223100,2,FALSE)),0,1)</f>
        <v>0</v>
      </c>
      <c r="N1453" s="3">
        <f t="shared" si="45"/>
        <v>0</v>
      </c>
      <c r="O1453" s="3" t="str">
        <f>IF(ISERROR(VLOOKUP(D1453,Data!$A$2:$C$223100,3,FALSE)),"INACTIVE",VLOOKUP(D1453,Data!$A$2:$C$223100,3,FALSE))</f>
        <v>INACTIVE</v>
      </c>
    </row>
    <row r="1454" spans="1:15" x14ac:dyDescent="0.25">
      <c r="A1454" t="s">
        <v>6173</v>
      </c>
      <c r="B1454" t="s">
        <v>6174</v>
      </c>
      <c r="C1454" t="s">
        <v>6175</v>
      </c>
      <c r="D1454" t="s">
        <v>6176</v>
      </c>
      <c r="E1454" t="s">
        <v>6177</v>
      </c>
      <c r="F1454" t="s">
        <v>5</v>
      </c>
      <c r="G1454" t="s">
        <v>5</v>
      </c>
      <c r="H1454" t="s">
        <v>5</v>
      </c>
      <c r="I1454" t="s">
        <v>5614</v>
      </c>
      <c r="J1454" t="s">
        <v>90</v>
      </c>
      <c r="K1454" s="3">
        <f t="shared" si="44"/>
        <v>0</v>
      </c>
      <c r="L1454" s="3">
        <f>IF(ISERROR(VLOOKUP(J1454,Lookups!$A$2:$A$16,1,FALSE)),1,0)</f>
        <v>0</v>
      </c>
      <c r="M1454" s="3">
        <f>IF(ISERROR(VLOOKUP(D1454,Data!$A$2:$D$223100,2,FALSE)),0,1)</f>
        <v>1</v>
      </c>
      <c r="N1454" s="3">
        <f t="shared" si="45"/>
        <v>0</v>
      </c>
      <c r="O1454" s="3" t="str">
        <f>IF(ISERROR(VLOOKUP(D1454,Data!$A$2:$C$223100,3,FALSE)),"INACTIVE",VLOOKUP(D1454,Data!$A$2:$C$223100,3,FALSE))</f>
        <v>90+</v>
      </c>
    </row>
    <row r="1455" spans="1:15" x14ac:dyDescent="0.25">
      <c r="A1455" t="s">
        <v>6173</v>
      </c>
      <c r="B1455" t="s">
        <v>6174</v>
      </c>
      <c r="C1455" t="s">
        <v>6178</v>
      </c>
      <c r="D1455" t="s">
        <v>6179</v>
      </c>
      <c r="E1455" t="s">
        <v>6180</v>
      </c>
      <c r="F1455" t="s">
        <v>5</v>
      </c>
      <c r="G1455" t="s">
        <v>5</v>
      </c>
      <c r="H1455" t="s">
        <v>5</v>
      </c>
      <c r="I1455" t="s">
        <v>5614</v>
      </c>
      <c r="J1455" t="s">
        <v>90</v>
      </c>
      <c r="K1455" s="3">
        <f t="shared" si="44"/>
        <v>0</v>
      </c>
      <c r="L1455" s="3">
        <f>IF(ISERROR(VLOOKUP(J1455,Lookups!$A$2:$A$16,1,FALSE)),1,0)</f>
        <v>0</v>
      </c>
      <c r="M1455" s="3">
        <f>IF(ISERROR(VLOOKUP(D1455,Data!$A$2:$D$223100,2,FALSE)),0,1)</f>
        <v>1</v>
      </c>
      <c r="N1455" s="3">
        <f t="shared" si="45"/>
        <v>0</v>
      </c>
      <c r="O1455" s="3" t="str">
        <f>IF(ISERROR(VLOOKUP(D1455,Data!$A$2:$C$223100,3,FALSE)),"INACTIVE",VLOOKUP(D1455,Data!$A$2:$C$223100,3,FALSE))</f>
        <v>BK13</v>
      </c>
    </row>
    <row r="1456" spans="1:15" x14ac:dyDescent="0.25">
      <c r="A1456" t="s">
        <v>6181</v>
      </c>
      <c r="B1456" t="s">
        <v>6182</v>
      </c>
      <c r="C1456" t="s">
        <v>6183</v>
      </c>
      <c r="D1456" t="s">
        <v>6184</v>
      </c>
      <c r="E1456" t="s">
        <v>6185</v>
      </c>
      <c r="F1456" t="s">
        <v>6185</v>
      </c>
      <c r="G1456" t="s">
        <v>5</v>
      </c>
      <c r="H1456" t="s">
        <v>5</v>
      </c>
      <c r="I1456" t="s">
        <v>5614</v>
      </c>
      <c r="J1456" t="s">
        <v>96</v>
      </c>
      <c r="K1456" s="3">
        <f t="shared" si="44"/>
        <v>0</v>
      </c>
      <c r="L1456" s="3">
        <f>IF(ISERROR(VLOOKUP(J1456,Lookups!$A$2:$A$16,1,FALSE)),1,0)</f>
        <v>0</v>
      </c>
      <c r="M1456" s="3">
        <f>IF(ISERROR(VLOOKUP(D1456,Data!$A$2:$D$223100,2,FALSE)),0,1)</f>
        <v>1</v>
      </c>
      <c r="N1456" s="3">
        <f t="shared" si="45"/>
        <v>0</v>
      </c>
      <c r="O1456" s="3" t="str">
        <f>IF(ISERROR(VLOOKUP(D1456,Data!$A$2:$C$223100,3,FALSE)),"INACTIVE",VLOOKUP(D1456,Data!$A$2:$C$223100,3,FALSE))</f>
        <v>30+</v>
      </c>
    </row>
    <row r="1457" spans="1:15" x14ac:dyDescent="0.25">
      <c r="A1457" t="s">
        <v>6181</v>
      </c>
      <c r="B1457" t="s">
        <v>6182</v>
      </c>
      <c r="C1457" t="s">
        <v>6186</v>
      </c>
      <c r="D1457" t="s">
        <v>6187</v>
      </c>
      <c r="E1457" t="s">
        <v>5</v>
      </c>
      <c r="F1457" t="s">
        <v>6188</v>
      </c>
      <c r="G1457" t="s">
        <v>5</v>
      </c>
      <c r="H1457" t="s">
        <v>5</v>
      </c>
      <c r="I1457" t="s">
        <v>5614</v>
      </c>
      <c r="J1457" t="s">
        <v>96</v>
      </c>
      <c r="K1457" s="3">
        <f t="shared" si="44"/>
        <v>0</v>
      </c>
      <c r="L1457" s="3">
        <f>IF(ISERROR(VLOOKUP(J1457,Lookups!$A$2:$A$16,1,FALSE)),1,0)</f>
        <v>0</v>
      </c>
      <c r="M1457" s="3">
        <f>IF(ISERROR(VLOOKUP(D1457,Data!$A$2:$D$223100,2,FALSE)),0,1)</f>
        <v>1</v>
      </c>
      <c r="N1457" s="3">
        <f t="shared" si="45"/>
        <v>0</v>
      </c>
      <c r="O1457" s="3" t="str">
        <f>IF(ISERROR(VLOOKUP(D1457,Data!$A$2:$C$223100,3,FALSE)),"INACTIVE",VLOOKUP(D1457,Data!$A$2:$C$223100,3,FALSE))</f>
        <v>Demand Letter</v>
      </c>
    </row>
    <row r="1458" spans="1:15" x14ac:dyDescent="0.25">
      <c r="A1458" t="s">
        <v>5973</v>
      </c>
      <c r="B1458" t="s">
        <v>5974</v>
      </c>
      <c r="C1458" t="s">
        <v>5975</v>
      </c>
      <c r="D1458" t="s">
        <v>5976</v>
      </c>
      <c r="E1458" t="s">
        <v>5</v>
      </c>
      <c r="F1458" t="s">
        <v>5977</v>
      </c>
      <c r="G1458" t="s">
        <v>5</v>
      </c>
      <c r="H1458" t="s">
        <v>5</v>
      </c>
      <c r="I1458" t="s">
        <v>5978</v>
      </c>
      <c r="J1458" t="s">
        <v>7</v>
      </c>
      <c r="K1458" s="3">
        <f t="shared" si="44"/>
        <v>0</v>
      </c>
      <c r="L1458" s="3">
        <f>IF(ISERROR(VLOOKUP(J1458,Lookups!$A$2:$A$16,1,FALSE)),1,0)</f>
        <v>1</v>
      </c>
      <c r="M1458" s="3">
        <f>IF(ISERROR(VLOOKUP(D1458,Data!$A$2:$D$223100,2,FALSE)),0,1)</f>
        <v>1</v>
      </c>
      <c r="N1458" s="3">
        <f t="shared" si="45"/>
        <v>1</v>
      </c>
      <c r="O1458" s="3" t="str">
        <f>IF(ISERROR(VLOOKUP(D1458,Data!$A$2:$C$223100,3,FALSE)),"INACTIVE",VLOOKUP(D1458,Data!$A$2:$C$223100,3,FALSE))</f>
        <v>Demand Letter</v>
      </c>
    </row>
    <row r="1459" spans="1:15" x14ac:dyDescent="0.25">
      <c r="A1459" t="s">
        <v>6118</v>
      </c>
      <c r="B1459" t="s">
        <v>6119</v>
      </c>
      <c r="C1459" t="s">
        <v>6120</v>
      </c>
      <c r="D1459" t="s">
        <v>6121</v>
      </c>
      <c r="E1459" t="s">
        <v>6122</v>
      </c>
      <c r="F1459" t="s">
        <v>5</v>
      </c>
      <c r="G1459" t="s">
        <v>5</v>
      </c>
      <c r="H1459" t="s">
        <v>5</v>
      </c>
      <c r="I1459" t="s">
        <v>5978</v>
      </c>
      <c r="J1459" t="s">
        <v>96</v>
      </c>
      <c r="K1459" s="3">
        <f t="shared" si="44"/>
        <v>0</v>
      </c>
      <c r="L1459" s="3">
        <f>IF(ISERROR(VLOOKUP(J1459,Lookups!$A$2:$A$16,1,FALSE)),1,0)</f>
        <v>0</v>
      </c>
      <c r="M1459" s="3">
        <f>IF(ISERROR(VLOOKUP(D1459,Data!$A$2:$D$223100,2,FALSE)),0,1)</f>
        <v>1</v>
      </c>
      <c r="N1459" s="3">
        <f t="shared" si="45"/>
        <v>0</v>
      </c>
      <c r="O1459" s="3" t="str">
        <f>IF(ISERROR(VLOOKUP(D1459,Data!$A$2:$C$223100,3,FALSE)),"INACTIVE",VLOOKUP(D1459,Data!$A$2:$C$223100,3,FALSE))</f>
        <v>BK13</v>
      </c>
    </row>
    <row r="1460" spans="1:15" x14ac:dyDescent="0.25">
      <c r="A1460" t="s">
        <v>6118</v>
      </c>
      <c r="B1460" t="s">
        <v>6119</v>
      </c>
      <c r="C1460" t="s">
        <v>6123</v>
      </c>
      <c r="D1460" t="s">
        <v>6124</v>
      </c>
      <c r="E1460" t="s">
        <v>6125</v>
      </c>
      <c r="F1460" t="s">
        <v>5</v>
      </c>
      <c r="G1460" t="s">
        <v>5</v>
      </c>
      <c r="H1460" t="s">
        <v>5</v>
      </c>
      <c r="I1460" t="s">
        <v>5978</v>
      </c>
      <c r="J1460" t="s">
        <v>96</v>
      </c>
      <c r="K1460" s="3">
        <f t="shared" si="44"/>
        <v>0</v>
      </c>
      <c r="L1460" s="3">
        <f>IF(ISERROR(VLOOKUP(J1460,Lookups!$A$2:$A$16,1,FALSE)),1,0)</f>
        <v>0</v>
      </c>
      <c r="M1460" s="3">
        <f>IF(ISERROR(VLOOKUP(D1460,Data!$A$2:$D$223100,2,FALSE)),0,1)</f>
        <v>1</v>
      </c>
      <c r="N1460" s="3">
        <f t="shared" si="45"/>
        <v>0</v>
      </c>
      <c r="O1460" s="3" t="str">
        <f>IF(ISERROR(VLOOKUP(D1460,Data!$A$2:$C$223100,3,FALSE)),"INACTIVE",VLOOKUP(D1460,Data!$A$2:$C$223100,3,FALSE))</f>
        <v>FC</v>
      </c>
    </row>
    <row r="1461" spans="1:15" x14ac:dyDescent="0.25">
      <c r="A1461" t="s">
        <v>6118</v>
      </c>
      <c r="B1461" t="s">
        <v>6119</v>
      </c>
      <c r="C1461" t="s">
        <v>6123</v>
      </c>
      <c r="D1461" t="s">
        <v>6124</v>
      </c>
      <c r="E1461" t="s">
        <v>6126</v>
      </c>
      <c r="F1461" t="s">
        <v>5</v>
      </c>
      <c r="G1461" t="s">
        <v>5</v>
      </c>
      <c r="H1461" t="s">
        <v>5</v>
      </c>
      <c r="I1461" t="s">
        <v>5978</v>
      </c>
      <c r="J1461" t="s">
        <v>96</v>
      </c>
      <c r="K1461" s="3">
        <f t="shared" si="44"/>
        <v>0</v>
      </c>
      <c r="L1461" s="3">
        <f>IF(ISERROR(VLOOKUP(J1461,Lookups!$A$2:$A$16,1,FALSE)),1,0)</f>
        <v>0</v>
      </c>
      <c r="M1461" s="3">
        <f>IF(ISERROR(VLOOKUP(D1461,Data!$A$2:$D$223100,2,FALSE)),0,1)</f>
        <v>1</v>
      </c>
      <c r="N1461" s="3">
        <f t="shared" si="45"/>
        <v>0</v>
      </c>
      <c r="O1461" s="3" t="str">
        <f>IF(ISERROR(VLOOKUP(D1461,Data!$A$2:$C$223100,3,FALSE)),"INACTIVE",VLOOKUP(D1461,Data!$A$2:$C$223100,3,FALSE))</f>
        <v>FC</v>
      </c>
    </row>
    <row r="1462" spans="1:15" x14ac:dyDescent="0.25">
      <c r="A1462" t="s">
        <v>6118</v>
      </c>
      <c r="B1462" t="s">
        <v>6119</v>
      </c>
      <c r="C1462" t="s">
        <v>6127</v>
      </c>
      <c r="D1462" t="s">
        <v>6128</v>
      </c>
      <c r="E1462" t="s">
        <v>6129</v>
      </c>
      <c r="F1462" t="s">
        <v>5</v>
      </c>
      <c r="G1462" t="s">
        <v>5</v>
      </c>
      <c r="H1462" t="s">
        <v>5</v>
      </c>
      <c r="I1462" t="s">
        <v>5978</v>
      </c>
      <c r="J1462" t="s">
        <v>96</v>
      </c>
      <c r="K1462" s="3">
        <f t="shared" si="44"/>
        <v>0</v>
      </c>
      <c r="L1462" s="3">
        <f>IF(ISERROR(VLOOKUP(J1462,Lookups!$A$2:$A$16,1,FALSE)),1,0)</f>
        <v>0</v>
      </c>
      <c r="M1462" s="3">
        <f>IF(ISERROR(VLOOKUP(D1462,Data!$A$2:$D$223100,2,FALSE)),0,1)</f>
        <v>1</v>
      </c>
      <c r="N1462" s="3">
        <f t="shared" si="45"/>
        <v>0</v>
      </c>
      <c r="O1462" s="3" t="str">
        <f>IF(ISERROR(VLOOKUP(D1462,Data!$A$2:$C$223100,3,FALSE)),"INACTIVE",VLOOKUP(D1462,Data!$A$2:$C$223100,3,FALSE))</f>
        <v>FC</v>
      </c>
    </row>
    <row r="1463" spans="1:15" x14ac:dyDescent="0.25">
      <c r="A1463" t="s">
        <v>6118</v>
      </c>
      <c r="B1463" t="s">
        <v>6119</v>
      </c>
      <c r="C1463" t="s">
        <v>6127</v>
      </c>
      <c r="D1463" t="s">
        <v>6128</v>
      </c>
      <c r="E1463" t="s">
        <v>6130</v>
      </c>
      <c r="F1463" t="s">
        <v>5</v>
      </c>
      <c r="G1463" t="s">
        <v>5</v>
      </c>
      <c r="H1463" t="s">
        <v>5</v>
      </c>
      <c r="I1463" t="s">
        <v>5978</v>
      </c>
      <c r="J1463" t="s">
        <v>96</v>
      </c>
      <c r="K1463" s="3">
        <f t="shared" si="44"/>
        <v>0</v>
      </c>
      <c r="L1463" s="3">
        <f>IF(ISERROR(VLOOKUP(J1463,Lookups!$A$2:$A$16,1,FALSE)),1,0)</f>
        <v>0</v>
      </c>
      <c r="M1463" s="3">
        <f>IF(ISERROR(VLOOKUP(D1463,Data!$A$2:$D$223100,2,FALSE)),0,1)</f>
        <v>1</v>
      </c>
      <c r="N1463" s="3">
        <f t="shared" si="45"/>
        <v>0</v>
      </c>
      <c r="O1463" s="3" t="str">
        <f>IF(ISERROR(VLOOKUP(D1463,Data!$A$2:$C$223100,3,FALSE)),"INACTIVE",VLOOKUP(D1463,Data!$A$2:$C$223100,3,FALSE))</f>
        <v>FC</v>
      </c>
    </row>
    <row r="1464" spans="1:15" x14ac:dyDescent="0.25">
      <c r="A1464" t="s">
        <v>6118</v>
      </c>
      <c r="B1464" t="s">
        <v>6119</v>
      </c>
      <c r="C1464" t="s">
        <v>6131</v>
      </c>
      <c r="D1464" t="s">
        <v>6132</v>
      </c>
      <c r="E1464" t="s">
        <v>6133</v>
      </c>
      <c r="F1464" t="s">
        <v>5</v>
      </c>
      <c r="G1464" t="s">
        <v>5</v>
      </c>
      <c r="H1464" t="s">
        <v>5</v>
      </c>
      <c r="I1464" t="s">
        <v>5978</v>
      </c>
      <c r="J1464" t="s">
        <v>96</v>
      </c>
      <c r="K1464" s="3">
        <f t="shared" si="44"/>
        <v>0</v>
      </c>
      <c r="L1464" s="3">
        <f>IF(ISERROR(VLOOKUP(J1464,Lookups!$A$2:$A$16,1,FALSE)),1,0)</f>
        <v>0</v>
      </c>
      <c r="M1464" s="3">
        <f>IF(ISERROR(VLOOKUP(D1464,Data!$A$2:$D$223100,2,FALSE)),0,1)</f>
        <v>1</v>
      </c>
      <c r="N1464" s="3">
        <f t="shared" si="45"/>
        <v>0</v>
      </c>
      <c r="O1464" s="3" t="str">
        <f>IF(ISERROR(VLOOKUP(D1464,Data!$A$2:$C$223100,3,FALSE)),"INACTIVE",VLOOKUP(D1464,Data!$A$2:$C$223100,3,FALSE))</f>
        <v>FC</v>
      </c>
    </row>
    <row r="1465" spans="1:15" x14ac:dyDescent="0.25">
      <c r="A1465" t="s">
        <v>6118</v>
      </c>
      <c r="B1465" t="s">
        <v>6119</v>
      </c>
      <c r="C1465" t="s">
        <v>6131</v>
      </c>
      <c r="D1465" t="s">
        <v>6132</v>
      </c>
      <c r="E1465" t="s">
        <v>6134</v>
      </c>
      <c r="F1465" t="s">
        <v>5</v>
      </c>
      <c r="G1465" t="s">
        <v>5</v>
      </c>
      <c r="H1465" t="s">
        <v>5</v>
      </c>
      <c r="I1465" t="s">
        <v>5978</v>
      </c>
      <c r="J1465" t="s">
        <v>96</v>
      </c>
      <c r="K1465" s="3">
        <f t="shared" si="44"/>
        <v>0</v>
      </c>
      <c r="L1465" s="3">
        <f>IF(ISERROR(VLOOKUP(J1465,Lookups!$A$2:$A$16,1,FALSE)),1,0)</f>
        <v>0</v>
      </c>
      <c r="M1465" s="3">
        <f>IF(ISERROR(VLOOKUP(D1465,Data!$A$2:$D$223100,2,FALSE)),0,1)</f>
        <v>1</v>
      </c>
      <c r="N1465" s="3">
        <f t="shared" si="45"/>
        <v>0</v>
      </c>
      <c r="O1465" s="3" t="str">
        <f>IF(ISERROR(VLOOKUP(D1465,Data!$A$2:$C$223100,3,FALSE)),"INACTIVE",VLOOKUP(D1465,Data!$A$2:$C$223100,3,FALSE))</f>
        <v>FC</v>
      </c>
    </row>
    <row r="1466" spans="1:15" x14ac:dyDescent="0.25">
      <c r="A1466" t="s">
        <v>6118</v>
      </c>
      <c r="B1466" t="s">
        <v>6119</v>
      </c>
      <c r="C1466" t="s">
        <v>6135</v>
      </c>
      <c r="D1466" t="s">
        <v>6136</v>
      </c>
      <c r="E1466" t="s">
        <v>6137</v>
      </c>
      <c r="F1466" t="s">
        <v>5</v>
      </c>
      <c r="G1466" t="s">
        <v>5</v>
      </c>
      <c r="H1466" t="s">
        <v>5</v>
      </c>
      <c r="I1466" t="s">
        <v>5978</v>
      </c>
      <c r="J1466" t="s">
        <v>90</v>
      </c>
      <c r="K1466" s="3">
        <f t="shared" si="44"/>
        <v>0</v>
      </c>
      <c r="L1466" s="3">
        <f>IF(ISERROR(VLOOKUP(J1466,Lookups!$A$2:$A$16,1,FALSE)),1,0)</f>
        <v>0</v>
      </c>
      <c r="M1466" s="3">
        <f>IF(ISERROR(VLOOKUP(D1466,Data!$A$2:$D$223100,2,FALSE)),0,1)</f>
        <v>1</v>
      </c>
      <c r="N1466" s="3">
        <f t="shared" si="45"/>
        <v>0</v>
      </c>
      <c r="O1466" s="3" t="str">
        <f>IF(ISERROR(VLOOKUP(D1466,Data!$A$2:$C$223100,3,FALSE)),"INACTIVE",VLOOKUP(D1466,Data!$A$2:$C$223100,3,FALSE))</f>
        <v>BK13</v>
      </c>
    </row>
    <row r="1467" spans="1:15" x14ac:dyDescent="0.25">
      <c r="A1467" t="s">
        <v>5657</v>
      </c>
      <c r="B1467" t="s">
        <v>5658</v>
      </c>
      <c r="C1467" t="s">
        <v>5659</v>
      </c>
      <c r="D1467" t="s">
        <v>5660</v>
      </c>
      <c r="E1467" t="s">
        <v>5661</v>
      </c>
      <c r="F1467" t="s">
        <v>5</v>
      </c>
      <c r="G1467" t="s">
        <v>5</v>
      </c>
      <c r="H1467" t="s">
        <v>5</v>
      </c>
      <c r="I1467" t="s">
        <v>5662</v>
      </c>
      <c r="J1467" t="s">
        <v>96</v>
      </c>
      <c r="K1467" s="3">
        <f t="shared" si="44"/>
        <v>0</v>
      </c>
      <c r="L1467" s="3">
        <f>IF(ISERROR(VLOOKUP(J1467,Lookups!$A$2:$A$16,1,FALSE)),1,0)</f>
        <v>0</v>
      </c>
      <c r="M1467" s="3">
        <f>IF(ISERROR(VLOOKUP(D1467,Data!$A$2:$D$223100,2,FALSE)),0,1)</f>
        <v>1</v>
      </c>
      <c r="N1467" s="3">
        <f t="shared" si="45"/>
        <v>0</v>
      </c>
      <c r="O1467" s="3" t="str">
        <f>IF(ISERROR(VLOOKUP(D1467,Data!$A$2:$C$223100,3,FALSE)),"INACTIVE",VLOOKUP(D1467,Data!$A$2:$C$223100,3,FALSE))</f>
        <v>Demand Letter</v>
      </c>
    </row>
    <row r="1468" spans="1:15" x14ac:dyDescent="0.25">
      <c r="A1468" t="s">
        <v>5979</v>
      </c>
      <c r="B1468" t="s">
        <v>5980</v>
      </c>
      <c r="C1468" t="s">
        <v>5981</v>
      </c>
      <c r="D1468" t="s">
        <v>5982</v>
      </c>
      <c r="E1468" t="s">
        <v>5983</v>
      </c>
      <c r="F1468" t="s">
        <v>5</v>
      </c>
      <c r="G1468" t="s">
        <v>5</v>
      </c>
      <c r="H1468" t="s">
        <v>5</v>
      </c>
      <c r="I1468" t="s">
        <v>5662</v>
      </c>
      <c r="J1468" t="s">
        <v>7</v>
      </c>
      <c r="K1468" s="3">
        <f t="shared" si="44"/>
        <v>0</v>
      </c>
      <c r="L1468" s="3">
        <f>IF(ISERROR(VLOOKUP(J1468,Lookups!$A$2:$A$16,1,FALSE)),1,0)</f>
        <v>1</v>
      </c>
      <c r="M1468" s="3">
        <f>IF(ISERROR(VLOOKUP(D1468,Data!$A$2:$D$223100,2,FALSE)),0,1)</f>
        <v>1</v>
      </c>
      <c r="N1468" s="3">
        <f t="shared" si="45"/>
        <v>1</v>
      </c>
      <c r="O1468" s="3" t="str">
        <f>IF(ISERROR(VLOOKUP(D1468,Data!$A$2:$C$223100,3,FALSE)),"INACTIVE",VLOOKUP(D1468,Data!$A$2:$C$223100,3,FALSE))</f>
        <v>FBA</v>
      </c>
    </row>
    <row r="1469" spans="1:15" x14ac:dyDescent="0.25">
      <c r="A1469" t="s">
        <v>5599</v>
      </c>
      <c r="B1469" t="s">
        <v>5600</v>
      </c>
      <c r="C1469" t="s">
        <v>5367</v>
      </c>
      <c r="D1469" t="s">
        <v>5368</v>
      </c>
      <c r="E1469" t="s">
        <v>5601</v>
      </c>
      <c r="F1469" t="s">
        <v>5</v>
      </c>
      <c r="G1469" t="s">
        <v>5</v>
      </c>
      <c r="H1469" t="s">
        <v>5</v>
      </c>
      <c r="I1469" t="s">
        <v>5602</v>
      </c>
      <c r="J1469" t="s">
        <v>7</v>
      </c>
      <c r="K1469" s="3">
        <f t="shared" si="44"/>
        <v>0</v>
      </c>
      <c r="L1469" s="3">
        <f>IF(ISERROR(VLOOKUP(J1469,Lookups!$A$2:$A$16,1,FALSE)),1,0)</f>
        <v>1</v>
      </c>
      <c r="M1469" s="3">
        <f>IF(ISERROR(VLOOKUP(D1469,Data!$A$2:$D$223100,2,FALSE)),0,1)</f>
        <v>1</v>
      </c>
      <c r="N1469" s="3">
        <f t="shared" si="45"/>
        <v>1</v>
      </c>
      <c r="O1469" s="3" t="str">
        <f>IF(ISERROR(VLOOKUP(D1469,Data!$A$2:$C$223100,3,FALSE)),"INACTIVE",VLOOKUP(D1469,Data!$A$2:$C$223100,3,FALSE))</f>
        <v>FC</v>
      </c>
    </row>
    <row r="1470" spans="1:15" x14ac:dyDescent="0.25">
      <c r="A1470" t="s">
        <v>5641</v>
      </c>
      <c r="B1470" t="s">
        <v>5642</v>
      </c>
      <c r="C1470" t="s">
        <v>5643</v>
      </c>
      <c r="D1470" t="s">
        <v>5644</v>
      </c>
      <c r="E1470" t="s">
        <v>5645</v>
      </c>
      <c r="F1470" t="s">
        <v>5</v>
      </c>
      <c r="G1470" t="s">
        <v>5</v>
      </c>
      <c r="H1470" t="s">
        <v>5</v>
      </c>
      <c r="I1470" t="s">
        <v>5602</v>
      </c>
      <c r="J1470" t="s">
        <v>96</v>
      </c>
      <c r="K1470" s="3">
        <f t="shared" si="44"/>
        <v>0</v>
      </c>
      <c r="L1470" s="3">
        <f>IF(ISERROR(VLOOKUP(J1470,Lookups!$A$2:$A$16,1,FALSE)),1,0)</f>
        <v>0</v>
      </c>
      <c r="M1470" s="3">
        <f>IF(ISERROR(VLOOKUP(D1470,Data!$A$2:$D$223100,2,FALSE)),0,1)</f>
        <v>1</v>
      </c>
      <c r="N1470" s="3">
        <f t="shared" si="45"/>
        <v>0</v>
      </c>
      <c r="O1470" s="3" t="str">
        <f>IF(ISERROR(VLOOKUP(D1470,Data!$A$2:$C$223100,3,FALSE)),"INACTIVE",VLOOKUP(D1470,Data!$A$2:$C$223100,3,FALSE))</f>
        <v>Current</v>
      </c>
    </row>
    <row r="1471" spans="1:15" x14ac:dyDescent="0.25">
      <c r="A1471" t="s">
        <v>5641</v>
      </c>
      <c r="B1471" t="s">
        <v>5642</v>
      </c>
      <c r="C1471" t="s">
        <v>5646</v>
      </c>
      <c r="D1471" t="s">
        <v>5647</v>
      </c>
      <c r="E1471" t="s">
        <v>5648</v>
      </c>
      <c r="F1471" t="s">
        <v>5</v>
      </c>
      <c r="G1471" t="s">
        <v>5</v>
      </c>
      <c r="H1471" t="s">
        <v>5</v>
      </c>
      <c r="I1471" t="s">
        <v>5602</v>
      </c>
      <c r="J1471" t="s">
        <v>96</v>
      </c>
      <c r="K1471" s="3">
        <f t="shared" si="44"/>
        <v>0</v>
      </c>
      <c r="L1471" s="3">
        <f>IF(ISERROR(VLOOKUP(J1471,Lookups!$A$2:$A$16,1,FALSE)),1,0)</f>
        <v>0</v>
      </c>
      <c r="M1471" s="3">
        <f>IF(ISERROR(VLOOKUP(D1471,Data!$A$2:$D$223100,2,FALSE)),0,1)</f>
        <v>1</v>
      </c>
      <c r="N1471" s="3">
        <f t="shared" si="45"/>
        <v>0</v>
      </c>
      <c r="O1471" s="3" t="str">
        <f>IF(ISERROR(VLOOKUP(D1471,Data!$A$2:$C$223100,3,FALSE)),"INACTIVE",VLOOKUP(D1471,Data!$A$2:$C$223100,3,FALSE))</f>
        <v>FC</v>
      </c>
    </row>
    <row r="1472" spans="1:15" x14ac:dyDescent="0.25">
      <c r="A1472" t="s">
        <v>6043</v>
      </c>
      <c r="B1472" t="s">
        <v>6044</v>
      </c>
      <c r="C1472" t="s">
        <v>6045</v>
      </c>
      <c r="D1472" t="s">
        <v>6046</v>
      </c>
      <c r="E1472" t="s">
        <v>6047</v>
      </c>
      <c r="F1472" t="s">
        <v>5</v>
      </c>
      <c r="G1472" t="s">
        <v>5</v>
      </c>
      <c r="H1472" t="s">
        <v>5</v>
      </c>
      <c r="I1472" t="s">
        <v>5602</v>
      </c>
      <c r="J1472" t="s">
        <v>14</v>
      </c>
      <c r="K1472" s="3">
        <f t="shared" si="44"/>
        <v>0</v>
      </c>
      <c r="L1472" s="3">
        <f>IF(ISERROR(VLOOKUP(J1472,Lookups!$A$2:$A$16,1,FALSE)),1,0)</f>
        <v>1</v>
      </c>
      <c r="M1472" s="3">
        <f>IF(ISERROR(VLOOKUP(D1472,Data!$A$2:$D$223100,2,FALSE)),0,1)</f>
        <v>0</v>
      </c>
      <c r="N1472" s="3">
        <f t="shared" si="45"/>
        <v>0</v>
      </c>
      <c r="O1472" s="3" t="str">
        <f>IF(ISERROR(VLOOKUP(D1472,Data!$A$2:$C$223100,3,FALSE)),"INACTIVE",VLOOKUP(D1472,Data!$A$2:$C$223100,3,FALSE))</f>
        <v>INACTIVE</v>
      </c>
    </row>
    <row r="1473" spans="1:15" x14ac:dyDescent="0.25">
      <c r="A1473" t="s">
        <v>5595</v>
      </c>
      <c r="B1473" t="s">
        <v>5596</v>
      </c>
      <c r="C1473" t="s">
        <v>3578</v>
      </c>
      <c r="D1473" t="s">
        <v>3579</v>
      </c>
      <c r="E1473" t="s">
        <v>3580</v>
      </c>
      <c r="F1473" t="s">
        <v>5</v>
      </c>
      <c r="G1473" t="s">
        <v>5</v>
      </c>
      <c r="H1473" t="s">
        <v>5</v>
      </c>
      <c r="I1473" t="s">
        <v>5597</v>
      </c>
      <c r="J1473" t="s">
        <v>90</v>
      </c>
      <c r="K1473" s="3">
        <f t="shared" si="44"/>
        <v>0</v>
      </c>
      <c r="L1473" s="3">
        <f>IF(ISERROR(VLOOKUP(J1473,Lookups!$A$2:$A$16,1,FALSE)),1,0)</f>
        <v>0</v>
      </c>
      <c r="M1473" s="3">
        <f>IF(ISERROR(VLOOKUP(D1473,Data!$A$2:$D$223100,2,FALSE)),0,1)</f>
        <v>1</v>
      </c>
      <c r="N1473" s="3">
        <f t="shared" si="45"/>
        <v>0</v>
      </c>
      <c r="O1473" s="3" t="str">
        <f>IF(ISERROR(VLOOKUP(D1473,Data!$A$2:$C$223100,3,FALSE)),"INACTIVE",VLOOKUP(D1473,Data!$A$2:$C$223100,3,FALSE))</f>
        <v>FBA</v>
      </c>
    </row>
    <row r="1474" spans="1:15" x14ac:dyDescent="0.25">
      <c r="A1474" t="s">
        <v>5595</v>
      </c>
      <c r="B1474" t="s">
        <v>5596</v>
      </c>
      <c r="C1474" t="s">
        <v>3582</v>
      </c>
      <c r="D1474" t="s">
        <v>3583</v>
      </c>
      <c r="E1474" t="s">
        <v>5598</v>
      </c>
      <c r="F1474" t="s">
        <v>5</v>
      </c>
      <c r="G1474" t="s">
        <v>5</v>
      </c>
      <c r="H1474" t="s">
        <v>5</v>
      </c>
      <c r="I1474" t="s">
        <v>5597</v>
      </c>
      <c r="J1474" t="s">
        <v>90</v>
      </c>
      <c r="K1474" s="3">
        <f t="shared" si="44"/>
        <v>0</v>
      </c>
      <c r="L1474" s="3">
        <f>IF(ISERROR(VLOOKUP(J1474,Lookups!$A$2:$A$16,1,FALSE)),1,0)</f>
        <v>0</v>
      </c>
      <c r="M1474" s="3">
        <f>IF(ISERROR(VLOOKUP(D1474,Data!$A$2:$D$223100,2,FALSE)),0,1)</f>
        <v>1</v>
      </c>
      <c r="N1474" s="3">
        <f t="shared" si="45"/>
        <v>0</v>
      </c>
      <c r="O1474" s="3" t="str">
        <f>IF(ISERROR(VLOOKUP(D1474,Data!$A$2:$C$223100,3,FALSE)),"INACTIVE",VLOOKUP(D1474,Data!$A$2:$C$223100,3,FALSE))</f>
        <v>60+</v>
      </c>
    </row>
    <row r="1475" spans="1:15" x14ac:dyDescent="0.25">
      <c r="A1475" t="s">
        <v>5595</v>
      </c>
      <c r="B1475" t="s">
        <v>5596</v>
      </c>
      <c r="C1475" t="s">
        <v>3582</v>
      </c>
      <c r="D1475" t="s">
        <v>3583</v>
      </c>
      <c r="E1475" t="s">
        <v>3584</v>
      </c>
      <c r="F1475" t="s">
        <v>5</v>
      </c>
      <c r="G1475" t="s">
        <v>5</v>
      </c>
      <c r="H1475" t="s">
        <v>5</v>
      </c>
      <c r="I1475" t="s">
        <v>5597</v>
      </c>
      <c r="J1475" t="s">
        <v>90</v>
      </c>
      <c r="K1475" s="3">
        <f t="shared" ref="K1475:K1538" si="46">IF(ISERROR(FIND("LIEN",A1475,1)),0,1)</f>
        <v>0</v>
      </c>
      <c r="L1475" s="3">
        <f>IF(ISERROR(VLOOKUP(J1475,Lookups!$A$2:$A$16,1,FALSE)),1,0)</f>
        <v>0</v>
      </c>
      <c r="M1475" s="3">
        <f>IF(ISERROR(VLOOKUP(D1475,Data!$A$2:$D$223100,2,FALSE)),0,1)</f>
        <v>1</v>
      </c>
      <c r="N1475" s="3">
        <f t="shared" ref="N1475:N1538" si="47">IF(M1475=0,0,IF(SUM(K1475:L1475)&gt;0,1,0))</f>
        <v>0</v>
      </c>
      <c r="O1475" s="3" t="str">
        <f>IF(ISERROR(VLOOKUP(D1475,Data!$A$2:$C$223100,3,FALSE)),"INACTIVE",VLOOKUP(D1475,Data!$A$2:$C$223100,3,FALSE))</f>
        <v>60+</v>
      </c>
    </row>
    <row r="1476" spans="1:15" x14ac:dyDescent="0.25">
      <c r="A1476" t="s">
        <v>5861</v>
      </c>
      <c r="B1476" t="s">
        <v>5862</v>
      </c>
      <c r="C1476" t="s">
        <v>5863</v>
      </c>
      <c r="D1476" t="s">
        <v>5864</v>
      </c>
      <c r="E1476" t="s">
        <v>5865</v>
      </c>
      <c r="F1476" t="s">
        <v>5</v>
      </c>
      <c r="G1476" t="s">
        <v>5</v>
      </c>
      <c r="H1476" t="s">
        <v>5</v>
      </c>
      <c r="I1476" t="s">
        <v>5597</v>
      </c>
      <c r="J1476" t="s">
        <v>90</v>
      </c>
      <c r="K1476" s="3">
        <f t="shared" si="46"/>
        <v>0</v>
      </c>
      <c r="L1476" s="3">
        <f>IF(ISERROR(VLOOKUP(J1476,Lookups!$A$2:$A$16,1,FALSE)),1,0)</f>
        <v>0</v>
      </c>
      <c r="M1476" s="3">
        <f>IF(ISERROR(VLOOKUP(D1476,Data!$A$2:$D$223100,2,FALSE)),0,1)</f>
        <v>1</v>
      </c>
      <c r="N1476" s="3">
        <f t="shared" si="47"/>
        <v>0</v>
      </c>
      <c r="O1476" s="3" t="str">
        <f>IF(ISERROR(VLOOKUP(D1476,Data!$A$2:$C$223100,3,FALSE)),"INACTIVE",VLOOKUP(D1476,Data!$A$2:$C$223100,3,FALSE))</f>
        <v>Current</v>
      </c>
    </row>
    <row r="1477" spans="1:15" x14ac:dyDescent="0.25">
      <c r="A1477" t="s">
        <v>5861</v>
      </c>
      <c r="B1477" t="s">
        <v>5862</v>
      </c>
      <c r="C1477" t="s">
        <v>5863</v>
      </c>
      <c r="D1477" t="s">
        <v>5864</v>
      </c>
      <c r="E1477" t="s">
        <v>5866</v>
      </c>
      <c r="F1477" t="s">
        <v>5</v>
      </c>
      <c r="G1477" t="s">
        <v>5</v>
      </c>
      <c r="H1477" t="s">
        <v>5</v>
      </c>
      <c r="I1477" t="s">
        <v>5597</v>
      </c>
      <c r="J1477" t="s">
        <v>90</v>
      </c>
      <c r="K1477" s="3">
        <f t="shared" si="46"/>
        <v>0</v>
      </c>
      <c r="L1477" s="3">
        <f>IF(ISERROR(VLOOKUP(J1477,Lookups!$A$2:$A$16,1,FALSE)),1,0)</f>
        <v>0</v>
      </c>
      <c r="M1477" s="3">
        <f>IF(ISERROR(VLOOKUP(D1477,Data!$A$2:$D$223100,2,FALSE)),0,1)</f>
        <v>1</v>
      </c>
      <c r="N1477" s="3">
        <f t="shared" si="47"/>
        <v>0</v>
      </c>
      <c r="O1477" s="3" t="str">
        <f>IF(ISERROR(VLOOKUP(D1477,Data!$A$2:$C$223100,3,FALSE)),"INACTIVE",VLOOKUP(D1477,Data!$A$2:$C$223100,3,FALSE))</f>
        <v>Current</v>
      </c>
    </row>
    <row r="1478" spans="1:15" x14ac:dyDescent="0.25">
      <c r="A1478" t="s">
        <v>5861</v>
      </c>
      <c r="B1478" t="s">
        <v>5862</v>
      </c>
      <c r="C1478" t="s">
        <v>5867</v>
      </c>
      <c r="D1478" t="s">
        <v>5868</v>
      </c>
      <c r="E1478" t="s">
        <v>5869</v>
      </c>
      <c r="F1478" t="s">
        <v>5</v>
      </c>
      <c r="G1478" t="s">
        <v>5</v>
      </c>
      <c r="H1478" t="s">
        <v>5</v>
      </c>
      <c r="I1478" t="s">
        <v>5597</v>
      </c>
      <c r="J1478" t="s">
        <v>90</v>
      </c>
      <c r="K1478" s="3">
        <f t="shared" si="46"/>
        <v>0</v>
      </c>
      <c r="L1478" s="3">
        <f>IF(ISERROR(VLOOKUP(J1478,Lookups!$A$2:$A$16,1,FALSE)),1,0)</f>
        <v>0</v>
      </c>
      <c r="M1478" s="3">
        <f>IF(ISERROR(VLOOKUP(D1478,Data!$A$2:$D$223100,2,FALSE)),0,1)</f>
        <v>1</v>
      </c>
      <c r="N1478" s="3">
        <f t="shared" si="47"/>
        <v>0</v>
      </c>
      <c r="O1478" s="3" t="str">
        <f>IF(ISERROR(VLOOKUP(D1478,Data!$A$2:$C$223100,3,FALSE)),"INACTIVE",VLOOKUP(D1478,Data!$A$2:$C$223100,3,FALSE))</f>
        <v>FBA</v>
      </c>
    </row>
    <row r="1479" spans="1:15" x14ac:dyDescent="0.25">
      <c r="A1479" t="s">
        <v>5861</v>
      </c>
      <c r="B1479" t="s">
        <v>5862</v>
      </c>
      <c r="C1479" t="s">
        <v>5870</v>
      </c>
      <c r="D1479" t="s">
        <v>5871</v>
      </c>
      <c r="E1479" t="s">
        <v>5872</v>
      </c>
      <c r="F1479" t="s">
        <v>5</v>
      </c>
      <c r="G1479" t="s">
        <v>5</v>
      </c>
      <c r="H1479" t="s">
        <v>5</v>
      </c>
      <c r="I1479" t="s">
        <v>5597</v>
      </c>
      <c r="J1479" t="s">
        <v>7</v>
      </c>
      <c r="K1479" s="3">
        <f t="shared" si="46"/>
        <v>0</v>
      </c>
      <c r="L1479" s="3">
        <f>IF(ISERROR(VLOOKUP(J1479,Lookups!$A$2:$A$16,1,FALSE)),1,0)</f>
        <v>1</v>
      </c>
      <c r="M1479" s="3">
        <f>IF(ISERROR(VLOOKUP(D1479,Data!$A$2:$D$223100,2,FALSE)),0,1)</f>
        <v>1</v>
      </c>
      <c r="N1479" s="3">
        <f t="shared" si="47"/>
        <v>1</v>
      </c>
      <c r="O1479" s="3" t="str">
        <f>IF(ISERROR(VLOOKUP(D1479,Data!$A$2:$C$223100,3,FALSE)),"INACTIVE",VLOOKUP(D1479,Data!$A$2:$C$223100,3,FALSE))</f>
        <v>Current</v>
      </c>
    </row>
    <row r="1480" spans="1:15" x14ac:dyDescent="0.25">
      <c r="A1480" t="s">
        <v>5861</v>
      </c>
      <c r="B1480" t="s">
        <v>5862</v>
      </c>
      <c r="C1480" t="s">
        <v>5873</v>
      </c>
      <c r="D1480" t="s">
        <v>5874</v>
      </c>
      <c r="E1480" t="s">
        <v>5875</v>
      </c>
      <c r="F1480" t="s">
        <v>5</v>
      </c>
      <c r="G1480" t="s">
        <v>5</v>
      </c>
      <c r="H1480" t="s">
        <v>5</v>
      </c>
      <c r="I1480" t="s">
        <v>5597</v>
      </c>
      <c r="J1480" t="s">
        <v>7</v>
      </c>
      <c r="K1480" s="3">
        <f t="shared" si="46"/>
        <v>0</v>
      </c>
      <c r="L1480" s="3">
        <f>IF(ISERROR(VLOOKUP(J1480,Lookups!$A$2:$A$16,1,FALSE)),1,0)</f>
        <v>1</v>
      </c>
      <c r="M1480" s="3">
        <f>IF(ISERROR(VLOOKUP(D1480,Data!$A$2:$D$223100,2,FALSE)),0,1)</f>
        <v>1</v>
      </c>
      <c r="N1480" s="3">
        <f t="shared" si="47"/>
        <v>1</v>
      </c>
      <c r="O1480" s="3" t="str">
        <f>IF(ISERROR(VLOOKUP(D1480,Data!$A$2:$C$223100,3,FALSE)),"INACTIVE",VLOOKUP(D1480,Data!$A$2:$C$223100,3,FALSE))</f>
        <v>120+</v>
      </c>
    </row>
    <row r="1481" spans="1:15" x14ac:dyDescent="0.25">
      <c r="A1481" t="s">
        <v>5894</v>
      </c>
      <c r="B1481" t="s">
        <v>5895</v>
      </c>
      <c r="C1481" t="s">
        <v>5896</v>
      </c>
      <c r="D1481" t="s">
        <v>5897</v>
      </c>
      <c r="E1481" t="s">
        <v>5898</v>
      </c>
      <c r="F1481" t="s">
        <v>5</v>
      </c>
      <c r="G1481" t="s">
        <v>5</v>
      </c>
      <c r="H1481" t="s">
        <v>5</v>
      </c>
      <c r="I1481" t="s">
        <v>5597</v>
      </c>
      <c r="J1481" t="s">
        <v>7</v>
      </c>
      <c r="K1481" s="3">
        <f t="shared" si="46"/>
        <v>0</v>
      </c>
      <c r="L1481" s="3">
        <f>IF(ISERROR(VLOOKUP(J1481,Lookups!$A$2:$A$16,1,FALSE)),1,0)</f>
        <v>1</v>
      </c>
      <c r="M1481" s="3">
        <f>IF(ISERROR(VLOOKUP(D1481,Data!$A$2:$D$223100,2,FALSE)),0,1)</f>
        <v>1</v>
      </c>
      <c r="N1481" s="3">
        <f t="shared" si="47"/>
        <v>1</v>
      </c>
      <c r="O1481" s="3" t="str">
        <f>IF(ISERROR(VLOOKUP(D1481,Data!$A$2:$C$223100,3,FALSE)),"INACTIVE",VLOOKUP(D1481,Data!$A$2:$C$223100,3,FALSE))</f>
        <v>Current</v>
      </c>
    </row>
    <row r="1482" spans="1:15" x14ac:dyDescent="0.25">
      <c r="A1482" t="s">
        <v>5927</v>
      </c>
      <c r="B1482" t="s">
        <v>5928</v>
      </c>
      <c r="C1482" t="s">
        <v>5929</v>
      </c>
      <c r="D1482" t="s">
        <v>5930</v>
      </c>
      <c r="E1482" t="s">
        <v>5931</v>
      </c>
      <c r="F1482" t="s">
        <v>5</v>
      </c>
      <c r="G1482" t="s">
        <v>5</v>
      </c>
      <c r="H1482" t="s">
        <v>5</v>
      </c>
      <c r="I1482" t="s">
        <v>5597</v>
      </c>
      <c r="J1482" t="s">
        <v>7</v>
      </c>
      <c r="K1482" s="3">
        <f t="shared" si="46"/>
        <v>0</v>
      </c>
      <c r="L1482" s="3">
        <f>IF(ISERROR(VLOOKUP(J1482,Lookups!$A$2:$A$16,1,FALSE)),1,0)</f>
        <v>1</v>
      </c>
      <c r="M1482" s="3">
        <f>IF(ISERROR(VLOOKUP(D1482,Data!$A$2:$D$223100,2,FALSE)),0,1)</f>
        <v>0</v>
      </c>
      <c r="N1482" s="3">
        <f t="shared" si="47"/>
        <v>0</v>
      </c>
      <c r="O1482" s="3" t="str">
        <f>IF(ISERROR(VLOOKUP(D1482,Data!$A$2:$C$223100,3,FALSE)),"INACTIVE",VLOOKUP(D1482,Data!$A$2:$C$223100,3,FALSE))</f>
        <v>INACTIVE</v>
      </c>
    </row>
    <row r="1483" spans="1:15" x14ac:dyDescent="0.25">
      <c r="A1483" t="s">
        <v>5952</v>
      </c>
      <c r="B1483" t="s">
        <v>5953</v>
      </c>
      <c r="C1483" t="s">
        <v>5954</v>
      </c>
      <c r="D1483" t="s">
        <v>5955</v>
      </c>
      <c r="E1483" t="s">
        <v>5956</v>
      </c>
      <c r="F1483" t="s">
        <v>5</v>
      </c>
      <c r="G1483" t="s">
        <v>5</v>
      </c>
      <c r="H1483" t="s">
        <v>5</v>
      </c>
      <c r="I1483" t="s">
        <v>5597</v>
      </c>
      <c r="J1483" t="s">
        <v>90</v>
      </c>
      <c r="K1483" s="3">
        <f t="shared" si="46"/>
        <v>0</v>
      </c>
      <c r="L1483" s="3">
        <f>IF(ISERROR(VLOOKUP(J1483,Lookups!$A$2:$A$16,1,FALSE)),1,0)</f>
        <v>0</v>
      </c>
      <c r="M1483" s="3">
        <f>IF(ISERROR(VLOOKUP(D1483,Data!$A$2:$D$223100,2,FALSE)),0,1)</f>
        <v>1</v>
      </c>
      <c r="N1483" s="3">
        <f t="shared" si="47"/>
        <v>0</v>
      </c>
      <c r="O1483" s="3" t="str">
        <f>IF(ISERROR(VLOOKUP(D1483,Data!$A$2:$C$223100,3,FALSE)),"INACTIVE",VLOOKUP(D1483,Data!$A$2:$C$223100,3,FALSE))</f>
        <v>180+</v>
      </c>
    </row>
    <row r="1484" spans="1:15" x14ac:dyDescent="0.25">
      <c r="A1484" t="s">
        <v>6088</v>
      </c>
      <c r="B1484" t="s">
        <v>6089</v>
      </c>
      <c r="C1484" t="s">
        <v>6090</v>
      </c>
      <c r="D1484" t="s">
        <v>6091</v>
      </c>
      <c r="E1484" t="s">
        <v>6092</v>
      </c>
      <c r="F1484" t="s">
        <v>5</v>
      </c>
      <c r="G1484" t="s">
        <v>5</v>
      </c>
      <c r="H1484" t="s">
        <v>5</v>
      </c>
      <c r="I1484" t="s">
        <v>5597</v>
      </c>
      <c r="J1484" t="s">
        <v>7</v>
      </c>
      <c r="K1484" s="3">
        <f t="shared" si="46"/>
        <v>0</v>
      </c>
      <c r="L1484" s="3">
        <f>IF(ISERROR(VLOOKUP(J1484,Lookups!$A$2:$A$16,1,FALSE)),1,0)</f>
        <v>1</v>
      </c>
      <c r="M1484" s="3">
        <f>IF(ISERROR(VLOOKUP(D1484,Data!$A$2:$D$223100,2,FALSE)),0,1)</f>
        <v>1</v>
      </c>
      <c r="N1484" s="3">
        <f t="shared" si="47"/>
        <v>1</v>
      </c>
      <c r="O1484" s="3" t="str">
        <f>IF(ISERROR(VLOOKUP(D1484,Data!$A$2:$C$223100,3,FALSE)),"INACTIVE",VLOOKUP(D1484,Data!$A$2:$C$223100,3,FALSE))</f>
        <v>Current</v>
      </c>
    </row>
    <row r="1485" spans="1:15" x14ac:dyDescent="0.25">
      <c r="A1485" t="s">
        <v>6088</v>
      </c>
      <c r="B1485" t="s">
        <v>6089</v>
      </c>
      <c r="C1485" t="s">
        <v>6093</v>
      </c>
      <c r="D1485" t="s">
        <v>6094</v>
      </c>
      <c r="E1485" t="s">
        <v>5</v>
      </c>
      <c r="F1485" t="s">
        <v>6095</v>
      </c>
      <c r="G1485" t="s">
        <v>5</v>
      </c>
      <c r="H1485" t="s">
        <v>5</v>
      </c>
      <c r="I1485" t="s">
        <v>5597</v>
      </c>
      <c r="J1485" t="s">
        <v>7</v>
      </c>
      <c r="K1485" s="3">
        <f t="shared" si="46"/>
        <v>0</v>
      </c>
      <c r="L1485" s="3">
        <f>IF(ISERROR(VLOOKUP(J1485,Lookups!$A$2:$A$16,1,FALSE)),1,0)</f>
        <v>1</v>
      </c>
      <c r="M1485" s="3">
        <f>IF(ISERROR(VLOOKUP(D1485,Data!$A$2:$D$223100,2,FALSE)),0,1)</f>
        <v>1</v>
      </c>
      <c r="N1485" s="3">
        <f t="shared" si="47"/>
        <v>1</v>
      </c>
      <c r="O1485" s="3" t="str">
        <f>IF(ISERROR(VLOOKUP(D1485,Data!$A$2:$C$223100,3,FALSE)),"INACTIVE",VLOOKUP(D1485,Data!$A$2:$C$223100,3,FALSE))</f>
        <v>Demand Letter</v>
      </c>
    </row>
    <row r="1486" spans="1:15" x14ac:dyDescent="0.25">
      <c r="A1486" t="s">
        <v>6088</v>
      </c>
      <c r="B1486" t="s">
        <v>6089</v>
      </c>
      <c r="C1486" t="s">
        <v>6096</v>
      </c>
      <c r="D1486" t="s">
        <v>6097</v>
      </c>
      <c r="E1486" t="s">
        <v>5</v>
      </c>
      <c r="F1486" t="s">
        <v>6098</v>
      </c>
      <c r="G1486" t="s">
        <v>5</v>
      </c>
      <c r="H1486" t="s">
        <v>5</v>
      </c>
      <c r="I1486" t="s">
        <v>5597</v>
      </c>
      <c r="J1486" t="s">
        <v>7</v>
      </c>
      <c r="K1486" s="3">
        <f t="shared" si="46"/>
        <v>0</v>
      </c>
      <c r="L1486" s="3">
        <f>IF(ISERROR(VLOOKUP(J1486,Lookups!$A$2:$A$16,1,FALSE)),1,0)</f>
        <v>1</v>
      </c>
      <c r="M1486" s="3">
        <f>IF(ISERROR(VLOOKUP(D1486,Data!$A$2:$D$223100,2,FALSE)),0,1)</f>
        <v>0</v>
      </c>
      <c r="N1486" s="3">
        <f t="shared" si="47"/>
        <v>0</v>
      </c>
      <c r="O1486" s="3" t="str">
        <f>IF(ISERROR(VLOOKUP(D1486,Data!$A$2:$C$223100,3,FALSE)),"INACTIVE",VLOOKUP(D1486,Data!$A$2:$C$223100,3,FALSE))</f>
        <v>INACTIVE</v>
      </c>
    </row>
    <row r="1487" spans="1:15" x14ac:dyDescent="0.25">
      <c r="A1487" t="s">
        <v>6088</v>
      </c>
      <c r="B1487" t="s">
        <v>6089</v>
      </c>
      <c r="C1487" t="s">
        <v>6099</v>
      </c>
      <c r="D1487" t="s">
        <v>6100</v>
      </c>
      <c r="E1487" t="s">
        <v>5</v>
      </c>
      <c r="F1487" t="s">
        <v>6101</v>
      </c>
      <c r="G1487" t="s">
        <v>5</v>
      </c>
      <c r="H1487" t="s">
        <v>5</v>
      </c>
      <c r="I1487" t="s">
        <v>5597</v>
      </c>
      <c r="J1487" t="s">
        <v>90</v>
      </c>
      <c r="K1487" s="3">
        <f t="shared" si="46"/>
        <v>0</v>
      </c>
      <c r="L1487" s="3">
        <f>IF(ISERROR(VLOOKUP(J1487,Lookups!$A$2:$A$16,1,FALSE)),1,0)</f>
        <v>0</v>
      </c>
      <c r="M1487" s="3">
        <f>IF(ISERROR(VLOOKUP(D1487,Data!$A$2:$D$223100,2,FALSE)),0,1)</f>
        <v>1</v>
      </c>
      <c r="N1487" s="3">
        <f t="shared" si="47"/>
        <v>0</v>
      </c>
      <c r="O1487" s="3" t="str">
        <f>IF(ISERROR(VLOOKUP(D1487,Data!$A$2:$C$223100,3,FALSE)),"INACTIVE",VLOOKUP(D1487,Data!$A$2:$C$223100,3,FALSE))</f>
        <v>30+</v>
      </c>
    </row>
    <row r="1488" spans="1:15" x14ac:dyDescent="0.25">
      <c r="A1488" t="s">
        <v>6088</v>
      </c>
      <c r="B1488" t="s">
        <v>6089</v>
      </c>
      <c r="C1488" t="s">
        <v>6099</v>
      </c>
      <c r="D1488" t="s">
        <v>6100</v>
      </c>
      <c r="E1488" t="s">
        <v>6102</v>
      </c>
      <c r="F1488" t="s">
        <v>6102</v>
      </c>
      <c r="G1488" t="s">
        <v>5</v>
      </c>
      <c r="H1488" t="s">
        <v>5</v>
      </c>
      <c r="I1488" t="s">
        <v>5597</v>
      </c>
      <c r="J1488" t="s">
        <v>90</v>
      </c>
      <c r="K1488" s="3">
        <f t="shared" si="46"/>
        <v>0</v>
      </c>
      <c r="L1488" s="3">
        <f>IF(ISERROR(VLOOKUP(J1488,Lookups!$A$2:$A$16,1,FALSE)),1,0)</f>
        <v>0</v>
      </c>
      <c r="M1488" s="3">
        <f>IF(ISERROR(VLOOKUP(D1488,Data!$A$2:$D$223100,2,FALSE)),0,1)</f>
        <v>1</v>
      </c>
      <c r="N1488" s="3">
        <f t="shared" si="47"/>
        <v>0</v>
      </c>
      <c r="O1488" s="3" t="str">
        <f>IF(ISERROR(VLOOKUP(D1488,Data!$A$2:$C$223100,3,FALSE)),"INACTIVE",VLOOKUP(D1488,Data!$A$2:$C$223100,3,FALSE))</f>
        <v>30+</v>
      </c>
    </row>
    <row r="1489" spans="1:15" x14ac:dyDescent="0.25">
      <c r="A1489" t="s">
        <v>6109</v>
      </c>
      <c r="B1489" t="s">
        <v>6110</v>
      </c>
      <c r="C1489" t="s">
        <v>6111</v>
      </c>
      <c r="D1489" t="s">
        <v>6112</v>
      </c>
      <c r="E1489" t="s">
        <v>6113</v>
      </c>
      <c r="F1489" t="s">
        <v>5</v>
      </c>
      <c r="G1489" t="s">
        <v>5</v>
      </c>
      <c r="H1489" t="s">
        <v>5</v>
      </c>
      <c r="I1489" t="s">
        <v>5597</v>
      </c>
      <c r="J1489" t="s">
        <v>96</v>
      </c>
      <c r="K1489" s="3">
        <f t="shared" si="46"/>
        <v>0</v>
      </c>
      <c r="L1489" s="3">
        <f>IF(ISERROR(VLOOKUP(J1489,Lookups!$A$2:$A$16,1,FALSE)),1,0)</f>
        <v>0</v>
      </c>
      <c r="M1489" s="3">
        <f>IF(ISERROR(VLOOKUP(D1489,Data!$A$2:$D$223100,2,FALSE)),0,1)</f>
        <v>1</v>
      </c>
      <c r="N1489" s="3">
        <f t="shared" si="47"/>
        <v>0</v>
      </c>
      <c r="O1489" s="3" t="str">
        <f>IF(ISERROR(VLOOKUP(D1489,Data!$A$2:$C$223100,3,FALSE)),"INACTIVE",VLOOKUP(D1489,Data!$A$2:$C$223100,3,FALSE))</f>
        <v>Current</v>
      </c>
    </row>
    <row r="1490" spans="1:15" x14ac:dyDescent="0.25">
      <c r="A1490" t="s">
        <v>6109</v>
      </c>
      <c r="B1490" t="s">
        <v>6110</v>
      </c>
      <c r="C1490" t="s">
        <v>6111</v>
      </c>
      <c r="D1490" t="s">
        <v>6112</v>
      </c>
      <c r="E1490" t="s">
        <v>6114</v>
      </c>
      <c r="F1490" t="s">
        <v>5</v>
      </c>
      <c r="G1490" t="s">
        <v>5</v>
      </c>
      <c r="H1490" t="s">
        <v>5</v>
      </c>
      <c r="I1490" t="s">
        <v>5597</v>
      </c>
      <c r="J1490" t="s">
        <v>96</v>
      </c>
      <c r="K1490" s="3">
        <f t="shared" si="46"/>
        <v>0</v>
      </c>
      <c r="L1490" s="3">
        <f>IF(ISERROR(VLOOKUP(J1490,Lookups!$A$2:$A$16,1,FALSE)),1,0)</f>
        <v>0</v>
      </c>
      <c r="M1490" s="3">
        <f>IF(ISERROR(VLOOKUP(D1490,Data!$A$2:$D$223100,2,FALSE)),0,1)</f>
        <v>1</v>
      </c>
      <c r="N1490" s="3">
        <f t="shared" si="47"/>
        <v>0</v>
      </c>
      <c r="O1490" s="3" t="str">
        <f>IF(ISERROR(VLOOKUP(D1490,Data!$A$2:$C$223100,3,FALSE)),"INACTIVE",VLOOKUP(D1490,Data!$A$2:$C$223100,3,FALSE))</f>
        <v>Current</v>
      </c>
    </row>
    <row r="1491" spans="1:15" x14ac:dyDescent="0.25">
      <c r="A1491" t="s">
        <v>5624</v>
      </c>
      <c r="B1491" t="s">
        <v>5625</v>
      </c>
      <c r="C1491" t="s">
        <v>5626</v>
      </c>
      <c r="D1491" t="s">
        <v>5627</v>
      </c>
      <c r="E1491" t="s">
        <v>5628</v>
      </c>
      <c r="F1491" t="s">
        <v>5</v>
      </c>
      <c r="G1491" t="s">
        <v>5</v>
      </c>
      <c r="H1491" t="s">
        <v>5</v>
      </c>
      <c r="I1491" t="s">
        <v>5629</v>
      </c>
      <c r="J1491" t="s">
        <v>96</v>
      </c>
      <c r="K1491" s="3">
        <f t="shared" si="46"/>
        <v>0</v>
      </c>
      <c r="L1491" s="3">
        <f>IF(ISERROR(VLOOKUP(J1491,Lookups!$A$2:$A$16,1,FALSE)),1,0)</f>
        <v>0</v>
      </c>
      <c r="M1491" s="3">
        <f>IF(ISERROR(VLOOKUP(D1491,Data!$A$2:$D$223100,2,FALSE)),0,1)</f>
        <v>0</v>
      </c>
      <c r="N1491" s="3">
        <f t="shared" si="47"/>
        <v>0</v>
      </c>
      <c r="O1491" s="3" t="str">
        <f>IF(ISERROR(VLOOKUP(D1491,Data!$A$2:$C$223100,3,FALSE)),"INACTIVE",VLOOKUP(D1491,Data!$A$2:$C$223100,3,FALSE))</f>
        <v>INACTIVE</v>
      </c>
    </row>
    <row r="1492" spans="1:15" x14ac:dyDescent="0.25">
      <c r="A1492" t="s">
        <v>5624</v>
      </c>
      <c r="B1492" t="s">
        <v>5625</v>
      </c>
      <c r="C1492" t="s">
        <v>5626</v>
      </c>
      <c r="D1492" t="s">
        <v>5627</v>
      </c>
      <c r="E1492" t="s">
        <v>5630</v>
      </c>
      <c r="F1492" t="s">
        <v>5</v>
      </c>
      <c r="G1492" t="s">
        <v>5</v>
      </c>
      <c r="H1492" t="s">
        <v>5</v>
      </c>
      <c r="I1492" t="s">
        <v>5629</v>
      </c>
      <c r="J1492" t="s">
        <v>96</v>
      </c>
      <c r="K1492" s="3">
        <f t="shared" si="46"/>
        <v>0</v>
      </c>
      <c r="L1492" s="3">
        <f>IF(ISERROR(VLOOKUP(J1492,Lookups!$A$2:$A$16,1,FALSE)),1,0)</f>
        <v>0</v>
      </c>
      <c r="M1492" s="3">
        <f>IF(ISERROR(VLOOKUP(D1492,Data!$A$2:$D$223100,2,FALSE)),0,1)</f>
        <v>0</v>
      </c>
      <c r="N1492" s="3">
        <f t="shared" si="47"/>
        <v>0</v>
      </c>
      <c r="O1492" s="3" t="str">
        <f>IF(ISERROR(VLOOKUP(D1492,Data!$A$2:$C$223100,3,FALSE)),"INACTIVE",VLOOKUP(D1492,Data!$A$2:$C$223100,3,FALSE))</f>
        <v>INACTIVE</v>
      </c>
    </row>
    <row r="1493" spans="1:15" x14ac:dyDescent="0.25">
      <c r="A1493" t="s">
        <v>5876</v>
      </c>
      <c r="B1493" t="s">
        <v>5877</v>
      </c>
      <c r="C1493" t="s">
        <v>5878</v>
      </c>
      <c r="D1493" t="s">
        <v>5879</v>
      </c>
      <c r="E1493" t="s">
        <v>5880</v>
      </c>
      <c r="F1493" t="s">
        <v>5</v>
      </c>
      <c r="G1493" t="s">
        <v>5</v>
      </c>
      <c r="H1493" t="s">
        <v>5</v>
      </c>
      <c r="I1493" t="s">
        <v>5629</v>
      </c>
      <c r="J1493" t="s">
        <v>90</v>
      </c>
      <c r="K1493" s="3">
        <f t="shared" si="46"/>
        <v>0</v>
      </c>
      <c r="L1493" s="3">
        <f>IF(ISERROR(VLOOKUP(J1493,Lookups!$A$2:$A$16,1,FALSE)),1,0)</f>
        <v>0</v>
      </c>
      <c r="M1493" s="3">
        <f>IF(ISERROR(VLOOKUP(D1493,Data!$A$2:$D$223100,2,FALSE)),0,1)</f>
        <v>1</v>
      </c>
      <c r="N1493" s="3">
        <f t="shared" si="47"/>
        <v>0</v>
      </c>
      <c r="O1493" s="3" t="str">
        <f>IF(ISERROR(VLOOKUP(D1493,Data!$A$2:$C$223100,3,FALSE)),"INACTIVE",VLOOKUP(D1493,Data!$A$2:$C$223100,3,FALSE))</f>
        <v>Current</v>
      </c>
    </row>
    <row r="1494" spans="1:15" x14ac:dyDescent="0.25">
      <c r="A1494" t="s">
        <v>5916</v>
      </c>
      <c r="B1494" t="s">
        <v>5917</v>
      </c>
      <c r="C1494" t="s">
        <v>5244</v>
      </c>
      <c r="D1494" t="s">
        <v>5245</v>
      </c>
      <c r="E1494" t="s">
        <v>5918</v>
      </c>
      <c r="F1494" t="s">
        <v>5</v>
      </c>
      <c r="G1494" t="s">
        <v>5</v>
      </c>
      <c r="H1494" t="s">
        <v>5</v>
      </c>
      <c r="I1494" t="s">
        <v>5629</v>
      </c>
      <c r="J1494" t="s">
        <v>96</v>
      </c>
      <c r="K1494" s="3">
        <f t="shared" si="46"/>
        <v>0</v>
      </c>
      <c r="L1494" s="3">
        <f>IF(ISERROR(VLOOKUP(J1494,Lookups!$A$2:$A$16,1,FALSE)),1,0)</f>
        <v>0</v>
      </c>
      <c r="M1494" s="3">
        <f>IF(ISERROR(VLOOKUP(D1494,Data!$A$2:$D$223100,2,FALSE)),0,1)</f>
        <v>0</v>
      </c>
      <c r="N1494" s="3">
        <f t="shared" si="47"/>
        <v>0</v>
      </c>
      <c r="O1494" s="3" t="str">
        <f>IF(ISERROR(VLOOKUP(D1494,Data!$A$2:$C$223100,3,FALSE)),"INACTIVE",VLOOKUP(D1494,Data!$A$2:$C$223100,3,FALSE))</f>
        <v>INACTIVE</v>
      </c>
    </row>
    <row r="1495" spans="1:15" x14ac:dyDescent="0.25">
      <c r="A1495" t="s">
        <v>5412</v>
      </c>
      <c r="B1495" t="s">
        <v>5713</v>
      </c>
      <c r="C1495" t="s">
        <v>5714</v>
      </c>
      <c r="D1495" t="s">
        <v>5715</v>
      </c>
      <c r="E1495" t="s">
        <v>5716</v>
      </c>
      <c r="F1495" t="s">
        <v>5</v>
      </c>
      <c r="G1495" t="s">
        <v>5</v>
      </c>
      <c r="H1495" t="s">
        <v>5</v>
      </c>
      <c r="I1495" t="s">
        <v>5717</v>
      </c>
      <c r="J1495" t="s">
        <v>7</v>
      </c>
      <c r="K1495" s="3">
        <f t="shared" si="46"/>
        <v>0</v>
      </c>
      <c r="L1495" s="3">
        <f>IF(ISERROR(VLOOKUP(J1495,Lookups!$A$2:$A$16,1,FALSE)),1,0)</f>
        <v>1</v>
      </c>
      <c r="M1495" s="3">
        <f>IF(ISERROR(VLOOKUP(D1495,Data!$A$2:$D$223100,2,FALSE)),0,1)</f>
        <v>1</v>
      </c>
      <c r="N1495" s="3">
        <f t="shared" si="47"/>
        <v>1</v>
      </c>
      <c r="O1495" s="3" t="str">
        <f>IF(ISERROR(VLOOKUP(D1495,Data!$A$2:$C$223100,3,FALSE)),"INACTIVE",VLOOKUP(D1495,Data!$A$2:$C$223100,3,FALSE))</f>
        <v>Current</v>
      </c>
    </row>
    <row r="1496" spans="1:15" x14ac:dyDescent="0.25">
      <c r="A1496" t="s">
        <v>5412</v>
      </c>
      <c r="B1496" t="s">
        <v>5713</v>
      </c>
      <c r="C1496" t="s">
        <v>5718</v>
      </c>
      <c r="D1496" t="s">
        <v>5719</v>
      </c>
      <c r="E1496" t="s">
        <v>5720</v>
      </c>
      <c r="F1496" t="s">
        <v>5</v>
      </c>
      <c r="G1496" t="s">
        <v>5</v>
      </c>
      <c r="H1496" t="s">
        <v>5</v>
      </c>
      <c r="I1496" t="s">
        <v>5717</v>
      </c>
      <c r="J1496" t="s">
        <v>7</v>
      </c>
      <c r="K1496" s="3">
        <f t="shared" si="46"/>
        <v>0</v>
      </c>
      <c r="L1496" s="3">
        <f>IF(ISERROR(VLOOKUP(J1496,Lookups!$A$2:$A$16,1,FALSE)),1,0)</f>
        <v>1</v>
      </c>
      <c r="M1496" s="3">
        <f>IF(ISERROR(VLOOKUP(D1496,Data!$A$2:$D$223100,2,FALSE)),0,1)</f>
        <v>1</v>
      </c>
      <c r="N1496" s="3">
        <f t="shared" si="47"/>
        <v>1</v>
      </c>
      <c r="O1496" s="3" t="str">
        <f>IF(ISERROR(VLOOKUP(D1496,Data!$A$2:$C$223100,3,FALSE)),"INACTIVE",VLOOKUP(D1496,Data!$A$2:$C$223100,3,FALSE))</f>
        <v>120+</v>
      </c>
    </row>
    <row r="1497" spans="1:15" x14ac:dyDescent="0.25">
      <c r="A1497" t="s">
        <v>5635</v>
      </c>
      <c r="B1497" t="s">
        <v>5636</v>
      </c>
      <c r="C1497" t="s">
        <v>5637</v>
      </c>
      <c r="D1497" t="s">
        <v>5638</v>
      </c>
      <c r="E1497" t="s">
        <v>5639</v>
      </c>
      <c r="F1497" t="s">
        <v>5</v>
      </c>
      <c r="G1497" t="s">
        <v>5</v>
      </c>
      <c r="H1497" t="s">
        <v>5</v>
      </c>
      <c r="I1497" t="s">
        <v>5640</v>
      </c>
      <c r="J1497" t="s">
        <v>96</v>
      </c>
      <c r="K1497" s="3">
        <f t="shared" si="46"/>
        <v>0</v>
      </c>
      <c r="L1497" s="3">
        <f>IF(ISERROR(VLOOKUP(J1497,Lookups!$A$2:$A$16,1,FALSE)),1,0)</f>
        <v>0</v>
      </c>
      <c r="M1497" s="3">
        <f>IF(ISERROR(VLOOKUP(D1497,Data!$A$2:$D$223100,2,FALSE)),0,1)</f>
        <v>1</v>
      </c>
      <c r="N1497" s="3">
        <f t="shared" si="47"/>
        <v>0</v>
      </c>
      <c r="O1497" s="3" t="str">
        <f>IF(ISERROR(VLOOKUP(D1497,Data!$A$2:$C$223100,3,FALSE)),"INACTIVE",VLOOKUP(D1497,Data!$A$2:$C$223100,3,FALSE))</f>
        <v>Demand Letter</v>
      </c>
    </row>
    <row r="1498" spans="1:15" x14ac:dyDescent="0.25">
      <c r="A1498" t="s">
        <v>5942</v>
      </c>
      <c r="B1498" t="s">
        <v>5943</v>
      </c>
      <c r="C1498" t="s">
        <v>5944</v>
      </c>
      <c r="D1498" t="s">
        <v>5945</v>
      </c>
      <c r="E1498" t="s">
        <v>5946</v>
      </c>
      <c r="F1498" t="s">
        <v>5</v>
      </c>
      <c r="G1498" t="s">
        <v>5</v>
      </c>
      <c r="H1498" t="s">
        <v>5</v>
      </c>
      <c r="I1498" t="s">
        <v>5640</v>
      </c>
      <c r="J1498" t="s">
        <v>96</v>
      </c>
      <c r="K1498" s="3">
        <f t="shared" si="46"/>
        <v>0</v>
      </c>
      <c r="L1498" s="3">
        <f>IF(ISERROR(VLOOKUP(J1498,Lookups!$A$2:$A$16,1,FALSE)),1,0)</f>
        <v>0</v>
      </c>
      <c r="M1498" s="3">
        <f>IF(ISERROR(VLOOKUP(D1498,Data!$A$2:$D$223100,2,FALSE)),0,1)</f>
        <v>0</v>
      </c>
      <c r="N1498" s="3">
        <f t="shared" si="47"/>
        <v>0</v>
      </c>
      <c r="O1498" s="3" t="str">
        <f>IF(ISERROR(VLOOKUP(D1498,Data!$A$2:$C$223100,3,FALSE)),"INACTIVE",VLOOKUP(D1498,Data!$A$2:$C$223100,3,FALSE))</f>
        <v>INACTIVE</v>
      </c>
    </row>
    <row r="1499" spans="1:15" x14ac:dyDescent="0.25">
      <c r="A1499" t="s">
        <v>5942</v>
      </c>
      <c r="B1499" t="s">
        <v>5943</v>
      </c>
      <c r="C1499" t="s">
        <v>5944</v>
      </c>
      <c r="D1499" t="s">
        <v>5945</v>
      </c>
      <c r="E1499" t="s">
        <v>5947</v>
      </c>
      <c r="F1499" t="s">
        <v>5</v>
      </c>
      <c r="G1499" t="s">
        <v>5</v>
      </c>
      <c r="H1499" t="s">
        <v>5</v>
      </c>
      <c r="I1499" t="s">
        <v>5640</v>
      </c>
      <c r="J1499" t="s">
        <v>96</v>
      </c>
      <c r="K1499" s="3">
        <f t="shared" si="46"/>
        <v>0</v>
      </c>
      <c r="L1499" s="3">
        <f>IF(ISERROR(VLOOKUP(J1499,Lookups!$A$2:$A$16,1,FALSE)),1,0)</f>
        <v>0</v>
      </c>
      <c r="M1499" s="3">
        <f>IF(ISERROR(VLOOKUP(D1499,Data!$A$2:$D$223100,2,FALSE)),0,1)</f>
        <v>0</v>
      </c>
      <c r="N1499" s="3">
        <f t="shared" si="47"/>
        <v>0</v>
      </c>
      <c r="O1499" s="3" t="str">
        <f>IF(ISERROR(VLOOKUP(D1499,Data!$A$2:$C$223100,3,FALSE)),"INACTIVE",VLOOKUP(D1499,Data!$A$2:$C$223100,3,FALSE))</f>
        <v>INACTIVE</v>
      </c>
    </row>
    <row r="1500" spans="1:15" x14ac:dyDescent="0.25">
      <c r="A1500" t="s">
        <v>3713</v>
      </c>
      <c r="B1500" t="s">
        <v>5948</v>
      </c>
      <c r="C1500" t="s">
        <v>5949</v>
      </c>
      <c r="D1500" t="s">
        <v>5950</v>
      </c>
      <c r="E1500" t="s">
        <v>5951</v>
      </c>
      <c r="F1500" t="s">
        <v>5</v>
      </c>
      <c r="G1500" t="s">
        <v>5</v>
      </c>
      <c r="H1500" t="s">
        <v>5</v>
      </c>
      <c r="I1500" t="s">
        <v>5640</v>
      </c>
      <c r="J1500" t="s">
        <v>90</v>
      </c>
      <c r="K1500" s="3">
        <f t="shared" si="46"/>
        <v>0</v>
      </c>
      <c r="L1500" s="3">
        <f>IF(ISERROR(VLOOKUP(J1500,Lookups!$A$2:$A$16,1,FALSE)),1,0)</f>
        <v>0</v>
      </c>
      <c r="M1500" s="3">
        <f>IF(ISERROR(VLOOKUP(D1500,Data!$A$2:$D$223100,2,FALSE)),0,1)</f>
        <v>1</v>
      </c>
      <c r="N1500" s="3">
        <f t="shared" si="47"/>
        <v>0</v>
      </c>
      <c r="O1500" s="3" t="str">
        <f>IF(ISERROR(VLOOKUP(D1500,Data!$A$2:$C$223100,3,FALSE)),"INACTIVE",VLOOKUP(D1500,Data!$A$2:$C$223100,3,FALSE))</f>
        <v>Current</v>
      </c>
    </row>
    <row r="1501" spans="1:15" x14ac:dyDescent="0.25">
      <c r="A1501" t="s">
        <v>5957</v>
      </c>
      <c r="B1501" t="s">
        <v>5958</v>
      </c>
      <c r="C1501" t="s">
        <v>5959</v>
      </c>
      <c r="D1501" t="s">
        <v>5960</v>
      </c>
      <c r="E1501" t="s">
        <v>5961</v>
      </c>
      <c r="F1501" t="s">
        <v>5</v>
      </c>
      <c r="G1501" t="s">
        <v>5</v>
      </c>
      <c r="H1501" t="s">
        <v>5</v>
      </c>
      <c r="I1501" t="s">
        <v>5640</v>
      </c>
      <c r="J1501" t="s">
        <v>90</v>
      </c>
      <c r="K1501" s="3">
        <f t="shared" si="46"/>
        <v>0</v>
      </c>
      <c r="L1501" s="3">
        <f>IF(ISERROR(VLOOKUP(J1501,Lookups!$A$2:$A$16,1,FALSE)),1,0)</f>
        <v>0</v>
      </c>
      <c r="M1501" s="3">
        <f>IF(ISERROR(VLOOKUP(D1501,Data!$A$2:$D$223100,2,FALSE)),0,1)</f>
        <v>1</v>
      </c>
      <c r="N1501" s="3">
        <f t="shared" si="47"/>
        <v>0</v>
      </c>
      <c r="O1501" s="3" t="str">
        <f>IF(ISERROR(VLOOKUP(D1501,Data!$A$2:$C$223100,3,FALSE)),"INACTIVE",VLOOKUP(D1501,Data!$A$2:$C$223100,3,FALSE))</f>
        <v>Current</v>
      </c>
    </row>
    <row r="1502" spans="1:15" x14ac:dyDescent="0.25">
      <c r="A1502" t="s">
        <v>5957</v>
      </c>
      <c r="B1502" t="s">
        <v>5958</v>
      </c>
      <c r="C1502" t="s">
        <v>5962</v>
      </c>
      <c r="D1502" t="s">
        <v>5963</v>
      </c>
      <c r="E1502" t="s">
        <v>5964</v>
      </c>
      <c r="F1502" t="s">
        <v>5</v>
      </c>
      <c r="G1502" t="s">
        <v>5</v>
      </c>
      <c r="H1502" t="s">
        <v>5</v>
      </c>
      <c r="I1502" t="s">
        <v>5640</v>
      </c>
      <c r="J1502" t="s">
        <v>96</v>
      </c>
      <c r="K1502" s="3">
        <f t="shared" si="46"/>
        <v>0</v>
      </c>
      <c r="L1502" s="3">
        <f>IF(ISERROR(VLOOKUP(J1502,Lookups!$A$2:$A$16,1,FALSE)),1,0)</f>
        <v>0</v>
      </c>
      <c r="M1502" s="3">
        <f>IF(ISERROR(VLOOKUP(D1502,Data!$A$2:$D$223100,2,FALSE)),0,1)</f>
        <v>1</v>
      </c>
      <c r="N1502" s="3">
        <f t="shared" si="47"/>
        <v>0</v>
      </c>
      <c r="O1502" s="3" t="str">
        <f>IF(ISERROR(VLOOKUP(D1502,Data!$A$2:$C$223100,3,FALSE)),"INACTIVE",VLOOKUP(D1502,Data!$A$2:$C$223100,3,FALSE))</f>
        <v>60+</v>
      </c>
    </row>
    <row r="1503" spans="1:15" x14ac:dyDescent="0.25">
      <c r="A1503" t="s">
        <v>6071</v>
      </c>
      <c r="B1503" t="s">
        <v>6072</v>
      </c>
      <c r="C1503" t="s">
        <v>6073</v>
      </c>
      <c r="D1503" t="s">
        <v>6074</v>
      </c>
      <c r="E1503" t="s">
        <v>6075</v>
      </c>
      <c r="F1503" t="s">
        <v>5</v>
      </c>
      <c r="G1503" t="s">
        <v>5</v>
      </c>
      <c r="H1503" t="s">
        <v>5</v>
      </c>
      <c r="I1503" t="s">
        <v>5640</v>
      </c>
      <c r="J1503" t="s">
        <v>14</v>
      </c>
      <c r="K1503" s="3">
        <f t="shared" si="46"/>
        <v>0</v>
      </c>
      <c r="L1503" s="3">
        <f>IF(ISERROR(VLOOKUP(J1503,Lookups!$A$2:$A$16,1,FALSE)),1,0)</f>
        <v>1</v>
      </c>
      <c r="M1503" s="3">
        <f>IF(ISERROR(VLOOKUP(D1503,Data!$A$2:$D$223100,2,FALSE)),0,1)</f>
        <v>1</v>
      </c>
      <c r="N1503" s="3">
        <f t="shared" si="47"/>
        <v>1</v>
      </c>
      <c r="O1503" s="3" t="str">
        <f>IF(ISERROR(VLOOKUP(D1503,Data!$A$2:$C$223100,3,FALSE)),"INACTIVE",VLOOKUP(D1503,Data!$A$2:$C$223100,3,FALSE))</f>
        <v>30+</v>
      </c>
    </row>
    <row r="1504" spans="1:15" x14ac:dyDescent="0.25">
      <c r="A1504" t="s">
        <v>6071</v>
      </c>
      <c r="B1504" t="s">
        <v>6072</v>
      </c>
      <c r="C1504" t="s">
        <v>6076</v>
      </c>
      <c r="D1504" t="s">
        <v>6077</v>
      </c>
      <c r="E1504" t="s">
        <v>6078</v>
      </c>
      <c r="F1504" t="s">
        <v>5</v>
      </c>
      <c r="G1504" t="s">
        <v>5</v>
      </c>
      <c r="H1504" t="s">
        <v>5</v>
      </c>
      <c r="I1504" t="s">
        <v>5640</v>
      </c>
      <c r="J1504" t="s">
        <v>96</v>
      </c>
      <c r="K1504" s="3">
        <f t="shared" si="46"/>
        <v>0</v>
      </c>
      <c r="L1504" s="3">
        <f>IF(ISERROR(VLOOKUP(J1504,Lookups!$A$2:$A$16,1,FALSE)),1,0)</f>
        <v>0</v>
      </c>
      <c r="M1504" s="3">
        <f>IF(ISERROR(VLOOKUP(D1504,Data!$A$2:$D$223100,2,FALSE)),0,1)</f>
        <v>1</v>
      </c>
      <c r="N1504" s="3">
        <f t="shared" si="47"/>
        <v>0</v>
      </c>
      <c r="O1504" s="3" t="str">
        <f>IF(ISERROR(VLOOKUP(D1504,Data!$A$2:$C$223100,3,FALSE)),"INACTIVE",VLOOKUP(D1504,Data!$A$2:$C$223100,3,FALSE))</f>
        <v>Current</v>
      </c>
    </row>
    <row r="1505" spans="1:15" x14ac:dyDescent="0.25">
      <c r="A1505" t="s">
        <v>6071</v>
      </c>
      <c r="B1505" t="s">
        <v>6072</v>
      </c>
      <c r="C1505" t="s">
        <v>6076</v>
      </c>
      <c r="D1505" t="s">
        <v>6077</v>
      </c>
      <c r="E1505" t="s">
        <v>6079</v>
      </c>
      <c r="F1505" t="s">
        <v>5</v>
      </c>
      <c r="G1505" t="s">
        <v>5</v>
      </c>
      <c r="H1505" t="s">
        <v>5</v>
      </c>
      <c r="I1505" t="s">
        <v>5640</v>
      </c>
      <c r="J1505" t="s">
        <v>96</v>
      </c>
      <c r="K1505" s="3">
        <f t="shared" si="46"/>
        <v>0</v>
      </c>
      <c r="L1505" s="3">
        <f>IF(ISERROR(VLOOKUP(J1505,Lookups!$A$2:$A$16,1,FALSE)),1,0)</f>
        <v>0</v>
      </c>
      <c r="M1505" s="3">
        <f>IF(ISERROR(VLOOKUP(D1505,Data!$A$2:$D$223100,2,FALSE)),0,1)</f>
        <v>1</v>
      </c>
      <c r="N1505" s="3">
        <f t="shared" si="47"/>
        <v>0</v>
      </c>
      <c r="O1505" s="3" t="str">
        <f>IF(ISERROR(VLOOKUP(D1505,Data!$A$2:$C$223100,3,FALSE)),"INACTIVE",VLOOKUP(D1505,Data!$A$2:$C$223100,3,FALSE))</f>
        <v>Current</v>
      </c>
    </row>
    <row r="1506" spans="1:15" x14ac:dyDescent="0.25">
      <c r="A1506" t="s">
        <v>6071</v>
      </c>
      <c r="B1506" t="s">
        <v>6072</v>
      </c>
      <c r="C1506" t="s">
        <v>6076</v>
      </c>
      <c r="D1506" t="s">
        <v>6077</v>
      </c>
      <c r="E1506" t="s">
        <v>6080</v>
      </c>
      <c r="F1506" t="s">
        <v>5</v>
      </c>
      <c r="G1506" t="s">
        <v>5</v>
      </c>
      <c r="H1506" t="s">
        <v>5</v>
      </c>
      <c r="I1506" t="s">
        <v>5640</v>
      </c>
      <c r="J1506" t="s">
        <v>96</v>
      </c>
      <c r="K1506" s="3">
        <f t="shared" si="46"/>
        <v>0</v>
      </c>
      <c r="L1506" s="3">
        <f>IF(ISERROR(VLOOKUP(J1506,Lookups!$A$2:$A$16,1,FALSE)),1,0)</f>
        <v>0</v>
      </c>
      <c r="M1506" s="3">
        <f>IF(ISERROR(VLOOKUP(D1506,Data!$A$2:$D$223100,2,FALSE)),0,1)</f>
        <v>1</v>
      </c>
      <c r="N1506" s="3">
        <f t="shared" si="47"/>
        <v>0</v>
      </c>
      <c r="O1506" s="3" t="str">
        <f>IF(ISERROR(VLOOKUP(D1506,Data!$A$2:$C$223100,3,FALSE)),"INACTIVE",VLOOKUP(D1506,Data!$A$2:$C$223100,3,FALSE))</f>
        <v>Current</v>
      </c>
    </row>
    <row r="1507" spans="1:15" x14ac:dyDescent="0.25">
      <c r="A1507" t="s">
        <v>6071</v>
      </c>
      <c r="B1507" t="s">
        <v>6072</v>
      </c>
      <c r="C1507" t="s">
        <v>6076</v>
      </c>
      <c r="D1507" t="s">
        <v>6077</v>
      </c>
      <c r="E1507" t="s">
        <v>6081</v>
      </c>
      <c r="F1507" t="s">
        <v>5</v>
      </c>
      <c r="G1507" t="s">
        <v>5</v>
      </c>
      <c r="H1507" t="s">
        <v>5</v>
      </c>
      <c r="I1507" t="s">
        <v>5640</v>
      </c>
      <c r="J1507" t="s">
        <v>96</v>
      </c>
      <c r="K1507" s="3">
        <f t="shared" si="46"/>
        <v>0</v>
      </c>
      <c r="L1507" s="3">
        <f>IF(ISERROR(VLOOKUP(J1507,Lookups!$A$2:$A$16,1,FALSE)),1,0)</f>
        <v>0</v>
      </c>
      <c r="M1507" s="3">
        <f>IF(ISERROR(VLOOKUP(D1507,Data!$A$2:$D$223100,2,FALSE)),0,1)</f>
        <v>1</v>
      </c>
      <c r="N1507" s="3">
        <f t="shared" si="47"/>
        <v>0</v>
      </c>
      <c r="O1507" s="3" t="str">
        <f>IF(ISERROR(VLOOKUP(D1507,Data!$A$2:$C$223100,3,FALSE)),"INACTIVE",VLOOKUP(D1507,Data!$A$2:$C$223100,3,FALSE))</f>
        <v>Current</v>
      </c>
    </row>
    <row r="1508" spans="1:15" x14ac:dyDescent="0.25">
      <c r="A1508" t="s">
        <v>5449</v>
      </c>
      <c r="B1508" t="s">
        <v>5450</v>
      </c>
      <c r="C1508" t="s">
        <v>5451</v>
      </c>
      <c r="D1508" t="s">
        <v>5452</v>
      </c>
      <c r="E1508" t="s">
        <v>5453</v>
      </c>
      <c r="F1508" t="s">
        <v>5</v>
      </c>
      <c r="G1508" t="s">
        <v>5</v>
      </c>
      <c r="H1508" t="s">
        <v>5</v>
      </c>
      <c r="I1508" t="s">
        <v>5454</v>
      </c>
      <c r="J1508" t="s">
        <v>96</v>
      </c>
      <c r="K1508" s="3">
        <f t="shared" si="46"/>
        <v>0</v>
      </c>
      <c r="L1508" s="3">
        <f>IF(ISERROR(VLOOKUP(J1508,Lookups!$A$2:$A$16,1,FALSE)),1,0)</f>
        <v>0</v>
      </c>
      <c r="M1508" s="3">
        <f>IF(ISERROR(VLOOKUP(D1508,Data!$A$2:$D$223100,2,FALSE)),0,1)</f>
        <v>1</v>
      </c>
      <c r="N1508" s="3">
        <f t="shared" si="47"/>
        <v>0</v>
      </c>
      <c r="O1508" s="3" t="str">
        <f>IF(ISERROR(VLOOKUP(D1508,Data!$A$2:$C$223100,3,FALSE)),"INACTIVE",VLOOKUP(D1508,Data!$A$2:$C$223100,3,FALSE))</f>
        <v>90+</v>
      </c>
    </row>
    <row r="1509" spans="1:15" x14ac:dyDescent="0.25">
      <c r="A1509" t="s">
        <v>5449</v>
      </c>
      <c r="B1509" t="s">
        <v>5450</v>
      </c>
      <c r="C1509" t="s">
        <v>5451</v>
      </c>
      <c r="D1509" t="s">
        <v>5452</v>
      </c>
      <c r="E1509" t="s">
        <v>5455</v>
      </c>
      <c r="F1509" t="s">
        <v>5</v>
      </c>
      <c r="G1509" t="s">
        <v>5</v>
      </c>
      <c r="H1509" t="s">
        <v>5</v>
      </c>
      <c r="I1509" t="s">
        <v>5454</v>
      </c>
      <c r="J1509" t="s">
        <v>96</v>
      </c>
      <c r="K1509" s="3">
        <f t="shared" si="46"/>
        <v>0</v>
      </c>
      <c r="L1509" s="3">
        <f>IF(ISERROR(VLOOKUP(J1509,Lookups!$A$2:$A$16,1,FALSE)),1,0)</f>
        <v>0</v>
      </c>
      <c r="M1509" s="3">
        <f>IF(ISERROR(VLOOKUP(D1509,Data!$A$2:$D$223100,2,FALSE)),0,1)</f>
        <v>1</v>
      </c>
      <c r="N1509" s="3">
        <f t="shared" si="47"/>
        <v>0</v>
      </c>
      <c r="O1509" s="3" t="str">
        <f>IF(ISERROR(VLOOKUP(D1509,Data!$A$2:$C$223100,3,FALSE)),"INACTIVE",VLOOKUP(D1509,Data!$A$2:$C$223100,3,FALSE))</f>
        <v>90+</v>
      </c>
    </row>
    <row r="1510" spans="1:15" x14ac:dyDescent="0.25">
      <c r="A1510" t="s">
        <v>5449</v>
      </c>
      <c r="B1510" t="s">
        <v>5450</v>
      </c>
      <c r="C1510" t="s">
        <v>5451</v>
      </c>
      <c r="D1510" t="s">
        <v>5452</v>
      </c>
      <c r="E1510" t="s">
        <v>5456</v>
      </c>
      <c r="F1510" t="s">
        <v>5</v>
      </c>
      <c r="G1510" t="s">
        <v>5</v>
      </c>
      <c r="H1510" t="s">
        <v>5</v>
      </c>
      <c r="I1510" t="s">
        <v>5454</v>
      </c>
      <c r="J1510" t="s">
        <v>96</v>
      </c>
      <c r="K1510" s="3">
        <f t="shared" si="46"/>
        <v>0</v>
      </c>
      <c r="L1510" s="3">
        <f>IF(ISERROR(VLOOKUP(J1510,Lookups!$A$2:$A$16,1,FALSE)),1,0)</f>
        <v>0</v>
      </c>
      <c r="M1510" s="3">
        <f>IF(ISERROR(VLOOKUP(D1510,Data!$A$2:$D$223100,2,FALSE)),0,1)</f>
        <v>1</v>
      </c>
      <c r="N1510" s="3">
        <f t="shared" si="47"/>
        <v>0</v>
      </c>
      <c r="O1510" s="3" t="str">
        <f>IF(ISERROR(VLOOKUP(D1510,Data!$A$2:$C$223100,3,FALSE)),"INACTIVE",VLOOKUP(D1510,Data!$A$2:$C$223100,3,FALSE))</f>
        <v>90+</v>
      </c>
    </row>
    <row r="1511" spans="1:15" x14ac:dyDescent="0.25">
      <c r="A1511" t="s">
        <v>5449</v>
      </c>
      <c r="B1511" t="s">
        <v>5450</v>
      </c>
      <c r="C1511" t="s">
        <v>5451</v>
      </c>
      <c r="D1511" t="s">
        <v>5452</v>
      </c>
      <c r="E1511" t="s">
        <v>5457</v>
      </c>
      <c r="F1511" t="s">
        <v>5</v>
      </c>
      <c r="G1511" t="s">
        <v>5</v>
      </c>
      <c r="H1511" t="s">
        <v>5</v>
      </c>
      <c r="I1511" t="s">
        <v>5454</v>
      </c>
      <c r="J1511" t="s">
        <v>96</v>
      </c>
      <c r="K1511" s="3">
        <f t="shared" si="46"/>
        <v>0</v>
      </c>
      <c r="L1511" s="3">
        <f>IF(ISERROR(VLOOKUP(J1511,Lookups!$A$2:$A$16,1,FALSE)),1,0)</f>
        <v>0</v>
      </c>
      <c r="M1511" s="3">
        <f>IF(ISERROR(VLOOKUP(D1511,Data!$A$2:$D$223100,2,FALSE)),0,1)</f>
        <v>1</v>
      </c>
      <c r="N1511" s="3">
        <f t="shared" si="47"/>
        <v>0</v>
      </c>
      <c r="O1511" s="3" t="str">
        <f>IF(ISERROR(VLOOKUP(D1511,Data!$A$2:$C$223100,3,FALSE)),"INACTIVE",VLOOKUP(D1511,Data!$A$2:$C$223100,3,FALSE))</f>
        <v>90+</v>
      </c>
    </row>
    <row r="1512" spans="1:15" x14ac:dyDescent="0.25">
      <c r="A1512" t="s">
        <v>5449</v>
      </c>
      <c r="B1512" t="s">
        <v>5450</v>
      </c>
      <c r="C1512" t="s">
        <v>5451</v>
      </c>
      <c r="D1512" t="s">
        <v>5452</v>
      </c>
      <c r="E1512" t="s">
        <v>5458</v>
      </c>
      <c r="F1512" t="s">
        <v>5</v>
      </c>
      <c r="G1512" t="s">
        <v>5</v>
      </c>
      <c r="H1512" t="s">
        <v>5</v>
      </c>
      <c r="I1512" t="s">
        <v>5454</v>
      </c>
      <c r="J1512" t="s">
        <v>96</v>
      </c>
      <c r="K1512" s="3">
        <f t="shared" si="46"/>
        <v>0</v>
      </c>
      <c r="L1512" s="3">
        <f>IF(ISERROR(VLOOKUP(J1512,Lookups!$A$2:$A$16,1,FALSE)),1,0)</f>
        <v>0</v>
      </c>
      <c r="M1512" s="3">
        <f>IF(ISERROR(VLOOKUP(D1512,Data!$A$2:$D$223100,2,FALSE)),0,1)</f>
        <v>1</v>
      </c>
      <c r="N1512" s="3">
        <f t="shared" si="47"/>
        <v>0</v>
      </c>
      <c r="O1512" s="3" t="str">
        <f>IF(ISERROR(VLOOKUP(D1512,Data!$A$2:$C$223100,3,FALSE)),"INACTIVE",VLOOKUP(D1512,Data!$A$2:$C$223100,3,FALSE))</f>
        <v>90+</v>
      </c>
    </row>
    <row r="1513" spans="1:15" x14ac:dyDescent="0.25">
      <c r="A1513" t="s">
        <v>5449</v>
      </c>
      <c r="B1513" t="s">
        <v>5450</v>
      </c>
      <c r="C1513" t="s">
        <v>5451</v>
      </c>
      <c r="D1513" t="s">
        <v>5452</v>
      </c>
      <c r="E1513" t="s">
        <v>5459</v>
      </c>
      <c r="F1513" t="s">
        <v>5</v>
      </c>
      <c r="G1513" t="s">
        <v>5</v>
      </c>
      <c r="H1513" t="s">
        <v>5</v>
      </c>
      <c r="I1513" t="s">
        <v>5454</v>
      </c>
      <c r="J1513" t="s">
        <v>96</v>
      </c>
      <c r="K1513" s="3">
        <f t="shared" si="46"/>
        <v>0</v>
      </c>
      <c r="L1513" s="3">
        <f>IF(ISERROR(VLOOKUP(J1513,Lookups!$A$2:$A$16,1,FALSE)),1,0)</f>
        <v>0</v>
      </c>
      <c r="M1513" s="3">
        <f>IF(ISERROR(VLOOKUP(D1513,Data!$A$2:$D$223100,2,FALSE)),0,1)</f>
        <v>1</v>
      </c>
      <c r="N1513" s="3">
        <f t="shared" si="47"/>
        <v>0</v>
      </c>
      <c r="O1513" s="3" t="str">
        <f>IF(ISERROR(VLOOKUP(D1513,Data!$A$2:$C$223100,3,FALSE)),"INACTIVE",VLOOKUP(D1513,Data!$A$2:$C$223100,3,FALSE))</f>
        <v>90+</v>
      </c>
    </row>
    <row r="1514" spans="1:15" x14ac:dyDescent="0.25">
      <c r="A1514" t="s">
        <v>5449</v>
      </c>
      <c r="B1514" t="s">
        <v>5450</v>
      </c>
      <c r="C1514" t="s">
        <v>5451</v>
      </c>
      <c r="D1514" t="s">
        <v>5452</v>
      </c>
      <c r="E1514" t="s">
        <v>5460</v>
      </c>
      <c r="F1514" t="s">
        <v>5</v>
      </c>
      <c r="G1514" t="s">
        <v>5</v>
      </c>
      <c r="H1514" t="s">
        <v>5</v>
      </c>
      <c r="I1514" t="s">
        <v>5454</v>
      </c>
      <c r="J1514" t="s">
        <v>96</v>
      </c>
      <c r="K1514" s="3">
        <f t="shared" si="46"/>
        <v>0</v>
      </c>
      <c r="L1514" s="3">
        <f>IF(ISERROR(VLOOKUP(J1514,Lookups!$A$2:$A$16,1,FALSE)),1,0)</f>
        <v>0</v>
      </c>
      <c r="M1514" s="3">
        <f>IF(ISERROR(VLOOKUP(D1514,Data!$A$2:$D$223100,2,FALSE)),0,1)</f>
        <v>1</v>
      </c>
      <c r="N1514" s="3">
        <f t="shared" si="47"/>
        <v>0</v>
      </c>
      <c r="O1514" s="3" t="str">
        <f>IF(ISERROR(VLOOKUP(D1514,Data!$A$2:$C$223100,3,FALSE)),"INACTIVE",VLOOKUP(D1514,Data!$A$2:$C$223100,3,FALSE))</f>
        <v>90+</v>
      </c>
    </row>
    <row r="1515" spans="1:15" x14ac:dyDescent="0.25">
      <c r="A1515" t="s">
        <v>5449</v>
      </c>
      <c r="B1515" t="s">
        <v>5450</v>
      </c>
      <c r="C1515" t="s">
        <v>5451</v>
      </c>
      <c r="D1515" t="s">
        <v>5452</v>
      </c>
      <c r="E1515" t="s">
        <v>5461</v>
      </c>
      <c r="F1515" t="s">
        <v>5</v>
      </c>
      <c r="G1515" t="s">
        <v>5</v>
      </c>
      <c r="H1515" t="s">
        <v>5</v>
      </c>
      <c r="I1515" t="s">
        <v>5454</v>
      </c>
      <c r="J1515" t="s">
        <v>96</v>
      </c>
      <c r="K1515" s="3">
        <f t="shared" si="46"/>
        <v>0</v>
      </c>
      <c r="L1515" s="3">
        <f>IF(ISERROR(VLOOKUP(J1515,Lookups!$A$2:$A$16,1,FALSE)),1,0)</f>
        <v>0</v>
      </c>
      <c r="M1515" s="3">
        <f>IF(ISERROR(VLOOKUP(D1515,Data!$A$2:$D$223100,2,FALSE)),0,1)</f>
        <v>1</v>
      </c>
      <c r="N1515" s="3">
        <f t="shared" si="47"/>
        <v>0</v>
      </c>
      <c r="O1515" s="3" t="str">
        <f>IF(ISERROR(VLOOKUP(D1515,Data!$A$2:$C$223100,3,FALSE)),"INACTIVE",VLOOKUP(D1515,Data!$A$2:$C$223100,3,FALSE))</f>
        <v>90+</v>
      </c>
    </row>
    <row r="1516" spans="1:15" x14ac:dyDescent="0.25">
      <c r="A1516" t="s">
        <v>5449</v>
      </c>
      <c r="B1516" t="s">
        <v>5450</v>
      </c>
      <c r="C1516" t="s">
        <v>5451</v>
      </c>
      <c r="D1516" t="s">
        <v>5452</v>
      </c>
      <c r="E1516" t="s">
        <v>5462</v>
      </c>
      <c r="F1516" t="s">
        <v>5</v>
      </c>
      <c r="G1516" t="s">
        <v>5</v>
      </c>
      <c r="H1516" t="s">
        <v>5</v>
      </c>
      <c r="I1516" t="s">
        <v>5454</v>
      </c>
      <c r="J1516" t="s">
        <v>96</v>
      </c>
      <c r="K1516" s="3">
        <f t="shared" si="46"/>
        <v>0</v>
      </c>
      <c r="L1516" s="3">
        <f>IF(ISERROR(VLOOKUP(J1516,Lookups!$A$2:$A$16,1,FALSE)),1,0)</f>
        <v>0</v>
      </c>
      <c r="M1516" s="3">
        <f>IF(ISERROR(VLOOKUP(D1516,Data!$A$2:$D$223100,2,FALSE)),0,1)</f>
        <v>1</v>
      </c>
      <c r="N1516" s="3">
        <f t="shared" si="47"/>
        <v>0</v>
      </c>
      <c r="O1516" s="3" t="str">
        <f>IF(ISERROR(VLOOKUP(D1516,Data!$A$2:$C$223100,3,FALSE)),"INACTIVE",VLOOKUP(D1516,Data!$A$2:$C$223100,3,FALSE))</f>
        <v>90+</v>
      </c>
    </row>
    <row r="1517" spans="1:15" x14ac:dyDescent="0.25">
      <c r="A1517" t="s">
        <v>5449</v>
      </c>
      <c r="B1517" t="s">
        <v>5450</v>
      </c>
      <c r="C1517" t="s">
        <v>5451</v>
      </c>
      <c r="D1517" t="s">
        <v>5452</v>
      </c>
      <c r="E1517" t="s">
        <v>5463</v>
      </c>
      <c r="F1517" t="s">
        <v>5</v>
      </c>
      <c r="G1517" t="s">
        <v>5</v>
      </c>
      <c r="H1517" t="s">
        <v>5</v>
      </c>
      <c r="I1517" t="s">
        <v>5454</v>
      </c>
      <c r="J1517" t="s">
        <v>96</v>
      </c>
      <c r="K1517" s="3">
        <f t="shared" si="46"/>
        <v>0</v>
      </c>
      <c r="L1517" s="3">
        <f>IF(ISERROR(VLOOKUP(J1517,Lookups!$A$2:$A$16,1,FALSE)),1,0)</f>
        <v>0</v>
      </c>
      <c r="M1517" s="3">
        <f>IF(ISERROR(VLOOKUP(D1517,Data!$A$2:$D$223100,2,FALSE)),0,1)</f>
        <v>1</v>
      </c>
      <c r="N1517" s="3">
        <f t="shared" si="47"/>
        <v>0</v>
      </c>
      <c r="O1517" s="3" t="str">
        <f>IF(ISERROR(VLOOKUP(D1517,Data!$A$2:$C$223100,3,FALSE)),"INACTIVE",VLOOKUP(D1517,Data!$A$2:$C$223100,3,FALSE))</f>
        <v>90+</v>
      </c>
    </row>
    <row r="1518" spans="1:15" x14ac:dyDescent="0.25">
      <c r="A1518" t="s">
        <v>5449</v>
      </c>
      <c r="B1518" t="s">
        <v>5450</v>
      </c>
      <c r="C1518" t="s">
        <v>5451</v>
      </c>
      <c r="D1518" t="s">
        <v>5452</v>
      </c>
      <c r="E1518" t="s">
        <v>5464</v>
      </c>
      <c r="F1518" t="s">
        <v>5</v>
      </c>
      <c r="G1518" t="s">
        <v>5</v>
      </c>
      <c r="H1518" t="s">
        <v>5</v>
      </c>
      <c r="I1518" t="s">
        <v>5454</v>
      </c>
      <c r="J1518" t="s">
        <v>96</v>
      </c>
      <c r="K1518" s="3">
        <f t="shared" si="46"/>
        <v>0</v>
      </c>
      <c r="L1518" s="3">
        <f>IF(ISERROR(VLOOKUP(J1518,Lookups!$A$2:$A$16,1,FALSE)),1,0)</f>
        <v>0</v>
      </c>
      <c r="M1518" s="3">
        <f>IF(ISERROR(VLOOKUP(D1518,Data!$A$2:$D$223100,2,FALSE)),0,1)</f>
        <v>1</v>
      </c>
      <c r="N1518" s="3">
        <f t="shared" si="47"/>
        <v>0</v>
      </c>
      <c r="O1518" s="3" t="str">
        <f>IF(ISERROR(VLOOKUP(D1518,Data!$A$2:$C$223100,3,FALSE)),"INACTIVE",VLOOKUP(D1518,Data!$A$2:$C$223100,3,FALSE))</f>
        <v>90+</v>
      </c>
    </row>
    <row r="1519" spans="1:15" x14ac:dyDescent="0.25">
      <c r="A1519" t="s">
        <v>5670</v>
      </c>
      <c r="B1519" t="s">
        <v>5671</v>
      </c>
      <c r="C1519" t="s">
        <v>5672</v>
      </c>
      <c r="D1519" t="s">
        <v>5673</v>
      </c>
      <c r="E1519" t="s">
        <v>5674</v>
      </c>
      <c r="F1519" t="s">
        <v>5675</v>
      </c>
      <c r="G1519" t="s">
        <v>5</v>
      </c>
      <c r="H1519" t="s">
        <v>5</v>
      </c>
      <c r="I1519" t="s">
        <v>5454</v>
      </c>
      <c r="J1519" t="s">
        <v>90</v>
      </c>
      <c r="K1519" s="3">
        <f t="shared" si="46"/>
        <v>0</v>
      </c>
      <c r="L1519" s="3">
        <f>IF(ISERROR(VLOOKUP(J1519,Lookups!$A$2:$A$16,1,FALSE)),1,0)</f>
        <v>0</v>
      </c>
      <c r="M1519" s="3">
        <f>IF(ISERROR(VLOOKUP(D1519,Data!$A$2:$D$223100,2,FALSE)),0,1)</f>
        <v>1</v>
      </c>
      <c r="N1519" s="3">
        <f t="shared" si="47"/>
        <v>0</v>
      </c>
      <c r="O1519" s="3" t="str">
        <f>IF(ISERROR(VLOOKUP(D1519,Data!$A$2:$C$223100,3,FALSE)),"INACTIVE",VLOOKUP(D1519,Data!$A$2:$C$223100,3,FALSE))</f>
        <v>Current</v>
      </c>
    </row>
    <row r="1520" spans="1:15" x14ac:dyDescent="0.25">
      <c r="A1520" t="s">
        <v>5919</v>
      </c>
      <c r="B1520" t="s">
        <v>5920</v>
      </c>
      <c r="C1520" t="s">
        <v>5216</v>
      </c>
      <c r="D1520" t="s">
        <v>5217</v>
      </c>
      <c r="E1520" t="s">
        <v>5921</v>
      </c>
      <c r="F1520" t="s">
        <v>5</v>
      </c>
      <c r="G1520" t="s">
        <v>5</v>
      </c>
      <c r="H1520" t="s">
        <v>5</v>
      </c>
      <c r="I1520" t="s">
        <v>5454</v>
      </c>
      <c r="J1520" t="s">
        <v>7</v>
      </c>
      <c r="K1520" s="3">
        <f t="shared" si="46"/>
        <v>0</v>
      </c>
      <c r="L1520" s="3">
        <f>IF(ISERROR(VLOOKUP(J1520,Lookups!$A$2:$A$16,1,FALSE)),1,0)</f>
        <v>1</v>
      </c>
      <c r="M1520" s="3">
        <f>IF(ISERROR(VLOOKUP(D1520,Data!$A$2:$D$223100,2,FALSE)),0,1)</f>
        <v>1</v>
      </c>
      <c r="N1520" s="3">
        <f t="shared" si="47"/>
        <v>1</v>
      </c>
      <c r="O1520" s="3" t="str">
        <f>IF(ISERROR(VLOOKUP(D1520,Data!$A$2:$C$223100,3,FALSE)),"INACTIVE",VLOOKUP(D1520,Data!$A$2:$C$223100,3,FALSE))</f>
        <v>Current</v>
      </c>
    </row>
    <row r="1521" spans="1:15" x14ac:dyDescent="0.25">
      <c r="A1521" t="s">
        <v>5922</v>
      </c>
      <c r="B1521" t="s">
        <v>5923</v>
      </c>
      <c r="C1521" t="s">
        <v>5924</v>
      </c>
      <c r="D1521" t="s">
        <v>5925</v>
      </c>
      <c r="E1521" t="s">
        <v>5926</v>
      </c>
      <c r="F1521" t="s">
        <v>5</v>
      </c>
      <c r="G1521" t="s">
        <v>5</v>
      </c>
      <c r="H1521" t="s">
        <v>5</v>
      </c>
      <c r="I1521" t="s">
        <v>5454</v>
      </c>
      <c r="J1521" t="s">
        <v>7</v>
      </c>
      <c r="K1521" s="3">
        <f t="shared" si="46"/>
        <v>0</v>
      </c>
      <c r="L1521" s="3">
        <f>IF(ISERROR(VLOOKUP(J1521,Lookups!$A$2:$A$16,1,FALSE)),1,0)</f>
        <v>1</v>
      </c>
      <c r="M1521" s="3">
        <f>IF(ISERROR(VLOOKUP(D1521,Data!$A$2:$D$223100,2,FALSE)),0,1)</f>
        <v>1</v>
      </c>
      <c r="N1521" s="3">
        <f t="shared" si="47"/>
        <v>1</v>
      </c>
      <c r="O1521" s="3" t="str">
        <f>IF(ISERROR(VLOOKUP(D1521,Data!$A$2:$C$223100,3,FALSE)),"INACTIVE",VLOOKUP(D1521,Data!$A$2:$C$223100,3,FALSE))</f>
        <v>Current</v>
      </c>
    </row>
    <row r="1522" spans="1:15" x14ac:dyDescent="0.25">
      <c r="A1522" t="s">
        <v>6048</v>
      </c>
      <c r="B1522" t="s">
        <v>6049</v>
      </c>
      <c r="C1522" t="s">
        <v>6050</v>
      </c>
      <c r="D1522" t="s">
        <v>6051</v>
      </c>
      <c r="E1522" t="s">
        <v>6052</v>
      </c>
      <c r="F1522" t="s">
        <v>5</v>
      </c>
      <c r="G1522" t="s">
        <v>5</v>
      </c>
      <c r="H1522" t="s">
        <v>5</v>
      </c>
      <c r="I1522" t="s">
        <v>5454</v>
      </c>
      <c r="J1522" t="s">
        <v>7</v>
      </c>
      <c r="K1522" s="3">
        <f t="shared" si="46"/>
        <v>0</v>
      </c>
      <c r="L1522" s="3">
        <f>IF(ISERROR(VLOOKUP(J1522,Lookups!$A$2:$A$16,1,FALSE)),1,0)</f>
        <v>1</v>
      </c>
      <c r="M1522" s="3">
        <f>IF(ISERROR(VLOOKUP(D1522,Data!$A$2:$D$223100,2,FALSE)),0,1)</f>
        <v>1</v>
      </c>
      <c r="N1522" s="3">
        <f t="shared" si="47"/>
        <v>1</v>
      </c>
      <c r="O1522" s="3" t="str">
        <f>IF(ISERROR(VLOOKUP(D1522,Data!$A$2:$C$223100,3,FALSE)),"INACTIVE",VLOOKUP(D1522,Data!$A$2:$C$223100,3,FALSE))</f>
        <v>Demand Letter</v>
      </c>
    </row>
    <row r="1523" spans="1:15" x14ac:dyDescent="0.25">
      <c r="A1523" t="s">
        <v>5663</v>
      </c>
      <c r="B1523" t="s">
        <v>5664</v>
      </c>
      <c r="C1523" t="s">
        <v>5665</v>
      </c>
      <c r="D1523" t="s">
        <v>5666</v>
      </c>
      <c r="E1523" t="s">
        <v>5667</v>
      </c>
      <c r="F1523" t="s">
        <v>5</v>
      </c>
      <c r="G1523" t="s">
        <v>5</v>
      </c>
      <c r="H1523" t="s">
        <v>5</v>
      </c>
      <c r="I1523" t="s">
        <v>5668</v>
      </c>
      <c r="J1523" t="s">
        <v>96</v>
      </c>
      <c r="K1523" s="3">
        <f t="shared" si="46"/>
        <v>0</v>
      </c>
      <c r="L1523" s="3">
        <f>IF(ISERROR(VLOOKUP(J1523,Lookups!$A$2:$A$16,1,FALSE)),1,0)</f>
        <v>0</v>
      </c>
      <c r="M1523" s="3">
        <f>IF(ISERROR(VLOOKUP(D1523,Data!$A$2:$D$223100,2,FALSE)),0,1)</f>
        <v>1</v>
      </c>
      <c r="N1523" s="3">
        <f t="shared" si="47"/>
        <v>0</v>
      </c>
      <c r="O1523" s="3" t="str">
        <f>IF(ISERROR(VLOOKUP(D1523,Data!$A$2:$C$223100,3,FALSE)),"INACTIVE",VLOOKUP(D1523,Data!$A$2:$C$223100,3,FALSE))</f>
        <v>FBA</v>
      </c>
    </row>
    <row r="1524" spans="1:15" x14ac:dyDescent="0.25">
      <c r="A1524" t="s">
        <v>5663</v>
      </c>
      <c r="B1524" t="s">
        <v>5664</v>
      </c>
      <c r="C1524" t="s">
        <v>5665</v>
      </c>
      <c r="D1524" t="s">
        <v>5666</v>
      </c>
      <c r="E1524" t="s">
        <v>5669</v>
      </c>
      <c r="F1524" t="s">
        <v>5</v>
      </c>
      <c r="G1524" t="s">
        <v>5</v>
      </c>
      <c r="H1524" t="s">
        <v>5</v>
      </c>
      <c r="I1524" t="s">
        <v>5668</v>
      </c>
      <c r="J1524" t="s">
        <v>96</v>
      </c>
      <c r="K1524" s="3">
        <f t="shared" si="46"/>
        <v>0</v>
      </c>
      <c r="L1524" s="3">
        <f>IF(ISERROR(VLOOKUP(J1524,Lookups!$A$2:$A$16,1,FALSE)),1,0)</f>
        <v>0</v>
      </c>
      <c r="M1524" s="3">
        <f>IF(ISERROR(VLOOKUP(D1524,Data!$A$2:$D$223100,2,FALSE)),0,1)</f>
        <v>1</v>
      </c>
      <c r="N1524" s="3">
        <f t="shared" si="47"/>
        <v>0</v>
      </c>
      <c r="O1524" s="3" t="str">
        <f>IF(ISERROR(VLOOKUP(D1524,Data!$A$2:$C$223100,3,FALSE)),"INACTIVE",VLOOKUP(D1524,Data!$A$2:$C$223100,3,FALSE))</f>
        <v>FBA</v>
      </c>
    </row>
    <row r="1525" spans="1:15" x14ac:dyDescent="0.25">
      <c r="A1525" t="s">
        <v>5686</v>
      </c>
      <c r="B1525" t="s">
        <v>5687</v>
      </c>
      <c r="C1525" t="s">
        <v>5688</v>
      </c>
      <c r="D1525" t="s">
        <v>5689</v>
      </c>
      <c r="E1525" t="s">
        <v>5690</v>
      </c>
      <c r="F1525" t="s">
        <v>5</v>
      </c>
      <c r="G1525" t="s">
        <v>5</v>
      </c>
      <c r="H1525" t="s">
        <v>5</v>
      </c>
      <c r="I1525" t="s">
        <v>5668</v>
      </c>
      <c r="J1525" t="s">
        <v>90</v>
      </c>
      <c r="K1525" s="3">
        <f t="shared" si="46"/>
        <v>0</v>
      </c>
      <c r="L1525" s="3">
        <f>IF(ISERROR(VLOOKUP(J1525,Lookups!$A$2:$A$16,1,FALSE)),1,0)</f>
        <v>0</v>
      </c>
      <c r="M1525" s="3">
        <f>IF(ISERROR(VLOOKUP(D1525,Data!$A$2:$D$223100,2,FALSE)),0,1)</f>
        <v>1</v>
      </c>
      <c r="N1525" s="3">
        <f t="shared" si="47"/>
        <v>0</v>
      </c>
      <c r="O1525" s="3" t="str">
        <f>IF(ISERROR(VLOOKUP(D1525,Data!$A$2:$C$223100,3,FALSE)),"INACTIVE",VLOOKUP(D1525,Data!$A$2:$C$223100,3,FALSE))</f>
        <v>FC</v>
      </c>
    </row>
    <row r="1526" spans="1:15" x14ac:dyDescent="0.25">
      <c r="A1526" t="s">
        <v>5686</v>
      </c>
      <c r="B1526" t="s">
        <v>5687</v>
      </c>
      <c r="C1526" t="s">
        <v>5691</v>
      </c>
      <c r="D1526" t="s">
        <v>5692</v>
      </c>
      <c r="E1526" t="s">
        <v>5693</v>
      </c>
      <c r="F1526" t="s">
        <v>5</v>
      </c>
      <c r="G1526" t="s">
        <v>5</v>
      </c>
      <c r="H1526" t="s">
        <v>5</v>
      </c>
      <c r="I1526" t="s">
        <v>5668</v>
      </c>
      <c r="J1526" t="s">
        <v>90</v>
      </c>
      <c r="K1526" s="3">
        <f t="shared" si="46"/>
        <v>0</v>
      </c>
      <c r="L1526" s="3">
        <f>IF(ISERROR(VLOOKUP(J1526,Lookups!$A$2:$A$16,1,FALSE)),1,0)</f>
        <v>0</v>
      </c>
      <c r="M1526" s="3">
        <f>IF(ISERROR(VLOOKUP(D1526,Data!$A$2:$D$223100,2,FALSE)),0,1)</f>
        <v>1</v>
      </c>
      <c r="N1526" s="3">
        <f t="shared" si="47"/>
        <v>0</v>
      </c>
      <c r="O1526" s="3" t="str">
        <f>IF(ISERROR(VLOOKUP(D1526,Data!$A$2:$C$223100,3,FALSE)),"INACTIVE",VLOOKUP(D1526,Data!$A$2:$C$223100,3,FALSE))</f>
        <v>90+</v>
      </c>
    </row>
    <row r="1527" spans="1:15" x14ac:dyDescent="0.25">
      <c r="A1527" t="s">
        <v>5686</v>
      </c>
      <c r="B1527" t="s">
        <v>5687</v>
      </c>
      <c r="C1527" t="s">
        <v>5694</v>
      </c>
      <c r="D1527" t="s">
        <v>5695</v>
      </c>
      <c r="E1527" t="s">
        <v>5696</v>
      </c>
      <c r="F1527" t="s">
        <v>5</v>
      </c>
      <c r="G1527" t="s">
        <v>5</v>
      </c>
      <c r="H1527" t="s">
        <v>5</v>
      </c>
      <c r="I1527" t="s">
        <v>5668</v>
      </c>
      <c r="J1527" t="s">
        <v>90</v>
      </c>
      <c r="K1527" s="3">
        <f t="shared" si="46"/>
        <v>0</v>
      </c>
      <c r="L1527" s="3">
        <f>IF(ISERROR(VLOOKUP(J1527,Lookups!$A$2:$A$16,1,FALSE)),1,0)</f>
        <v>0</v>
      </c>
      <c r="M1527" s="3">
        <f>IF(ISERROR(VLOOKUP(D1527,Data!$A$2:$D$223100,2,FALSE)),0,1)</f>
        <v>1</v>
      </c>
      <c r="N1527" s="3">
        <f t="shared" si="47"/>
        <v>0</v>
      </c>
      <c r="O1527" s="3" t="str">
        <f>IF(ISERROR(VLOOKUP(D1527,Data!$A$2:$C$223100,3,FALSE)),"INACTIVE",VLOOKUP(D1527,Data!$A$2:$C$223100,3,FALSE))</f>
        <v>30+</v>
      </c>
    </row>
    <row r="1528" spans="1:15" x14ac:dyDescent="0.25">
      <c r="A1528" t="s">
        <v>5686</v>
      </c>
      <c r="B1528" t="s">
        <v>5687</v>
      </c>
      <c r="C1528" t="s">
        <v>5697</v>
      </c>
      <c r="D1528" t="s">
        <v>5698</v>
      </c>
      <c r="E1528" t="s">
        <v>5699</v>
      </c>
      <c r="F1528" t="s">
        <v>5</v>
      </c>
      <c r="G1528" t="s">
        <v>5</v>
      </c>
      <c r="H1528" t="s">
        <v>5</v>
      </c>
      <c r="I1528" t="s">
        <v>5668</v>
      </c>
      <c r="J1528" t="s">
        <v>90</v>
      </c>
      <c r="K1528" s="3">
        <f t="shared" si="46"/>
        <v>0</v>
      </c>
      <c r="L1528" s="3">
        <f>IF(ISERROR(VLOOKUP(J1528,Lookups!$A$2:$A$16,1,FALSE)),1,0)</f>
        <v>0</v>
      </c>
      <c r="M1528" s="3">
        <f>IF(ISERROR(VLOOKUP(D1528,Data!$A$2:$D$223100,2,FALSE)),0,1)</f>
        <v>1</v>
      </c>
      <c r="N1528" s="3">
        <f t="shared" si="47"/>
        <v>0</v>
      </c>
      <c r="O1528" s="3" t="str">
        <f>IF(ISERROR(VLOOKUP(D1528,Data!$A$2:$C$223100,3,FALSE)),"INACTIVE",VLOOKUP(D1528,Data!$A$2:$C$223100,3,FALSE))</f>
        <v>60+</v>
      </c>
    </row>
    <row r="1529" spans="1:15" x14ac:dyDescent="0.25">
      <c r="A1529" t="s">
        <v>5686</v>
      </c>
      <c r="B1529" t="s">
        <v>5687</v>
      </c>
      <c r="C1529" t="s">
        <v>5700</v>
      </c>
      <c r="D1529" t="s">
        <v>5701</v>
      </c>
      <c r="E1529" t="s">
        <v>5702</v>
      </c>
      <c r="F1529" t="s">
        <v>5</v>
      </c>
      <c r="G1529" t="s">
        <v>5</v>
      </c>
      <c r="H1529" t="s">
        <v>5</v>
      </c>
      <c r="I1529" t="s">
        <v>5668</v>
      </c>
      <c r="J1529" t="s">
        <v>90</v>
      </c>
      <c r="K1529" s="3">
        <f t="shared" si="46"/>
        <v>0</v>
      </c>
      <c r="L1529" s="3">
        <f>IF(ISERROR(VLOOKUP(J1529,Lookups!$A$2:$A$16,1,FALSE)),1,0)</f>
        <v>0</v>
      </c>
      <c r="M1529" s="3">
        <f>IF(ISERROR(VLOOKUP(D1529,Data!$A$2:$D$223100,2,FALSE)),0,1)</f>
        <v>1</v>
      </c>
      <c r="N1529" s="3">
        <f t="shared" si="47"/>
        <v>0</v>
      </c>
      <c r="O1529" s="3" t="str">
        <f>IF(ISERROR(VLOOKUP(D1529,Data!$A$2:$C$223100,3,FALSE)),"INACTIVE",VLOOKUP(D1529,Data!$A$2:$C$223100,3,FALSE))</f>
        <v>Current</v>
      </c>
    </row>
    <row r="1530" spans="1:15" x14ac:dyDescent="0.25">
      <c r="A1530" t="s">
        <v>5686</v>
      </c>
      <c r="B1530" t="s">
        <v>5687</v>
      </c>
      <c r="C1530" t="s">
        <v>5703</v>
      </c>
      <c r="D1530" t="s">
        <v>5704</v>
      </c>
      <c r="E1530" t="s">
        <v>5705</v>
      </c>
      <c r="F1530" t="s">
        <v>5</v>
      </c>
      <c r="G1530" t="s">
        <v>5</v>
      </c>
      <c r="H1530" t="s">
        <v>5</v>
      </c>
      <c r="I1530" t="s">
        <v>5668</v>
      </c>
      <c r="J1530" t="s">
        <v>96</v>
      </c>
      <c r="K1530" s="3">
        <f t="shared" si="46"/>
        <v>0</v>
      </c>
      <c r="L1530" s="3">
        <f>IF(ISERROR(VLOOKUP(J1530,Lookups!$A$2:$A$16,1,FALSE)),1,0)</f>
        <v>0</v>
      </c>
      <c r="M1530" s="3">
        <f>IF(ISERROR(VLOOKUP(D1530,Data!$A$2:$D$223100,2,FALSE)),0,1)</f>
        <v>0</v>
      </c>
      <c r="N1530" s="3">
        <f t="shared" si="47"/>
        <v>0</v>
      </c>
      <c r="O1530" s="3" t="str">
        <f>IF(ISERROR(VLOOKUP(D1530,Data!$A$2:$C$223100,3,FALSE)),"INACTIVE",VLOOKUP(D1530,Data!$A$2:$C$223100,3,FALSE))</f>
        <v>INACTIVE</v>
      </c>
    </row>
    <row r="1531" spans="1:15" x14ac:dyDescent="0.25">
      <c r="A1531" t="s">
        <v>5686</v>
      </c>
      <c r="B1531" t="s">
        <v>5687</v>
      </c>
      <c r="C1531" t="s">
        <v>5703</v>
      </c>
      <c r="D1531" t="s">
        <v>5704</v>
      </c>
      <c r="E1531" t="s">
        <v>5706</v>
      </c>
      <c r="F1531" t="s">
        <v>5</v>
      </c>
      <c r="G1531" t="s">
        <v>5</v>
      </c>
      <c r="H1531" t="s">
        <v>5</v>
      </c>
      <c r="I1531" t="s">
        <v>5668</v>
      </c>
      <c r="J1531" t="s">
        <v>96</v>
      </c>
      <c r="K1531" s="3">
        <f t="shared" si="46"/>
        <v>0</v>
      </c>
      <c r="L1531" s="3">
        <f>IF(ISERROR(VLOOKUP(J1531,Lookups!$A$2:$A$16,1,FALSE)),1,0)</f>
        <v>0</v>
      </c>
      <c r="M1531" s="3">
        <f>IF(ISERROR(VLOOKUP(D1531,Data!$A$2:$D$223100,2,FALSE)),0,1)</f>
        <v>0</v>
      </c>
      <c r="N1531" s="3">
        <f t="shared" si="47"/>
        <v>0</v>
      </c>
      <c r="O1531" s="3" t="str">
        <f>IF(ISERROR(VLOOKUP(D1531,Data!$A$2:$C$223100,3,FALSE)),"INACTIVE",VLOOKUP(D1531,Data!$A$2:$C$223100,3,FALSE))</f>
        <v>INACTIVE</v>
      </c>
    </row>
    <row r="1532" spans="1:15" x14ac:dyDescent="0.25">
      <c r="A1532" t="s">
        <v>5686</v>
      </c>
      <c r="B1532" t="s">
        <v>5687</v>
      </c>
      <c r="C1532" t="s">
        <v>5707</v>
      </c>
      <c r="D1532" t="s">
        <v>5708</v>
      </c>
      <c r="E1532" t="s">
        <v>5709</v>
      </c>
      <c r="F1532" t="s">
        <v>5</v>
      </c>
      <c r="G1532" t="s">
        <v>5</v>
      </c>
      <c r="H1532" t="s">
        <v>5</v>
      </c>
      <c r="I1532" t="s">
        <v>5668</v>
      </c>
      <c r="J1532" t="s">
        <v>90</v>
      </c>
      <c r="K1532" s="3">
        <f t="shared" si="46"/>
        <v>0</v>
      </c>
      <c r="L1532" s="3">
        <f>IF(ISERROR(VLOOKUP(J1532,Lookups!$A$2:$A$16,1,FALSE)),1,0)</f>
        <v>0</v>
      </c>
      <c r="M1532" s="3">
        <f>IF(ISERROR(VLOOKUP(D1532,Data!$A$2:$D$223100,2,FALSE)),0,1)</f>
        <v>1</v>
      </c>
      <c r="N1532" s="3">
        <f t="shared" si="47"/>
        <v>0</v>
      </c>
      <c r="O1532" s="3" t="str">
        <f>IF(ISERROR(VLOOKUP(D1532,Data!$A$2:$C$223100,3,FALSE)),"INACTIVE",VLOOKUP(D1532,Data!$A$2:$C$223100,3,FALSE))</f>
        <v>Current</v>
      </c>
    </row>
    <row r="1533" spans="1:15" x14ac:dyDescent="0.25">
      <c r="A1533" t="s">
        <v>5686</v>
      </c>
      <c r="B1533" t="s">
        <v>5687</v>
      </c>
      <c r="C1533" t="s">
        <v>5710</v>
      </c>
      <c r="D1533" t="s">
        <v>5711</v>
      </c>
      <c r="E1533" t="s">
        <v>5712</v>
      </c>
      <c r="F1533" t="s">
        <v>5</v>
      </c>
      <c r="G1533" t="s">
        <v>5</v>
      </c>
      <c r="H1533" t="s">
        <v>5</v>
      </c>
      <c r="I1533" t="s">
        <v>5668</v>
      </c>
      <c r="J1533" t="s">
        <v>90</v>
      </c>
      <c r="K1533" s="3">
        <f t="shared" si="46"/>
        <v>0</v>
      </c>
      <c r="L1533" s="3">
        <f>IF(ISERROR(VLOOKUP(J1533,Lookups!$A$2:$A$16,1,FALSE)),1,0)</f>
        <v>0</v>
      </c>
      <c r="M1533" s="3">
        <f>IF(ISERROR(VLOOKUP(D1533,Data!$A$2:$D$223100,2,FALSE)),0,1)</f>
        <v>1</v>
      </c>
      <c r="N1533" s="3">
        <f t="shared" si="47"/>
        <v>0</v>
      </c>
      <c r="O1533" s="3" t="str">
        <f>IF(ISERROR(VLOOKUP(D1533,Data!$A$2:$C$223100,3,FALSE)),"INACTIVE",VLOOKUP(D1533,Data!$A$2:$C$223100,3,FALSE))</f>
        <v>60+</v>
      </c>
    </row>
    <row r="1534" spans="1:15" x14ac:dyDescent="0.25">
      <c r="A1534" t="s">
        <v>5734</v>
      </c>
      <c r="B1534" t="s">
        <v>5735</v>
      </c>
      <c r="C1534" t="s">
        <v>5736</v>
      </c>
      <c r="D1534" t="s">
        <v>5737</v>
      </c>
      <c r="E1534" t="s">
        <v>5</v>
      </c>
      <c r="F1534" t="s">
        <v>5</v>
      </c>
      <c r="G1534" t="s">
        <v>5</v>
      </c>
      <c r="H1534" t="s">
        <v>5</v>
      </c>
      <c r="I1534" t="s">
        <v>5668</v>
      </c>
      <c r="J1534" t="s">
        <v>96</v>
      </c>
      <c r="K1534" s="3">
        <f t="shared" si="46"/>
        <v>1</v>
      </c>
      <c r="L1534" s="3">
        <f>IF(ISERROR(VLOOKUP(J1534,Lookups!$A$2:$A$16,1,FALSE)),1,0)</f>
        <v>0</v>
      </c>
      <c r="M1534" s="3">
        <f>IF(ISERROR(VLOOKUP(D1534,Data!$A$2:$D$223100,2,FALSE)),0,1)</f>
        <v>0</v>
      </c>
      <c r="N1534" s="3">
        <f t="shared" si="47"/>
        <v>0</v>
      </c>
      <c r="O1534" s="3" t="str">
        <f>IF(ISERROR(VLOOKUP(D1534,Data!$A$2:$C$223100,3,FALSE)),"INACTIVE",VLOOKUP(D1534,Data!$A$2:$C$223100,3,FALSE))</f>
        <v>INACTIVE</v>
      </c>
    </row>
    <row r="1535" spans="1:15" x14ac:dyDescent="0.25">
      <c r="A1535" t="s">
        <v>5738</v>
      </c>
      <c r="B1535" t="s">
        <v>5739</v>
      </c>
      <c r="C1535" t="s">
        <v>5740</v>
      </c>
      <c r="D1535" t="s">
        <v>5741</v>
      </c>
      <c r="E1535" t="s">
        <v>5</v>
      </c>
      <c r="F1535" t="s">
        <v>5</v>
      </c>
      <c r="G1535" t="s">
        <v>5</v>
      </c>
      <c r="H1535" t="s">
        <v>5</v>
      </c>
      <c r="I1535" t="s">
        <v>5668</v>
      </c>
      <c r="J1535" t="s">
        <v>96</v>
      </c>
      <c r="K1535" s="3">
        <f t="shared" si="46"/>
        <v>1</v>
      </c>
      <c r="L1535" s="3">
        <f>IF(ISERROR(VLOOKUP(J1535,Lookups!$A$2:$A$16,1,FALSE)),1,0)</f>
        <v>0</v>
      </c>
      <c r="M1535" s="3">
        <f>IF(ISERROR(VLOOKUP(D1535,Data!$A$2:$D$223100,2,FALSE)),0,1)</f>
        <v>1</v>
      </c>
      <c r="N1535" s="3">
        <f t="shared" si="47"/>
        <v>1</v>
      </c>
      <c r="O1535" s="3" t="str">
        <f>IF(ISERROR(VLOOKUP(D1535,Data!$A$2:$C$223100,3,FALSE)),"INACTIVE",VLOOKUP(D1535,Data!$A$2:$C$223100,3,FALSE))</f>
        <v>Current</v>
      </c>
    </row>
    <row r="1536" spans="1:15" x14ac:dyDescent="0.25">
      <c r="A1536" t="s">
        <v>5738</v>
      </c>
      <c r="B1536" t="s">
        <v>5739</v>
      </c>
      <c r="C1536" t="s">
        <v>5736</v>
      </c>
      <c r="D1536" t="s">
        <v>5737</v>
      </c>
      <c r="E1536" t="s">
        <v>5</v>
      </c>
      <c r="F1536" t="s">
        <v>5</v>
      </c>
      <c r="G1536" t="s">
        <v>5</v>
      </c>
      <c r="H1536" t="s">
        <v>5</v>
      </c>
      <c r="I1536" t="s">
        <v>5668</v>
      </c>
      <c r="J1536" t="s">
        <v>96</v>
      </c>
      <c r="K1536" s="3">
        <f t="shared" si="46"/>
        <v>1</v>
      </c>
      <c r="L1536" s="3">
        <f>IF(ISERROR(VLOOKUP(J1536,Lookups!$A$2:$A$16,1,FALSE)),1,0)</f>
        <v>0</v>
      </c>
      <c r="M1536" s="3">
        <f>IF(ISERROR(VLOOKUP(D1536,Data!$A$2:$D$223100,2,FALSE)),0,1)</f>
        <v>0</v>
      </c>
      <c r="N1536" s="3">
        <f t="shared" si="47"/>
        <v>0</v>
      </c>
      <c r="O1536" s="3" t="str">
        <f>IF(ISERROR(VLOOKUP(D1536,Data!$A$2:$C$223100,3,FALSE)),"INACTIVE",VLOOKUP(D1536,Data!$A$2:$C$223100,3,FALSE))</f>
        <v>INACTIVE</v>
      </c>
    </row>
    <row r="1537" spans="1:15" x14ac:dyDescent="0.25">
      <c r="A1537" t="s">
        <v>5738</v>
      </c>
      <c r="B1537" t="s">
        <v>5739</v>
      </c>
      <c r="C1537" t="s">
        <v>5742</v>
      </c>
      <c r="D1537" t="s">
        <v>5743</v>
      </c>
      <c r="E1537" t="s">
        <v>5</v>
      </c>
      <c r="F1537" t="s">
        <v>5</v>
      </c>
      <c r="G1537" t="s">
        <v>5</v>
      </c>
      <c r="H1537" t="s">
        <v>5</v>
      </c>
      <c r="I1537" t="s">
        <v>5668</v>
      </c>
      <c r="J1537" t="s">
        <v>96</v>
      </c>
      <c r="K1537" s="3">
        <f t="shared" si="46"/>
        <v>1</v>
      </c>
      <c r="L1537" s="3">
        <f>IF(ISERROR(VLOOKUP(J1537,Lookups!$A$2:$A$16,1,FALSE)),1,0)</f>
        <v>0</v>
      </c>
      <c r="M1537" s="3">
        <f>IF(ISERROR(VLOOKUP(D1537,Data!$A$2:$D$223100,2,FALSE)),0,1)</f>
        <v>1</v>
      </c>
      <c r="N1537" s="3">
        <f t="shared" si="47"/>
        <v>1</v>
      </c>
      <c r="O1537" s="3" t="str">
        <f>IF(ISERROR(VLOOKUP(D1537,Data!$A$2:$C$223100,3,FALSE)),"INACTIVE",VLOOKUP(D1537,Data!$A$2:$C$223100,3,FALSE))</f>
        <v>Current</v>
      </c>
    </row>
    <row r="1538" spans="1:15" x14ac:dyDescent="0.25">
      <c r="A1538" t="s">
        <v>5738</v>
      </c>
      <c r="B1538" t="s">
        <v>5739</v>
      </c>
      <c r="C1538" t="s">
        <v>5744</v>
      </c>
      <c r="D1538" t="s">
        <v>5745</v>
      </c>
      <c r="E1538" t="s">
        <v>5</v>
      </c>
      <c r="F1538" t="s">
        <v>5</v>
      </c>
      <c r="G1538" t="s">
        <v>5</v>
      </c>
      <c r="H1538" t="s">
        <v>5</v>
      </c>
      <c r="I1538" t="s">
        <v>5668</v>
      </c>
      <c r="J1538" t="s">
        <v>96</v>
      </c>
      <c r="K1538" s="3">
        <f t="shared" si="46"/>
        <v>1</v>
      </c>
      <c r="L1538" s="3">
        <f>IF(ISERROR(VLOOKUP(J1538,Lookups!$A$2:$A$16,1,FALSE)),1,0)</f>
        <v>0</v>
      </c>
      <c r="M1538" s="3">
        <f>IF(ISERROR(VLOOKUP(D1538,Data!$A$2:$D$223100,2,FALSE)),0,1)</f>
        <v>1</v>
      </c>
      <c r="N1538" s="3">
        <f t="shared" si="47"/>
        <v>1</v>
      </c>
      <c r="O1538" s="3" t="str">
        <f>IF(ISERROR(VLOOKUP(D1538,Data!$A$2:$C$223100,3,FALSE)),"INACTIVE",VLOOKUP(D1538,Data!$A$2:$C$223100,3,FALSE))</f>
        <v>120+</v>
      </c>
    </row>
    <row r="1539" spans="1:15" x14ac:dyDescent="0.25">
      <c r="A1539" t="s">
        <v>5738</v>
      </c>
      <c r="B1539" t="s">
        <v>5739</v>
      </c>
      <c r="C1539" t="s">
        <v>5746</v>
      </c>
      <c r="D1539" t="s">
        <v>5747</v>
      </c>
      <c r="E1539" t="s">
        <v>5</v>
      </c>
      <c r="F1539" t="s">
        <v>5</v>
      </c>
      <c r="G1539" t="s">
        <v>5</v>
      </c>
      <c r="H1539" t="s">
        <v>5</v>
      </c>
      <c r="I1539" t="s">
        <v>5668</v>
      </c>
      <c r="J1539" t="s">
        <v>96</v>
      </c>
      <c r="K1539" s="3">
        <f t="shared" ref="K1539:K1602" si="48">IF(ISERROR(FIND("LIEN",A1539,1)),0,1)</f>
        <v>1</v>
      </c>
      <c r="L1539" s="3">
        <f>IF(ISERROR(VLOOKUP(J1539,Lookups!$A$2:$A$16,1,FALSE)),1,0)</f>
        <v>0</v>
      </c>
      <c r="M1539" s="3">
        <f>IF(ISERROR(VLOOKUP(D1539,Data!$A$2:$D$223100,2,FALSE)),0,1)</f>
        <v>1</v>
      </c>
      <c r="N1539" s="3">
        <f t="shared" ref="N1539:N1602" si="49">IF(M1539=0,0,IF(SUM(K1539:L1539)&gt;0,1,0))</f>
        <v>1</v>
      </c>
      <c r="O1539" s="3" t="str">
        <f>IF(ISERROR(VLOOKUP(D1539,Data!$A$2:$C$223100,3,FALSE)),"INACTIVE",VLOOKUP(D1539,Data!$A$2:$C$223100,3,FALSE))</f>
        <v>FC</v>
      </c>
    </row>
    <row r="1540" spans="1:15" x14ac:dyDescent="0.25">
      <c r="A1540" t="s">
        <v>5748</v>
      </c>
      <c r="B1540" t="s">
        <v>5749</v>
      </c>
      <c r="C1540" t="s">
        <v>5750</v>
      </c>
      <c r="D1540" t="s">
        <v>5751</v>
      </c>
      <c r="E1540" t="s">
        <v>5</v>
      </c>
      <c r="F1540" t="s">
        <v>5</v>
      </c>
      <c r="G1540" t="s">
        <v>5</v>
      </c>
      <c r="H1540" t="s">
        <v>5</v>
      </c>
      <c r="I1540" t="s">
        <v>5668</v>
      </c>
      <c r="J1540" t="s">
        <v>96</v>
      </c>
      <c r="K1540" s="3">
        <f t="shared" si="48"/>
        <v>1</v>
      </c>
      <c r="L1540" s="3">
        <f>IF(ISERROR(VLOOKUP(J1540,Lookups!$A$2:$A$16,1,FALSE)),1,0)</f>
        <v>0</v>
      </c>
      <c r="M1540" s="3">
        <f>IF(ISERROR(VLOOKUP(D1540,Data!$A$2:$D$223100,2,FALSE)),0,1)</f>
        <v>1</v>
      </c>
      <c r="N1540" s="3">
        <f t="shared" si="49"/>
        <v>1</v>
      </c>
      <c r="O1540" s="3" t="str">
        <f>IF(ISERROR(VLOOKUP(D1540,Data!$A$2:$C$223100,3,FALSE)),"INACTIVE",VLOOKUP(D1540,Data!$A$2:$C$223100,3,FALSE))</f>
        <v>FC</v>
      </c>
    </row>
    <row r="1541" spans="1:15" x14ac:dyDescent="0.25">
      <c r="A1541" t="s">
        <v>5748</v>
      </c>
      <c r="B1541" t="s">
        <v>5749</v>
      </c>
      <c r="C1541" t="s">
        <v>5752</v>
      </c>
      <c r="D1541" t="s">
        <v>5753</v>
      </c>
      <c r="E1541" t="s">
        <v>5</v>
      </c>
      <c r="F1541" t="s">
        <v>5</v>
      </c>
      <c r="G1541" t="s">
        <v>5</v>
      </c>
      <c r="H1541" t="s">
        <v>5</v>
      </c>
      <c r="I1541" t="s">
        <v>5668</v>
      </c>
      <c r="J1541" t="s">
        <v>96</v>
      </c>
      <c r="K1541" s="3">
        <f t="shared" si="48"/>
        <v>1</v>
      </c>
      <c r="L1541" s="3">
        <f>IF(ISERROR(VLOOKUP(J1541,Lookups!$A$2:$A$16,1,FALSE)),1,0)</f>
        <v>0</v>
      </c>
      <c r="M1541" s="3">
        <f>IF(ISERROR(VLOOKUP(D1541,Data!$A$2:$D$223100,2,FALSE)),0,1)</f>
        <v>1</v>
      </c>
      <c r="N1541" s="3">
        <f t="shared" si="49"/>
        <v>1</v>
      </c>
      <c r="O1541" s="3" t="str">
        <f>IF(ISERROR(VLOOKUP(D1541,Data!$A$2:$C$223100,3,FALSE)),"INACTIVE",VLOOKUP(D1541,Data!$A$2:$C$223100,3,FALSE))</f>
        <v>FC</v>
      </c>
    </row>
    <row r="1542" spans="1:15" x14ac:dyDescent="0.25">
      <c r="A1542" t="s">
        <v>5748</v>
      </c>
      <c r="B1542" t="s">
        <v>5749</v>
      </c>
      <c r="C1542" t="s">
        <v>5754</v>
      </c>
      <c r="D1542" t="s">
        <v>5755</v>
      </c>
      <c r="E1542" t="s">
        <v>5</v>
      </c>
      <c r="F1542" t="s">
        <v>5</v>
      </c>
      <c r="G1542" t="s">
        <v>5</v>
      </c>
      <c r="H1542" t="s">
        <v>5</v>
      </c>
      <c r="I1542" t="s">
        <v>5668</v>
      </c>
      <c r="J1542" t="s">
        <v>96</v>
      </c>
      <c r="K1542" s="3">
        <f t="shared" si="48"/>
        <v>1</v>
      </c>
      <c r="L1542" s="3">
        <f>IF(ISERROR(VLOOKUP(J1542,Lookups!$A$2:$A$16,1,FALSE)),1,0)</f>
        <v>0</v>
      </c>
      <c r="M1542" s="3">
        <f>IF(ISERROR(VLOOKUP(D1542,Data!$A$2:$D$223100,2,FALSE)),0,1)</f>
        <v>1</v>
      </c>
      <c r="N1542" s="3">
        <f t="shared" si="49"/>
        <v>1</v>
      </c>
      <c r="O1542" s="3" t="str">
        <f>IF(ISERROR(VLOOKUP(D1542,Data!$A$2:$C$223100,3,FALSE)),"INACTIVE",VLOOKUP(D1542,Data!$A$2:$C$223100,3,FALSE))</f>
        <v>FC</v>
      </c>
    </row>
    <row r="1543" spans="1:15" x14ac:dyDescent="0.25">
      <c r="A1543" t="s">
        <v>5748</v>
      </c>
      <c r="B1543" t="s">
        <v>5749</v>
      </c>
      <c r="C1543" t="s">
        <v>5756</v>
      </c>
      <c r="D1543" t="s">
        <v>5757</v>
      </c>
      <c r="E1543" t="s">
        <v>5</v>
      </c>
      <c r="F1543" t="s">
        <v>5</v>
      </c>
      <c r="G1543" t="s">
        <v>5</v>
      </c>
      <c r="H1543" t="s">
        <v>5</v>
      </c>
      <c r="I1543" t="s">
        <v>5668</v>
      </c>
      <c r="J1543" t="s">
        <v>96</v>
      </c>
      <c r="K1543" s="3">
        <f t="shared" si="48"/>
        <v>1</v>
      </c>
      <c r="L1543" s="3">
        <f>IF(ISERROR(VLOOKUP(J1543,Lookups!$A$2:$A$16,1,FALSE)),1,0)</f>
        <v>0</v>
      </c>
      <c r="M1543" s="3">
        <f>IF(ISERROR(VLOOKUP(D1543,Data!$A$2:$D$223100,2,FALSE)),0,1)</f>
        <v>1</v>
      </c>
      <c r="N1543" s="3">
        <f t="shared" si="49"/>
        <v>1</v>
      </c>
      <c r="O1543" s="3" t="str">
        <f>IF(ISERROR(VLOOKUP(D1543,Data!$A$2:$C$223100,3,FALSE)),"INACTIVE",VLOOKUP(D1543,Data!$A$2:$C$223100,3,FALSE))</f>
        <v>FC</v>
      </c>
    </row>
    <row r="1544" spans="1:15" x14ac:dyDescent="0.25">
      <c r="A1544" t="s">
        <v>5758</v>
      </c>
      <c r="B1544" t="s">
        <v>5759</v>
      </c>
      <c r="C1544" t="s">
        <v>5750</v>
      </c>
      <c r="D1544" t="s">
        <v>5751</v>
      </c>
      <c r="E1544" t="s">
        <v>5</v>
      </c>
      <c r="F1544" t="s">
        <v>5</v>
      </c>
      <c r="G1544" t="s">
        <v>5</v>
      </c>
      <c r="H1544" t="s">
        <v>5</v>
      </c>
      <c r="I1544" t="s">
        <v>5668</v>
      </c>
      <c r="J1544" t="s">
        <v>96</v>
      </c>
      <c r="K1544" s="3">
        <f t="shared" si="48"/>
        <v>1</v>
      </c>
      <c r="L1544" s="3">
        <f>IF(ISERROR(VLOOKUP(J1544,Lookups!$A$2:$A$16,1,FALSE)),1,0)</f>
        <v>0</v>
      </c>
      <c r="M1544" s="3">
        <f>IF(ISERROR(VLOOKUP(D1544,Data!$A$2:$D$223100,2,FALSE)),0,1)</f>
        <v>1</v>
      </c>
      <c r="N1544" s="3">
        <f t="shared" si="49"/>
        <v>1</v>
      </c>
      <c r="O1544" s="3" t="str">
        <f>IF(ISERROR(VLOOKUP(D1544,Data!$A$2:$C$223100,3,FALSE)),"INACTIVE",VLOOKUP(D1544,Data!$A$2:$C$223100,3,FALSE))</f>
        <v>FC</v>
      </c>
    </row>
    <row r="1545" spans="1:15" x14ac:dyDescent="0.25">
      <c r="A1545" t="s">
        <v>5758</v>
      </c>
      <c r="B1545" t="s">
        <v>5759</v>
      </c>
      <c r="C1545" t="s">
        <v>5752</v>
      </c>
      <c r="D1545" t="s">
        <v>5753</v>
      </c>
      <c r="E1545" t="s">
        <v>5</v>
      </c>
      <c r="F1545" t="s">
        <v>5</v>
      </c>
      <c r="G1545" t="s">
        <v>5</v>
      </c>
      <c r="H1545" t="s">
        <v>5</v>
      </c>
      <c r="I1545" t="s">
        <v>5668</v>
      </c>
      <c r="J1545" t="s">
        <v>96</v>
      </c>
      <c r="K1545" s="3">
        <f t="shared" si="48"/>
        <v>1</v>
      </c>
      <c r="L1545" s="3">
        <f>IF(ISERROR(VLOOKUP(J1545,Lookups!$A$2:$A$16,1,FALSE)),1,0)</f>
        <v>0</v>
      </c>
      <c r="M1545" s="3">
        <f>IF(ISERROR(VLOOKUP(D1545,Data!$A$2:$D$223100,2,FALSE)),0,1)</f>
        <v>1</v>
      </c>
      <c r="N1545" s="3">
        <f t="shared" si="49"/>
        <v>1</v>
      </c>
      <c r="O1545" s="3" t="str">
        <f>IF(ISERROR(VLOOKUP(D1545,Data!$A$2:$C$223100,3,FALSE)),"INACTIVE",VLOOKUP(D1545,Data!$A$2:$C$223100,3,FALSE))</f>
        <v>FC</v>
      </c>
    </row>
    <row r="1546" spans="1:15" x14ac:dyDescent="0.25">
      <c r="A1546" t="s">
        <v>5758</v>
      </c>
      <c r="B1546" t="s">
        <v>5759</v>
      </c>
      <c r="C1546" t="s">
        <v>5754</v>
      </c>
      <c r="D1546" t="s">
        <v>5755</v>
      </c>
      <c r="E1546" t="s">
        <v>5</v>
      </c>
      <c r="F1546" t="s">
        <v>5</v>
      </c>
      <c r="G1546" t="s">
        <v>5</v>
      </c>
      <c r="H1546" t="s">
        <v>5</v>
      </c>
      <c r="I1546" t="s">
        <v>5668</v>
      </c>
      <c r="J1546" t="s">
        <v>96</v>
      </c>
      <c r="K1546" s="3">
        <f t="shared" si="48"/>
        <v>1</v>
      </c>
      <c r="L1546" s="3">
        <f>IF(ISERROR(VLOOKUP(J1546,Lookups!$A$2:$A$16,1,FALSE)),1,0)</f>
        <v>0</v>
      </c>
      <c r="M1546" s="3">
        <f>IF(ISERROR(VLOOKUP(D1546,Data!$A$2:$D$223100,2,FALSE)),0,1)</f>
        <v>1</v>
      </c>
      <c r="N1546" s="3">
        <f t="shared" si="49"/>
        <v>1</v>
      </c>
      <c r="O1546" s="3" t="str">
        <f>IF(ISERROR(VLOOKUP(D1546,Data!$A$2:$C$223100,3,FALSE)),"INACTIVE",VLOOKUP(D1546,Data!$A$2:$C$223100,3,FALSE))</f>
        <v>FC</v>
      </c>
    </row>
    <row r="1547" spans="1:15" x14ac:dyDescent="0.25">
      <c r="A1547" t="s">
        <v>5758</v>
      </c>
      <c r="B1547" t="s">
        <v>5759</v>
      </c>
      <c r="C1547" t="s">
        <v>5760</v>
      </c>
      <c r="D1547" t="s">
        <v>5761</v>
      </c>
      <c r="E1547" t="s">
        <v>5</v>
      </c>
      <c r="F1547" t="s">
        <v>5</v>
      </c>
      <c r="G1547" t="s">
        <v>5</v>
      </c>
      <c r="H1547" t="s">
        <v>5</v>
      </c>
      <c r="I1547" t="s">
        <v>5668</v>
      </c>
      <c r="J1547" t="s">
        <v>96</v>
      </c>
      <c r="K1547" s="3">
        <f t="shared" si="48"/>
        <v>1</v>
      </c>
      <c r="L1547" s="3">
        <f>IF(ISERROR(VLOOKUP(J1547,Lookups!$A$2:$A$16,1,FALSE)),1,0)</f>
        <v>0</v>
      </c>
      <c r="M1547" s="3">
        <f>IF(ISERROR(VLOOKUP(D1547,Data!$A$2:$D$223100,2,FALSE)),0,1)</f>
        <v>1</v>
      </c>
      <c r="N1547" s="3">
        <f t="shared" si="49"/>
        <v>1</v>
      </c>
      <c r="O1547" s="3" t="str">
        <f>IF(ISERROR(VLOOKUP(D1547,Data!$A$2:$C$223100,3,FALSE)),"INACTIVE",VLOOKUP(D1547,Data!$A$2:$C$223100,3,FALSE))</f>
        <v>FC</v>
      </c>
    </row>
    <row r="1548" spans="1:15" x14ac:dyDescent="0.25">
      <c r="A1548" t="s">
        <v>5758</v>
      </c>
      <c r="B1548" t="s">
        <v>5759</v>
      </c>
      <c r="C1548" t="s">
        <v>5756</v>
      </c>
      <c r="D1548" t="s">
        <v>5757</v>
      </c>
      <c r="E1548" t="s">
        <v>5</v>
      </c>
      <c r="F1548" t="s">
        <v>5</v>
      </c>
      <c r="G1548" t="s">
        <v>5</v>
      </c>
      <c r="H1548" t="s">
        <v>5</v>
      </c>
      <c r="I1548" t="s">
        <v>5668</v>
      </c>
      <c r="J1548" t="s">
        <v>96</v>
      </c>
      <c r="K1548" s="3">
        <f t="shared" si="48"/>
        <v>1</v>
      </c>
      <c r="L1548" s="3">
        <f>IF(ISERROR(VLOOKUP(J1548,Lookups!$A$2:$A$16,1,FALSE)),1,0)</f>
        <v>0</v>
      </c>
      <c r="M1548" s="3">
        <f>IF(ISERROR(VLOOKUP(D1548,Data!$A$2:$D$223100,2,FALSE)),0,1)</f>
        <v>1</v>
      </c>
      <c r="N1548" s="3">
        <f t="shared" si="49"/>
        <v>1</v>
      </c>
      <c r="O1548" s="3" t="str">
        <f>IF(ISERROR(VLOOKUP(D1548,Data!$A$2:$C$223100,3,FALSE)),"INACTIVE",VLOOKUP(D1548,Data!$A$2:$C$223100,3,FALSE))</f>
        <v>FC</v>
      </c>
    </row>
    <row r="1549" spans="1:15" x14ac:dyDescent="0.25">
      <c r="A1549" t="s">
        <v>5758</v>
      </c>
      <c r="B1549" t="s">
        <v>5759</v>
      </c>
      <c r="C1549" t="s">
        <v>5762</v>
      </c>
      <c r="D1549" t="s">
        <v>5763</v>
      </c>
      <c r="E1549" t="s">
        <v>5</v>
      </c>
      <c r="F1549" t="s">
        <v>5</v>
      </c>
      <c r="G1549" t="s">
        <v>5</v>
      </c>
      <c r="H1549" t="s">
        <v>5</v>
      </c>
      <c r="I1549" t="s">
        <v>5668</v>
      </c>
      <c r="J1549" t="s">
        <v>96</v>
      </c>
      <c r="K1549" s="3">
        <f t="shared" si="48"/>
        <v>1</v>
      </c>
      <c r="L1549" s="3">
        <f>IF(ISERROR(VLOOKUP(J1549,Lookups!$A$2:$A$16,1,FALSE)),1,0)</f>
        <v>0</v>
      </c>
      <c r="M1549" s="3">
        <f>IF(ISERROR(VLOOKUP(D1549,Data!$A$2:$D$223100,2,FALSE)),0,1)</f>
        <v>1</v>
      </c>
      <c r="N1549" s="3">
        <f t="shared" si="49"/>
        <v>1</v>
      </c>
      <c r="O1549" s="3" t="str">
        <f>IF(ISERROR(VLOOKUP(D1549,Data!$A$2:$C$223100,3,FALSE)),"INACTIVE",VLOOKUP(D1549,Data!$A$2:$C$223100,3,FALSE))</f>
        <v>30+</v>
      </c>
    </row>
    <row r="1550" spans="1:15" x14ac:dyDescent="0.25">
      <c r="A1550" t="s">
        <v>5758</v>
      </c>
      <c r="B1550" t="s">
        <v>5759</v>
      </c>
      <c r="C1550" t="s">
        <v>5764</v>
      </c>
      <c r="D1550" t="s">
        <v>5765</v>
      </c>
      <c r="E1550" t="s">
        <v>5</v>
      </c>
      <c r="F1550" t="s">
        <v>5</v>
      </c>
      <c r="G1550" t="s">
        <v>5</v>
      </c>
      <c r="H1550" t="s">
        <v>5</v>
      </c>
      <c r="I1550" t="s">
        <v>5668</v>
      </c>
      <c r="J1550" t="s">
        <v>96</v>
      </c>
      <c r="K1550" s="3">
        <f t="shared" si="48"/>
        <v>1</v>
      </c>
      <c r="L1550" s="3">
        <f>IF(ISERROR(VLOOKUP(J1550,Lookups!$A$2:$A$16,1,FALSE)),1,0)</f>
        <v>0</v>
      </c>
      <c r="M1550" s="3">
        <f>IF(ISERROR(VLOOKUP(D1550,Data!$A$2:$D$223100,2,FALSE)),0,1)</f>
        <v>1</v>
      </c>
      <c r="N1550" s="3">
        <f t="shared" si="49"/>
        <v>1</v>
      </c>
      <c r="O1550" s="3" t="str">
        <f>IF(ISERROR(VLOOKUP(D1550,Data!$A$2:$C$223100,3,FALSE)),"INACTIVE",VLOOKUP(D1550,Data!$A$2:$C$223100,3,FALSE))</f>
        <v>Current</v>
      </c>
    </row>
    <row r="1551" spans="1:15" x14ac:dyDescent="0.25">
      <c r="A1551" t="s">
        <v>5758</v>
      </c>
      <c r="B1551" t="s">
        <v>5759</v>
      </c>
      <c r="C1551" t="s">
        <v>5766</v>
      </c>
      <c r="D1551" t="s">
        <v>5767</v>
      </c>
      <c r="E1551" t="s">
        <v>5</v>
      </c>
      <c r="F1551" t="s">
        <v>5</v>
      </c>
      <c r="G1551" t="s">
        <v>5</v>
      </c>
      <c r="H1551" t="s">
        <v>5</v>
      </c>
      <c r="I1551" t="s">
        <v>5668</v>
      </c>
      <c r="J1551" t="s">
        <v>96</v>
      </c>
      <c r="K1551" s="3">
        <f t="shared" si="48"/>
        <v>1</v>
      </c>
      <c r="L1551" s="3">
        <f>IF(ISERROR(VLOOKUP(J1551,Lookups!$A$2:$A$16,1,FALSE)),1,0)</f>
        <v>0</v>
      </c>
      <c r="M1551" s="3">
        <f>IF(ISERROR(VLOOKUP(D1551,Data!$A$2:$D$223100,2,FALSE)),0,1)</f>
        <v>1</v>
      </c>
      <c r="N1551" s="3">
        <f t="shared" si="49"/>
        <v>1</v>
      </c>
      <c r="O1551" s="3" t="str">
        <f>IF(ISERROR(VLOOKUP(D1551,Data!$A$2:$C$223100,3,FALSE)),"INACTIVE",VLOOKUP(D1551,Data!$A$2:$C$223100,3,FALSE))</f>
        <v>FC</v>
      </c>
    </row>
    <row r="1552" spans="1:15" x14ac:dyDescent="0.25">
      <c r="A1552" t="s">
        <v>5758</v>
      </c>
      <c r="B1552" t="s">
        <v>5759</v>
      </c>
      <c r="C1552" t="s">
        <v>5768</v>
      </c>
      <c r="D1552" t="s">
        <v>5769</v>
      </c>
      <c r="E1552" t="s">
        <v>5</v>
      </c>
      <c r="F1552" t="s">
        <v>5</v>
      </c>
      <c r="G1552" t="s">
        <v>5</v>
      </c>
      <c r="H1552" t="s">
        <v>5</v>
      </c>
      <c r="I1552" t="s">
        <v>5668</v>
      </c>
      <c r="J1552" t="s">
        <v>96</v>
      </c>
      <c r="K1552" s="3">
        <f t="shared" si="48"/>
        <v>1</v>
      </c>
      <c r="L1552" s="3">
        <f>IF(ISERROR(VLOOKUP(J1552,Lookups!$A$2:$A$16,1,FALSE)),1,0)</f>
        <v>0</v>
      </c>
      <c r="M1552" s="3">
        <f>IF(ISERROR(VLOOKUP(D1552,Data!$A$2:$D$223100,2,FALSE)),0,1)</f>
        <v>1</v>
      </c>
      <c r="N1552" s="3">
        <f t="shared" si="49"/>
        <v>1</v>
      </c>
      <c r="O1552" s="3" t="str">
        <f>IF(ISERROR(VLOOKUP(D1552,Data!$A$2:$C$223100,3,FALSE)),"INACTIVE",VLOOKUP(D1552,Data!$A$2:$C$223100,3,FALSE))</f>
        <v>FC</v>
      </c>
    </row>
    <row r="1553" spans="1:15" x14ac:dyDescent="0.25">
      <c r="A1553" t="s">
        <v>5758</v>
      </c>
      <c r="B1553" t="s">
        <v>5759</v>
      </c>
      <c r="C1553" t="s">
        <v>5770</v>
      </c>
      <c r="D1553" t="s">
        <v>5771</v>
      </c>
      <c r="E1553" t="s">
        <v>5</v>
      </c>
      <c r="F1553" t="s">
        <v>5</v>
      </c>
      <c r="G1553" t="s">
        <v>5</v>
      </c>
      <c r="H1553" t="s">
        <v>5</v>
      </c>
      <c r="I1553" t="s">
        <v>5668</v>
      </c>
      <c r="J1553" t="s">
        <v>96</v>
      </c>
      <c r="K1553" s="3">
        <f t="shared" si="48"/>
        <v>1</v>
      </c>
      <c r="L1553" s="3">
        <f>IF(ISERROR(VLOOKUP(J1553,Lookups!$A$2:$A$16,1,FALSE)),1,0)</f>
        <v>0</v>
      </c>
      <c r="M1553" s="3">
        <f>IF(ISERROR(VLOOKUP(D1553,Data!$A$2:$D$223100,2,FALSE)),0,1)</f>
        <v>1</v>
      </c>
      <c r="N1553" s="3">
        <f t="shared" si="49"/>
        <v>1</v>
      </c>
      <c r="O1553" s="3" t="str">
        <f>IF(ISERROR(VLOOKUP(D1553,Data!$A$2:$C$223100,3,FALSE)),"INACTIVE",VLOOKUP(D1553,Data!$A$2:$C$223100,3,FALSE))</f>
        <v>60+</v>
      </c>
    </row>
    <row r="1554" spans="1:15" x14ac:dyDescent="0.25">
      <c r="A1554" t="s">
        <v>5758</v>
      </c>
      <c r="B1554" t="s">
        <v>5759</v>
      </c>
      <c r="C1554" t="s">
        <v>5772</v>
      </c>
      <c r="D1554" t="s">
        <v>5773</v>
      </c>
      <c r="E1554" t="s">
        <v>5</v>
      </c>
      <c r="F1554" t="s">
        <v>5</v>
      </c>
      <c r="G1554" t="s">
        <v>5</v>
      </c>
      <c r="H1554" t="s">
        <v>5</v>
      </c>
      <c r="I1554" t="s">
        <v>5668</v>
      </c>
      <c r="J1554" t="s">
        <v>96</v>
      </c>
      <c r="K1554" s="3">
        <f t="shared" si="48"/>
        <v>1</v>
      </c>
      <c r="L1554" s="3">
        <f>IF(ISERROR(VLOOKUP(J1554,Lookups!$A$2:$A$16,1,FALSE)),1,0)</f>
        <v>0</v>
      </c>
      <c r="M1554" s="3">
        <f>IF(ISERROR(VLOOKUP(D1554,Data!$A$2:$D$223100,2,FALSE)),0,1)</f>
        <v>1</v>
      </c>
      <c r="N1554" s="3">
        <f t="shared" si="49"/>
        <v>1</v>
      </c>
      <c r="O1554" s="3" t="str">
        <f>IF(ISERROR(VLOOKUP(D1554,Data!$A$2:$C$223100,3,FALSE)),"INACTIVE",VLOOKUP(D1554,Data!$A$2:$C$223100,3,FALSE))</f>
        <v>FC</v>
      </c>
    </row>
    <row r="1555" spans="1:15" x14ac:dyDescent="0.25">
      <c r="A1555" t="s">
        <v>5758</v>
      </c>
      <c r="B1555" t="s">
        <v>5759</v>
      </c>
      <c r="C1555" t="s">
        <v>5774</v>
      </c>
      <c r="D1555" t="s">
        <v>5775</v>
      </c>
      <c r="E1555" t="s">
        <v>5</v>
      </c>
      <c r="F1555" t="s">
        <v>5</v>
      </c>
      <c r="G1555" t="s">
        <v>5</v>
      </c>
      <c r="H1555" t="s">
        <v>5</v>
      </c>
      <c r="I1555" t="s">
        <v>5668</v>
      </c>
      <c r="J1555" t="s">
        <v>96</v>
      </c>
      <c r="K1555" s="3">
        <f t="shared" si="48"/>
        <v>1</v>
      </c>
      <c r="L1555" s="3">
        <f>IF(ISERROR(VLOOKUP(J1555,Lookups!$A$2:$A$16,1,FALSE)),1,0)</f>
        <v>0</v>
      </c>
      <c r="M1555" s="3">
        <f>IF(ISERROR(VLOOKUP(D1555,Data!$A$2:$D$223100,2,FALSE)),0,1)</f>
        <v>1</v>
      </c>
      <c r="N1555" s="3">
        <f t="shared" si="49"/>
        <v>1</v>
      </c>
      <c r="O1555" s="3" t="str">
        <f>IF(ISERROR(VLOOKUP(D1555,Data!$A$2:$C$223100,3,FALSE)),"INACTIVE",VLOOKUP(D1555,Data!$A$2:$C$223100,3,FALSE))</f>
        <v>FC</v>
      </c>
    </row>
    <row r="1556" spans="1:15" x14ac:dyDescent="0.25">
      <c r="A1556" t="s">
        <v>5776</v>
      </c>
      <c r="B1556" t="s">
        <v>5777</v>
      </c>
      <c r="C1556" t="s">
        <v>5778</v>
      </c>
      <c r="D1556" t="s">
        <v>5779</v>
      </c>
      <c r="E1556" t="s">
        <v>5</v>
      </c>
      <c r="F1556" t="s">
        <v>5</v>
      </c>
      <c r="G1556" t="s">
        <v>5</v>
      </c>
      <c r="H1556" t="s">
        <v>5</v>
      </c>
      <c r="I1556" t="s">
        <v>5668</v>
      </c>
      <c r="J1556" t="s">
        <v>96</v>
      </c>
      <c r="K1556" s="3">
        <f t="shared" si="48"/>
        <v>1</v>
      </c>
      <c r="L1556" s="3">
        <f>IF(ISERROR(VLOOKUP(J1556,Lookups!$A$2:$A$16,1,FALSE)),1,0)</f>
        <v>0</v>
      </c>
      <c r="M1556" s="3">
        <f>IF(ISERROR(VLOOKUP(D1556,Data!$A$2:$D$223100,2,FALSE)),0,1)</f>
        <v>1</v>
      </c>
      <c r="N1556" s="3">
        <f t="shared" si="49"/>
        <v>1</v>
      </c>
      <c r="O1556" s="3" t="str">
        <f>IF(ISERROR(VLOOKUP(D1556,Data!$A$2:$C$223100,3,FALSE)),"INACTIVE",VLOOKUP(D1556,Data!$A$2:$C$223100,3,FALSE))</f>
        <v>120+</v>
      </c>
    </row>
    <row r="1557" spans="1:15" x14ac:dyDescent="0.25">
      <c r="A1557" t="s">
        <v>5780</v>
      </c>
      <c r="B1557" t="s">
        <v>5781</v>
      </c>
      <c r="C1557" t="s">
        <v>5782</v>
      </c>
      <c r="D1557" t="s">
        <v>5783</v>
      </c>
      <c r="E1557" t="s">
        <v>5</v>
      </c>
      <c r="F1557" t="s">
        <v>5</v>
      </c>
      <c r="G1557" t="s">
        <v>5</v>
      </c>
      <c r="H1557" t="s">
        <v>5</v>
      </c>
      <c r="I1557" t="s">
        <v>5668</v>
      </c>
      <c r="J1557" t="s">
        <v>96</v>
      </c>
      <c r="K1557" s="3">
        <f t="shared" si="48"/>
        <v>1</v>
      </c>
      <c r="L1557" s="3">
        <f>IF(ISERROR(VLOOKUP(J1557,Lookups!$A$2:$A$16,1,FALSE)),1,0)</f>
        <v>0</v>
      </c>
      <c r="M1557" s="3">
        <f>IF(ISERROR(VLOOKUP(D1557,Data!$A$2:$D$223100,2,FALSE)),0,1)</f>
        <v>1</v>
      </c>
      <c r="N1557" s="3">
        <f t="shared" si="49"/>
        <v>1</v>
      </c>
      <c r="O1557" s="3" t="str">
        <f>IF(ISERROR(VLOOKUP(D1557,Data!$A$2:$C$223100,3,FALSE)),"INACTIVE",VLOOKUP(D1557,Data!$A$2:$C$223100,3,FALSE))</f>
        <v>120+</v>
      </c>
    </row>
    <row r="1558" spans="1:15" x14ac:dyDescent="0.25">
      <c r="A1558" t="s">
        <v>5784</v>
      </c>
      <c r="B1558" t="s">
        <v>5785</v>
      </c>
      <c r="C1558" t="s">
        <v>5782</v>
      </c>
      <c r="D1558" t="s">
        <v>5783</v>
      </c>
      <c r="E1558" t="s">
        <v>5</v>
      </c>
      <c r="F1558" t="s">
        <v>5</v>
      </c>
      <c r="G1558" t="s">
        <v>5</v>
      </c>
      <c r="H1558" t="s">
        <v>5</v>
      </c>
      <c r="I1558" t="s">
        <v>5668</v>
      </c>
      <c r="J1558" t="s">
        <v>96</v>
      </c>
      <c r="K1558" s="3">
        <f t="shared" si="48"/>
        <v>1</v>
      </c>
      <c r="L1558" s="3">
        <f>IF(ISERROR(VLOOKUP(J1558,Lookups!$A$2:$A$16,1,FALSE)),1,0)</f>
        <v>0</v>
      </c>
      <c r="M1558" s="3">
        <f>IF(ISERROR(VLOOKUP(D1558,Data!$A$2:$D$223100,2,FALSE)),0,1)</f>
        <v>1</v>
      </c>
      <c r="N1558" s="3">
        <f t="shared" si="49"/>
        <v>1</v>
      </c>
      <c r="O1558" s="3" t="str">
        <f>IF(ISERROR(VLOOKUP(D1558,Data!$A$2:$C$223100,3,FALSE)),"INACTIVE",VLOOKUP(D1558,Data!$A$2:$C$223100,3,FALSE))</f>
        <v>120+</v>
      </c>
    </row>
    <row r="1559" spans="1:15" x14ac:dyDescent="0.25">
      <c r="A1559" t="s">
        <v>5784</v>
      </c>
      <c r="B1559" t="s">
        <v>5785</v>
      </c>
      <c r="C1559" t="s">
        <v>5786</v>
      </c>
      <c r="D1559" t="s">
        <v>5787</v>
      </c>
      <c r="E1559" t="s">
        <v>5</v>
      </c>
      <c r="F1559" t="s">
        <v>5</v>
      </c>
      <c r="G1559" t="s">
        <v>5</v>
      </c>
      <c r="H1559" t="s">
        <v>5</v>
      </c>
      <c r="I1559" t="s">
        <v>5668</v>
      </c>
      <c r="J1559" t="s">
        <v>96</v>
      </c>
      <c r="K1559" s="3">
        <f t="shared" si="48"/>
        <v>1</v>
      </c>
      <c r="L1559" s="3">
        <f>IF(ISERROR(VLOOKUP(J1559,Lookups!$A$2:$A$16,1,FALSE)),1,0)</f>
        <v>0</v>
      </c>
      <c r="M1559" s="3">
        <f>IF(ISERROR(VLOOKUP(D1559,Data!$A$2:$D$223100,2,FALSE)),0,1)</f>
        <v>1</v>
      </c>
      <c r="N1559" s="3">
        <f t="shared" si="49"/>
        <v>1</v>
      </c>
      <c r="O1559" s="3" t="str">
        <f>IF(ISERROR(VLOOKUP(D1559,Data!$A$2:$C$223100,3,FALSE)),"INACTIVE",VLOOKUP(D1559,Data!$A$2:$C$223100,3,FALSE))</f>
        <v>Demand Letter</v>
      </c>
    </row>
    <row r="1560" spans="1:15" x14ac:dyDescent="0.25">
      <c r="A1560" t="s">
        <v>5784</v>
      </c>
      <c r="B1560" t="s">
        <v>5785</v>
      </c>
      <c r="C1560" t="s">
        <v>5788</v>
      </c>
      <c r="D1560" t="s">
        <v>5789</v>
      </c>
      <c r="E1560" t="s">
        <v>5</v>
      </c>
      <c r="F1560" t="s">
        <v>5</v>
      </c>
      <c r="G1560" t="s">
        <v>5</v>
      </c>
      <c r="H1560" t="s">
        <v>5</v>
      </c>
      <c r="I1560" t="s">
        <v>5668</v>
      </c>
      <c r="J1560" t="s">
        <v>96</v>
      </c>
      <c r="K1560" s="3">
        <f t="shared" si="48"/>
        <v>1</v>
      </c>
      <c r="L1560" s="3">
        <f>IF(ISERROR(VLOOKUP(J1560,Lookups!$A$2:$A$16,1,FALSE)),1,0)</f>
        <v>0</v>
      </c>
      <c r="M1560" s="3">
        <f>IF(ISERROR(VLOOKUP(D1560,Data!$A$2:$D$223100,2,FALSE)),0,1)</f>
        <v>1</v>
      </c>
      <c r="N1560" s="3">
        <f t="shared" si="49"/>
        <v>1</v>
      </c>
      <c r="O1560" s="3" t="str">
        <f>IF(ISERROR(VLOOKUP(D1560,Data!$A$2:$C$223100,3,FALSE)),"INACTIVE",VLOOKUP(D1560,Data!$A$2:$C$223100,3,FALSE))</f>
        <v>Demand Letter</v>
      </c>
    </row>
    <row r="1561" spans="1:15" x14ac:dyDescent="0.25">
      <c r="A1561" t="s">
        <v>5784</v>
      </c>
      <c r="B1561" t="s">
        <v>5785</v>
      </c>
      <c r="C1561" t="s">
        <v>5790</v>
      </c>
      <c r="D1561" t="s">
        <v>5791</v>
      </c>
      <c r="E1561" t="s">
        <v>5</v>
      </c>
      <c r="F1561" t="s">
        <v>5</v>
      </c>
      <c r="G1561" t="s">
        <v>5</v>
      </c>
      <c r="H1561" t="s">
        <v>5</v>
      </c>
      <c r="I1561" t="s">
        <v>5668</v>
      </c>
      <c r="J1561" t="s">
        <v>96</v>
      </c>
      <c r="K1561" s="3">
        <f t="shared" si="48"/>
        <v>1</v>
      </c>
      <c r="L1561" s="3">
        <f>IF(ISERROR(VLOOKUP(J1561,Lookups!$A$2:$A$16,1,FALSE)),1,0)</f>
        <v>0</v>
      </c>
      <c r="M1561" s="3">
        <f>IF(ISERROR(VLOOKUP(D1561,Data!$A$2:$D$223100,2,FALSE)),0,1)</f>
        <v>1</v>
      </c>
      <c r="N1561" s="3">
        <f t="shared" si="49"/>
        <v>1</v>
      </c>
      <c r="O1561" s="3" t="str">
        <f>IF(ISERROR(VLOOKUP(D1561,Data!$A$2:$C$223100,3,FALSE)),"INACTIVE",VLOOKUP(D1561,Data!$A$2:$C$223100,3,FALSE))</f>
        <v>Current</v>
      </c>
    </row>
    <row r="1562" spans="1:15" x14ac:dyDescent="0.25">
      <c r="A1562" t="s">
        <v>5784</v>
      </c>
      <c r="B1562" t="s">
        <v>5785</v>
      </c>
      <c r="C1562" t="s">
        <v>5792</v>
      </c>
      <c r="D1562" t="s">
        <v>5793</v>
      </c>
      <c r="E1562" t="s">
        <v>5</v>
      </c>
      <c r="F1562" t="s">
        <v>5</v>
      </c>
      <c r="G1562" t="s">
        <v>5</v>
      </c>
      <c r="H1562" t="s">
        <v>5</v>
      </c>
      <c r="I1562" t="s">
        <v>5668</v>
      </c>
      <c r="J1562" t="s">
        <v>96</v>
      </c>
      <c r="K1562" s="3">
        <f t="shared" si="48"/>
        <v>1</v>
      </c>
      <c r="L1562" s="3">
        <f>IF(ISERROR(VLOOKUP(J1562,Lookups!$A$2:$A$16,1,FALSE)),1,0)</f>
        <v>0</v>
      </c>
      <c r="M1562" s="3">
        <f>IF(ISERROR(VLOOKUP(D1562,Data!$A$2:$D$223100,2,FALSE)),0,1)</f>
        <v>1</v>
      </c>
      <c r="N1562" s="3">
        <f t="shared" si="49"/>
        <v>1</v>
      </c>
      <c r="O1562" s="3" t="str">
        <f>IF(ISERROR(VLOOKUP(D1562,Data!$A$2:$C$223100,3,FALSE)),"INACTIVE",VLOOKUP(D1562,Data!$A$2:$C$223100,3,FALSE))</f>
        <v>FC</v>
      </c>
    </row>
    <row r="1563" spans="1:15" x14ac:dyDescent="0.25">
      <c r="A1563" t="s">
        <v>5794</v>
      </c>
      <c r="B1563" t="s">
        <v>5795</v>
      </c>
      <c r="C1563" t="s">
        <v>5796</v>
      </c>
      <c r="D1563" t="s">
        <v>5797</v>
      </c>
      <c r="E1563" t="s">
        <v>5</v>
      </c>
      <c r="F1563" t="s">
        <v>5</v>
      </c>
      <c r="G1563" t="s">
        <v>5</v>
      </c>
      <c r="H1563" t="s">
        <v>5</v>
      </c>
      <c r="I1563" t="s">
        <v>5668</v>
      </c>
      <c r="J1563" t="s">
        <v>96</v>
      </c>
      <c r="K1563" s="3">
        <f t="shared" si="48"/>
        <v>1</v>
      </c>
      <c r="L1563" s="3">
        <f>IF(ISERROR(VLOOKUP(J1563,Lookups!$A$2:$A$16,1,FALSE)),1,0)</f>
        <v>0</v>
      </c>
      <c r="M1563" s="3">
        <f>IF(ISERROR(VLOOKUP(D1563,Data!$A$2:$D$223100,2,FALSE)),0,1)</f>
        <v>1</v>
      </c>
      <c r="N1563" s="3">
        <f t="shared" si="49"/>
        <v>1</v>
      </c>
      <c r="O1563" s="3" t="str">
        <f>IF(ISERROR(VLOOKUP(D1563,Data!$A$2:$C$223100,3,FALSE)),"INACTIVE",VLOOKUP(D1563,Data!$A$2:$C$223100,3,FALSE))</f>
        <v>120+</v>
      </c>
    </row>
    <row r="1564" spans="1:15" x14ac:dyDescent="0.25">
      <c r="A1564" t="s">
        <v>5794</v>
      </c>
      <c r="B1564" t="s">
        <v>5795</v>
      </c>
      <c r="C1564" t="s">
        <v>5798</v>
      </c>
      <c r="D1564" t="s">
        <v>5799</v>
      </c>
      <c r="E1564" t="s">
        <v>5</v>
      </c>
      <c r="F1564" t="s">
        <v>5</v>
      </c>
      <c r="G1564" t="s">
        <v>5</v>
      </c>
      <c r="H1564" t="s">
        <v>5</v>
      </c>
      <c r="I1564" t="s">
        <v>5668</v>
      </c>
      <c r="J1564" t="s">
        <v>96</v>
      </c>
      <c r="K1564" s="3">
        <f t="shared" si="48"/>
        <v>1</v>
      </c>
      <c r="L1564" s="3">
        <f>IF(ISERROR(VLOOKUP(J1564,Lookups!$A$2:$A$16,1,FALSE)),1,0)</f>
        <v>0</v>
      </c>
      <c r="M1564" s="3">
        <f>IF(ISERROR(VLOOKUP(D1564,Data!$A$2:$D$223100,2,FALSE)),0,1)</f>
        <v>0</v>
      </c>
      <c r="N1564" s="3">
        <f t="shared" si="49"/>
        <v>0</v>
      </c>
      <c r="O1564" s="3" t="str">
        <f>IF(ISERROR(VLOOKUP(D1564,Data!$A$2:$C$223100,3,FALSE)),"INACTIVE",VLOOKUP(D1564,Data!$A$2:$C$223100,3,FALSE))</f>
        <v>INACTIVE</v>
      </c>
    </row>
    <row r="1565" spans="1:15" x14ac:dyDescent="0.25">
      <c r="A1565" t="s">
        <v>5794</v>
      </c>
      <c r="B1565" t="s">
        <v>5795</v>
      </c>
      <c r="C1565" t="s">
        <v>5800</v>
      </c>
      <c r="D1565" t="s">
        <v>5801</v>
      </c>
      <c r="E1565" t="s">
        <v>5</v>
      </c>
      <c r="F1565" t="s">
        <v>5</v>
      </c>
      <c r="G1565" t="s">
        <v>5</v>
      </c>
      <c r="H1565" t="s">
        <v>5</v>
      </c>
      <c r="I1565" t="s">
        <v>5668</v>
      </c>
      <c r="J1565" t="s">
        <v>96</v>
      </c>
      <c r="K1565" s="3">
        <f t="shared" si="48"/>
        <v>1</v>
      </c>
      <c r="L1565" s="3">
        <f>IF(ISERROR(VLOOKUP(J1565,Lookups!$A$2:$A$16,1,FALSE)),1,0)</f>
        <v>0</v>
      </c>
      <c r="M1565" s="3">
        <f>IF(ISERROR(VLOOKUP(D1565,Data!$A$2:$D$223100,2,FALSE)),0,1)</f>
        <v>0</v>
      </c>
      <c r="N1565" s="3">
        <f t="shared" si="49"/>
        <v>0</v>
      </c>
      <c r="O1565" s="3" t="str">
        <f>IF(ISERROR(VLOOKUP(D1565,Data!$A$2:$C$223100,3,FALSE)),"INACTIVE",VLOOKUP(D1565,Data!$A$2:$C$223100,3,FALSE))</f>
        <v>INACTIVE</v>
      </c>
    </row>
    <row r="1566" spans="1:15" x14ac:dyDescent="0.25">
      <c r="A1566" t="s">
        <v>5794</v>
      </c>
      <c r="B1566" t="s">
        <v>5795</v>
      </c>
      <c r="C1566" t="s">
        <v>5802</v>
      </c>
      <c r="D1566" t="s">
        <v>5803</v>
      </c>
      <c r="E1566" t="s">
        <v>5</v>
      </c>
      <c r="F1566" t="s">
        <v>5</v>
      </c>
      <c r="G1566" t="s">
        <v>5</v>
      </c>
      <c r="H1566" t="s">
        <v>5</v>
      </c>
      <c r="I1566" t="s">
        <v>5668</v>
      </c>
      <c r="J1566" t="s">
        <v>96</v>
      </c>
      <c r="K1566" s="3">
        <f t="shared" si="48"/>
        <v>1</v>
      </c>
      <c r="L1566" s="3">
        <f>IF(ISERROR(VLOOKUP(J1566,Lookups!$A$2:$A$16,1,FALSE)),1,0)</f>
        <v>0</v>
      </c>
      <c r="M1566" s="3">
        <f>IF(ISERROR(VLOOKUP(D1566,Data!$A$2:$D$223100,2,FALSE)),0,1)</f>
        <v>1</v>
      </c>
      <c r="N1566" s="3">
        <f t="shared" si="49"/>
        <v>1</v>
      </c>
      <c r="O1566" s="3" t="str">
        <f>IF(ISERROR(VLOOKUP(D1566,Data!$A$2:$C$223100,3,FALSE)),"INACTIVE",VLOOKUP(D1566,Data!$A$2:$C$223100,3,FALSE))</f>
        <v>Current</v>
      </c>
    </row>
    <row r="1567" spans="1:15" x14ac:dyDescent="0.25">
      <c r="A1567" t="s">
        <v>5226</v>
      </c>
      <c r="B1567" t="s">
        <v>5227</v>
      </c>
      <c r="C1567" t="s">
        <v>3841</v>
      </c>
      <c r="D1567" t="s">
        <v>3842</v>
      </c>
      <c r="E1567" t="s">
        <v>5228</v>
      </c>
      <c r="F1567" t="s">
        <v>5</v>
      </c>
      <c r="G1567" t="s">
        <v>5</v>
      </c>
      <c r="H1567" t="s">
        <v>5</v>
      </c>
      <c r="I1567" t="s">
        <v>5229</v>
      </c>
      <c r="J1567" t="s">
        <v>7</v>
      </c>
      <c r="K1567" s="3">
        <f t="shared" si="48"/>
        <v>0</v>
      </c>
      <c r="L1567" s="3">
        <f>IF(ISERROR(VLOOKUP(J1567,Lookups!$A$2:$A$16,1,FALSE)),1,0)</f>
        <v>1</v>
      </c>
      <c r="M1567" s="3">
        <f>IF(ISERROR(VLOOKUP(D1567,Data!$A$2:$D$223100,2,FALSE)),0,1)</f>
        <v>1</v>
      </c>
      <c r="N1567" s="3">
        <f t="shared" si="49"/>
        <v>1</v>
      </c>
      <c r="O1567" s="3" t="str">
        <f>IF(ISERROR(VLOOKUP(D1567,Data!$A$2:$C$223100,3,FALSE)),"INACTIVE",VLOOKUP(D1567,Data!$A$2:$C$223100,3,FALSE))</f>
        <v>Current</v>
      </c>
    </row>
    <row r="1568" spans="1:15" x14ac:dyDescent="0.25">
      <c r="A1568" t="s">
        <v>5559</v>
      </c>
      <c r="B1568" t="s">
        <v>5560</v>
      </c>
      <c r="C1568" t="s">
        <v>5561</v>
      </c>
      <c r="D1568" t="s">
        <v>5562</v>
      </c>
      <c r="E1568" t="s">
        <v>5563</v>
      </c>
      <c r="F1568" t="s">
        <v>5</v>
      </c>
      <c r="G1568" t="s">
        <v>5</v>
      </c>
      <c r="H1568" t="s">
        <v>5</v>
      </c>
      <c r="I1568" t="s">
        <v>5229</v>
      </c>
      <c r="J1568" t="s">
        <v>7</v>
      </c>
      <c r="K1568" s="3">
        <f t="shared" si="48"/>
        <v>0</v>
      </c>
      <c r="L1568" s="3">
        <f>IF(ISERROR(VLOOKUP(J1568,Lookups!$A$2:$A$16,1,FALSE)),1,0)</f>
        <v>1</v>
      </c>
      <c r="M1568" s="3">
        <f>IF(ISERROR(VLOOKUP(D1568,Data!$A$2:$D$223100,2,FALSE)),0,1)</f>
        <v>1</v>
      </c>
      <c r="N1568" s="3">
        <f t="shared" si="49"/>
        <v>1</v>
      </c>
      <c r="O1568" s="3" t="str">
        <f>IF(ISERROR(VLOOKUP(D1568,Data!$A$2:$C$223100,3,FALSE)),"INACTIVE",VLOOKUP(D1568,Data!$A$2:$C$223100,3,FALSE))</f>
        <v>150+</v>
      </c>
    </row>
    <row r="1569" spans="1:15" x14ac:dyDescent="0.25">
      <c r="A1569" t="s">
        <v>5899</v>
      </c>
      <c r="B1569" t="s">
        <v>5900</v>
      </c>
      <c r="C1569" t="s">
        <v>5901</v>
      </c>
      <c r="D1569" t="s">
        <v>5902</v>
      </c>
      <c r="E1569" t="s">
        <v>5903</v>
      </c>
      <c r="F1569" t="s">
        <v>5</v>
      </c>
      <c r="G1569" t="s">
        <v>5</v>
      </c>
      <c r="H1569" t="s">
        <v>5</v>
      </c>
      <c r="I1569" t="s">
        <v>5229</v>
      </c>
      <c r="J1569" t="s">
        <v>7</v>
      </c>
      <c r="K1569" s="3">
        <f t="shared" si="48"/>
        <v>0</v>
      </c>
      <c r="L1569" s="3">
        <f>IF(ISERROR(VLOOKUP(J1569,Lookups!$A$2:$A$16,1,FALSE)),1,0)</f>
        <v>1</v>
      </c>
      <c r="M1569" s="3">
        <f>IF(ISERROR(VLOOKUP(D1569,Data!$A$2:$D$223100,2,FALSE)),0,1)</f>
        <v>1</v>
      </c>
      <c r="N1569" s="3">
        <f t="shared" si="49"/>
        <v>1</v>
      </c>
      <c r="O1569" s="3" t="str">
        <f>IF(ISERROR(VLOOKUP(D1569,Data!$A$2:$C$223100,3,FALSE)),"INACTIVE",VLOOKUP(D1569,Data!$A$2:$C$223100,3,FALSE))</f>
        <v>60+</v>
      </c>
    </row>
    <row r="1570" spans="1:15" x14ac:dyDescent="0.25">
      <c r="A1570" t="s">
        <v>5899</v>
      </c>
      <c r="B1570" t="s">
        <v>5900</v>
      </c>
      <c r="C1570" t="s">
        <v>5904</v>
      </c>
      <c r="D1570" t="s">
        <v>5905</v>
      </c>
      <c r="E1570" t="s">
        <v>5906</v>
      </c>
      <c r="F1570" t="s">
        <v>5</v>
      </c>
      <c r="G1570" t="s">
        <v>5</v>
      </c>
      <c r="H1570" t="s">
        <v>5</v>
      </c>
      <c r="I1570" t="s">
        <v>5229</v>
      </c>
      <c r="J1570" t="s">
        <v>90</v>
      </c>
      <c r="K1570" s="3">
        <f t="shared" si="48"/>
        <v>0</v>
      </c>
      <c r="L1570" s="3">
        <f>IF(ISERROR(VLOOKUP(J1570,Lookups!$A$2:$A$16,1,FALSE)),1,0)</f>
        <v>0</v>
      </c>
      <c r="M1570" s="3">
        <f>IF(ISERROR(VLOOKUP(D1570,Data!$A$2:$D$223100,2,FALSE)),0,1)</f>
        <v>1</v>
      </c>
      <c r="N1570" s="3">
        <f t="shared" si="49"/>
        <v>0</v>
      </c>
      <c r="O1570" s="3" t="str">
        <f>IF(ISERROR(VLOOKUP(D1570,Data!$A$2:$C$223100,3,FALSE)),"INACTIVE",VLOOKUP(D1570,Data!$A$2:$C$223100,3,FALSE))</f>
        <v>Current</v>
      </c>
    </row>
    <row r="1571" spans="1:15" x14ac:dyDescent="0.25">
      <c r="A1571" t="s">
        <v>5899</v>
      </c>
      <c r="B1571" t="s">
        <v>5900</v>
      </c>
      <c r="C1571" t="s">
        <v>5904</v>
      </c>
      <c r="D1571" t="s">
        <v>5905</v>
      </c>
      <c r="E1571" t="s">
        <v>5906</v>
      </c>
      <c r="F1571" t="s">
        <v>5</v>
      </c>
      <c r="G1571" t="s">
        <v>5</v>
      </c>
      <c r="H1571" t="s">
        <v>5</v>
      </c>
      <c r="I1571" t="s">
        <v>5229</v>
      </c>
      <c r="J1571" t="s">
        <v>90</v>
      </c>
      <c r="K1571" s="3">
        <f t="shared" si="48"/>
        <v>0</v>
      </c>
      <c r="L1571" s="3">
        <f>IF(ISERROR(VLOOKUP(J1571,Lookups!$A$2:$A$16,1,FALSE)),1,0)</f>
        <v>0</v>
      </c>
      <c r="M1571" s="3">
        <f>IF(ISERROR(VLOOKUP(D1571,Data!$A$2:$D$223100,2,FALSE)),0,1)</f>
        <v>1</v>
      </c>
      <c r="N1571" s="3">
        <f t="shared" si="49"/>
        <v>0</v>
      </c>
      <c r="O1571" s="3" t="str">
        <f>IF(ISERROR(VLOOKUP(D1571,Data!$A$2:$C$223100,3,FALSE)),"INACTIVE",VLOOKUP(D1571,Data!$A$2:$C$223100,3,FALSE))</f>
        <v>Current</v>
      </c>
    </row>
    <row r="1572" spans="1:15" x14ac:dyDescent="0.25">
      <c r="A1572" t="s">
        <v>5899</v>
      </c>
      <c r="B1572" t="s">
        <v>5900</v>
      </c>
      <c r="C1572" t="s">
        <v>5907</v>
      </c>
      <c r="D1572" t="s">
        <v>5908</v>
      </c>
      <c r="E1572" t="s">
        <v>5909</v>
      </c>
      <c r="F1572" t="s">
        <v>5</v>
      </c>
      <c r="G1572" t="s">
        <v>5</v>
      </c>
      <c r="H1572" t="s">
        <v>5</v>
      </c>
      <c r="I1572" t="s">
        <v>5229</v>
      </c>
      <c r="J1572" t="s">
        <v>7</v>
      </c>
      <c r="K1572" s="3">
        <f t="shared" si="48"/>
        <v>0</v>
      </c>
      <c r="L1572" s="3">
        <f>IF(ISERROR(VLOOKUP(J1572,Lookups!$A$2:$A$16,1,FALSE)),1,0)</f>
        <v>1</v>
      </c>
      <c r="M1572" s="3">
        <f>IF(ISERROR(VLOOKUP(D1572,Data!$A$2:$D$223100,2,FALSE)),0,1)</f>
        <v>1</v>
      </c>
      <c r="N1572" s="3">
        <f t="shared" si="49"/>
        <v>1</v>
      </c>
      <c r="O1572" s="3" t="str">
        <f>IF(ISERROR(VLOOKUP(D1572,Data!$A$2:$C$223100,3,FALSE)),"INACTIVE",VLOOKUP(D1572,Data!$A$2:$C$223100,3,FALSE))</f>
        <v>Current</v>
      </c>
    </row>
    <row r="1573" spans="1:15" x14ac:dyDescent="0.25">
      <c r="A1573" t="s">
        <v>5899</v>
      </c>
      <c r="B1573" t="s">
        <v>5900</v>
      </c>
      <c r="C1573" t="s">
        <v>5910</v>
      </c>
      <c r="D1573" t="s">
        <v>5911</v>
      </c>
      <c r="E1573" t="s">
        <v>5912</v>
      </c>
      <c r="F1573" t="s">
        <v>5</v>
      </c>
      <c r="G1573" t="s">
        <v>5</v>
      </c>
      <c r="H1573" t="s">
        <v>5</v>
      </c>
      <c r="I1573" t="s">
        <v>5229</v>
      </c>
      <c r="J1573" t="s">
        <v>7</v>
      </c>
      <c r="K1573" s="3">
        <f t="shared" si="48"/>
        <v>0</v>
      </c>
      <c r="L1573" s="3">
        <f>IF(ISERROR(VLOOKUP(J1573,Lookups!$A$2:$A$16,1,FALSE)),1,0)</f>
        <v>1</v>
      </c>
      <c r="M1573" s="3">
        <f>IF(ISERROR(VLOOKUP(D1573,Data!$A$2:$D$223100,2,FALSE)),0,1)</f>
        <v>1</v>
      </c>
      <c r="N1573" s="3">
        <f t="shared" si="49"/>
        <v>1</v>
      </c>
      <c r="O1573" s="3" t="str">
        <f>IF(ISERROR(VLOOKUP(D1573,Data!$A$2:$C$223100,3,FALSE)),"INACTIVE",VLOOKUP(D1573,Data!$A$2:$C$223100,3,FALSE))</f>
        <v>Current</v>
      </c>
    </row>
    <row r="1574" spans="1:15" x14ac:dyDescent="0.25">
      <c r="A1574" t="s">
        <v>5899</v>
      </c>
      <c r="B1574" t="s">
        <v>5900</v>
      </c>
      <c r="C1574" t="s">
        <v>5913</v>
      </c>
      <c r="D1574" t="s">
        <v>5914</v>
      </c>
      <c r="E1574" t="s">
        <v>5915</v>
      </c>
      <c r="F1574" t="s">
        <v>5</v>
      </c>
      <c r="G1574" t="s">
        <v>5</v>
      </c>
      <c r="H1574" t="s">
        <v>5</v>
      </c>
      <c r="I1574" t="s">
        <v>5229</v>
      </c>
      <c r="J1574" t="s">
        <v>7</v>
      </c>
      <c r="K1574" s="3">
        <f t="shared" si="48"/>
        <v>0</v>
      </c>
      <c r="L1574" s="3">
        <f>IF(ISERROR(VLOOKUP(J1574,Lookups!$A$2:$A$16,1,FALSE)),1,0)</f>
        <v>1</v>
      </c>
      <c r="M1574" s="3">
        <f>IF(ISERROR(VLOOKUP(D1574,Data!$A$2:$D$223100,2,FALSE)),0,1)</f>
        <v>1</v>
      </c>
      <c r="N1574" s="3">
        <f t="shared" si="49"/>
        <v>1</v>
      </c>
      <c r="O1574" s="3" t="str">
        <f>IF(ISERROR(VLOOKUP(D1574,Data!$A$2:$C$223100,3,FALSE)),"INACTIVE",VLOOKUP(D1574,Data!$A$2:$C$223100,3,FALSE))</f>
        <v>Current</v>
      </c>
    </row>
    <row r="1575" spans="1:15" x14ac:dyDescent="0.25">
      <c r="A1575" t="s">
        <v>5932</v>
      </c>
      <c r="B1575" t="s">
        <v>5933</v>
      </c>
      <c r="C1575" t="s">
        <v>5934</v>
      </c>
      <c r="D1575" t="s">
        <v>5935</v>
      </c>
      <c r="E1575" t="s">
        <v>5936</v>
      </c>
      <c r="F1575" t="s">
        <v>5</v>
      </c>
      <c r="G1575" t="s">
        <v>5</v>
      </c>
      <c r="H1575" t="s">
        <v>5</v>
      </c>
      <c r="I1575" t="s">
        <v>5229</v>
      </c>
      <c r="J1575" t="s">
        <v>7</v>
      </c>
      <c r="K1575" s="3">
        <f t="shared" si="48"/>
        <v>0</v>
      </c>
      <c r="L1575" s="3">
        <f>IF(ISERROR(VLOOKUP(J1575,Lookups!$A$2:$A$16,1,FALSE)),1,0)</f>
        <v>1</v>
      </c>
      <c r="M1575" s="3">
        <f>IF(ISERROR(VLOOKUP(D1575,Data!$A$2:$D$223100,2,FALSE)),0,1)</f>
        <v>1</v>
      </c>
      <c r="N1575" s="3">
        <f t="shared" si="49"/>
        <v>1</v>
      </c>
      <c r="O1575" s="3" t="str">
        <f>IF(ISERROR(VLOOKUP(D1575,Data!$A$2:$C$223100,3,FALSE)),"INACTIVE",VLOOKUP(D1575,Data!$A$2:$C$223100,3,FALSE))</f>
        <v>FC</v>
      </c>
    </row>
    <row r="1576" spans="1:15" x14ac:dyDescent="0.25">
      <c r="A1576" t="s">
        <v>5932</v>
      </c>
      <c r="B1576" t="s">
        <v>5933</v>
      </c>
      <c r="C1576" t="s">
        <v>5937</v>
      </c>
      <c r="D1576" t="s">
        <v>5935</v>
      </c>
      <c r="E1576" t="s">
        <v>5938</v>
      </c>
      <c r="F1576" t="s">
        <v>5</v>
      </c>
      <c r="G1576" t="s">
        <v>5</v>
      </c>
      <c r="H1576" t="s">
        <v>5</v>
      </c>
      <c r="I1576" t="s">
        <v>5229</v>
      </c>
      <c r="J1576" t="s">
        <v>7</v>
      </c>
      <c r="K1576" s="3">
        <f t="shared" si="48"/>
        <v>0</v>
      </c>
      <c r="L1576" s="3">
        <f>IF(ISERROR(VLOOKUP(J1576,Lookups!$A$2:$A$16,1,FALSE)),1,0)</f>
        <v>1</v>
      </c>
      <c r="M1576" s="3">
        <f>IF(ISERROR(VLOOKUP(D1576,Data!$A$2:$D$223100,2,FALSE)),0,1)</f>
        <v>1</v>
      </c>
      <c r="N1576" s="3">
        <f t="shared" si="49"/>
        <v>1</v>
      </c>
      <c r="O1576" s="3" t="str">
        <f>IF(ISERROR(VLOOKUP(D1576,Data!$A$2:$C$223100,3,FALSE)),"INACTIVE",VLOOKUP(D1576,Data!$A$2:$C$223100,3,FALSE))</f>
        <v>FC</v>
      </c>
    </row>
    <row r="1577" spans="1:15" x14ac:dyDescent="0.25">
      <c r="A1577" t="s">
        <v>5984</v>
      </c>
      <c r="B1577" t="s">
        <v>5985</v>
      </c>
      <c r="C1577" t="s">
        <v>5986</v>
      </c>
      <c r="D1577" t="s">
        <v>5987</v>
      </c>
      <c r="E1577" t="s">
        <v>5988</v>
      </c>
      <c r="F1577" t="s">
        <v>5</v>
      </c>
      <c r="G1577" t="s">
        <v>5</v>
      </c>
      <c r="H1577" t="s">
        <v>5</v>
      </c>
      <c r="I1577" t="s">
        <v>5229</v>
      </c>
      <c r="J1577" t="s">
        <v>7</v>
      </c>
      <c r="K1577" s="3">
        <f t="shared" si="48"/>
        <v>0</v>
      </c>
      <c r="L1577" s="3">
        <f>IF(ISERROR(VLOOKUP(J1577,Lookups!$A$2:$A$16,1,FALSE)),1,0)</f>
        <v>1</v>
      </c>
      <c r="M1577" s="3">
        <f>IF(ISERROR(VLOOKUP(D1577,Data!$A$2:$D$223100,2,FALSE)),0,1)</f>
        <v>1</v>
      </c>
      <c r="N1577" s="3">
        <f t="shared" si="49"/>
        <v>1</v>
      </c>
      <c r="O1577" s="3" t="str">
        <f>IF(ISERROR(VLOOKUP(D1577,Data!$A$2:$C$223100,3,FALSE)),"INACTIVE",VLOOKUP(D1577,Data!$A$2:$C$223100,3,FALSE))</f>
        <v>Current</v>
      </c>
    </row>
    <row r="1578" spans="1:15" x14ac:dyDescent="0.25">
      <c r="A1578" t="s">
        <v>5984</v>
      </c>
      <c r="B1578" t="s">
        <v>5985</v>
      </c>
      <c r="C1578" t="s">
        <v>5989</v>
      </c>
      <c r="D1578" t="s">
        <v>5990</v>
      </c>
      <c r="E1578" t="s">
        <v>5991</v>
      </c>
      <c r="F1578" t="s">
        <v>5</v>
      </c>
      <c r="G1578" t="s">
        <v>5</v>
      </c>
      <c r="H1578" t="s">
        <v>5</v>
      </c>
      <c r="I1578" t="s">
        <v>5229</v>
      </c>
      <c r="J1578" t="s">
        <v>7</v>
      </c>
      <c r="K1578" s="3">
        <f t="shared" si="48"/>
        <v>0</v>
      </c>
      <c r="L1578" s="3">
        <f>IF(ISERROR(VLOOKUP(J1578,Lookups!$A$2:$A$16,1,FALSE)),1,0)</f>
        <v>1</v>
      </c>
      <c r="M1578" s="3">
        <f>IF(ISERROR(VLOOKUP(D1578,Data!$A$2:$D$223100,2,FALSE)),0,1)</f>
        <v>1</v>
      </c>
      <c r="N1578" s="3">
        <f t="shared" si="49"/>
        <v>1</v>
      </c>
      <c r="O1578" s="3" t="str">
        <f>IF(ISERROR(VLOOKUP(D1578,Data!$A$2:$C$223100,3,FALSE)),"INACTIVE",VLOOKUP(D1578,Data!$A$2:$C$223100,3,FALSE))</f>
        <v>60+</v>
      </c>
    </row>
    <row r="1579" spans="1:15" x14ac:dyDescent="0.25">
      <c r="A1579" t="s">
        <v>5984</v>
      </c>
      <c r="B1579" t="s">
        <v>5985</v>
      </c>
      <c r="C1579" t="s">
        <v>5992</v>
      </c>
      <c r="D1579" t="s">
        <v>5993</v>
      </c>
      <c r="E1579" t="s">
        <v>5994</v>
      </c>
      <c r="F1579" t="s">
        <v>5</v>
      </c>
      <c r="G1579" t="s">
        <v>5</v>
      </c>
      <c r="H1579" t="s">
        <v>5</v>
      </c>
      <c r="I1579" t="s">
        <v>5229</v>
      </c>
      <c r="J1579" t="s">
        <v>7</v>
      </c>
      <c r="K1579" s="3">
        <f t="shared" si="48"/>
        <v>0</v>
      </c>
      <c r="L1579" s="3">
        <f>IF(ISERROR(VLOOKUP(J1579,Lookups!$A$2:$A$16,1,FALSE)),1,0)</f>
        <v>1</v>
      </c>
      <c r="M1579" s="3">
        <f>IF(ISERROR(VLOOKUP(D1579,Data!$A$2:$D$223100,2,FALSE)),0,1)</f>
        <v>1</v>
      </c>
      <c r="N1579" s="3">
        <f t="shared" si="49"/>
        <v>1</v>
      </c>
      <c r="O1579" s="3" t="str">
        <f>IF(ISERROR(VLOOKUP(D1579,Data!$A$2:$C$223100,3,FALSE)),"INACTIVE",VLOOKUP(D1579,Data!$A$2:$C$223100,3,FALSE))</f>
        <v>Demand Letter</v>
      </c>
    </row>
    <row r="1580" spans="1:15" x14ac:dyDescent="0.25">
      <c r="A1580" t="s">
        <v>6005</v>
      </c>
      <c r="B1580" t="s">
        <v>6006</v>
      </c>
      <c r="C1580" t="s">
        <v>6007</v>
      </c>
      <c r="D1580" t="s">
        <v>6008</v>
      </c>
      <c r="E1580" t="s">
        <v>6009</v>
      </c>
      <c r="F1580" t="s">
        <v>5</v>
      </c>
      <c r="G1580" t="s">
        <v>5</v>
      </c>
      <c r="H1580" t="s">
        <v>5</v>
      </c>
      <c r="I1580" t="s">
        <v>5229</v>
      </c>
      <c r="J1580" t="s">
        <v>90</v>
      </c>
      <c r="K1580" s="3">
        <f t="shared" si="48"/>
        <v>0</v>
      </c>
      <c r="L1580" s="3">
        <f>IF(ISERROR(VLOOKUP(J1580,Lookups!$A$2:$A$16,1,FALSE)),1,0)</f>
        <v>0</v>
      </c>
      <c r="M1580" s="3">
        <f>IF(ISERROR(VLOOKUP(D1580,Data!$A$2:$D$223100,2,FALSE)),0,1)</f>
        <v>1</v>
      </c>
      <c r="N1580" s="3">
        <f t="shared" si="49"/>
        <v>0</v>
      </c>
      <c r="O1580" s="3" t="str">
        <f>IF(ISERROR(VLOOKUP(D1580,Data!$A$2:$C$223100,3,FALSE)),"INACTIVE",VLOOKUP(D1580,Data!$A$2:$C$223100,3,FALSE))</f>
        <v>180+</v>
      </c>
    </row>
    <row r="1581" spans="1:15" x14ac:dyDescent="0.25">
      <c r="A1581" t="s">
        <v>6005</v>
      </c>
      <c r="B1581" t="s">
        <v>6006</v>
      </c>
      <c r="C1581" t="s">
        <v>6010</v>
      </c>
      <c r="D1581" t="s">
        <v>6011</v>
      </c>
      <c r="E1581" t="s">
        <v>6012</v>
      </c>
      <c r="F1581" t="s">
        <v>5</v>
      </c>
      <c r="G1581" t="s">
        <v>5</v>
      </c>
      <c r="H1581" t="s">
        <v>5</v>
      </c>
      <c r="I1581" t="s">
        <v>5229</v>
      </c>
      <c r="J1581" t="s">
        <v>90</v>
      </c>
      <c r="K1581" s="3">
        <f t="shared" si="48"/>
        <v>0</v>
      </c>
      <c r="L1581" s="3">
        <f>IF(ISERROR(VLOOKUP(J1581,Lookups!$A$2:$A$16,1,FALSE)),1,0)</f>
        <v>0</v>
      </c>
      <c r="M1581" s="3">
        <f>IF(ISERROR(VLOOKUP(D1581,Data!$A$2:$D$223100,2,FALSE)),0,1)</f>
        <v>1</v>
      </c>
      <c r="N1581" s="3">
        <f t="shared" si="49"/>
        <v>0</v>
      </c>
      <c r="O1581" s="3" t="str">
        <f>IF(ISERROR(VLOOKUP(D1581,Data!$A$2:$C$223100,3,FALSE)),"INACTIVE",VLOOKUP(D1581,Data!$A$2:$C$223100,3,FALSE))</f>
        <v>FBA</v>
      </c>
    </row>
    <row r="1582" spans="1:15" x14ac:dyDescent="0.25">
      <c r="A1582" t="s">
        <v>6005</v>
      </c>
      <c r="B1582" t="s">
        <v>6006</v>
      </c>
      <c r="C1582" t="s">
        <v>6013</v>
      </c>
      <c r="D1582" t="s">
        <v>6014</v>
      </c>
      <c r="E1582" t="s">
        <v>6015</v>
      </c>
      <c r="F1582" t="s">
        <v>5</v>
      </c>
      <c r="G1582" t="s">
        <v>5</v>
      </c>
      <c r="H1582" t="s">
        <v>5</v>
      </c>
      <c r="I1582" t="s">
        <v>5229</v>
      </c>
      <c r="J1582" t="s">
        <v>90</v>
      </c>
      <c r="K1582" s="3">
        <f t="shared" si="48"/>
        <v>0</v>
      </c>
      <c r="L1582" s="3">
        <f>IF(ISERROR(VLOOKUP(J1582,Lookups!$A$2:$A$16,1,FALSE)),1,0)</f>
        <v>0</v>
      </c>
      <c r="M1582" s="3">
        <f>IF(ISERROR(VLOOKUP(D1582,Data!$A$2:$D$223100,2,FALSE)),0,1)</f>
        <v>1</v>
      </c>
      <c r="N1582" s="3">
        <f t="shared" si="49"/>
        <v>0</v>
      </c>
      <c r="O1582" s="3" t="str">
        <f>IF(ISERROR(VLOOKUP(D1582,Data!$A$2:$C$223100,3,FALSE)),"INACTIVE",VLOOKUP(D1582,Data!$A$2:$C$223100,3,FALSE))</f>
        <v>Demand Letter</v>
      </c>
    </row>
    <row r="1583" spans="1:15" x14ac:dyDescent="0.25">
      <c r="A1583" t="s">
        <v>6005</v>
      </c>
      <c r="B1583" t="s">
        <v>6006</v>
      </c>
      <c r="C1583" t="s">
        <v>6016</v>
      </c>
      <c r="D1583" t="s">
        <v>6017</v>
      </c>
      <c r="E1583" t="s">
        <v>6018</v>
      </c>
      <c r="F1583" t="s">
        <v>5</v>
      </c>
      <c r="G1583" t="s">
        <v>5</v>
      </c>
      <c r="H1583" t="s">
        <v>5</v>
      </c>
      <c r="I1583" t="s">
        <v>5229</v>
      </c>
      <c r="J1583" t="s">
        <v>90</v>
      </c>
      <c r="K1583" s="3">
        <f t="shared" si="48"/>
        <v>0</v>
      </c>
      <c r="L1583" s="3">
        <f>IF(ISERROR(VLOOKUP(J1583,Lookups!$A$2:$A$16,1,FALSE)),1,0)</f>
        <v>0</v>
      </c>
      <c r="M1583" s="3">
        <f>IF(ISERROR(VLOOKUP(D1583,Data!$A$2:$D$223100,2,FALSE)),0,1)</f>
        <v>1</v>
      </c>
      <c r="N1583" s="3">
        <f t="shared" si="49"/>
        <v>0</v>
      </c>
      <c r="O1583" s="3" t="str">
        <f>IF(ISERROR(VLOOKUP(D1583,Data!$A$2:$C$223100,3,FALSE)),"INACTIVE",VLOOKUP(D1583,Data!$A$2:$C$223100,3,FALSE))</f>
        <v>FC</v>
      </c>
    </row>
    <row r="1584" spans="1:15" x14ac:dyDescent="0.25">
      <c r="A1584" t="s">
        <v>6019</v>
      </c>
      <c r="B1584" t="s">
        <v>6020</v>
      </c>
      <c r="C1584" t="s">
        <v>6021</v>
      </c>
      <c r="D1584" t="s">
        <v>6022</v>
      </c>
      <c r="E1584" t="s">
        <v>6023</v>
      </c>
      <c r="F1584" t="s">
        <v>5</v>
      </c>
      <c r="G1584" t="s">
        <v>5</v>
      </c>
      <c r="H1584" t="s">
        <v>5</v>
      </c>
      <c r="I1584" t="s">
        <v>5229</v>
      </c>
      <c r="J1584" t="s">
        <v>90</v>
      </c>
      <c r="K1584" s="3">
        <f t="shared" si="48"/>
        <v>0</v>
      </c>
      <c r="L1584" s="3">
        <f>IF(ISERROR(VLOOKUP(J1584,Lookups!$A$2:$A$16,1,FALSE)),1,0)</f>
        <v>0</v>
      </c>
      <c r="M1584" s="3">
        <f>IF(ISERROR(VLOOKUP(D1584,Data!$A$2:$D$223100,2,FALSE)),0,1)</f>
        <v>1</v>
      </c>
      <c r="N1584" s="3">
        <f t="shared" si="49"/>
        <v>0</v>
      </c>
      <c r="O1584" s="3" t="str">
        <f>IF(ISERROR(VLOOKUP(D1584,Data!$A$2:$C$223100,3,FALSE)),"INACTIVE",VLOOKUP(D1584,Data!$A$2:$C$223100,3,FALSE))</f>
        <v>FC</v>
      </c>
    </row>
    <row r="1585" spans="1:15" x14ac:dyDescent="0.25">
      <c r="A1585" t="s">
        <v>6019</v>
      </c>
      <c r="B1585" t="s">
        <v>6020</v>
      </c>
      <c r="C1585" t="s">
        <v>6024</v>
      </c>
      <c r="D1585" t="s">
        <v>6025</v>
      </c>
      <c r="E1585" t="s">
        <v>6026</v>
      </c>
      <c r="F1585" t="s">
        <v>5</v>
      </c>
      <c r="G1585" t="s">
        <v>5</v>
      </c>
      <c r="H1585" t="s">
        <v>5</v>
      </c>
      <c r="I1585" t="s">
        <v>5229</v>
      </c>
      <c r="J1585" t="s">
        <v>90</v>
      </c>
      <c r="K1585" s="3">
        <f t="shared" si="48"/>
        <v>0</v>
      </c>
      <c r="L1585" s="3">
        <f>IF(ISERROR(VLOOKUP(J1585,Lookups!$A$2:$A$16,1,FALSE)),1,0)</f>
        <v>0</v>
      </c>
      <c r="M1585" s="3">
        <f>IF(ISERROR(VLOOKUP(D1585,Data!$A$2:$D$223100,2,FALSE)),0,1)</f>
        <v>1</v>
      </c>
      <c r="N1585" s="3">
        <f t="shared" si="49"/>
        <v>0</v>
      </c>
      <c r="O1585" s="3" t="str">
        <f>IF(ISERROR(VLOOKUP(D1585,Data!$A$2:$C$223100,3,FALSE)),"INACTIVE",VLOOKUP(D1585,Data!$A$2:$C$223100,3,FALSE))</f>
        <v>FC</v>
      </c>
    </row>
    <row r="1586" spans="1:15" x14ac:dyDescent="0.25">
      <c r="A1586" t="s">
        <v>6027</v>
      </c>
      <c r="B1586" t="s">
        <v>6028</v>
      </c>
      <c r="C1586" t="s">
        <v>6029</v>
      </c>
      <c r="D1586" t="s">
        <v>6030</v>
      </c>
      <c r="E1586" t="s">
        <v>6031</v>
      </c>
      <c r="F1586" t="s">
        <v>5</v>
      </c>
      <c r="G1586" t="s">
        <v>5</v>
      </c>
      <c r="H1586" t="s">
        <v>5</v>
      </c>
      <c r="I1586" t="s">
        <v>5229</v>
      </c>
      <c r="J1586" t="s">
        <v>90</v>
      </c>
      <c r="K1586" s="3">
        <f t="shared" si="48"/>
        <v>0</v>
      </c>
      <c r="L1586" s="3">
        <f>IF(ISERROR(VLOOKUP(J1586,Lookups!$A$2:$A$16,1,FALSE)),1,0)</f>
        <v>0</v>
      </c>
      <c r="M1586" s="3">
        <f>IF(ISERROR(VLOOKUP(D1586,Data!$A$2:$D$223100,2,FALSE)),0,1)</f>
        <v>1</v>
      </c>
      <c r="N1586" s="3">
        <f t="shared" si="49"/>
        <v>0</v>
      </c>
      <c r="O1586" s="3" t="str">
        <f>IF(ISERROR(VLOOKUP(D1586,Data!$A$2:$C$223100,3,FALSE)),"INACTIVE",VLOOKUP(D1586,Data!$A$2:$C$223100,3,FALSE))</f>
        <v>FBA</v>
      </c>
    </row>
    <row r="1587" spans="1:15" x14ac:dyDescent="0.25">
      <c r="A1587" t="s">
        <v>6032</v>
      </c>
      <c r="B1587" t="s">
        <v>6033</v>
      </c>
      <c r="C1587" t="s">
        <v>6034</v>
      </c>
      <c r="D1587" t="s">
        <v>6035</v>
      </c>
      <c r="E1587" t="s">
        <v>6036</v>
      </c>
      <c r="F1587" t="s">
        <v>5</v>
      </c>
      <c r="G1587" t="s">
        <v>5</v>
      </c>
      <c r="H1587" t="s">
        <v>5</v>
      </c>
      <c r="I1587" t="s">
        <v>5229</v>
      </c>
      <c r="J1587" t="s">
        <v>90</v>
      </c>
      <c r="K1587" s="3">
        <f t="shared" si="48"/>
        <v>0</v>
      </c>
      <c r="L1587" s="3">
        <f>IF(ISERROR(VLOOKUP(J1587,Lookups!$A$2:$A$16,1,FALSE)),1,0)</f>
        <v>0</v>
      </c>
      <c r="M1587" s="3">
        <f>IF(ISERROR(VLOOKUP(D1587,Data!$A$2:$D$223100,2,FALSE)),0,1)</f>
        <v>1</v>
      </c>
      <c r="N1587" s="3">
        <f t="shared" si="49"/>
        <v>0</v>
      </c>
      <c r="O1587" s="3" t="str">
        <f>IF(ISERROR(VLOOKUP(D1587,Data!$A$2:$C$223100,3,FALSE)),"INACTIVE",VLOOKUP(D1587,Data!$A$2:$C$223100,3,FALSE))</f>
        <v>FC</v>
      </c>
    </row>
    <row r="1588" spans="1:15" x14ac:dyDescent="0.25">
      <c r="A1588" t="s">
        <v>5527</v>
      </c>
      <c r="B1588" t="s">
        <v>5528</v>
      </c>
      <c r="C1588" t="s">
        <v>5529</v>
      </c>
      <c r="D1588" t="s">
        <v>5530</v>
      </c>
      <c r="E1588" t="s">
        <v>5531</v>
      </c>
      <c r="F1588" t="s">
        <v>5</v>
      </c>
      <c r="G1588" t="s">
        <v>5</v>
      </c>
      <c r="H1588" t="s">
        <v>5</v>
      </c>
      <c r="I1588" t="s">
        <v>5532</v>
      </c>
      <c r="J1588" t="s">
        <v>90</v>
      </c>
      <c r="K1588" s="3">
        <f t="shared" si="48"/>
        <v>0</v>
      </c>
      <c r="L1588" s="3">
        <f>IF(ISERROR(VLOOKUP(J1588,Lookups!$A$2:$A$16,1,FALSE)),1,0)</f>
        <v>0</v>
      </c>
      <c r="M1588" s="3">
        <f>IF(ISERROR(VLOOKUP(D1588,Data!$A$2:$D$223100,2,FALSE)),0,1)</f>
        <v>1</v>
      </c>
      <c r="N1588" s="3">
        <f t="shared" si="49"/>
        <v>0</v>
      </c>
      <c r="O1588" s="3" t="str">
        <f>IF(ISERROR(VLOOKUP(D1588,Data!$A$2:$C$223100,3,FALSE)),"INACTIVE",VLOOKUP(D1588,Data!$A$2:$C$223100,3,FALSE))</f>
        <v>FBA</v>
      </c>
    </row>
    <row r="1589" spans="1:15" x14ac:dyDescent="0.25">
      <c r="A1589" t="s">
        <v>5548</v>
      </c>
      <c r="B1589" t="s">
        <v>5549</v>
      </c>
      <c r="C1589" t="s">
        <v>5550</v>
      </c>
      <c r="D1589" t="s">
        <v>5551</v>
      </c>
      <c r="E1589" t="s">
        <v>5552</v>
      </c>
      <c r="F1589" t="s">
        <v>5</v>
      </c>
      <c r="G1589" t="s">
        <v>5</v>
      </c>
      <c r="H1589" t="s">
        <v>5</v>
      </c>
      <c r="I1589" t="s">
        <v>5532</v>
      </c>
      <c r="J1589" t="s">
        <v>96</v>
      </c>
      <c r="K1589" s="3">
        <f t="shared" si="48"/>
        <v>0</v>
      </c>
      <c r="L1589" s="3">
        <f>IF(ISERROR(VLOOKUP(J1589,Lookups!$A$2:$A$16,1,FALSE)),1,0)</f>
        <v>0</v>
      </c>
      <c r="M1589" s="3">
        <f>IF(ISERROR(VLOOKUP(D1589,Data!$A$2:$D$223100,2,FALSE)),0,1)</f>
        <v>1</v>
      </c>
      <c r="N1589" s="3">
        <f t="shared" si="49"/>
        <v>0</v>
      </c>
      <c r="O1589" s="3" t="str">
        <f>IF(ISERROR(VLOOKUP(D1589,Data!$A$2:$C$223100,3,FALSE)),"INACTIVE",VLOOKUP(D1589,Data!$A$2:$C$223100,3,FALSE))</f>
        <v>Current</v>
      </c>
    </row>
    <row r="1590" spans="1:15" x14ac:dyDescent="0.25">
      <c r="A1590" t="s">
        <v>5548</v>
      </c>
      <c r="B1590" t="s">
        <v>5549</v>
      </c>
      <c r="C1590" t="s">
        <v>5550</v>
      </c>
      <c r="D1590" t="s">
        <v>5551</v>
      </c>
      <c r="E1590" t="s">
        <v>5553</v>
      </c>
      <c r="F1590" t="s">
        <v>5</v>
      </c>
      <c r="G1590" t="s">
        <v>5</v>
      </c>
      <c r="H1590" t="s">
        <v>5</v>
      </c>
      <c r="I1590" t="s">
        <v>5532</v>
      </c>
      <c r="J1590" t="s">
        <v>96</v>
      </c>
      <c r="K1590" s="3">
        <f t="shared" si="48"/>
        <v>0</v>
      </c>
      <c r="L1590" s="3">
        <f>IF(ISERROR(VLOOKUP(J1590,Lookups!$A$2:$A$16,1,FALSE)),1,0)</f>
        <v>0</v>
      </c>
      <c r="M1590" s="3">
        <f>IF(ISERROR(VLOOKUP(D1590,Data!$A$2:$D$223100,2,FALSE)),0,1)</f>
        <v>1</v>
      </c>
      <c r="N1590" s="3">
        <f t="shared" si="49"/>
        <v>0</v>
      </c>
      <c r="O1590" s="3" t="str">
        <f>IF(ISERROR(VLOOKUP(D1590,Data!$A$2:$C$223100,3,FALSE)),"INACTIVE",VLOOKUP(D1590,Data!$A$2:$C$223100,3,FALSE))</f>
        <v>Current</v>
      </c>
    </row>
    <row r="1591" spans="1:15" x14ac:dyDescent="0.25">
      <c r="A1591" t="s">
        <v>3673</v>
      </c>
      <c r="B1591" t="s">
        <v>5573</v>
      </c>
      <c r="C1591" t="s">
        <v>5574</v>
      </c>
      <c r="D1591" t="s">
        <v>5575</v>
      </c>
      <c r="E1591" t="s">
        <v>5576</v>
      </c>
      <c r="F1591" t="s">
        <v>5</v>
      </c>
      <c r="G1591" t="s">
        <v>5</v>
      </c>
      <c r="H1591" t="s">
        <v>5</v>
      </c>
      <c r="I1591" t="s">
        <v>5532</v>
      </c>
      <c r="J1591" t="s">
        <v>96</v>
      </c>
      <c r="K1591" s="3">
        <f t="shared" si="48"/>
        <v>0</v>
      </c>
      <c r="L1591" s="3">
        <f>IF(ISERROR(VLOOKUP(J1591,Lookups!$A$2:$A$16,1,FALSE)),1,0)</f>
        <v>0</v>
      </c>
      <c r="M1591" s="3">
        <f>IF(ISERROR(VLOOKUP(D1591,Data!$A$2:$D$223100,2,FALSE)),0,1)</f>
        <v>1</v>
      </c>
      <c r="N1591" s="3">
        <f t="shared" si="49"/>
        <v>0</v>
      </c>
      <c r="O1591" s="3" t="str">
        <f>IF(ISERROR(VLOOKUP(D1591,Data!$A$2:$C$223100,3,FALSE)),"INACTIVE",VLOOKUP(D1591,Data!$A$2:$C$223100,3,FALSE))</f>
        <v>90+</v>
      </c>
    </row>
    <row r="1592" spans="1:15" x14ac:dyDescent="0.25">
      <c r="A1592" t="s">
        <v>5881</v>
      </c>
      <c r="B1592" t="s">
        <v>5882</v>
      </c>
      <c r="C1592" t="s">
        <v>5883</v>
      </c>
      <c r="D1592" t="s">
        <v>5884</v>
      </c>
      <c r="E1592" t="s">
        <v>5885</v>
      </c>
      <c r="F1592" t="s">
        <v>5</v>
      </c>
      <c r="G1592" t="s">
        <v>5</v>
      </c>
      <c r="H1592" t="s">
        <v>5</v>
      </c>
      <c r="I1592" t="s">
        <v>5532</v>
      </c>
      <c r="J1592" t="s">
        <v>90</v>
      </c>
      <c r="K1592" s="3">
        <f t="shared" si="48"/>
        <v>0</v>
      </c>
      <c r="L1592" s="3">
        <f>IF(ISERROR(VLOOKUP(J1592,Lookups!$A$2:$A$16,1,FALSE)),1,0)</f>
        <v>0</v>
      </c>
      <c r="M1592" s="3">
        <f>IF(ISERROR(VLOOKUP(D1592,Data!$A$2:$D$223100,2,FALSE)),0,1)</f>
        <v>1</v>
      </c>
      <c r="N1592" s="3">
        <f t="shared" si="49"/>
        <v>0</v>
      </c>
      <c r="O1592" s="3" t="str">
        <f>IF(ISERROR(VLOOKUP(D1592,Data!$A$2:$C$223100,3,FALSE)),"INACTIVE",VLOOKUP(D1592,Data!$A$2:$C$223100,3,FALSE))</f>
        <v>Current</v>
      </c>
    </row>
    <row r="1593" spans="1:15" x14ac:dyDescent="0.25">
      <c r="A1593" t="s">
        <v>5881</v>
      </c>
      <c r="B1593" t="s">
        <v>5882</v>
      </c>
      <c r="C1593" t="s">
        <v>5886</v>
      </c>
      <c r="D1593" t="s">
        <v>5887</v>
      </c>
      <c r="E1593" t="s">
        <v>5888</v>
      </c>
      <c r="F1593" t="s">
        <v>5</v>
      </c>
      <c r="G1593" t="s">
        <v>5</v>
      </c>
      <c r="H1593" t="s">
        <v>5</v>
      </c>
      <c r="I1593" t="s">
        <v>5532</v>
      </c>
      <c r="J1593" t="s">
        <v>96</v>
      </c>
      <c r="K1593" s="3">
        <f t="shared" si="48"/>
        <v>0</v>
      </c>
      <c r="L1593" s="3">
        <f>IF(ISERROR(VLOOKUP(J1593,Lookups!$A$2:$A$16,1,FALSE)),1,0)</f>
        <v>0</v>
      </c>
      <c r="M1593" s="3">
        <f>IF(ISERROR(VLOOKUP(D1593,Data!$A$2:$D$223100,2,FALSE)),0,1)</f>
        <v>1</v>
      </c>
      <c r="N1593" s="3">
        <f t="shared" si="49"/>
        <v>0</v>
      </c>
      <c r="O1593" s="3" t="str">
        <f>IF(ISERROR(VLOOKUP(D1593,Data!$A$2:$C$223100,3,FALSE)),"INACTIVE",VLOOKUP(D1593,Data!$A$2:$C$223100,3,FALSE))</f>
        <v>BK13</v>
      </c>
    </row>
    <row r="1594" spans="1:15" x14ac:dyDescent="0.25">
      <c r="A1594" t="s">
        <v>5881</v>
      </c>
      <c r="B1594" t="s">
        <v>5882</v>
      </c>
      <c r="C1594" t="s">
        <v>5886</v>
      </c>
      <c r="D1594" t="s">
        <v>5887</v>
      </c>
      <c r="E1594" t="s">
        <v>5889</v>
      </c>
      <c r="F1594" t="s">
        <v>5</v>
      </c>
      <c r="G1594" t="s">
        <v>5</v>
      </c>
      <c r="H1594" t="s">
        <v>5</v>
      </c>
      <c r="I1594" t="s">
        <v>5532</v>
      </c>
      <c r="J1594" t="s">
        <v>96</v>
      </c>
      <c r="K1594" s="3">
        <f t="shared" si="48"/>
        <v>0</v>
      </c>
      <c r="L1594" s="3">
        <f>IF(ISERROR(VLOOKUP(J1594,Lookups!$A$2:$A$16,1,FALSE)),1,0)</f>
        <v>0</v>
      </c>
      <c r="M1594" s="3">
        <f>IF(ISERROR(VLOOKUP(D1594,Data!$A$2:$D$223100,2,FALSE)),0,1)</f>
        <v>1</v>
      </c>
      <c r="N1594" s="3">
        <f t="shared" si="49"/>
        <v>0</v>
      </c>
      <c r="O1594" s="3" t="str">
        <f>IF(ISERROR(VLOOKUP(D1594,Data!$A$2:$C$223100,3,FALSE)),"INACTIVE",VLOOKUP(D1594,Data!$A$2:$C$223100,3,FALSE))</f>
        <v>BK13</v>
      </c>
    </row>
    <row r="1595" spans="1:15" x14ac:dyDescent="0.25">
      <c r="A1595" t="s">
        <v>5881</v>
      </c>
      <c r="B1595" t="s">
        <v>5882</v>
      </c>
      <c r="C1595" t="s">
        <v>5886</v>
      </c>
      <c r="D1595" t="s">
        <v>5887</v>
      </c>
      <c r="E1595" t="s">
        <v>5890</v>
      </c>
      <c r="F1595" t="s">
        <v>5</v>
      </c>
      <c r="G1595" t="s">
        <v>5</v>
      </c>
      <c r="H1595" t="s">
        <v>5</v>
      </c>
      <c r="I1595" t="s">
        <v>5532</v>
      </c>
      <c r="J1595" t="s">
        <v>96</v>
      </c>
      <c r="K1595" s="3">
        <f t="shared" si="48"/>
        <v>0</v>
      </c>
      <c r="L1595" s="3">
        <f>IF(ISERROR(VLOOKUP(J1595,Lookups!$A$2:$A$16,1,FALSE)),1,0)</f>
        <v>0</v>
      </c>
      <c r="M1595" s="3">
        <f>IF(ISERROR(VLOOKUP(D1595,Data!$A$2:$D$223100,2,FALSE)),0,1)</f>
        <v>1</v>
      </c>
      <c r="N1595" s="3">
        <f t="shared" si="49"/>
        <v>0</v>
      </c>
      <c r="O1595" s="3" t="str">
        <f>IF(ISERROR(VLOOKUP(D1595,Data!$A$2:$C$223100,3,FALSE)),"INACTIVE",VLOOKUP(D1595,Data!$A$2:$C$223100,3,FALSE))</f>
        <v>BK13</v>
      </c>
    </row>
    <row r="1596" spans="1:15" x14ac:dyDescent="0.25">
      <c r="A1596" t="s">
        <v>5881</v>
      </c>
      <c r="B1596" t="s">
        <v>5882</v>
      </c>
      <c r="C1596" t="s">
        <v>5891</v>
      </c>
      <c r="D1596" t="s">
        <v>5892</v>
      </c>
      <c r="E1596" t="s">
        <v>5893</v>
      </c>
      <c r="F1596" t="s">
        <v>5</v>
      </c>
      <c r="G1596" t="s">
        <v>5</v>
      </c>
      <c r="H1596" t="s">
        <v>5</v>
      </c>
      <c r="I1596" t="s">
        <v>5532</v>
      </c>
      <c r="J1596" t="s">
        <v>7</v>
      </c>
      <c r="K1596" s="3">
        <f t="shared" si="48"/>
        <v>0</v>
      </c>
      <c r="L1596" s="3">
        <f>IF(ISERROR(VLOOKUP(J1596,Lookups!$A$2:$A$16,1,FALSE)),1,0)</f>
        <v>1</v>
      </c>
      <c r="M1596" s="3">
        <f>IF(ISERROR(VLOOKUP(D1596,Data!$A$2:$D$223100,2,FALSE)),0,1)</f>
        <v>1</v>
      </c>
      <c r="N1596" s="3">
        <f t="shared" si="49"/>
        <v>1</v>
      </c>
      <c r="O1596" s="3" t="str">
        <f>IF(ISERROR(VLOOKUP(D1596,Data!$A$2:$C$223100,3,FALSE)),"INACTIVE",VLOOKUP(D1596,Data!$A$2:$C$223100,3,FALSE))</f>
        <v>Current</v>
      </c>
    </row>
    <row r="1597" spans="1:15" x14ac:dyDescent="0.25">
      <c r="A1597" t="s">
        <v>5125</v>
      </c>
      <c r="B1597" t="s">
        <v>5126</v>
      </c>
      <c r="C1597" t="s">
        <v>5127</v>
      </c>
      <c r="D1597" t="s">
        <v>5128</v>
      </c>
      <c r="E1597" t="s">
        <v>5</v>
      </c>
      <c r="F1597" t="s">
        <v>5129</v>
      </c>
      <c r="G1597" t="s">
        <v>5</v>
      </c>
      <c r="H1597" t="s">
        <v>5</v>
      </c>
      <c r="I1597" t="s">
        <v>5130</v>
      </c>
      <c r="J1597" t="s">
        <v>14</v>
      </c>
      <c r="K1597" s="3">
        <f t="shared" si="48"/>
        <v>0</v>
      </c>
      <c r="L1597" s="3">
        <f>IF(ISERROR(VLOOKUP(J1597,Lookups!$A$2:$A$16,1,FALSE)),1,0)</f>
        <v>1</v>
      </c>
      <c r="M1597" s="3">
        <f>IF(ISERROR(VLOOKUP(D1597,Data!$A$2:$D$223100,2,FALSE)),0,1)</f>
        <v>0</v>
      </c>
      <c r="N1597" s="3">
        <f t="shared" si="49"/>
        <v>0</v>
      </c>
      <c r="O1597" s="3" t="str">
        <f>IF(ISERROR(VLOOKUP(D1597,Data!$A$2:$C$223100,3,FALSE)),"INACTIVE",VLOOKUP(D1597,Data!$A$2:$C$223100,3,FALSE))</f>
        <v>INACTIVE</v>
      </c>
    </row>
    <row r="1598" spans="1:15" x14ac:dyDescent="0.25">
      <c r="A1598" t="s">
        <v>5125</v>
      </c>
      <c r="B1598" t="s">
        <v>5126</v>
      </c>
      <c r="C1598" t="s">
        <v>5131</v>
      </c>
      <c r="D1598" t="s">
        <v>5132</v>
      </c>
      <c r="E1598" t="s">
        <v>5133</v>
      </c>
      <c r="F1598" t="s">
        <v>5134</v>
      </c>
      <c r="G1598" t="s">
        <v>5</v>
      </c>
      <c r="H1598" t="s">
        <v>5</v>
      </c>
      <c r="I1598" t="s">
        <v>5130</v>
      </c>
      <c r="J1598" t="s">
        <v>14</v>
      </c>
      <c r="K1598" s="3">
        <f t="shared" si="48"/>
        <v>0</v>
      </c>
      <c r="L1598" s="3">
        <f>IF(ISERROR(VLOOKUP(J1598,Lookups!$A$2:$A$16,1,FALSE)),1,0)</f>
        <v>1</v>
      </c>
      <c r="M1598" s="3">
        <f>IF(ISERROR(VLOOKUP(D1598,Data!$A$2:$D$223100,2,FALSE)),0,1)</f>
        <v>1</v>
      </c>
      <c r="N1598" s="3">
        <f t="shared" si="49"/>
        <v>1</v>
      </c>
      <c r="O1598" s="3" t="str">
        <f>IF(ISERROR(VLOOKUP(D1598,Data!$A$2:$C$223100,3,FALSE)),"INACTIVE",VLOOKUP(D1598,Data!$A$2:$C$223100,3,FALSE))</f>
        <v>FC</v>
      </c>
    </row>
    <row r="1599" spans="1:15" x14ac:dyDescent="0.25">
      <c r="A1599" t="s">
        <v>5125</v>
      </c>
      <c r="B1599" t="s">
        <v>5126</v>
      </c>
      <c r="C1599" t="s">
        <v>5135</v>
      </c>
      <c r="D1599" t="s">
        <v>5136</v>
      </c>
      <c r="E1599" t="s">
        <v>5</v>
      </c>
      <c r="F1599" t="s">
        <v>5137</v>
      </c>
      <c r="G1599" t="s">
        <v>5</v>
      </c>
      <c r="H1599" t="s">
        <v>5</v>
      </c>
      <c r="I1599" t="s">
        <v>5130</v>
      </c>
      <c r="J1599" t="s">
        <v>7</v>
      </c>
      <c r="K1599" s="3">
        <f t="shared" si="48"/>
        <v>0</v>
      </c>
      <c r="L1599" s="3">
        <f>IF(ISERROR(VLOOKUP(J1599,Lookups!$A$2:$A$16,1,FALSE)),1,0)</f>
        <v>1</v>
      </c>
      <c r="M1599" s="3">
        <f>IF(ISERROR(VLOOKUP(D1599,Data!$A$2:$D$223100,2,FALSE)),0,1)</f>
        <v>1</v>
      </c>
      <c r="N1599" s="3">
        <f t="shared" si="49"/>
        <v>1</v>
      </c>
      <c r="O1599" s="3" t="str">
        <f>IF(ISERROR(VLOOKUP(D1599,Data!$A$2:$C$223100,3,FALSE)),"INACTIVE",VLOOKUP(D1599,Data!$A$2:$C$223100,3,FALSE))</f>
        <v>FC</v>
      </c>
    </row>
    <row r="1600" spans="1:15" x14ac:dyDescent="0.25">
      <c r="A1600" t="s">
        <v>5125</v>
      </c>
      <c r="B1600" t="s">
        <v>5126</v>
      </c>
      <c r="C1600" t="s">
        <v>5135</v>
      </c>
      <c r="D1600" t="s">
        <v>5136</v>
      </c>
      <c r="E1600" t="s">
        <v>5138</v>
      </c>
      <c r="F1600" t="s">
        <v>5138</v>
      </c>
      <c r="G1600" t="s">
        <v>5</v>
      </c>
      <c r="H1600" t="s">
        <v>5</v>
      </c>
      <c r="I1600" t="s">
        <v>5130</v>
      </c>
      <c r="J1600" t="s">
        <v>7</v>
      </c>
      <c r="K1600" s="3">
        <f t="shared" si="48"/>
        <v>0</v>
      </c>
      <c r="L1600" s="3">
        <f>IF(ISERROR(VLOOKUP(J1600,Lookups!$A$2:$A$16,1,FALSE)),1,0)</f>
        <v>1</v>
      </c>
      <c r="M1600" s="3">
        <f>IF(ISERROR(VLOOKUP(D1600,Data!$A$2:$D$223100,2,FALSE)),0,1)</f>
        <v>1</v>
      </c>
      <c r="N1600" s="3">
        <f t="shared" si="49"/>
        <v>1</v>
      </c>
      <c r="O1600" s="3" t="str">
        <f>IF(ISERROR(VLOOKUP(D1600,Data!$A$2:$C$223100,3,FALSE)),"INACTIVE",VLOOKUP(D1600,Data!$A$2:$C$223100,3,FALSE))</f>
        <v>FC</v>
      </c>
    </row>
    <row r="1601" spans="1:15" x14ac:dyDescent="0.25">
      <c r="A1601" t="s">
        <v>5125</v>
      </c>
      <c r="B1601" t="s">
        <v>5126</v>
      </c>
      <c r="C1601" t="s">
        <v>5139</v>
      </c>
      <c r="D1601" t="s">
        <v>5140</v>
      </c>
      <c r="E1601" t="s">
        <v>5</v>
      </c>
      <c r="F1601" t="s">
        <v>5141</v>
      </c>
      <c r="G1601" t="s">
        <v>5</v>
      </c>
      <c r="H1601" t="s">
        <v>5</v>
      </c>
      <c r="I1601" t="s">
        <v>5130</v>
      </c>
      <c r="J1601" t="s">
        <v>14</v>
      </c>
      <c r="K1601" s="3">
        <f t="shared" si="48"/>
        <v>0</v>
      </c>
      <c r="L1601" s="3">
        <f>IF(ISERROR(VLOOKUP(J1601,Lookups!$A$2:$A$16,1,FALSE)),1,0)</f>
        <v>1</v>
      </c>
      <c r="M1601" s="3">
        <f>IF(ISERROR(VLOOKUP(D1601,Data!$A$2:$D$223100,2,FALSE)),0,1)</f>
        <v>1</v>
      </c>
      <c r="N1601" s="3">
        <f t="shared" si="49"/>
        <v>1</v>
      </c>
      <c r="O1601" s="3" t="str">
        <f>IF(ISERROR(VLOOKUP(D1601,Data!$A$2:$C$223100,3,FALSE)),"INACTIVE",VLOOKUP(D1601,Data!$A$2:$C$223100,3,FALSE))</f>
        <v>FBA</v>
      </c>
    </row>
    <row r="1602" spans="1:15" x14ac:dyDescent="0.25">
      <c r="A1602" t="s">
        <v>5125</v>
      </c>
      <c r="B1602" t="s">
        <v>5126</v>
      </c>
      <c r="C1602" t="s">
        <v>5142</v>
      </c>
      <c r="D1602" t="s">
        <v>5143</v>
      </c>
      <c r="E1602" t="s">
        <v>5144</v>
      </c>
      <c r="F1602" t="s">
        <v>5144</v>
      </c>
      <c r="G1602" t="s">
        <v>5</v>
      </c>
      <c r="H1602" t="s">
        <v>5</v>
      </c>
      <c r="I1602" t="s">
        <v>5130</v>
      </c>
      <c r="J1602" t="s">
        <v>7</v>
      </c>
      <c r="K1602" s="3">
        <f t="shared" si="48"/>
        <v>0</v>
      </c>
      <c r="L1602" s="3">
        <f>IF(ISERROR(VLOOKUP(J1602,Lookups!$A$2:$A$16,1,FALSE)),1,0)</f>
        <v>1</v>
      </c>
      <c r="M1602" s="3">
        <f>IF(ISERROR(VLOOKUP(D1602,Data!$A$2:$D$223100,2,FALSE)),0,1)</f>
        <v>0</v>
      </c>
      <c r="N1602" s="3">
        <f t="shared" si="49"/>
        <v>0</v>
      </c>
      <c r="O1602" s="3" t="str">
        <f>IF(ISERROR(VLOOKUP(D1602,Data!$A$2:$C$223100,3,FALSE)),"INACTIVE",VLOOKUP(D1602,Data!$A$2:$C$223100,3,FALSE))</f>
        <v>INACTIVE</v>
      </c>
    </row>
    <row r="1603" spans="1:15" x14ac:dyDescent="0.25">
      <c r="A1603" t="s">
        <v>5125</v>
      </c>
      <c r="B1603" t="s">
        <v>5126</v>
      </c>
      <c r="C1603" t="s">
        <v>5142</v>
      </c>
      <c r="D1603" t="s">
        <v>5143</v>
      </c>
      <c r="E1603" t="s">
        <v>5145</v>
      </c>
      <c r="F1603" t="s">
        <v>5146</v>
      </c>
      <c r="G1603" t="s">
        <v>5</v>
      </c>
      <c r="H1603" t="s">
        <v>5</v>
      </c>
      <c r="I1603" t="s">
        <v>5130</v>
      </c>
      <c r="J1603" t="s">
        <v>7</v>
      </c>
      <c r="K1603" s="3">
        <f t="shared" ref="K1603:K1666" si="50">IF(ISERROR(FIND("LIEN",A1603,1)),0,1)</f>
        <v>0</v>
      </c>
      <c r="L1603" s="3">
        <f>IF(ISERROR(VLOOKUP(J1603,Lookups!$A$2:$A$16,1,FALSE)),1,0)</f>
        <v>1</v>
      </c>
      <c r="M1603" s="3">
        <f>IF(ISERROR(VLOOKUP(D1603,Data!$A$2:$D$223100,2,FALSE)),0,1)</f>
        <v>0</v>
      </c>
      <c r="N1603" s="3">
        <f t="shared" ref="N1603:N1666" si="51">IF(M1603=0,0,IF(SUM(K1603:L1603)&gt;0,1,0))</f>
        <v>0</v>
      </c>
      <c r="O1603" s="3" t="str">
        <f>IF(ISERROR(VLOOKUP(D1603,Data!$A$2:$C$223100,3,FALSE)),"INACTIVE",VLOOKUP(D1603,Data!$A$2:$C$223100,3,FALSE))</f>
        <v>INACTIVE</v>
      </c>
    </row>
    <row r="1604" spans="1:15" x14ac:dyDescent="0.25">
      <c r="A1604" t="s">
        <v>5125</v>
      </c>
      <c r="B1604" t="s">
        <v>5126</v>
      </c>
      <c r="C1604" t="s">
        <v>5147</v>
      </c>
      <c r="D1604" t="s">
        <v>5148</v>
      </c>
      <c r="E1604" t="s">
        <v>5149</v>
      </c>
      <c r="F1604" t="s">
        <v>5150</v>
      </c>
      <c r="G1604" t="s">
        <v>5</v>
      </c>
      <c r="H1604" t="s">
        <v>5</v>
      </c>
      <c r="I1604" t="s">
        <v>5130</v>
      </c>
      <c r="J1604" t="s">
        <v>7</v>
      </c>
      <c r="K1604" s="3">
        <f t="shared" si="50"/>
        <v>0</v>
      </c>
      <c r="L1604" s="3">
        <f>IF(ISERROR(VLOOKUP(J1604,Lookups!$A$2:$A$16,1,FALSE)),1,0)</f>
        <v>1</v>
      </c>
      <c r="M1604" s="3">
        <f>IF(ISERROR(VLOOKUP(D1604,Data!$A$2:$D$223100,2,FALSE)),0,1)</f>
        <v>1</v>
      </c>
      <c r="N1604" s="3">
        <f t="shared" si="51"/>
        <v>1</v>
      </c>
      <c r="O1604" s="3" t="str">
        <f>IF(ISERROR(VLOOKUP(D1604,Data!$A$2:$C$223100,3,FALSE)),"INACTIVE",VLOOKUP(D1604,Data!$A$2:$C$223100,3,FALSE))</f>
        <v>FC</v>
      </c>
    </row>
    <row r="1605" spans="1:15" x14ac:dyDescent="0.25">
      <c r="A1605" t="s">
        <v>5125</v>
      </c>
      <c r="B1605" t="s">
        <v>5126</v>
      </c>
      <c r="C1605" t="s">
        <v>5147</v>
      </c>
      <c r="D1605" t="s">
        <v>5148</v>
      </c>
      <c r="E1605" t="s">
        <v>5151</v>
      </c>
      <c r="F1605" t="s">
        <v>5151</v>
      </c>
      <c r="G1605" t="s">
        <v>5</v>
      </c>
      <c r="H1605" t="s">
        <v>5</v>
      </c>
      <c r="I1605" t="s">
        <v>5130</v>
      </c>
      <c r="J1605" t="s">
        <v>7</v>
      </c>
      <c r="K1605" s="3">
        <f t="shared" si="50"/>
        <v>0</v>
      </c>
      <c r="L1605" s="3">
        <f>IF(ISERROR(VLOOKUP(J1605,Lookups!$A$2:$A$16,1,FALSE)),1,0)</f>
        <v>1</v>
      </c>
      <c r="M1605" s="3">
        <f>IF(ISERROR(VLOOKUP(D1605,Data!$A$2:$D$223100,2,FALSE)),0,1)</f>
        <v>1</v>
      </c>
      <c r="N1605" s="3">
        <f t="shared" si="51"/>
        <v>1</v>
      </c>
      <c r="O1605" s="3" t="str">
        <f>IF(ISERROR(VLOOKUP(D1605,Data!$A$2:$C$223100,3,FALSE)),"INACTIVE",VLOOKUP(D1605,Data!$A$2:$C$223100,3,FALSE))</f>
        <v>FC</v>
      </c>
    </row>
    <row r="1606" spans="1:15" x14ac:dyDescent="0.25">
      <c r="A1606" t="s">
        <v>5438</v>
      </c>
      <c r="B1606" t="s">
        <v>5439</v>
      </c>
      <c r="C1606" t="s">
        <v>5440</v>
      </c>
      <c r="D1606" t="s">
        <v>5441</v>
      </c>
      <c r="E1606" t="s">
        <v>5442</v>
      </c>
      <c r="F1606" t="s">
        <v>5</v>
      </c>
      <c r="G1606" t="s">
        <v>5</v>
      </c>
      <c r="H1606" t="s">
        <v>5</v>
      </c>
      <c r="I1606" t="s">
        <v>5130</v>
      </c>
      <c r="J1606" t="s">
        <v>7</v>
      </c>
      <c r="K1606" s="3">
        <f t="shared" si="50"/>
        <v>0</v>
      </c>
      <c r="L1606" s="3">
        <f>IF(ISERROR(VLOOKUP(J1606,Lookups!$A$2:$A$16,1,FALSE)),1,0)</f>
        <v>1</v>
      </c>
      <c r="M1606" s="3">
        <f>IF(ISERROR(VLOOKUP(D1606,Data!$A$2:$D$223100,2,FALSE)),0,1)</f>
        <v>1</v>
      </c>
      <c r="N1606" s="3">
        <f t="shared" si="51"/>
        <v>1</v>
      </c>
      <c r="O1606" s="3" t="str">
        <f>IF(ISERROR(VLOOKUP(D1606,Data!$A$2:$C$223100,3,FALSE)),"INACTIVE",VLOOKUP(D1606,Data!$A$2:$C$223100,3,FALSE))</f>
        <v>Current</v>
      </c>
    </row>
    <row r="1607" spans="1:15" x14ac:dyDescent="0.25">
      <c r="A1607" t="s">
        <v>5438</v>
      </c>
      <c r="B1607" t="s">
        <v>5439</v>
      </c>
      <c r="C1607" t="s">
        <v>5443</v>
      </c>
      <c r="D1607" t="s">
        <v>5444</v>
      </c>
      <c r="E1607" t="s">
        <v>5445</v>
      </c>
      <c r="F1607" t="s">
        <v>5</v>
      </c>
      <c r="G1607" t="s">
        <v>5</v>
      </c>
      <c r="H1607" t="s">
        <v>5</v>
      </c>
      <c r="I1607" t="s">
        <v>5130</v>
      </c>
      <c r="J1607" t="s">
        <v>7</v>
      </c>
      <c r="K1607" s="3">
        <f t="shared" si="50"/>
        <v>0</v>
      </c>
      <c r="L1607" s="3">
        <f>IF(ISERROR(VLOOKUP(J1607,Lookups!$A$2:$A$16,1,FALSE)),1,0)</f>
        <v>1</v>
      </c>
      <c r="M1607" s="3">
        <f>IF(ISERROR(VLOOKUP(D1607,Data!$A$2:$D$223100,2,FALSE)),0,1)</f>
        <v>1</v>
      </c>
      <c r="N1607" s="3">
        <f t="shared" si="51"/>
        <v>1</v>
      </c>
      <c r="O1607" s="3" t="str">
        <f>IF(ISERROR(VLOOKUP(D1607,Data!$A$2:$C$223100,3,FALSE)),"INACTIVE",VLOOKUP(D1607,Data!$A$2:$C$223100,3,FALSE))</f>
        <v>Current</v>
      </c>
    </row>
    <row r="1608" spans="1:15" x14ac:dyDescent="0.25">
      <c r="A1608" t="s">
        <v>5438</v>
      </c>
      <c r="B1608" t="s">
        <v>5439</v>
      </c>
      <c r="C1608" t="s">
        <v>5446</v>
      </c>
      <c r="D1608" t="s">
        <v>5447</v>
      </c>
      <c r="E1608" t="s">
        <v>5448</v>
      </c>
      <c r="F1608" t="s">
        <v>5</v>
      </c>
      <c r="G1608" t="s">
        <v>5</v>
      </c>
      <c r="H1608" t="s">
        <v>5</v>
      </c>
      <c r="I1608" t="s">
        <v>5130</v>
      </c>
      <c r="J1608" t="s">
        <v>7</v>
      </c>
      <c r="K1608" s="3">
        <f t="shared" si="50"/>
        <v>0</v>
      </c>
      <c r="L1608" s="3">
        <f>IF(ISERROR(VLOOKUP(J1608,Lookups!$A$2:$A$16,1,FALSE)),1,0)</f>
        <v>1</v>
      </c>
      <c r="M1608" s="3">
        <f>IF(ISERROR(VLOOKUP(D1608,Data!$A$2:$D$223100,2,FALSE)),0,1)</f>
        <v>1</v>
      </c>
      <c r="N1608" s="3">
        <f t="shared" si="51"/>
        <v>1</v>
      </c>
      <c r="O1608" s="3" t="str">
        <f>IF(ISERROR(VLOOKUP(D1608,Data!$A$2:$C$223100,3,FALSE)),"INACTIVE",VLOOKUP(D1608,Data!$A$2:$C$223100,3,FALSE))</f>
        <v>Current</v>
      </c>
    </row>
    <row r="1609" spans="1:15" x14ac:dyDescent="0.25">
      <c r="A1609" t="s">
        <v>5479</v>
      </c>
      <c r="B1609" t="s">
        <v>5480</v>
      </c>
      <c r="C1609" t="s">
        <v>5481</v>
      </c>
      <c r="D1609" t="s">
        <v>5482</v>
      </c>
      <c r="E1609" t="s">
        <v>5483</v>
      </c>
      <c r="F1609" t="s">
        <v>5</v>
      </c>
      <c r="G1609" t="s">
        <v>5</v>
      </c>
      <c r="H1609" t="s">
        <v>5</v>
      </c>
      <c r="I1609" t="s">
        <v>5130</v>
      </c>
      <c r="J1609" t="s">
        <v>96</v>
      </c>
      <c r="K1609" s="3">
        <f t="shared" si="50"/>
        <v>0</v>
      </c>
      <c r="L1609" s="3">
        <f>IF(ISERROR(VLOOKUP(J1609,Lookups!$A$2:$A$16,1,FALSE)),1,0)</f>
        <v>0</v>
      </c>
      <c r="M1609" s="3">
        <f>IF(ISERROR(VLOOKUP(D1609,Data!$A$2:$D$223100,2,FALSE)),0,1)</f>
        <v>1</v>
      </c>
      <c r="N1609" s="3">
        <f t="shared" si="51"/>
        <v>0</v>
      </c>
      <c r="O1609" s="3" t="str">
        <f>IF(ISERROR(VLOOKUP(D1609,Data!$A$2:$C$223100,3,FALSE)),"INACTIVE",VLOOKUP(D1609,Data!$A$2:$C$223100,3,FALSE))</f>
        <v>180+</v>
      </c>
    </row>
    <row r="1610" spans="1:15" x14ac:dyDescent="0.25">
      <c r="A1610" t="s">
        <v>5479</v>
      </c>
      <c r="B1610" t="s">
        <v>5480</v>
      </c>
      <c r="C1610" t="s">
        <v>5481</v>
      </c>
      <c r="D1610" t="s">
        <v>5482</v>
      </c>
      <c r="E1610" t="s">
        <v>5483</v>
      </c>
      <c r="F1610" t="s">
        <v>5</v>
      </c>
      <c r="G1610" t="s">
        <v>5</v>
      </c>
      <c r="H1610" t="s">
        <v>5</v>
      </c>
      <c r="I1610" t="s">
        <v>5130</v>
      </c>
      <c r="J1610" t="s">
        <v>96</v>
      </c>
      <c r="K1610" s="3">
        <f t="shared" si="50"/>
        <v>0</v>
      </c>
      <c r="L1610" s="3">
        <f>IF(ISERROR(VLOOKUP(J1610,Lookups!$A$2:$A$16,1,FALSE)),1,0)</f>
        <v>0</v>
      </c>
      <c r="M1610" s="3">
        <f>IF(ISERROR(VLOOKUP(D1610,Data!$A$2:$D$223100,2,FALSE)),0,1)</f>
        <v>1</v>
      </c>
      <c r="N1610" s="3">
        <f t="shared" si="51"/>
        <v>0</v>
      </c>
      <c r="O1610" s="3" t="str">
        <f>IF(ISERROR(VLOOKUP(D1610,Data!$A$2:$C$223100,3,FALSE)),"INACTIVE",VLOOKUP(D1610,Data!$A$2:$C$223100,3,FALSE))</f>
        <v>180+</v>
      </c>
    </row>
    <row r="1611" spans="1:15" x14ac:dyDescent="0.25">
      <c r="A1611" t="s">
        <v>5479</v>
      </c>
      <c r="B1611" t="s">
        <v>5480</v>
      </c>
      <c r="C1611" t="s">
        <v>5484</v>
      </c>
      <c r="D1611" t="s">
        <v>5485</v>
      </c>
      <c r="E1611" t="s">
        <v>5483</v>
      </c>
      <c r="F1611" t="s">
        <v>5</v>
      </c>
      <c r="G1611" t="s">
        <v>5</v>
      </c>
      <c r="H1611" t="s">
        <v>5</v>
      </c>
      <c r="I1611" t="s">
        <v>5130</v>
      </c>
      <c r="J1611" t="s">
        <v>96</v>
      </c>
      <c r="K1611" s="3">
        <f t="shared" si="50"/>
        <v>0</v>
      </c>
      <c r="L1611" s="3">
        <f>IF(ISERROR(VLOOKUP(J1611,Lookups!$A$2:$A$16,1,FALSE)),1,0)</f>
        <v>0</v>
      </c>
      <c r="M1611" s="3">
        <f>IF(ISERROR(VLOOKUP(D1611,Data!$A$2:$D$223100,2,FALSE)),0,1)</f>
        <v>1</v>
      </c>
      <c r="N1611" s="3">
        <f t="shared" si="51"/>
        <v>0</v>
      </c>
      <c r="O1611" s="3" t="str">
        <f>IF(ISERROR(VLOOKUP(D1611,Data!$A$2:$C$223100,3,FALSE)),"INACTIVE",VLOOKUP(D1611,Data!$A$2:$C$223100,3,FALSE))</f>
        <v>30+</v>
      </c>
    </row>
    <row r="1612" spans="1:15" x14ac:dyDescent="0.25">
      <c r="A1612" t="s">
        <v>5479</v>
      </c>
      <c r="B1612" t="s">
        <v>5480</v>
      </c>
      <c r="C1612" t="s">
        <v>5484</v>
      </c>
      <c r="D1612" t="s">
        <v>5485</v>
      </c>
      <c r="E1612" t="s">
        <v>5483</v>
      </c>
      <c r="F1612" t="s">
        <v>5</v>
      </c>
      <c r="G1612" t="s">
        <v>5</v>
      </c>
      <c r="H1612" t="s">
        <v>5</v>
      </c>
      <c r="I1612" t="s">
        <v>5130</v>
      </c>
      <c r="J1612" t="s">
        <v>96</v>
      </c>
      <c r="K1612" s="3">
        <f t="shared" si="50"/>
        <v>0</v>
      </c>
      <c r="L1612" s="3">
        <f>IF(ISERROR(VLOOKUP(J1612,Lookups!$A$2:$A$16,1,FALSE)),1,0)</f>
        <v>0</v>
      </c>
      <c r="M1612" s="3">
        <f>IF(ISERROR(VLOOKUP(D1612,Data!$A$2:$D$223100,2,FALSE)),0,1)</f>
        <v>1</v>
      </c>
      <c r="N1612" s="3">
        <f t="shared" si="51"/>
        <v>0</v>
      </c>
      <c r="O1612" s="3" t="str">
        <f>IF(ISERROR(VLOOKUP(D1612,Data!$A$2:$C$223100,3,FALSE)),"INACTIVE",VLOOKUP(D1612,Data!$A$2:$C$223100,3,FALSE))</f>
        <v>30+</v>
      </c>
    </row>
    <row r="1613" spans="1:15" x14ac:dyDescent="0.25">
      <c r="A1613" t="s">
        <v>5479</v>
      </c>
      <c r="B1613" t="s">
        <v>5480</v>
      </c>
      <c r="C1613" t="s">
        <v>5484</v>
      </c>
      <c r="D1613" t="s">
        <v>5485</v>
      </c>
      <c r="E1613" t="s">
        <v>5483</v>
      </c>
      <c r="F1613" t="s">
        <v>5</v>
      </c>
      <c r="G1613" t="s">
        <v>5</v>
      </c>
      <c r="H1613" t="s">
        <v>5</v>
      </c>
      <c r="I1613" t="s">
        <v>5130</v>
      </c>
      <c r="J1613" t="s">
        <v>96</v>
      </c>
      <c r="K1613" s="3">
        <f t="shared" si="50"/>
        <v>0</v>
      </c>
      <c r="L1613" s="3">
        <f>IF(ISERROR(VLOOKUP(J1613,Lookups!$A$2:$A$16,1,FALSE)),1,0)</f>
        <v>0</v>
      </c>
      <c r="M1613" s="3">
        <f>IF(ISERROR(VLOOKUP(D1613,Data!$A$2:$D$223100,2,FALSE)),0,1)</f>
        <v>1</v>
      </c>
      <c r="N1613" s="3">
        <f t="shared" si="51"/>
        <v>0</v>
      </c>
      <c r="O1613" s="3" t="str">
        <f>IF(ISERROR(VLOOKUP(D1613,Data!$A$2:$C$223100,3,FALSE)),"INACTIVE",VLOOKUP(D1613,Data!$A$2:$C$223100,3,FALSE))</f>
        <v>30+</v>
      </c>
    </row>
    <row r="1614" spans="1:15" x14ac:dyDescent="0.25">
      <c r="A1614" t="s">
        <v>5479</v>
      </c>
      <c r="B1614" t="s">
        <v>5480</v>
      </c>
      <c r="C1614" t="s">
        <v>5484</v>
      </c>
      <c r="D1614" t="s">
        <v>5485</v>
      </c>
      <c r="E1614" t="s">
        <v>5483</v>
      </c>
      <c r="F1614" t="s">
        <v>5</v>
      </c>
      <c r="G1614" t="s">
        <v>5</v>
      </c>
      <c r="H1614" t="s">
        <v>5</v>
      </c>
      <c r="I1614" t="s">
        <v>5130</v>
      </c>
      <c r="J1614" t="s">
        <v>96</v>
      </c>
      <c r="K1614" s="3">
        <f t="shared" si="50"/>
        <v>0</v>
      </c>
      <c r="L1614" s="3">
        <f>IF(ISERROR(VLOOKUP(J1614,Lookups!$A$2:$A$16,1,FALSE)),1,0)</f>
        <v>0</v>
      </c>
      <c r="M1614" s="3">
        <f>IF(ISERROR(VLOOKUP(D1614,Data!$A$2:$D$223100,2,FALSE)),0,1)</f>
        <v>1</v>
      </c>
      <c r="N1614" s="3">
        <f t="shared" si="51"/>
        <v>0</v>
      </c>
      <c r="O1614" s="3" t="str">
        <f>IF(ISERROR(VLOOKUP(D1614,Data!$A$2:$C$223100,3,FALSE)),"INACTIVE",VLOOKUP(D1614,Data!$A$2:$C$223100,3,FALSE))</f>
        <v>30+</v>
      </c>
    </row>
    <row r="1615" spans="1:15" x14ac:dyDescent="0.25">
      <c r="A1615" t="s">
        <v>5479</v>
      </c>
      <c r="B1615" t="s">
        <v>5480</v>
      </c>
      <c r="C1615" t="s">
        <v>5486</v>
      </c>
      <c r="D1615" t="s">
        <v>5487</v>
      </c>
      <c r="E1615" t="s">
        <v>5488</v>
      </c>
      <c r="F1615" t="s">
        <v>5</v>
      </c>
      <c r="G1615" t="s">
        <v>5</v>
      </c>
      <c r="H1615" t="s">
        <v>5</v>
      </c>
      <c r="I1615" t="s">
        <v>5130</v>
      </c>
      <c r="J1615" t="s">
        <v>96</v>
      </c>
      <c r="K1615" s="3">
        <f t="shared" si="50"/>
        <v>0</v>
      </c>
      <c r="L1615" s="3">
        <f>IF(ISERROR(VLOOKUP(J1615,Lookups!$A$2:$A$16,1,FALSE)),1,0)</f>
        <v>0</v>
      </c>
      <c r="M1615" s="3">
        <f>IF(ISERROR(VLOOKUP(D1615,Data!$A$2:$D$223100,2,FALSE)),0,1)</f>
        <v>1</v>
      </c>
      <c r="N1615" s="3">
        <f t="shared" si="51"/>
        <v>0</v>
      </c>
      <c r="O1615" s="3" t="str">
        <f>IF(ISERROR(VLOOKUP(D1615,Data!$A$2:$C$223100,3,FALSE)),"INACTIVE",VLOOKUP(D1615,Data!$A$2:$C$223100,3,FALSE))</f>
        <v>30+</v>
      </c>
    </row>
    <row r="1616" spans="1:15" x14ac:dyDescent="0.25">
      <c r="A1616" t="s">
        <v>5479</v>
      </c>
      <c r="B1616" t="s">
        <v>5480</v>
      </c>
      <c r="C1616" t="s">
        <v>5486</v>
      </c>
      <c r="D1616" t="s">
        <v>5487</v>
      </c>
      <c r="E1616" t="s">
        <v>5483</v>
      </c>
      <c r="F1616" t="s">
        <v>5</v>
      </c>
      <c r="G1616" t="s">
        <v>5</v>
      </c>
      <c r="H1616" t="s">
        <v>5</v>
      </c>
      <c r="I1616" t="s">
        <v>5130</v>
      </c>
      <c r="J1616" t="s">
        <v>96</v>
      </c>
      <c r="K1616" s="3">
        <f t="shared" si="50"/>
        <v>0</v>
      </c>
      <c r="L1616" s="3">
        <f>IF(ISERROR(VLOOKUP(J1616,Lookups!$A$2:$A$16,1,FALSE)),1,0)</f>
        <v>0</v>
      </c>
      <c r="M1616" s="3">
        <f>IF(ISERROR(VLOOKUP(D1616,Data!$A$2:$D$223100,2,FALSE)),0,1)</f>
        <v>1</v>
      </c>
      <c r="N1616" s="3">
        <f t="shared" si="51"/>
        <v>0</v>
      </c>
      <c r="O1616" s="3" t="str">
        <f>IF(ISERROR(VLOOKUP(D1616,Data!$A$2:$C$223100,3,FALSE)),"INACTIVE",VLOOKUP(D1616,Data!$A$2:$C$223100,3,FALSE))</f>
        <v>30+</v>
      </c>
    </row>
    <row r="1617" spans="1:15" x14ac:dyDescent="0.25">
      <c r="A1617" t="s">
        <v>5479</v>
      </c>
      <c r="B1617" t="s">
        <v>5480</v>
      </c>
      <c r="C1617" t="s">
        <v>5486</v>
      </c>
      <c r="D1617" t="s">
        <v>5487</v>
      </c>
      <c r="E1617" t="s">
        <v>5483</v>
      </c>
      <c r="F1617" t="s">
        <v>5</v>
      </c>
      <c r="G1617" t="s">
        <v>5</v>
      </c>
      <c r="H1617" t="s">
        <v>5</v>
      </c>
      <c r="I1617" t="s">
        <v>5130</v>
      </c>
      <c r="J1617" t="s">
        <v>96</v>
      </c>
      <c r="K1617" s="3">
        <f t="shared" si="50"/>
        <v>0</v>
      </c>
      <c r="L1617" s="3">
        <f>IF(ISERROR(VLOOKUP(J1617,Lookups!$A$2:$A$16,1,FALSE)),1,0)</f>
        <v>0</v>
      </c>
      <c r="M1617" s="3">
        <f>IF(ISERROR(VLOOKUP(D1617,Data!$A$2:$D$223100,2,FALSE)),0,1)</f>
        <v>1</v>
      </c>
      <c r="N1617" s="3">
        <f t="shared" si="51"/>
        <v>0</v>
      </c>
      <c r="O1617" s="3" t="str">
        <f>IF(ISERROR(VLOOKUP(D1617,Data!$A$2:$C$223100,3,FALSE)),"INACTIVE",VLOOKUP(D1617,Data!$A$2:$C$223100,3,FALSE))</f>
        <v>30+</v>
      </c>
    </row>
    <row r="1618" spans="1:15" x14ac:dyDescent="0.25">
      <c r="A1618" t="s">
        <v>5479</v>
      </c>
      <c r="B1618" t="s">
        <v>5480</v>
      </c>
      <c r="C1618" t="s">
        <v>5486</v>
      </c>
      <c r="D1618" t="s">
        <v>5487</v>
      </c>
      <c r="E1618" t="s">
        <v>5483</v>
      </c>
      <c r="F1618" t="s">
        <v>5</v>
      </c>
      <c r="G1618" t="s">
        <v>5</v>
      </c>
      <c r="H1618" t="s">
        <v>5</v>
      </c>
      <c r="I1618" t="s">
        <v>5130</v>
      </c>
      <c r="J1618" t="s">
        <v>96</v>
      </c>
      <c r="K1618" s="3">
        <f t="shared" si="50"/>
        <v>0</v>
      </c>
      <c r="L1618" s="3">
        <f>IF(ISERROR(VLOOKUP(J1618,Lookups!$A$2:$A$16,1,FALSE)),1,0)</f>
        <v>0</v>
      </c>
      <c r="M1618" s="3">
        <f>IF(ISERROR(VLOOKUP(D1618,Data!$A$2:$D$223100,2,FALSE)),0,1)</f>
        <v>1</v>
      </c>
      <c r="N1618" s="3">
        <f t="shared" si="51"/>
        <v>0</v>
      </c>
      <c r="O1618" s="3" t="str">
        <f>IF(ISERROR(VLOOKUP(D1618,Data!$A$2:$C$223100,3,FALSE)),"INACTIVE",VLOOKUP(D1618,Data!$A$2:$C$223100,3,FALSE))</f>
        <v>30+</v>
      </c>
    </row>
    <row r="1619" spans="1:15" x14ac:dyDescent="0.25">
      <c r="A1619" t="s">
        <v>5479</v>
      </c>
      <c r="B1619" t="s">
        <v>5480</v>
      </c>
      <c r="C1619" t="s">
        <v>5486</v>
      </c>
      <c r="D1619" t="s">
        <v>5487</v>
      </c>
      <c r="E1619" t="s">
        <v>5489</v>
      </c>
      <c r="F1619" t="s">
        <v>5</v>
      </c>
      <c r="G1619" t="s">
        <v>5</v>
      </c>
      <c r="H1619" t="s">
        <v>5</v>
      </c>
      <c r="I1619" t="s">
        <v>5130</v>
      </c>
      <c r="J1619" t="s">
        <v>96</v>
      </c>
      <c r="K1619" s="3">
        <f t="shared" si="50"/>
        <v>0</v>
      </c>
      <c r="L1619" s="3">
        <f>IF(ISERROR(VLOOKUP(J1619,Lookups!$A$2:$A$16,1,FALSE)),1,0)</f>
        <v>0</v>
      </c>
      <c r="M1619" s="3">
        <f>IF(ISERROR(VLOOKUP(D1619,Data!$A$2:$D$223100,2,FALSE)),0,1)</f>
        <v>1</v>
      </c>
      <c r="N1619" s="3">
        <f t="shared" si="51"/>
        <v>0</v>
      </c>
      <c r="O1619" s="3" t="str">
        <f>IF(ISERROR(VLOOKUP(D1619,Data!$A$2:$C$223100,3,FALSE)),"INACTIVE",VLOOKUP(D1619,Data!$A$2:$C$223100,3,FALSE))</f>
        <v>30+</v>
      </c>
    </row>
    <row r="1620" spans="1:15" x14ac:dyDescent="0.25">
      <c r="A1620" t="s">
        <v>5490</v>
      </c>
      <c r="B1620" t="s">
        <v>5491</v>
      </c>
      <c r="C1620" t="s">
        <v>5492</v>
      </c>
      <c r="D1620" t="s">
        <v>5493</v>
      </c>
      <c r="E1620" t="s">
        <v>5494</v>
      </c>
      <c r="F1620" t="s">
        <v>5</v>
      </c>
      <c r="G1620" t="s">
        <v>5</v>
      </c>
      <c r="H1620" t="s">
        <v>5</v>
      </c>
      <c r="I1620" t="s">
        <v>5130</v>
      </c>
      <c r="J1620" t="s">
        <v>90</v>
      </c>
      <c r="K1620" s="3">
        <f t="shared" si="50"/>
        <v>0</v>
      </c>
      <c r="L1620" s="3">
        <f>IF(ISERROR(VLOOKUP(J1620,Lookups!$A$2:$A$16,1,FALSE)),1,0)</f>
        <v>0</v>
      </c>
      <c r="M1620" s="3">
        <f>IF(ISERROR(VLOOKUP(D1620,Data!$A$2:$D$223100,2,FALSE)),0,1)</f>
        <v>1</v>
      </c>
      <c r="N1620" s="3">
        <f t="shared" si="51"/>
        <v>0</v>
      </c>
      <c r="O1620" s="3" t="str">
        <f>IF(ISERROR(VLOOKUP(D1620,Data!$A$2:$C$223100,3,FALSE)),"INACTIVE",VLOOKUP(D1620,Data!$A$2:$C$223100,3,FALSE))</f>
        <v>Current</v>
      </c>
    </row>
    <row r="1621" spans="1:15" x14ac:dyDescent="0.25">
      <c r="A1621" t="s">
        <v>5504</v>
      </c>
      <c r="B1621" t="s">
        <v>5505</v>
      </c>
      <c r="C1621" t="s">
        <v>5506</v>
      </c>
      <c r="D1621" t="s">
        <v>5507</v>
      </c>
      <c r="E1621" t="s">
        <v>5508</v>
      </c>
      <c r="F1621" t="s">
        <v>5</v>
      </c>
      <c r="G1621" t="s">
        <v>5</v>
      </c>
      <c r="H1621" t="s">
        <v>5</v>
      </c>
      <c r="I1621" t="s">
        <v>5130</v>
      </c>
      <c r="J1621" t="s">
        <v>90</v>
      </c>
      <c r="K1621" s="3">
        <f t="shared" si="50"/>
        <v>0</v>
      </c>
      <c r="L1621" s="3">
        <f>IF(ISERROR(VLOOKUP(J1621,Lookups!$A$2:$A$16,1,FALSE)),1,0)</f>
        <v>0</v>
      </c>
      <c r="M1621" s="3">
        <f>IF(ISERROR(VLOOKUP(D1621,Data!$A$2:$D$223100,2,FALSE)),0,1)</f>
        <v>1</v>
      </c>
      <c r="N1621" s="3">
        <f t="shared" si="51"/>
        <v>0</v>
      </c>
      <c r="O1621" s="3" t="str">
        <f>IF(ISERROR(VLOOKUP(D1621,Data!$A$2:$C$223100,3,FALSE)),"INACTIVE",VLOOKUP(D1621,Data!$A$2:$C$223100,3,FALSE))</f>
        <v>30+</v>
      </c>
    </row>
    <row r="1622" spans="1:15" x14ac:dyDescent="0.25">
      <c r="A1622" t="s">
        <v>5504</v>
      </c>
      <c r="B1622" t="s">
        <v>5505</v>
      </c>
      <c r="C1622" t="s">
        <v>5509</v>
      </c>
      <c r="D1622" t="s">
        <v>5510</v>
      </c>
      <c r="E1622" t="s">
        <v>5511</v>
      </c>
      <c r="F1622" t="s">
        <v>5</v>
      </c>
      <c r="G1622" t="s">
        <v>5</v>
      </c>
      <c r="H1622" t="s">
        <v>5</v>
      </c>
      <c r="I1622" t="s">
        <v>5130</v>
      </c>
      <c r="J1622" t="s">
        <v>90</v>
      </c>
      <c r="K1622" s="3">
        <f t="shared" si="50"/>
        <v>0</v>
      </c>
      <c r="L1622" s="3">
        <f>IF(ISERROR(VLOOKUP(J1622,Lookups!$A$2:$A$16,1,FALSE)),1,0)</f>
        <v>0</v>
      </c>
      <c r="M1622" s="3">
        <f>IF(ISERROR(VLOOKUP(D1622,Data!$A$2:$D$223100,2,FALSE)),0,1)</f>
        <v>1</v>
      </c>
      <c r="N1622" s="3">
        <f t="shared" si="51"/>
        <v>0</v>
      </c>
      <c r="O1622" s="3" t="str">
        <f>IF(ISERROR(VLOOKUP(D1622,Data!$A$2:$C$223100,3,FALSE)),"INACTIVE",VLOOKUP(D1622,Data!$A$2:$C$223100,3,FALSE))</f>
        <v>Current</v>
      </c>
    </row>
    <row r="1623" spans="1:15" x14ac:dyDescent="0.25">
      <c r="A1623" t="s">
        <v>5504</v>
      </c>
      <c r="B1623" t="s">
        <v>5505</v>
      </c>
      <c r="C1623" t="s">
        <v>5512</v>
      </c>
      <c r="D1623" t="s">
        <v>5513</v>
      </c>
      <c r="E1623" t="s">
        <v>5514</v>
      </c>
      <c r="F1623" t="s">
        <v>5</v>
      </c>
      <c r="G1623" t="s">
        <v>5</v>
      </c>
      <c r="H1623" t="s">
        <v>5</v>
      </c>
      <c r="I1623" t="s">
        <v>5130</v>
      </c>
      <c r="J1623" t="s">
        <v>90</v>
      </c>
      <c r="K1623" s="3">
        <f t="shared" si="50"/>
        <v>0</v>
      </c>
      <c r="L1623" s="3">
        <f>IF(ISERROR(VLOOKUP(J1623,Lookups!$A$2:$A$16,1,FALSE)),1,0)</f>
        <v>0</v>
      </c>
      <c r="M1623" s="3">
        <f>IF(ISERROR(VLOOKUP(D1623,Data!$A$2:$D$223100,2,FALSE)),0,1)</f>
        <v>1</v>
      </c>
      <c r="N1623" s="3">
        <f t="shared" si="51"/>
        <v>0</v>
      </c>
      <c r="O1623" s="3" t="str">
        <f>IF(ISERROR(VLOOKUP(D1623,Data!$A$2:$C$223100,3,FALSE)),"INACTIVE",VLOOKUP(D1623,Data!$A$2:$C$223100,3,FALSE))</f>
        <v>Current</v>
      </c>
    </row>
    <row r="1624" spans="1:15" x14ac:dyDescent="0.25">
      <c r="A1624" t="s">
        <v>5523</v>
      </c>
      <c r="B1624" t="s">
        <v>5524</v>
      </c>
      <c r="C1624" t="s">
        <v>5525</v>
      </c>
      <c r="D1624" t="s">
        <v>5526</v>
      </c>
      <c r="E1624" t="s">
        <v>3776</v>
      </c>
      <c r="F1624" t="s">
        <v>5</v>
      </c>
      <c r="G1624" t="s">
        <v>5</v>
      </c>
      <c r="H1624" t="s">
        <v>5</v>
      </c>
      <c r="I1624" t="s">
        <v>5130</v>
      </c>
      <c r="J1624" t="s">
        <v>90</v>
      </c>
      <c r="K1624" s="3">
        <f t="shared" si="50"/>
        <v>0</v>
      </c>
      <c r="L1624" s="3">
        <f>IF(ISERROR(VLOOKUP(J1624,Lookups!$A$2:$A$16,1,FALSE)),1,0)</f>
        <v>0</v>
      </c>
      <c r="M1624" s="3">
        <f>IF(ISERROR(VLOOKUP(D1624,Data!$A$2:$D$223100,2,FALSE)),0,1)</f>
        <v>1</v>
      </c>
      <c r="N1624" s="3">
        <f t="shared" si="51"/>
        <v>0</v>
      </c>
      <c r="O1624" s="3" t="str">
        <f>IF(ISERROR(VLOOKUP(D1624,Data!$A$2:$C$223100,3,FALSE)),"INACTIVE",VLOOKUP(D1624,Data!$A$2:$C$223100,3,FALSE))</f>
        <v>120+</v>
      </c>
    </row>
    <row r="1625" spans="1:15" x14ac:dyDescent="0.25">
      <c r="A1625" t="s">
        <v>5804</v>
      </c>
      <c r="B1625" t="s">
        <v>5805</v>
      </c>
      <c r="C1625" t="s">
        <v>5806</v>
      </c>
      <c r="D1625" t="s">
        <v>5807</v>
      </c>
      <c r="E1625" t="s">
        <v>5808</v>
      </c>
      <c r="F1625" t="s">
        <v>5</v>
      </c>
      <c r="G1625" t="s">
        <v>5</v>
      </c>
      <c r="H1625" t="s">
        <v>5</v>
      </c>
      <c r="I1625" t="s">
        <v>5130</v>
      </c>
      <c r="J1625" t="s">
        <v>7</v>
      </c>
      <c r="K1625" s="3">
        <f t="shared" si="50"/>
        <v>0</v>
      </c>
      <c r="L1625" s="3">
        <f>IF(ISERROR(VLOOKUP(J1625,Lookups!$A$2:$A$16,1,FALSE)),1,0)</f>
        <v>1</v>
      </c>
      <c r="M1625" s="3">
        <f>IF(ISERROR(VLOOKUP(D1625,Data!$A$2:$D$223100,2,FALSE)),0,1)</f>
        <v>1</v>
      </c>
      <c r="N1625" s="3">
        <f t="shared" si="51"/>
        <v>1</v>
      </c>
      <c r="O1625" s="3" t="str">
        <f>IF(ISERROR(VLOOKUP(D1625,Data!$A$2:$C$223100,3,FALSE)),"INACTIVE",VLOOKUP(D1625,Data!$A$2:$C$223100,3,FALSE))</f>
        <v>Current</v>
      </c>
    </row>
    <row r="1626" spans="1:15" x14ac:dyDescent="0.25">
      <c r="A1626" t="s">
        <v>5804</v>
      </c>
      <c r="B1626" t="s">
        <v>5805</v>
      </c>
      <c r="C1626" t="s">
        <v>5809</v>
      </c>
      <c r="D1626" t="s">
        <v>5810</v>
      </c>
      <c r="E1626" t="s">
        <v>5811</v>
      </c>
      <c r="F1626" t="s">
        <v>5</v>
      </c>
      <c r="G1626" t="s">
        <v>5</v>
      </c>
      <c r="H1626" t="s">
        <v>5</v>
      </c>
      <c r="I1626" t="s">
        <v>5130</v>
      </c>
      <c r="J1626" t="s">
        <v>90</v>
      </c>
      <c r="K1626" s="3">
        <f t="shared" si="50"/>
        <v>0</v>
      </c>
      <c r="L1626" s="3">
        <f>IF(ISERROR(VLOOKUP(J1626,Lookups!$A$2:$A$16,1,FALSE)),1,0)</f>
        <v>0</v>
      </c>
      <c r="M1626" s="3">
        <f>IF(ISERROR(VLOOKUP(D1626,Data!$A$2:$D$223100,2,FALSE)),0,1)</f>
        <v>1</v>
      </c>
      <c r="N1626" s="3">
        <f t="shared" si="51"/>
        <v>0</v>
      </c>
      <c r="O1626" s="3" t="str">
        <f>IF(ISERROR(VLOOKUP(D1626,Data!$A$2:$C$223100,3,FALSE)),"INACTIVE",VLOOKUP(D1626,Data!$A$2:$C$223100,3,FALSE))</f>
        <v>BK13</v>
      </c>
    </row>
    <row r="1627" spans="1:15" x14ac:dyDescent="0.25">
      <c r="A1627" t="s">
        <v>5804</v>
      </c>
      <c r="B1627" t="s">
        <v>5805</v>
      </c>
      <c r="C1627" t="s">
        <v>5812</v>
      </c>
      <c r="D1627" t="s">
        <v>5813</v>
      </c>
      <c r="E1627" t="s">
        <v>5814</v>
      </c>
      <c r="F1627" t="s">
        <v>5</v>
      </c>
      <c r="G1627" t="s">
        <v>5</v>
      </c>
      <c r="H1627" t="s">
        <v>5</v>
      </c>
      <c r="I1627" t="s">
        <v>5130</v>
      </c>
      <c r="J1627" t="s">
        <v>96</v>
      </c>
      <c r="K1627" s="3">
        <f t="shared" si="50"/>
        <v>0</v>
      </c>
      <c r="L1627" s="3">
        <f>IF(ISERROR(VLOOKUP(J1627,Lookups!$A$2:$A$16,1,FALSE)),1,0)</f>
        <v>0</v>
      </c>
      <c r="M1627" s="3">
        <f>IF(ISERROR(VLOOKUP(D1627,Data!$A$2:$D$223100,2,FALSE)),0,1)</f>
        <v>1</v>
      </c>
      <c r="N1627" s="3">
        <f t="shared" si="51"/>
        <v>0</v>
      </c>
      <c r="O1627" s="3" t="str">
        <f>IF(ISERROR(VLOOKUP(D1627,Data!$A$2:$C$223100,3,FALSE)),"INACTIVE",VLOOKUP(D1627,Data!$A$2:$C$223100,3,FALSE))</f>
        <v>180+</v>
      </c>
    </row>
    <row r="1628" spans="1:15" x14ac:dyDescent="0.25">
      <c r="A1628" t="s">
        <v>5804</v>
      </c>
      <c r="B1628" t="s">
        <v>5805</v>
      </c>
      <c r="C1628" t="s">
        <v>5815</v>
      </c>
      <c r="D1628" t="s">
        <v>5816</v>
      </c>
      <c r="E1628" t="s">
        <v>5817</v>
      </c>
      <c r="F1628" t="s">
        <v>5</v>
      </c>
      <c r="G1628" t="s">
        <v>5</v>
      </c>
      <c r="H1628" t="s">
        <v>5</v>
      </c>
      <c r="I1628" t="s">
        <v>5130</v>
      </c>
      <c r="J1628" t="s">
        <v>7</v>
      </c>
      <c r="K1628" s="3">
        <f t="shared" si="50"/>
        <v>0</v>
      </c>
      <c r="L1628" s="3">
        <f>IF(ISERROR(VLOOKUP(J1628,Lookups!$A$2:$A$16,1,FALSE)),1,0)</f>
        <v>1</v>
      </c>
      <c r="M1628" s="3">
        <f>IF(ISERROR(VLOOKUP(D1628,Data!$A$2:$D$223100,2,FALSE)),0,1)</f>
        <v>1</v>
      </c>
      <c r="N1628" s="3">
        <f t="shared" si="51"/>
        <v>1</v>
      </c>
      <c r="O1628" s="3" t="str">
        <f>IF(ISERROR(VLOOKUP(D1628,Data!$A$2:$C$223100,3,FALSE)),"INACTIVE",VLOOKUP(D1628,Data!$A$2:$C$223100,3,FALSE))</f>
        <v>Current</v>
      </c>
    </row>
    <row r="1629" spans="1:15" x14ac:dyDescent="0.25">
      <c r="A1629" t="s">
        <v>5804</v>
      </c>
      <c r="B1629" t="s">
        <v>5805</v>
      </c>
      <c r="C1629" t="s">
        <v>5818</v>
      </c>
      <c r="D1629" t="s">
        <v>5819</v>
      </c>
      <c r="E1629" t="s">
        <v>5820</v>
      </c>
      <c r="F1629" t="s">
        <v>5</v>
      </c>
      <c r="G1629" t="s">
        <v>5</v>
      </c>
      <c r="H1629" t="s">
        <v>5</v>
      </c>
      <c r="I1629" t="s">
        <v>5130</v>
      </c>
      <c r="J1629" t="s">
        <v>96</v>
      </c>
      <c r="K1629" s="3">
        <f t="shared" si="50"/>
        <v>0</v>
      </c>
      <c r="L1629" s="3">
        <f>IF(ISERROR(VLOOKUP(J1629,Lookups!$A$2:$A$16,1,FALSE)),1,0)</f>
        <v>0</v>
      </c>
      <c r="M1629" s="3">
        <f>IF(ISERROR(VLOOKUP(D1629,Data!$A$2:$D$223100,2,FALSE)),0,1)</f>
        <v>1</v>
      </c>
      <c r="N1629" s="3">
        <f t="shared" si="51"/>
        <v>0</v>
      </c>
      <c r="O1629" s="3" t="str">
        <f>IF(ISERROR(VLOOKUP(D1629,Data!$A$2:$C$223100,3,FALSE)),"INACTIVE",VLOOKUP(D1629,Data!$A$2:$C$223100,3,FALSE))</f>
        <v>90+</v>
      </c>
    </row>
    <row r="1630" spans="1:15" x14ac:dyDescent="0.25">
      <c r="A1630" t="s">
        <v>5804</v>
      </c>
      <c r="B1630" t="s">
        <v>5805</v>
      </c>
      <c r="C1630" t="s">
        <v>5818</v>
      </c>
      <c r="D1630" t="s">
        <v>5819</v>
      </c>
      <c r="E1630" t="s">
        <v>5821</v>
      </c>
      <c r="F1630" t="s">
        <v>5</v>
      </c>
      <c r="G1630" t="s">
        <v>5</v>
      </c>
      <c r="H1630" t="s">
        <v>5</v>
      </c>
      <c r="I1630" t="s">
        <v>5130</v>
      </c>
      <c r="J1630" t="s">
        <v>96</v>
      </c>
      <c r="K1630" s="3">
        <f t="shared" si="50"/>
        <v>0</v>
      </c>
      <c r="L1630" s="3">
        <f>IF(ISERROR(VLOOKUP(J1630,Lookups!$A$2:$A$16,1,FALSE)),1,0)</f>
        <v>0</v>
      </c>
      <c r="M1630" s="3">
        <f>IF(ISERROR(VLOOKUP(D1630,Data!$A$2:$D$223100,2,FALSE)),0,1)</f>
        <v>1</v>
      </c>
      <c r="N1630" s="3">
        <f t="shared" si="51"/>
        <v>0</v>
      </c>
      <c r="O1630" s="3" t="str">
        <f>IF(ISERROR(VLOOKUP(D1630,Data!$A$2:$C$223100,3,FALSE)),"INACTIVE",VLOOKUP(D1630,Data!$A$2:$C$223100,3,FALSE))</f>
        <v>90+</v>
      </c>
    </row>
    <row r="1631" spans="1:15" x14ac:dyDescent="0.25">
      <c r="A1631" t="s">
        <v>5804</v>
      </c>
      <c r="B1631" t="s">
        <v>5805</v>
      </c>
      <c r="C1631" t="s">
        <v>5818</v>
      </c>
      <c r="D1631" t="s">
        <v>5819</v>
      </c>
      <c r="E1631" t="s">
        <v>5822</v>
      </c>
      <c r="F1631" t="s">
        <v>5</v>
      </c>
      <c r="G1631" t="s">
        <v>5</v>
      </c>
      <c r="H1631" t="s">
        <v>5</v>
      </c>
      <c r="I1631" t="s">
        <v>5130</v>
      </c>
      <c r="J1631" t="s">
        <v>96</v>
      </c>
      <c r="K1631" s="3">
        <f t="shared" si="50"/>
        <v>0</v>
      </c>
      <c r="L1631" s="3">
        <f>IF(ISERROR(VLOOKUP(J1631,Lookups!$A$2:$A$16,1,FALSE)),1,0)</f>
        <v>0</v>
      </c>
      <c r="M1631" s="3">
        <f>IF(ISERROR(VLOOKUP(D1631,Data!$A$2:$D$223100,2,FALSE)),0,1)</f>
        <v>1</v>
      </c>
      <c r="N1631" s="3">
        <f t="shared" si="51"/>
        <v>0</v>
      </c>
      <c r="O1631" s="3" t="str">
        <f>IF(ISERROR(VLOOKUP(D1631,Data!$A$2:$C$223100,3,FALSE)),"INACTIVE",VLOOKUP(D1631,Data!$A$2:$C$223100,3,FALSE))</f>
        <v>90+</v>
      </c>
    </row>
    <row r="1632" spans="1:15" x14ac:dyDescent="0.25">
      <c r="A1632" t="s">
        <v>5804</v>
      </c>
      <c r="B1632" t="s">
        <v>5805</v>
      </c>
      <c r="C1632" t="s">
        <v>5818</v>
      </c>
      <c r="D1632" t="s">
        <v>5819</v>
      </c>
      <c r="E1632" t="s">
        <v>5823</v>
      </c>
      <c r="F1632" t="s">
        <v>5</v>
      </c>
      <c r="G1632" t="s">
        <v>5</v>
      </c>
      <c r="H1632" t="s">
        <v>5</v>
      </c>
      <c r="I1632" t="s">
        <v>5130</v>
      </c>
      <c r="J1632" t="s">
        <v>96</v>
      </c>
      <c r="K1632" s="3">
        <f t="shared" si="50"/>
        <v>0</v>
      </c>
      <c r="L1632" s="3">
        <f>IF(ISERROR(VLOOKUP(J1632,Lookups!$A$2:$A$16,1,FALSE)),1,0)</f>
        <v>0</v>
      </c>
      <c r="M1632" s="3">
        <f>IF(ISERROR(VLOOKUP(D1632,Data!$A$2:$D$223100,2,FALSE)),0,1)</f>
        <v>1</v>
      </c>
      <c r="N1632" s="3">
        <f t="shared" si="51"/>
        <v>0</v>
      </c>
      <c r="O1632" s="3" t="str">
        <f>IF(ISERROR(VLOOKUP(D1632,Data!$A$2:$C$223100,3,FALSE)),"INACTIVE",VLOOKUP(D1632,Data!$A$2:$C$223100,3,FALSE))</f>
        <v>90+</v>
      </c>
    </row>
    <row r="1633" spans="1:15" x14ac:dyDescent="0.25">
      <c r="A1633" t="s">
        <v>5804</v>
      </c>
      <c r="B1633" t="s">
        <v>5805</v>
      </c>
      <c r="C1633" t="s">
        <v>5818</v>
      </c>
      <c r="D1633" t="s">
        <v>5819</v>
      </c>
      <c r="E1633" t="s">
        <v>5824</v>
      </c>
      <c r="F1633" t="s">
        <v>5</v>
      </c>
      <c r="G1633" t="s">
        <v>5</v>
      </c>
      <c r="H1633" t="s">
        <v>5</v>
      </c>
      <c r="I1633" t="s">
        <v>5130</v>
      </c>
      <c r="J1633" t="s">
        <v>96</v>
      </c>
      <c r="K1633" s="3">
        <f t="shared" si="50"/>
        <v>0</v>
      </c>
      <c r="L1633" s="3">
        <f>IF(ISERROR(VLOOKUP(J1633,Lookups!$A$2:$A$16,1,FALSE)),1,0)</f>
        <v>0</v>
      </c>
      <c r="M1633" s="3">
        <f>IF(ISERROR(VLOOKUP(D1633,Data!$A$2:$D$223100,2,FALSE)),0,1)</f>
        <v>1</v>
      </c>
      <c r="N1633" s="3">
        <f t="shared" si="51"/>
        <v>0</v>
      </c>
      <c r="O1633" s="3" t="str">
        <f>IF(ISERROR(VLOOKUP(D1633,Data!$A$2:$C$223100,3,FALSE)),"INACTIVE",VLOOKUP(D1633,Data!$A$2:$C$223100,3,FALSE))</f>
        <v>90+</v>
      </c>
    </row>
    <row r="1634" spans="1:15" x14ac:dyDescent="0.25">
      <c r="A1634" t="s">
        <v>5804</v>
      </c>
      <c r="B1634" t="s">
        <v>5805</v>
      </c>
      <c r="C1634" t="s">
        <v>5825</v>
      </c>
      <c r="D1634" t="s">
        <v>5826</v>
      </c>
      <c r="E1634" t="s">
        <v>5827</v>
      </c>
      <c r="F1634" t="s">
        <v>5</v>
      </c>
      <c r="G1634" t="s">
        <v>5</v>
      </c>
      <c r="H1634" t="s">
        <v>5</v>
      </c>
      <c r="I1634" t="s">
        <v>5130</v>
      </c>
      <c r="J1634" t="s">
        <v>7</v>
      </c>
      <c r="K1634" s="3">
        <f t="shared" si="50"/>
        <v>0</v>
      </c>
      <c r="L1634" s="3">
        <f>IF(ISERROR(VLOOKUP(J1634,Lookups!$A$2:$A$16,1,FALSE)),1,0)</f>
        <v>1</v>
      </c>
      <c r="M1634" s="3">
        <f>IF(ISERROR(VLOOKUP(D1634,Data!$A$2:$D$223100,2,FALSE)),0,1)</f>
        <v>1</v>
      </c>
      <c r="N1634" s="3">
        <f t="shared" si="51"/>
        <v>1</v>
      </c>
      <c r="O1634" s="3" t="str">
        <f>IF(ISERROR(VLOOKUP(D1634,Data!$A$2:$C$223100,3,FALSE)),"INACTIVE",VLOOKUP(D1634,Data!$A$2:$C$223100,3,FALSE))</f>
        <v>PP</v>
      </c>
    </row>
    <row r="1635" spans="1:15" x14ac:dyDescent="0.25">
      <c r="A1635" t="s">
        <v>5804</v>
      </c>
      <c r="B1635" t="s">
        <v>5805</v>
      </c>
      <c r="C1635" t="s">
        <v>5828</v>
      </c>
      <c r="D1635" t="s">
        <v>5829</v>
      </c>
      <c r="E1635" t="s">
        <v>5830</v>
      </c>
      <c r="F1635" t="s">
        <v>5</v>
      </c>
      <c r="G1635" t="s">
        <v>5</v>
      </c>
      <c r="H1635" t="s">
        <v>5</v>
      </c>
      <c r="I1635" t="s">
        <v>5130</v>
      </c>
      <c r="J1635" t="s">
        <v>96</v>
      </c>
      <c r="K1635" s="3">
        <f t="shared" si="50"/>
        <v>0</v>
      </c>
      <c r="L1635" s="3">
        <f>IF(ISERROR(VLOOKUP(J1635,Lookups!$A$2:$A$16,1,FALSE)),1,0)</f>
        <v>0</v>
      </c>
      <c r="M1635" s="3">
        <f>IF(ISERROR(VLOOKUP(D1635,Data!$A$2:$D$223100,2,FALSE)),0,1)</f>
        <v>1</v>
      </c>
      <c r="N1635" s="3">
        <f t="shared" si="51"/>
        <v>0</v>
      </c>
      <c r="O1635" s="3" t="str">
        <f>IF(ISERROR(VLOOKUP(D1635,Data!$A$2:$C$223100,3,FALSE)),"INACTIVE",VLOOKUP(D1635,Data!$A$2:$C$223100,3,FALSE))</f>
        <v>Current</v>
      </c>
    </row>
    <row r="1636" spans="1:15" x14ac:dyDescent="0.25">
      <c r="A1636" t="s">
        <v>5804</v>
      </c>
      <c r="B1636" t="s">
        <v>5805</v>
      </c>
      <c r="C1636" t="s">
        <v>5828</v>
      </c>
      <c r="D1636" t="s">
        <v>5829</v>
      </c>
      <c r="E1636" t="s">
        <v>5831</v>
      </c>
      <c r="F1636" t="s">
        <v>5</v>
      </c>
      <c r="G1636" t="s">
        <v>5</v>
      </c>
      <c r="H1636" t="s">
        <v>5</v>
      </c>
      <c r="I1636" t="s">
        <v>5130</v>
      </c>
      <c r="J1636" t="s">
        <v>96</v>
      </c>
      <c r="K1636" s="3">
        <f t="shared" si="50"/>
        <v>0</v>
      </c>
      <c r="L1636" s="3">
        <f>IF(ISERROR(VLOOKUP(J1636,Lookups!$A$2:$A$16,1,FALSE)),1,0)</f>
        <v>0</v>
      </c>
      <c r="M1636" s="3">
        <f>IF(ISERROR(VLOOKUP(D1636,Data!$A$2:$D$223100,2,FALSE)),0,1)</f>
        <v>1</v>
      </c>
      <c r="N1636" s="3">
        <f t="shared" si="51"/>
        <v>0</v>
      </c>
      <c r="O1636" s="3" t="str">
        <f>IF(ISERROR(VLOOKUP(D1636,Data!$A$2:$C$223100,3,FALSE)),"INACTIVE",VLOOKUP(D1636,Data!$A$2:$C$223100,3,FALSE))</f>
        <v>Current</v>
      </c>
    </row>
    <row r="1637" spans="1:15" x14ac:dyDescent="0.25">
      <c r="A1637" t="s">
        <v>5804</v>
      </c>
      <c r="B1637" t="s">
        <v>5805</v>
      </c>
      <c r="C1637" t="s">
        <v>5832</v>
      </c>
      <c r="D1637" t="s">
        <v>5833</v>
      </c>
      <c r="E1637" t="s">
        <v>5834</v>
      </c>
      <c r="F1637" t="s">
        <v>5</v>
      </c>
      <c r="G1637" t="s">
        <v>5</v>
      </c>
      <c r="H1637" t="s">
        <v>5</v>
      </c>
      <c r="I1637" t="s">
        <v>5130</v>
      </c>
      <c r="J1637" t="s">
        <v>96</v>
      </c>
      <c r="K1637" s="3">
        <f t="shared" si="50"/>
        <v>0</v>
      </c>
      <c r="L1637" s="3">
        <f>IF(ISERROR(VLOOKUP(J1637,Lookups!$A$2:$A$16,1,FALSE)),1,0)</f>
        <v>0</v>
      </c>
      <c r="M1637" s="3">
        <f>IF(ISERROR(VLOOKUP(D1637,Data!$A$2:$D$223100,2,FALSE)),0,1)</f>
        <v>1</v>
      </c>
      <c r="N1637" s="3">
        <f t="shared" si="51"/>
        <v>0</v>
      </c>
      <c r="O1637" s="3" t="str">
        <f>IF(ISERROR(VLOOKUP(D1637,Data!$A$2:$C$223100,3,FALSE)),"INACTIVE",VLOOKUP(D1637,Data!$A$2:$C$223100,3,FALSE))</f>
        <v>Current</v>
      </c>
    </row>
    <row r="1638" spans="1:15" x14ac:dyDescent="0.25">
      <c r="A1638" t="s">
        <v>5804</v>
      </c>
      <c r="B1638" t="s">
        <v>5805</v>
      </c>
      <c r="C1638" t="s">
        <v>5832</v>
      </c>
      <c r="D1638" t="s">
        <v>5833</v>
      </c>
      <c r="E1638" t="s">
        <v>5835</v>
      </c>
      <c r="F1638" t="s">
        <v>5</v>
      </c>
      <c r="G1638" t="s">
        <v>5</v>
      </c>
      <c r="H1638" t="s">
        <v>5</v>
      </c>
      <c r="I1638" t="s">
        <v>5130</v>
      </c>
      <c r="J1638" t="s">
        <v>96</v>
      </c>
      <c r="K1638" s="3">
        <f t="shared" si="50"/>
        <v>0</v>
      </c>
      <c r="L1638" s="3">
        <f>IF(ISERROR(VLOOKUP(J1638,Lookups!$A$2:$A$16,1,FALSE)),1,0)</f>
        <v>0</v>
      </c>
      <c r="M1638" s="3">
        <f>IF(ISERROR(VLOOKUP(D1638,Data!$A$2:$D$223100,2,FALSE)),0,1)</f>
        <v>1</v>
      </c>
      <c r="N1638" s="3">
        <f t="shared" si="51"/>
        <v>0</v>
      </c>
      <c r="O1638" s="3" t="str">
        <f>IF(ISERROR(VLOOKUP(D1638,Data!$A$2:$C$223100,3,FALSE)),"INACTIVE",VLOOKUP(D1638,Data!$A$2:$C$223100,3,FALSE))</f>
        <v>Current</v>
      </c>
    </row>
    <row r="1639" spans="1:15" x14ac:dyDescent="0.25">
      <c r="A1639" t="s">
        <v>5804</v>
      </c>
      <c r="B1639" t="s">
        <v>5805</v>
      </c>
      <c r="C1639" t="s">
        <v>5832</v>
      </c>
      <c r="D1639" t="s">
        <v>5833</v>
      </c>
      <c r="E1639" t="s">
        <v>5836</v>
      </c>
      <c r="F1639" t="s">
        <v>5</v>
      </c>
      <c r="G1639" t="s">
        <v>5</v>
      </c>
      <c r="H1639" t="s">
        <v>5</v>
      </c>
      <c r="I1639" t="s">
        <v>5130</v>
      </c>
      <c r="J1639" t="s">
        <v>96</v>
      </c>
      <c r="K1639" s="3">
        <f t="shared" si="50"/>
        <v>0</v>
      </c>
      <c r="L1639" s="3">
        <f>IF(ISERROR(VLOOKUP(J1639,Lookups!$A$2:$A$16,1,FALSE)),1,0)</f>
        <v>0</v>
      </c>
      <c r="M1639" s="3">
        <f>IF(ISERROR(VLOOKUP(D1639,Data!$A$2:$D$223100,2,FALSE)),0,1)</f>
        <v>1</v>
      </c>
      <c r="N1639" s="3">
        <f t="shared" si="51"/>
        <v>0</v>
      </c>
      <c r="O1639" s="3" t="str">
        <f>IF(ISERROR(VLOOKUP(D1639,Data!$A$2:$C$223100,3,FALSE)),"INACTIVE",VLOOKUP(D1639,Data!$A$2:$C$223100,3,FALSE))</f>
        <v>Current</v>
      </c>
    </row>
    <row r="1640" spans="1:15" x14ac:dyDescent="0.25">
      <c r="A1640" t="s">
        <v>5804</v>
      </c>
      <c r="B1640" t="s">
        <v>5805</v>
      </c>
      <c r="C1640" t="s">
        <v>5832</v>
      </c>
      <c r="D1640" t="s">
        <v>5833</v>
      </c>
      <c r="E1640" t="s">
        <v>5837</v>
      </c>
      <c r="F1640" t="s">
        <v>5</v>
      </c>
      <c r="G1640" t="s">
        <v>5</v>
      </c>
      <c r="H1640" t="s">
        <v>5</v>
      </c>
      <c r="I1640" t="s">
        <v>5130</v>
      </c>
      <c r="J1640" t="s">
        <v>96</v>
      </c>
      <c r="K1640" s="3">
        <f t="shared" si="50"/>
        <v>0</v>
      </c>
      <c r="L1640" s="3">
        <f>IF(ISERROR(VLOOKUP(J1640,Lookups!$A$2:$A$16,1,FALSE)),1,0)</f>
        <v>0</v>
      </c>
      <c r="M1640" s="3">
        <f>IF(ISERROR(VLOOKUP(D1640,Data!$A$2:$D$223100,2,FALSE)),0,1)</f>
        <v>1</v>
      </c>
      <c r="N1640" s="3">
        <f t="shared" si="51"/>
        <v>0</v>
      </c>
      <c r="O1640" s="3" t="str">
        <f>IF(ISERROR(VLOOKUP(D1640,Data!$A$2:$C$223100,3,FALSE)),"INACTIVE",VLOOKUP(D1640,Data!$A$2:$C$223100,3,FALSE))</f>
        <v>Current</v>
      </c>
    </row>
    <row r="1641" spans="1:15" x14ac:dyDescent="0.25">
      <c r="A1641" t="s">
        <v>5804</v>
      </c>
      <c r="B1641" t="s">
        <v>5805</v>
      </c>
      <c r="C1641" t="s">
        <v>5832</v>
      </c>
      <c r="D1641" t="s">
        <v>5833</v>
      </c>
      <c r="E1641" t="s">
        <v>5838</v>
      </c>
      <c r="F1641" t="s">
        <v>5</v>
      </c>
      <c r="G1641" t="s">
        <v>5</v>
      </c>
      <c r="H1641" t="s">
        <v>5</v>
      </c>
      <c r="I1641" t="s">
        <v>5130</v>
      </c>
      <c r="J1641" t="s">
        <v>96</v>
      </c>
      <c r="K1641" s="3">
        <f t="shared" si="50"/>
        <v>0</v>
      </c>
      <c r="L1641" s="3">
        <f>IF(ISERROR(VLOOKUP(J1641,Lookups!$A$2:$A$16,1,FALSE)),1,0)</f>
        <v>0</v>
      </c>
      <c r="M1641" s="3">
        <f>IF(ISERROR(VLOOKUP(D1641,Data!$A$2:$D$223100,2,FALSE)),0,1)</f>
        <v>1</v>
      </c>
      <c r="N1641" s="3">
        <f t="shared" si="51"/>
        <v>0</v>
      </c>
      <c r="O1641" s="3" t="str">
        <f>IF(ISERROR(VLOOKUP(D1641,Data!$A$2:$C$223100,3,FALSE)),"INACTIVE",VLOOKUP(D1641,Data!$A$2:$C$223100,3,FALSE))</f>
        <v>Current</v>
      </c>
    </row>
    <row r="1642" spans="1:15" x14ac:dyDescent="0.25">
      <c r="A1642" t="s">
        <v>5804</v>
      </c>
      <c r="B1642" t="s">
        <v>5805</v>
      </c>
      <c r="C1642" t="s">
        <v>5832</v>
      </c>
      <c r="D1642" t="s">
        <v>5833</v>
      </c>
      <c r="E1642" t="s">
        <v>5839</v>
      </c>
      <c r="F1642" t="s">
        <v>5</v>
      </c>
      <c r="G1642" t="s">
        <v>5</v>
      </c>
      <c r="H1642" t="s">
        <v>5</v>
      </c>
      <c r="I1642" t="s">
        <v>5130</v>
      </c>
      <c r="J1642" t="s">
        <v>96</v>
      </c>
      <c r="K1642" s="3">
        <f t="shared" si="50"/>
        <v>0</v>
      </c>
      <c r="L1642" s="3">
        <f>IF(ISERROR(VLOOKUP(J1642,Lookups!$A$2:$A$16,1,FALSE)),1,0)</f>
        <v>0</v>
      </c>
      <c r="M1642" s="3">
        <f>IF(ISERROR(VLOOKUP(D1642,Data!$A$2:$D$223100,2,FALSE)),0,1)</f>
        <v>1</v>
      </c>
      <c r="N1642" s="3">
        <f t="shared" si="51"/>
        <v>0</v>
      </c>
      <c r="O1642" s="3" t="str">
        <f>IF(ISERROR(VLOOKUP(D1642,Data!$A$2:$C$223100,3,FALSE)),"INACTIVE",VLOOKUP(D1642,Data!$A$2:$C$223100,3,FALSE))</f>
        <v>Current</v>
      </c>
    </row>
    <row r="1643" spans="1:15" x14ac:dyDescent="0.25">
      <c r="A1643" t="s">
        <v>5804</v>
      </c>
      <c r="B1643" t="s">
        <v>5805</v>
      </c>
      <c r="C1643" t="s">
        <v>5832</v>
      </c>
      <c r="D1643" t="s">
        <v>5833</v>
      </c>
      <c r="E1643" t="s">
        <v>5840</v>
      </c>
      <c r="F1643" t="s">
        <v>5</v>
      </c>
      <c r="G1643" t="s">
        <v>5</v>
      </c>
      <c r="H1643" t="s">
        <v>5</v>
      </c>
      <c r="I1643" t="s">
        <v>5130</v>
      </c>
      <c r="J1643" t="s">
        <v>96</v>
      </c>
      <c r="K1643" s="3">
        <f t="shared" si="50"/>
        <v>0</v>
      </c>
      <c r="L1643" s="3">
        <f>IF(ISERROR(VLOOKUP(J1643,Lookups!$A$2:$A$16,1,FALSE)),1,0)</f>
        <v>0</v>
      </c>
      <c r="M1643" s="3">
        <f>IF(ISERROR(VLOOKUP(D1643,Data!$A$2:$D$223100,2,FALSE)),0,1)</f>
        <v>1</v>
      </c>
      <c r="N1643" s="3">
        <f t="shared" si="51"/>
        <v>0</v>
      </c>
      <c r="O1643" s="3" t="str">
        <f>IF(ISERROR(VLOOKUP(D1643,Data!$A$2:$C$223100,3,FALSE)),"INACTIVE",VLOOKUP(D1643,Data!$A$2:$C$223100,3,FALSE))</f>
        <v>Current</v>
      </c>
    </row>
    <row r="1644" spans="1:15" x14ac:dyDescent="0.25">
      <c r="A1644" t="s">
        <v>5804</v>
      </c>
      <c r="B1644" t="s">
        <v>5805</v>
      </c>
      <c r="C1644" t="s">
        <v>5832</v>
      </c>
      <c r="D1644" t="s">
        <v>5833</v>
      </c>
      <c r="E1644" t="s">
        <v>5841</v>
      </c>
      <c r="F1644" t="s">
        <v>5</v>
      </c>
      <c r="G1644" t="s">
        <v>5</v>
      </c>
      <c r="H1644" t="s">
        <v>5</v>
      </c>
      <c r="I1644" t="s">
        <v>5130</v>
      </c>
      <c r="J1644" t="s">
        <v>96</v>
      </c>
      <c r="K1644" s="3">
        <f t="shared" si="50"/>
        <v>0</v>
      </c>
      <c r="L1644" s="3">
        <f>IF(ISERROR(VLOOKUP(J1644,Lookups!$A$2:$A$16,1,FALSE)),1,0)</f>
        <v>0</v>
      </c>
      <c r="M1644" s="3">
        <f>IF(ISERROR(VLOOKUP(D1644,Data!$A$2:$D$223100,2,FALSE)),0,1)</f>
        <v>1</v>
      </c>
      <c r="N1644" s="3">
        <f t="shared" si="51"/>
        <v>0</v>
      </c>
      <c r="O1644" s="3" t="str">
        <f>IF(ISERROR(VLOOKUP(D1644,Data!$A$2:$C$223100,3,FALSE)),"INACTIVE",VLOOKUP(D1644,Data!$A$2:$C$223100,3,FALSE))</f>
        <v>Current</v>
      </c>
    </row>
    <row r="1645" spans="1:15" x14ac:dyDescent="0.25">
      <c r="A1645" t="s">
        <v>5804</v>
      </c>
      <c r="B1645" t="s">
        <v>5805</v>
      </c>
      <c r="C1645" t="s">
        <v>5832</v>
      </c>
      <c r="D1645" t="s">
        <v>5833</v>
      </c>
      <c r="E1645" t="s">
        <v>5842</v>
      </c>
      <c r="F1645" t="s">
        <v>5</v>
      </c>
      <c r="G1645" t="s">
        <v>5</v>
      </c>
      <c r="H1645" t="s">
        <v>5</v>
      </c>
      <c r="I1645" t="s">
        <v>5130</v>
      </c>
      <c r="J1645" t="s">
        <v>96</v>
      </c>
      <c r="K1645" s="3">
        <f t="shared" si="50"/>
        <v>0</v>
      </c>
      <c r="L1645" s="3">
        <f>IF(ISERROR(VLOOKUP(J1645,Lookups!$A$2:$A$16,1,FALSE)),1,0)</f>
        <v>0</v>
      </c>
      <c r="M1645" s="3">
        <f>IF(ISERROR(VLOOKUP(D1645,Data!$A$2:$D$223100,2,FALSE)),0,1)</f>
        <v>1</v>
      </c>
      <c r="N1645" s="3">
        <f t="shared" si="51"/>
        <v>0</v>
      </c>
      <c r="O1645" s="3" t="str">
        <f>IF(ISERROR(VLOOKUP(D1645,Data!$A$2:$C$223100,3,FALSE)),"INACTIVE",VLOOKUP(D1645,Data!$A$2:$C$223100,3,FALSE))</f>
        <v>Current</v>
      </c>
    </row>
    <row r="1646" spans="1:15" x14ac:dyDescent="0.25">
      <c r="A1646" t="s">
        <v>5804</v>
      </c>
      <c r="B1646" t="s">
        <v>5805</v>
      </c>
      <c r="C1646" t="s">
        <v>5832</v>
      </c>
      <c r="D1646" t="s">
        <v>5833</v>
      </c>
      <c r="E1646" t="s">
        <v>5843</v>
      </c>
      <c r="F1646" t="s">
        <v>5</v>
      </c>
      <c r="G1646" t="s">
        <v>5</v>
      </c>
      <c r="H1646" t="s">
        <v>5</v>
      </c>
      <c r="I1646" t="s">
        <v>5130</v>
      </c>
      <c r="J1646" t="s">
        <v>96</v>
      </c>
      <c r="K1646" s="3">
        <f t="shared" si="50"/>
        <v>0</v>
      </c>
      <c r="L1646" s="3">
        <f>IF(ISERROR(VLOOKUP(J1646,Lookups!$A$2:$A$16,1,FALSE)),1,0)</f>
        <v>0</v>
      </c>
      <c r="M1646" s="3">
        <f>IF(ISERROR(VLOOKUP(D1646,Data!$A$2:$D$223100,2,FALSE)),0,1)</f>
        <v>1</v>
      </c>
      <c r="N1646" s="3">
        <f t="shared" si="51"/>
        <v>0</v>
      </c>
      <c r="O1646" s="3" t="str">
        <f>IF(ISERROR(VLOOKUP(D1646,Data!$A$2:$C$223100,3,FALSE)),"INACTIVE",VLOOKUP(D1646,Data!$A$2:$C$223100,3,FALSE))</f>
        <v>Current</v>
      </c>
    </row>
    <row r="1647" spans="1:15" x14ac:dyDescent="0.25">
      <c r="A1647" t="s">
        <v>5804</v>
      </c>
      <c r="B1647" t="s">
        <v>5805</v>
      </c>
      <c r="C1647" t="s">
        <v>5832</v>
      </c>
      <c r="D1647" t="s">
        <v>5833</v>
      </c>
      <c r="E1647" t="s">
        <v>5844</v>
      </c>
      <c r="F1647" t="s">
        <v>5</v>
      </c>
      <c r="G1647" t="s">
        <v>5</v>
      </c>
      <c r="H1647" t="s">
        <v>5</v>
      </c>
      <c r="I1647" t="s">
        <v>5130</v>
      </c>
      <c r="J1647" t="s">
        <v>96</v>
      </c>
      <c r="K1647" s="3">
        <f t="shared" si="50"/>
        <v>0</v>
      </c>
      <c r="L1647" s="3">
        <f>IF(ISERROR(VLOOKUP(J1647,Lookups!$A$2:$A$16,1,FALSE)),1,0)</f>
        <v>0</v>
      </c>
      <c r="M1647" s="3">
        <f>IF(ISERROR(VLOOKUP(D1647,Data!$A$2:$D$223100,2,FALSE)),0,1)</f>
        <v>1</v>
      </c>
      <c r="N1647" s="3">
        <f t="shared" si="51"/>
        <v>0</v>
      </c>
      <c r="O1647" s="3" t="str">
        <f>IF(ISERROR(VLOOKUP(D1647,Data!$A$2:$C$223100,3,FALSE)),"INACTIVE",VLOOKUP(D1647,Data!$A$2:$C$223100,3,FALSE))</f>
        <v>Current</v>
      </c>
    </row>
    <row r="1648" spans="1:15" x14ac:dyDescent="0.25">
      <c r="A1648" t="s">
        <v>5804</v>
      </c>
      <c r="B1648" t="s">
        <v>5805</v>
      </c>
      <c r="C1648" t="s">
        <v>5832</v>
      </c>
      <c r="D1648" t="s">
        <v>5833</v>
      </c>
      <c r="E1648" t="s">
        <v>5845</v>
      </c>
      <c r="F1648" t="s">
        <v>5</v>
      </c>
      <c r="G1648" t="s">
        <v>5</v>
      </c>
      <c r="H1648" t="s">
        <v>5</v>
      </c>
      <c r="I1648" t="s">
        <v>5130</v>
      </c>
      <c r="J1648" t="s">
        <v>96</v>
      </c>
      <c r="K1648" s="3">
        <f t="shared" si="50"/>
        <v>0</v>
      </c>
      <c r="L1648" s="3">
        <f>IF(ISERROR(VLOOKUP(J1648,Lookups!$A$2:$A$16,1,FALSE)),1,0)</f>
        <v>0</v>
      </c>
      <c r="M1648" s="3">
        <f>IF(ISERROR(VLOOKUP(D1648,Data!$A$2:$D$223100,2,FALSE)),0,1)</f>
        <v>1</v>
      </c>
      <c r="N1648" s="3">
        <f t="shared" si="51"/>
        <v>0</v>
      </c>
      <c r="O1648" s="3" t="str">
        <f>IF(ISERROR(VLOOKUP(D1648,Data!$A$2:$C$223100,3,FALSE)),"INACTIVE",VLOOKUP(D1648,Data!$A$2:$C$223100,3,FALSE))</f>
        <v>Current</v>
      </c>
    </row>
    <row r="1649" spans="1:15" x14ac:dyDescent="0.25">
      <c r="A1649" t="s">
        <v>5804</v>
      </c>
      <c r="B1649" t="s">
        <v>5805</v>
      </c>
      <c r="C1649" t="s">
        <v>5832</v>
      </c>
      <c r="D1649" t="s">
        <v>5833</v>
      </c>
      <c r="E1649" t="s">
        <v>5846</v>
      </c>
      <c r="F1649" t="s">
        <v>5</v>
      </c>
      <c r="G1649" t="s">
        <v>5</v>
      </c>
      <c r="H1649" t="s">
        <v>5</v>
      </c>
      <c r="I1649" t="s">
        <v>5130</v>
      </c>
      <c r="J1649" t="s">
        <v>96</v>
      </c>
      <c r="K1649" s="3">
        <f t="shared" si="50"/>
        <v>0</v>
      </c>
      <c r="L1649" s="3">
        <f>IF(ISERROR(VLOOKUP(J1649,Lookups!$A$2:$A$16,1,FALSE)),1,0)</f>
        <v>0</v>
      </c>
      <c r="M1649" s="3">
        <f>IF(ISERROR(VLOOKUP(D1649,Data!$A$2:$D$223100,2,FALSE)),0,1)</f>
        <v>1</v>
      </c>
      <c r="N1649" s="3">
        <f t="shared" si="51"/>
        <v>0</v>
      </c>
      <c r="O1649" s="3" t="str">
        <f>IF(ISERROR(VLOOKUP(D1649,Data!$A$2:$C$223100,3,FALSE)),"INACTIVE",VLOOKUP(D1649,Data!$A$2:$C$223100,3,FALSE))</f>
        <v>Current</v>
      </c>
    </row>
    <row r="1650" spans="1:15" x14ac:dyDescent="0.25">
      <c r="A1650" t="s">
        <v>5804</v>
      </c>
      <c r="B1650" t="s">
        <v>5805</v>
      </c>
      <c r="C1650" t="s">
        <v>5847</v>
      </c>
      <c r="D1650" t="s">
        <v>5848</v>
      </c>
      <c r="E1650" t="s">
        <v>5849</v>
      </c>
      <c r="F1650" t="s">
        <v>5</v>
      </c>
      <c r="G1650" t="s">
        <v>5</v>
      </c>
      <c r="H1650" t="s">
        <v>5</v>
      </c>
      <c r="I1650" t="s">
        <v>5130</v>
      </c>
      <c r="J1650" t="s">
        <v>7</v>
      </c>
      <c r="K1650" s="3">
        <f t="shared" si="50"/>
        <v>0</v>
      </c>
      <c r="L1650" s="3">
        <f>IF(ISERROR(VLOOKUP(J1650,Lookups!$A$2:$A$16,1,FALSE)),1,0)</f>
        <v>1</v>
      </c>
      <c r="M1650" s="3">
        <f>IF(ISERROR(VLOOKUP(D1650,Data!$A$2:$D$223100,2,FALSE)),0,1)</f>
        <v>1</v>
      </c>
      <c r="N1650" s="3">
        <f t="shared" si="51"/>
        <v>1</v>
      </c>
      <c r="O1650" s="3" t="str">
        <f>IF(ISERROR(VLOOKUP(D1650,Data!$A$2:$C$223100,3,FALSE)),"INACTIVE",VLOOKUP(D1650,Data!$A$2:$C$223100,3,FALSE))</f>
        <v>Current</v>
      </c>
    </row>
    <row r="1651" spans="1:15" x14ac:dyDescent="0.25">
      <c r="A1651" t="s">
        <v>5804</v>
      </c>
      <c r="B1651" t="s">
        <v>5805</v>
      </c>
      <c r="C1651" t="s">
        <v>5850</v>
      </c>
      <c r="D1651" t="s">
        <v>5851</v>
      </c>
      <c r="E1651" t="s">
        <v>5852</v>
      </c>
      <c r="F1651" t="s">
        <v>5</v>
      </c>
      <c r="G1651" t="s">
        <v>5</v>
      </c>
      <c r="H1651" t="s">
        <v>5</v>
      </c>
      <c r="I1651" t="s">
        <v>5130</v>
      </c>
      <c r="J1651" t="s">
        <v>7</v>
      </c>
      <c r="K1651" s="3">
        <f t="shared" si="50"/>
        <v>0</v>
      </c>
      <c r="L1651" s="3">
        <f>IF(ISERROR(VLOOKUP(J1651,Lookups!$A$2:$A$16,1,FALSE)),1,0)</f>
        <v>1</v>
      </c>
      <c r="M1651" s="3">
        <f>IF(ISERROR(VLOOKUP(D1651,Data!$A$2:$D$223100,2,FALSE)),0,1)</f>
        <v>1</v>
      </c>
      <c r="N1651" s="3">
        <f t="shared" si="51"/>
        <v>1</v>
      </c>
      <c r="O1651" s="3" t="str">
        <f>IF(ISERROR(VLOOKUP(D1651,Data!$A$2:$C$223100,3,FALSE)),"INACTIVE",VLOOKUP(D1651,Data!$A$2:$C$223100,3,FALSE))</f>
        <v>Current</v>
      </c>
    </row>
    <row r="1652" spans="1:15" x14ac:dyDescent="0.25">
      <c r="A1652" t="s">
        <v>5804</v>
      </c>
      <c r="B1652" t="s">
        <v>5805</v>
      </c>
      <c r="C1652" t="s">
        <v>5853</v>
      </c>
      <c r="D1652" t="s">
        <v>5854</v>
      </c>
      <c r="E1652" t="s">
        <v>5855</v>
      </c>
      <c r="F1652" t="s">
        <v>5</v>
      </c>
      <c r="G1652" t="s">
        <v>5</v>
      </c>
      <c r="H1652" t="s">
        <v>5</v>
      </c>
      <c r="I1652" t="s">
        <v>5130</v>
      </c>
      <c r="J1652" t="s">
        <v>90</v>
      </c>
      <c r="K1652" s="3">
        <f t="shared" si="50"/>
        <v>0</v>
      </c>
      <c r="L1652" s="3">
        <f>IF(ISERROR(VLOOKUP(J1652,Lookups!$A$2:$A$16,1,FALSE)),1,0)</f>
        <v>0</v>
      </c>
      <c r="M1652" s="3">
        <f>IF(ISERROR(VLOOKUP(D1652,Data!$A$2:$D$223100,2,FALSE)),0,1)</f>
        <v>0</v>
      </c>
      <c r="N1652" s="3">
        <f t="shared" si="51"/>
        <v>0</v>
      </c>
      <c r="O1652" s="3" t="str">
        <f>IF(ISERROR(VLOOKUP(D1652,Data!$A$2:$C$223100,3,FALSE)),"INACTIVE",VLOOKUP(D1652,Data!$A$2:$C$223100,3,FALSE))</f>
        <v>INACTIVE</v>
      </c>
    </row>
    <row r="1653" spans="1:15" x14ac:dyDescent="0.25">
      <c r="A1653" t="s">
        <v>5804</v>
      </c>
      <c r="B1653" t="s">
        <v>5805</v>
      </c>
      <c r="C1653" t="s">
        <v>5853</v>
      </c>
      <c r="D1653" t="s">
        <v>5854</v>
      </c>
      <c r="E1653" t="s">
        <v>5856</v>
      </c>
      <c r="F1653" t="s">
        <v>5</v>
      </c>
      <c r="G1653" t="s">
        <v>5</v>
      </c>
      <c r="H1653" t="s">
        <v>5</v>
      </c>
      <c r="I1653" t="s">
        <v>5130</v>
      </c>
      <c r="J1653" t="s">
        <v>90</v>
      </c>
      <c r="K1653" s="3">
        <f t="shared" si="50"/>
        <v>0</v>
      </c>
      <c r="L1653" s="3">
        <f>IF(ISERROR(VLOOKUP(J1653,Lookups!$A$2:$A$16,1,FALSE)),1,0)</f>
        <v>0</v>
      </c>
      <c r="M1653" s="3">
        <f>IF(ISERROR(VLOOKUP(D1653,Data!$A$2:$D$223100,2,FALSE)),0,1)</f>
        <v>0</v>
      </c>
      <c r="N1653" s="3">
        <f t="shared" si="51"/>
        <v>0</v>
      </c>
      <c r="O1653" s="3" t="str">
        <f>IF(ISERROR(VLOOKUP(D1653,Data!$A$2:$C$223100,3,FALSE)),"INACTIVE",VLOOKUP(D1653,Data!$A$2:$C$223100,3,FALSE))</f>
        <v>INACTIVE</v>
      </c>
    </row>
    <row r="1654" spans="1:15" x14ac:dyDescent="0.25">
      <c r="A1654" t="s">
        <v>5804</v>
      </c>
      <c r="B1654" t="s">
        <v>5805</v>
      </c>
      <c r="C1654" t="s">
        <v>5857</v>
      </c>
      <c r="D1654" t="s">
        <v>5858</v>
      </c>
      <c r="E1654" t="s">
        <v>5859</v>
      </c>
      <c r="F1654" t="s">
        <v>5</v>
      </c>
      <c r="G1654" t="s">
        <v>5</v>
      </c>
      <c r="H1654" t="s">
        <v>5</v>
      </c>
      <c r="I1654" t="s">
        <v>5130</v>
      </c>
      <c r="J1654" t="s">
        <v>96</v>
      </c>
      <c r="K1654" s="3">
        <f t="shared" si="50"/>
        <v>0</v>
      </c>
      <c r="L1654" s="3">
        <f>IF(ISERROR(VLOOKUP(J1654,Lookups!$A$2:$A$16,1,FALSE)),1,0)</f>
        <v>0</v>
      </c>
      <c r="M1654" s="3">
        <f>IF(ISERROR(VLOOKUP(D1654,Data!$A$2:$D$223100,2,FALSE)),0,1)</f>
        <v>1</v>
      </c>
      <c r="N1654" s="3">
        <f t="shared" si="51"/>
        <v>0</v>
      </c>
      <c r="O1654" s="3" t="str">
        <f>IF(ISERROR(VLOOKUP(D1654,Data!$A$2:$C$223100,3,FALSE)),"INACTIVE",VLOOKUP(D1654,Data!$A$2:$C$223100,3,FALSE))</f>
        <v>Current</v>
      </c>
    </row>
    <row r="1655" spans="1:15" x14ac:dyDescent="0.25">
      <c r="A1655" t="s">
        <v>5804</v>
      </c>
      <c r="B1655" t="s">
        <v>5805</v>
      </c>
      <c r="C1655" t="s">
        <v>5857</v>
      </c>
      <c r="D1655" t="s">
        <v>5858</v>
      </c>
      <c r="E1655" t="s">
        <v>5860</v>
      </c>
      <c r="F1655" t="s">
        <v>5</v>
      </c>
      <c r="G1655" t="s">
        <v>5</v>
      </c>
      <c r="H1655" t="s">
        <v>5</v>
      </c>
      <c r="I1655" t="s">
        <v>5130</v>
      </c>
      <c r="J1655" t="s">
        <v>96</v>
      </c>
      <c r="K1655" s="3">
        <f t="shared" si="50"/>
        <v>0</v>
      </c>
      <c r="L1655" s="3">
        <f>IF(ISERROR(VLOOKUP(J1655,Lookups!$A$2:$A$16,1,FALSE)),1,0)</f>
        <v>0</v>
      </c>
      <c r="M1655" s="3">
        <f>IF(ISERROR(VLOOKUP(D1655,Data!$A$2:$D$223100,2,FALSE)),0,1)</f>
        <v>1</v>
      </c>
      <c r="N1655" s="3">
        <f t="shared" si="51"/>
        <v>0</v>
      </c>
      <c r="O1655" s="3" t="str">
        <f>IF(ISERROR(VLOOKUP(D1655,Data!$A$2:$C$223100,3,FALSE)),"INACTIVE",VLOOKUP(D1655,Data!$A$2:$C$223100,3,FALSE))</f>
        <v>Current</v>
      </c>
    </row>
    <row r="1656" spans="1:15" x14ac:dyDescent="0.25">
      <c r="A1656" t="s">
        <v>5995</v>
      </c>
      <c r="B1656" t="s">
        <v>5996</v>
      </c>
      <c r="C1656" t="s">
        <v>5997</v>
      </c>
      <c r="D1656" t="s">
        <v>5998</v>
      </c>
      <c r="E1656" t="s">
        <v>5999</v>
      </c>
      <c r="F1656" t="s">
        <v>5999</v>
      </c>
      <c r="G1656" t="s">
        <v>5</v>
      </c>
      <c r="H1656" t="s">
        <v>5</v>
      </c>
      <c r="I1656" t="s">
        <v>5130</v>
      </c>
      <c r="J1656" t="s">
        <v>7</v>
      </c>
      <c r="K1656" s="3">
        <f t="shared" si="50"/>
        <v>0</v>
      </c>
      <c r="L1656" s="3">
        <f>IF(ISERROR(VLOOKUP(J1656,Lookups!$A$2:$A$16,1,FALSE)),1,0)</f>
        <v>1</v>
      </c>
      <c r="M1656" s="3">
        <f>IF(ISERROR(VLOOKUP(D1656,Data!$A$2:$D$223100,2,FALSE)),0,1)</f>
        <v>1</v>
      </c>
      <c r="N1656" s="3">
        <f t="shared" si="51"/>
        <v>1</v>
      </c>
      <c r="O1656" s="3" t="str">
        <f>IF(ISERROR(VLOOKUP(D1656,Data!$A$2:$C$223100,3,FALSE)),"INACTIVE",VLOOKUP(D1656,Data!$A$2:$C$223100,3,FALSE))</f>
        <v>60+</v>
      </c>
    </row>
    <row r="1657" spans="1:15" x14ac:dyDescent="0.25">
      <c r="A1657" t="s">
        <v>5995</v>
      </c>
      <c r="B1657" t="s">
        <v>5996</v>
      </c>
      <c r="C1657" t="s">
        <v>6000</v>
      </c>
      <c r="D1657" t="s">
        <v>6001</v>
      </c>
      <c r="E1657" t="s">
        <v>6002</v>
      </c>
      <c r="F1657" t="s">
        <v>6003</v>
      </c>
      <c r="G1657" t="s">
        <v>5</v>
      </c>
      <c r="H1657" t="s">
        <v>5</v>
      </c>
      <c r="I1657" t="s">
        <v>5130</v>
      </c>
      <c r="J1657" t="s">
        <v>90</v>
      </c>
      <c r="K1657" s="3">
        <f t="shared" si="50"/>
        <v>0</v>
      </c>
      <c r="L1657" s="3">
        <f>IF(ISERROR(VLOOKUP(J1657,Lookups!$A$2:$A$16,1,FALSE)),1,0)</f>
        <v>0</v>
      </c>
      <c r="M1657" s="3">
        <f>IF(ISERROR(VLOOKUP(D1657,Data!$A$2:$D$223100,2,FALSE)),0,1)</f>
        <v>1</v>
      </c>
      <c r="N1657" s="3">
        <f t="shared" si="51"/>
        <v>0</v>
      </c>
      <c r="O1657" s="3" t="str">
        <f>IF(ISERROR(VLOOKUP(D1657,Data!$A$2:$C$223100,3,FALSE)),"INACTIVE",VLOOKUP(D1657,Data!$A$2:$C$223100,3,FALSE))</f>
        <v>BK13</v>
      </c>
    </row>
    <row r="1658" spans="1:15" x14ac:dyDescent="0.25">
      <c r="A1658" t="s">
        <v>5995</v>
      </c>
      <c r="B1658" t="s">
        <v>5996</v>
      </c>
      <c r="C1658" t="s">
        <v>6000</v>
      </c>
      <c r="D1658" t="s">
        <v>6001</v>
      </c>
      <c r="E1658" t="s">
        <v>6004</v>
      </c>
      <c r="F1658" t="s">
        <v>6004</v>
      </c>
      <c r="G1658" t="s">
        <v>5</v>
      </c>
      <c r="H1658" t="s">
        <v>5</v>
      </c>
      <c r="I1658" t="s">
        <v>5130</v>
      </c>
      <c r="J1658" t="s">
        <v>90</v>
      </c>
      <c r="K1658" s="3">
        <f t="shared" si="50"/>
        <v>0</v>
      </c>
      <c r="L1658" s="3">
        <f>IF(ISERROR(VLOOKUP(J1658,Lookups!$A$2:$A$16,1,FALSE)),1,0)</f>
        <v>0</v>
      </c>
      <c r="M1658" s="3">
        <f>IF(ISERROR(VLOOKUP(D1658,Data!$A$2:$D$223100,2,FALSE)),0,1)</f>
        <v>1</v>
      </c>
      <c r="N1658" s="3">
        <f t="shared" si="51"/>
        <v>0</v>
      </c>
      <c r="O1658" s="3" t="str">
        <f>IF(ISERROR(VLOOKUP(D1658,Data!$A$2:$C$223100,3,FALSE)),"INACTIVE",VLOOKUP(D1658,Data!$A$2:$C$223100,3,FALSE))</f>
        <v>BK13</v>
      </c>
    </row>
    <row r="1659" spans="1:15" x14ac:dyDescent="0.25">
      <c r="A1659" t="s">
        <v>5495</v>
      </c>
      <c r="B1659" t="s">
        <v>5496</v>
      </c>
      <c r="C1659" t="s">
        <v>5497</v>
      </c>
      <c r="D1659" t="s">
        <v>5498</v>
      </c>
      <c r="E1659" t="s">
        <v>5499</v>
      </c>
      <c r="F1659" t="s">
        <v>5</v>
      </c>
      <c r="G1659" t="s">
        <v>5</v>
      </c>
      <c r="H1659" t="s">
        <v>5</v>
      </c>
      <c r="I1659" t="s">
        <v>5500</v>
      </c>
      <c r="J1659" t="s">
        <v>90</v>
      </c>
      <c r="K1659" s="3">
        <f t="shared" si="50"/>
        <v>0</v>
      </c>
      <c r="L1659" s="3">
        <f>IF(ISERROR(VLOOKUP(J1659,Lookups!$A$2:$A$16,1,FALSE)),1,0)</f>
        <v>0</v>
      </c>
      <c r="M1659" s="3">
        <f>IF(ISERROR(VLOOKUP(D1659,Data!$A$2:$D$223100,2,FALSE)),0,1)</f>
        <v>1</v>
      </c>
      <c r="N1659" s="3">
        <f t="shared" si="51"/>
        <v>0</v>
      </c>
      <c r="O1659" s="3" t="str">
        <f>IF(ISERROR(VLOOKUP(D1659,Data!$A$2:$C$223100,3,FALSE)),"INACTIVE",VLOOKUP(D1659,Data!$A$2:$C$223100,3,FALSE))</f>
        <v>120+</v>
      </c>
    </row>
    <row r="1660" spans="1:15" x14ac:dyDescent="0.25">
      <c r="A1660" t="s">
        <v>5495</v>
      </c>
      <c r="B1660" t="s">
        <v>5496</v>
      </c>
      <c r="C1660" t="s">
        <v>5501</v>
      </c>
      <c r="D1660" t="s">
        <v>5502</v>
      </c>
      <c r="E1660" t="s">
        <v>5503</v>
      </c>
      <c r="F1660" t="s">
        <v>5</v>
      </c>
      <c r="G1660" t="s">
        <v>5</v>
      </c>
      <c r="H1660" t="s">
        <v>5</v>
      </c>
      <c r="I1660" t="s">
        <v>5500</v>
      </c>
      <c r="J1660" t="s">
        <v>90</v>
      </c>
      <c r="K1660" s="3">
        <f t="shared" si="50"/>
        <v>0</v>
      </c>
      <c r="L1660" s="3">
        <f>IF(ISERROR(VLOOKUP(J1660,Lookups!$A$2:$A$16,1,FALSE)),1,0)</f>
        <v>0</v>
      </c>
      <c r="M1660" s="3">
        <f>IF(ISERROR(VLOOKUP(D1660,Data!$A$2:$D$223100,2,FALSE)),0,1)</f>
        <v>1</v>
      </c>
      <c r="N1660" s="3">
        <f t="shared" si="51"/>
        <v>0</v>
      </c>
      <c r="O1660" s="3" t="str">
        <f>IF(ISERROR(VLOOKUP(D1660,Data!$A$2:$C$223100,3,FALSE)),"INACTIVE",VLOOKUP(D1660,Data!$A$2:$C$223100,3,FALSE))</f>
        <v>FBA</v>
      </c>
    </row>
    <row r="1661" spans="1:15" x14ac:dyDescent="0.25">
      <c r="A1661" t="s">
        <v>5515</v>
      </c>
      <c r="B1661" t="s">
        <v>5516</v>
      </c>
      <c r="C1661" t="s">
        <v>5517</v>
      </c>
      <c r="D1661" t="s">
        <v>5518</v>
      </c>
      <c r="E1661" t="s">
        <v>5519</v>
      </c>
      <c r="F1661" t="s">
        <v>5</v>
      </c>
      <c r="G1661" t="s">
        <v>5</v>
      </c>
      <c r="H1661" t="s">
        <v>5</v>
      </c>
      <c r="I1661" t="s">
        <v>5500</v>
      </c>
      <c r="J1661" t="s">
        <v>90</v>
      </c>
      <c r="K1661" s="3">
        <f t="shared" si="50"/>
        <v>0</v>
      </c>
      <c r="L1661" s="3">
        <f>IF(ISERROR(VLOOKUP(J1661,Lookups!$A$2:$A$16,1,FALSE)),1,0)</f>
        <v>0</v>
      </c>
      <c r="M1661" s="3">
        <f>IF(ISERROR(VLOOKUP(D1661,Data!$A$2:$D$223100,2,FALSE)),0,1)</f>
        <v>1</v>
      </c>
      <c r="N1661" s="3">
        <f t="shared" si="51"/>
        <v>0</v>
      </c>
      <c r="O1661" s="3" t="str">
        <f>IF(ISERROR(VLOOKUP(D1661,Data!$A$2:$C$223100,3,FALSE)),"INACTIVE",VLOOKUP(D1661,Data!$A$2:$C$223100,3,FALSE))</f>
        <v>Current</v>
      </c>
    </row>
    <row r="1662" spans="1:15" x14ac:dyDescent="0.25">
      <c r="A1662" t="s">
        <v>5515</v>
      </c>
      <c r="B1662" t="s">
        <v>5516</v>
      </c>
      <c r="C1662" t="s">
        <v>5520</v>
      </c>
      <c r="D1662" t="s">
        <v>5521</v>
      </c>
      <c r="E1662" t="s">
        <v>5522</v>
      </c>
      <c r="F1662" t="s">
        <v>5</v>
      </c>
      <c r="G1662" t="s">
        <v>5</v>
      </c>
      <c r="H1662" t="s">
        <v>5</v>
      </c>
      <c r="I1662" t="s">
        <v>5500</v>
      </c>
      <c r="J1662" t="s">
        <v>90</v>
      </c>
      <c r="K1662" s="3">
        <f t="shared" si="50"/>
        <v>0</v>
      </c>
      <c r="L1662" s="3">
        <f>IF(ISERROR(VLOOKUP(J1662,Lookups!$A$2:$A$16,1,FALSE)),1,0)</f>
        <v>0</v>
      </c>
      <c r="M1662" s="3">
        <f>IF(ISERROR(VLOOKUP(D1662,Data!$A$2:$D$223100,2,FALSE)),0,1)</f>
        <v>1</v>
      </c>
      <c r="N1662" s="3">
        <f t="shared" si="51"/>
        <v>0</v>
      </c>
      <c r="O1662" s="3" t="str">
        <f>IF(ISERROR(VLOOKUP(D1662,Data!$A$2:$C$223100,3,FALSE)),"INACTIVE",VLOOKUP(D1662,Data!$A$2:$C$223100,3,FALSE))</f>
        <v>FBA</v>
      </c>
    </row>
    <row r="1663" spans="1:15" x14ac:dyDescent="0.25">
      <c r="A1663" t="s">
        <v>5533</v>
      </c>
      <c r="B1663" t="s">
        <v>5534</v>
      </c>
      <c r="C1663" t="s">
        <v>5535</v>
      </c>
      <c r="D1663" t="s">
        <v>5536</v>
      </c>
      <c r="E1663" t="s">
        <v>5537</v>
      </c>
      <c r="F1663" t="s">
        <v>5</v>
      </c>
      <c r="G1663" t="s">
        <v>5</v>
      </c>
      <c r="H1663" t="s">
        <v>5</v>
      </c>
      <c r="I1663" t="s">
        <v>5500</v>
      </c>
      <c r="J1663" t="s">
        <v>90</v>
      </c>
      <c r="K1663" s="3">
        <f t="shared" si="50"/>
        <v>0</v>
      </c>
      <c r="L1663" s="3">
        <f>IF(ISERROR(VLOOKUP(J1663,Lookups!$A$2:$A$16,1,FALSE)),1,0)</f>
        <v>0</v>
      </c>
      <c r="M1663" s="3">
        <f>IF(ISERROR(VLOOKUP(D1663,Data!$A$2:$D$223100,2,FALSE)),0,1)</f>
        <v>1</v>
      </c>
      <c r="N1663" s="3">
        <f t="shared" si="51"/>
        <v>0</v>
      </c>
      <c r="O1663" s="3" t="str">
        <f>IF(ISERROR(VLOOKUP(D1663,Data!$A$2:$C$223100,3,FALSE)),"INACTIVE",VLOOKUP(D1663,Data!$A$2:$C$223100,3,FALSE))</f>
        <v>180+</v>
      </c>
    </row>
    <row r="1664" spans="1:15" x14ac:dyDescent="0.25">
      <c r="A1664" t="s">
        <v>5603</v>
      </c>
      <c r="B1664" t="s">
        <v>5604</v>
      </c>
      <c r="C1664" t="s">
        <v>5605</v>
      </c>
      <c r="D1664" t="s">
        <v>5606</v>
      </c>
      <c r="E1664" t="s">
        <v>5607</v>
      </c>
      <c r="F1664" t="s">
        <v>5608</v>
      </c>
      <c r="G1664" t="s">
        <v>5</v>
      </c>
      <c r="H1664" t="s">
        <v>5</v>
      </c>
      <c r="I1664" t="s">
        <v>5500</v>
      </c>
      <c r="J1664" t="s">
        <v>7</v>
      </c>
      <c r="K1664" s="3">
        <f t="shared" si="50"/>
        <v>0</v>
      </c>
      <c r="L1664" s="3">
        <f>IF(ISERROR(VLOOKUP(J1664,Lookups!$A$2:$A$16,1,FALSE)),1,0)</f>
        <v>1</v>
      </c>
      <c r="M1664" s="3">
        <f>IF(ISERROR(VLOOKUP(D1664,Data!$A$2:$D$223100,2,FALSE)),0,1)</f>
        <v>1</v>
      </c>
      <c r="N1664" s="3">
        <f t="shared" si="51"/>
        <v>1</v>
      </c>
      <c r="O1664" s="3" t="str">
        <f>IF(ISERROR(VLOOKUP(D1664,Data!$A$2:$C$223100,3,FALSE)),"INACTIVE",VLOOKUP(D1664,Data!$A$2:$C$223100,3,FALSE))</f>
        <v>BK13</v>
      </c>
    </row>
    <row r="1665" spans="1:15" x14ac:dyDescent="0.25">
      <c r="A1665" t="s">
        <v>5422</v>
      </c>
      <c r="B1665" t="s">
        <v>5423</v>
      </c>
      <c r="C1665" t="s">
        <v>5424</v>
      </c>
      <c r="D1665" t="s">
        <v>5425</v>
      </c>
      <c r="E1665" t="s">
        <v>5426</v>
      </c>
      <c r="F1665" t="s">
        <v>5</v>
      </c>
      <c r="G1665" t="s">
        <v>5</v>
      </c>
      <c r="H1665" t="s">
        <v>5</v>
      </c>
      <c r="I1665" t="s">
        <v>5427</v>
      </c>
      <c r="J1665" t="s">
        <v>7</v>
      </c>
      <c r="K1665" s="3">
        <f t="shared" si="50"/>
        <v>0</v>
      </c>
      <c r="L1665" s="3">
        <f>IF(ISERROR(VLOOKUP(J1665,Lookups!$A$2:$A$16,1,FALSE)),1,0)</f>
        <v>1</v>
      </c>
      <c r="M1665" s="3">
        <f>IF(ISERROR(VLOOKUP(D1665,Data!$A$2:$D$223100,2,FALSE)),0,1)</f>
        <v>1</v>
      </c>
      <c r="N1665" s="3">
        <f t="shared" si="51"/>
        <v>1</v>
      </c>
      <c r="O1665" s="3" t="str">
        <f>IF(ISERROR(VLOOKUP(D1665,Data!$A$2:$C$223100,3,FALSE)),"INACTIVE",VLOOKUP(D1665,Data!$A$2:$C$223100,3,FALSE))</f>
        <v>Current</v>
      </c>
    </row>
    <row r="1666" spans="1:15" x14ac:dyDescent="0.25">
      <c r="A1666" t="s">
        <v>5538</v>
      </c>
      <c r="B1666" t="s">
        <v>5539</v>
      </c>
      <c r="C1666" t="s">
        <v>5540</v>
      </c>
      <c r="D1666" t="s">
        <v>5541</v>
      </c>
      <c r="E1666" t="s">
        <v>5542</v>
      </c>
      <c r="F1666" t="s">
        <v>5</v>
      </c>
      <c r="G1666" t="s">
        <v>5</v>
      </c>
      <c r="H1666" t="s">
        <v>5</v>
      </c>
      <c r="I1666" t="s">
        <v>5427</v>
      </c>
      <c r="J1666" t="s">
        <v>90</v>
      </c>
      <c r="K1666" s="3">
        <f t="shared" si="50"/>
        <v>0</v>
      </c>
      <c r="L1666" s="3">
        <f>IF(ISERROR(VLOOKUP(J1666,Lookups!$A$2:$A$16,1,FALSE)),1,0)</f>
        <v>0</v>
      </c>
      <c r="M1666" s="3">
        <f>IF(ISERROR(VLOOKUP(D1666,Data!$A$2:$D$223100,2,FALSE)),0,1)</f>
        <v>1</v>
      </c>
      <c r="N1666" s="3">
        <f t="shared" si="51"/>
        <v>0</v>
      </c>
      <c r="O1666" s="3" t="str">
        <f>IF(ISERROR(VLOOKUP(D1666,Data!$A$2:$C$223100,3,FALSE)),"INACTIVE",VLOOKUP(D1666,Data!$A$2:$C$223100,3,FALSE))</f>
        <v>FC</v>
      </c>
    </row>
    <row r="1667" spans="1:15" x14ac:dyDescent="0.25">
      <c r="A1667" t="s">
        <v>5543</v>
      </c>
      <c r="B1667" t="s">
        <v>5544</v>
      </c>
      <c r="C1667" t="s">
        <v>5545</v>
      </c>
      <c r="D1667" t="s">
        <v>5546</v>
      </c>
      <c r="E1667" t="s">
        <v>5547</v>
      </c>
      <c r="F1667" t="s">
        <v>5</v>
      </c>
      <c r="G1667" t="s">
        <v>5</v>
      </c>
      <c r="H1667" t="s">
        <v>5</v>
      </c>
      <c r="I1667" t="s">
        <v>5427</v>
      </c>
      <c r="J1667" t="s">
        <v>90</v>
      </c>
      <c r="K1667" s="3">
        <f t="shared" ref="K1667:K1730" si="52">IF(ISERROR(FIND("LIEN",A1667,1)),0,1)</f>
        <v>0</v>
      </c>
      <c r="L1667" s="3">
        <f>IF(ISERROR(VLOOKUP(J1667,Lookups!$A$2:$A$16,1,FALSE)),1,0)</f>
        <v>0</v>
      </c>
      <c r="M1667" s="3">
        <f>IF(ISERROR(VLOOKUP(D1667,Data!$A$2:$D$223100,2,FALSE)),0,1)</f>
        <v>1</v>
      </c>
      <c r="N1667" s="3">
        <f t="shared" ref="N1667:N1730" si="53">IF(M1667=0,0,IF(SUM(K1667:L1667)&gt;0,1,0))</f>
        <v>0</v>
      </c>
      <c r="O1667" s="3" t="str">
        <f>IF(ISERROR(VLOOKUP(D1667,Data!$A$2:$C$223100,3,FALSE)),"INACTIVE",VLOOKUP(D1667,Data!$A$2:$C$223100,3,FALSE))</f>
        <v>FC</v>
      </c>
    </row>
    <row r="1668" spans="1:15" x14ac:dyDescent="0.25">
      <c r="A1668" t="s">
        <v>5554</v>
      </c>
      <c r="B1668" t="s">
        <v>5555</v>
      </c>
      <c r="C1668" t="s">
        <v>5556</v>
      </c>
      <c r="D1668" t="s">
        <v>5557</v>
      </c>
      <c r="E1668" t="s">
        <v>5558</v>
      </c>
      <c r="F1668" t="s">
        <v>5</v>
      </c>
      <c r="G1668" t="s">
        <v>5</v>
      </c>
      <c r="H1668" t="s">
        <v>5</v>
      </c>
      <c r="I1668" t="s">
        <v>5427</v>
      </c>
      <c r="J1668" t="s">
        <v>90</v>
      </c>
      <c r="K1668" s="3">
        <f t="shared" si="52"/>
        <v>0</v>
      </c>
      <c r="L1668" s="3">
        <f>IF(ISERROR(VLOOKUP(J1668,Lookups!$A$2:$A$16,1,FALSE)),1,0)</f>
        <v>0</v>
      </c>
      <c r="M1668" s="3">
        <f>IF(ISERROR(VLOOKUP(D1668,Data!$A$2:$D$223100,2,FALSE)),0,1)</f>
        <v>1</v>
      </c>
      <c r="N1668" s="3">
        <f t="shared" si="53"/>
        <v>0</v>
      </c>
      <c r="O1668" s="3" t="str">
        <f>IF(ISERROR(VLOOKUP(D1668,Data!$A$2:$C$223100,3,FALSE)),"INACTIVE",VLOOKUP(D1668,Data!$A$2:$C$223100,3,FALSE))</f>
        <v>Current</v>
      </c>
    </row>
    <row r="1669" spans="1:15" x14ac:dyDescent="0.25">
      <c r="A1669" t="s">
        <v>5583</v>
      </c>
      <c r="B1669" t="s">
        <v>5584</v>
      </c>
      <c r="C1669" t="s">
        <v>5585</v>
      </c>
      <c r="D1669" t="s">
        <v>5586</v>
      </c>
      <c r="E1669" t="s">
        <v>5587</v>
      </c>
      <c r="F1669" t="s">
        <v>5</v>
      </c>
      <c r="G1669" t="s">
        <v>5</v>
      </c>
      <c r="H1669" t="s">
        <v>5</v>
      </c>
      <c r="I1669" t="s">
        <v>5427</v>
      </c>
      <c r="J1669" t="s">
        <v>96</v>
      </c>
      <c r="K1669" s="3">
        <f t="shared" si="52"/>
        <v>0</v>
      </c>
      <c r="L1669" s="3">
        <f>IF(ISERROR(VLOOKUP(J1669,Lookups!$A$2:$A$16,1,FALSE)),1,0)</f>
        <v>0</v>
      </c>
      <c r="M1669" s="3">
        <f>IF(ISERROR(VLOOKUP(D1669,Data!$A$2:$D$223100,2,FALSE)),0,1)</f>
        <v>1</v>
      </c>
      <c r="N1669" s="3">
        <f t="shared" si="53"/>
        <v>0</v>
      </c>
      <c r="O1669" s="3" t="str">
        <f>IF(ISERROR(VLOOKUP(D1669,Data!$A$2:$C$223100,3,FALSE)),"INACTIVE",VLOOKUP(D1669,Data!$A$2:$C$223100,3,FALSE))</f>
        <v>FC</v>
      </c>
    </row>
    <row r="1670" spans="1:15" x14ac:dyDescent="0.25">
      <c r="A1670" t="s">
        <v>5588</v>
      </c>
      <c r="B1670" t="s">
        <v>5589</v>
      </c>
      <c r="C1670" t="s">
        <v>5590</v>
      </c>
      <c r="D1670" t="s">
        <v>5591</v>
      </c>
      <c r="E1670" t="s">
        <v>5592</v>
      </c>
      <c r="F1670" t="s">
        <v>5593</v>
      </c>
      <c r="G1670" t="s">
        <v>5</v>
      </c>
      <c r="H1670" t="s">
        <v>5</v>
      </c>
      <c r="I1670" t="s">
        <v>5427</v>
      </c>
      <c r="J1670" t="s">
        <v>7</v>
      </c>
      <c r="K1670" s="3">
        <f t="shared" si="52"/>
        <v>0</v>
      </c>
      <c r="L1670" s="3">
        <f>IF(ISERROR(VLOOKUP(J1670,Lookups!$A$2:$A$16,1,FALSE)),1,0)</f>
        <v>1</v>
      </c>
      <c r="M1670" s="3">
        <f>IF(ISERROR(VLOOKUP(D1670,Data!$A$2:$D$223100,2,FALSE)),0,1)</f>
        <v>0</v>
      </c>
      <c r="N1670" s="3">
        <f t="shared" si="53"/>
        <v>0</v>
      </c>
      <c r="O1670" s="3" t="str">
        <f>IF(ISERROR(VLOOKUP(D1670,Data!$A$2:$C$223100,3,FALSE)),"INACTIVE",VLOOKUP(D1670,Data!$A$2:$C$223100,3,FALSE))</f>
        <v>INACTIVE</v>
      </c>
    </row>
    <row r="1671" spans="1:15" x14ac:dyDescent="0.25">
      <c r="A1671" t="s">
        <v>5588</v>
      </c>
      <c r="B1671" t="s">
        <v>5589</v>
      </c>
      <c r="C1671" t="s">
        <v>5590</v>
      </c>
      <c r="D1671" t="s">
        <v>5591</v>
      </c>
      <c r="E1671" t="s">
        <v>5594</v>
      </c>
      <c r="F1671" t="s">
        <v>5</v>
      </c>
      <c r="G1671" t="s">
        <v>5</v>
      </c>
      <c r="H1671" t="s">
        <v>5</v>
      </c>
      <c r="I1671" t="s">
        <v>5427</v>
      </c>
      <c r="J1671" t="s">
        <v>7</v>
      </c>
      <c r="K1671" s="3">
        <f t="shared" si="52"/>
        <v>0</v>
      </c>
      <c r="L1671" s="3">
        <f>IF(ISERROR(VLOOKUP(J1671,Lookups!$A$2:$A$16,1,FALSE)),1,0)</f>
        <v>1</v>
      </c>
      <c r="M1671" s="3">
        <f>IF(ISERROR(VLOOKUP(D1671,Data!$A$2:$D$223100,2,FALSE)),0,1)</f>
        <v>0</v>
      </c>
      <c r="N1671" s="3">
        <f t="shared" si="53"/>
        <v>0</v>
      </c>
      <c r="O1671" s="3" t="str">
        <f>IF(ISERROR(VLOOKUP(D1671,Data!$A$2:$C$223100,3,FALSE)),"INACTIVE",VLOOKUP(D1671,Data!$A$2:$C$223100,3,FALSE))</f>
        <v>INACTIVE</v>
      </c>
    </row>
    <row r="1672" spans="1:15" x14ac:dyDescent="0.25">
      <c r="A1672" t="s">
        <v>5939</v>
      </c>
      <c r="B1672" t="s">
        <v>5940</v>
      </c>
      <c r="C1672" t="s">
        <v>5250</v>
      </c>
      <c r="D1672" t="s">
        <v>5251</v>
      </c>
      <c r="E1672" t="s">
        <v>5941</v>
      </c>
      <c r="F1672" t="s">
        <v>5</v>
      </c>
      <c r="G1672" t="s">
        <v>5</v>
      </c>
      <c r="H1672" t="s">
        <v>5</v>
      </c>
      <c r="I1672" t="s">
        <v>5427</v>
      </c>
      <c r="J1672" t="s">
        <v>7</v>
      </c>
      <c r="K1672" s="3">
        <f t="shared" si="52"/>
        <v>0</v>
      </c>
      <c r="L1672" s="3">
        <f>IF(ISERROR(VLOOKUP(J1672,Lookups!$A$2:$A$16,1,FALSE)),1,0)</f>
        <v>1</v>
      </c>
      <c r="M1672" s="3">
        <f>IF(ISERROR(VLOOKUP(D1672,Data!$A$2:$D$223100,2,FALSE)),0,1)</f>
        <v>0</v>
      </c>
      <c r="N1672" s="3">
        <f t="shared" si="53"/>
        <v>0</v>
      </c>
      <c r="O1672" s="3" t="str">
        <f>IF(ISERROR(VLOOKUP(D1672,Data!$A$2:$C$223100,3,FALSE)),"INACTIVE",VLOOKUP(D1672,Data!$A$2:$C$223100,3,FALSE))</f>
        <v>INACTIVE</v>
      </c>
    </row>
    <row r="1673" spans="1:15" x14ac:dyDescent="0.25">
      <c r="A1673" t="s">
        <v>5361</v>
      </c>
      <c r="B1673" t="s">
        <v>5362</v>
      </c>
      <c r="C1673" t="s">
        <v>5363</v>
      </c>
      <c r="D1673" t="s">
        <v>5364</v>
      </c>
      <c r="E1673" t="s">
        <v>5365</v>
      </c>
      <c r="F1673" t="s">
        <v>5</v>
      </c>
      <c r="G1673" t="s">
        <v>5</v>
      </c>
      <c r="H1673" t="s">
        <v>5</v>
      </c>
      <c r="I1673" t="s">
        <v>5366</v>
      </c>
      <c r="J1673" t="s">
        <v>90</v>
      </c>
      <c r="K1673" s="3">
        <f t="shared" si="52"/>
        <v>0</v>
      </c>
      <c r="L1673" s="3">
        <f>IF(ISERROR(VLOOKUP(J1673,Lookups!$A$2:$A$16,1,FALSE)),1,0)</f>
        <v>0</v>
      </c>
      <c r="M1673" s="3">
        <f>IF(ISERROR(VLOOKUP(D1673,Data!$A$2:$D$223100,2,FALSE)),0,1)</f>
        <v>1</v>
      </c>
      <c r="N1673" s="3">
        <f t="shared" si="53"/>
        <v>0</v>
      </c>
      <c r="O1673" s="3" t="str">
        <f>IF(ISERROR(VLOOKUP(D1673,Data!$A$2:$C$223100,3,FALSE)),"INACTIVE",VLOOKUP(D1673,Data!$A$2:$C$223100,3,FALSE))</f>
        <v>FBA</v>
      </c>
    </row>
    <row r="1674" spans="1:15" x14ac:dyDescent="0.25">
      <c r="A1674" t="s">
        <v>5361</v>
      </c>
      <c r="B1674" t="s">
        <v>5362</v>
      </c>
      <c r="C1674" t="s">
        <v>5367</v>
      </c>
      <c r="D1674" t="s">
        <v>5368</v>
      </c>
      <c r="E1674" t="s">
        <v>5369</v>
      </c>
      <c r="F1674" t="s">
        <v>5</v>
      </c>
      <c r="G1674" t="s">
        <v>5</v>
      </c>
      <c r="H1674" t="s">
        <v>5</v>
      </c>
      <c r="I1674" t="s">
        <v>5366</v>
      </c>
      <c r="J1674" t="s">
        <v>96</v>
      </c>
      <c r="K1674" s="3">
        <f t="shared" si="52"/>
        <v>0</v>
      </c>
      <c r="L1674" s="3">
        <f>IF(ISERROR(VLOOKUP(J1674,Lookups!$A$2:$A$16,1,FALSE)),1,0)</f>
        <v>0</v>
      </c>
      <c r="M1674" s="3">
        <f>IF(ISERROR(VLOOKUP(D1674,Data!$A$2:$D$223100,2,FALSE)),0,1)</f>
        <v>1</v>
      </c>
      <c r="N1674" s="3">
        <f t="shared" si="53"/>
        <v>0</v>
      </c>
      <c r="O1674" s="3" t="str">
        <f>IF(ISERROR(VLOOKUP(D1674,Data!$A$2:$C$223100,3,FALSE)),"INACTIVE",VLOOKUP(D1674,Data!$A$2:$C$223100,3,FALSE))</f>
        <v>FC</v>
      </c>
    </row>
    <row r="1675" spans="1:15" x14ac:dyDescent="0.25">
      <c r="A1675" t="s">
        <v>5361</v>
      </c>
      <c r="B1675" t="s">
        <v>5362</v>
      </c>
      <c r="C1675" t="s">
        <v>5367</v>
      </c>
      <c r="D1675" t="s">
        <v>5368</v>
      </c>
      <c r="E1675" t="s">
        <v>5370</v>
      </c>
      <c r="F1675" t="s">
        <v>5</v>
      </c>
      <c r="G1675" t="s">
        <v>5</v>
      </c>
      <c r="H1675" t="s">
        <v>5</v>
      </c>
      <c r="I1675" t="s">
        <v>5366</v>
      </c>
      <c r="J1675" t="s">
        <v>96</v>
      </c>
      <c r="K1675" s="3">
        <f t="shared" si="52"/>
        <v>0</v>
      </c>
      <c r="L1675" s="3">
        <f>IF(ISERROR(VLOOKUP(J1675,Lookups!$A$2:$A$16,1,FALSE)),1,0)</f>
        <v>0</v>
      </c>
      <c r="M1675" s="3">
        <f>IF(ISERROR(VLOOKUP(D1675,Data!$A$2:$D$223100,2,FALSE)),0,1)</f>
        <v>1</v>
      </c>
      <c r="N1675" s="3">
        <f t="shared" si="53"/>
        <v>0</v>
      </c>
      <c r="O1675" s="3" t="str">
        <f>IF(ISERROR(VLOOKUP(D1675,Data!$A$2:$C$223100,3,FALSE)),"INACTIVE",VLOOKUP(D1675,Data!$A$2:$C$223100,3,FALSE))</f>
        <v>FC</v>
      </c>
    </row>
    <row r="1676" spans="1:15" x14ac:dyDescent="0.25">
      <c r="A1676" t="s">
        <v>5631</v>
      </c>
      <c r="B1676" t="s">
        <v>5632</v>
      </c>
      <c r="C1676" t="s">
        <v>5633</v>
      </c>
      <c r="D1676" t="s">
        <v>5063</v>
      </c>
      <c r="E1676" t="s">
        <v>5634</v>
      </c>
      <c r="F1676" t="s">
        <v>5</v>
      </c>
      <c r="G1676" t="s">
        <v>5</v>
      </c>
      <c r="H1676" t="s">
        <v>5</v>
      </c>
      <c r="I1676" t="s">
        <v>5366</v>
      </c>
      <c r="J1676" t="s">
        <v>96</v>
      </c>
      <c r="K1676" s="3">
        <f t="shared" si="52"/>
        <v>0</v>
      </c>
      <c r="L1676" s="3">
        <f>IF(ISERROR(VLOOKUP(J1676,Lookups!$A$2:$A$16,1,FALSE)),1,0)</f>
        <v>0</v>
      </c>
      <c r="M1676" s="3">
        <f>IF(ISERROR(VLOOKUP(D1676,Data!$A$2:$D$223100,2,FALSE)),0,1)</f>
        <v>1</v>
      </c>
      <c r="N1676" s="3">
        <f t="shared" si="53"/>
        <v>0</v>
      </c>
      <c r="O1676" s="3" t="str">
        <f>IF(ISERROR(VLOOKUP(D1676,Data!$A$2:$C$223100,3,FALSE)),"INACTIVE",VLOOKUP(D1676,Data!$A$2:$C$223100,3,FALSE))</f>
        <v>30+</v>
      </c>
    </row>
    <row r="1677" spans="1:15" x14ac:dyDescent="0.25">
      <c r="A1677" t="s">
        <v>5569</v>
      </c>
      <c r="B1677" t="s">
        <v>5570</v>
      </c>
      <c r="C1677" t="s">
        <v>4769</v>
      </c>
      <c r="D1677" t="s">
        <v>4770</v>
      </c>
      <c r="E1677" t="s">
        <v>5571</v>
      </c>
      <c r="F1677" t="s">
        <v>5</v>
      </c>
      <c r="G1677" t="s">
        <v>5</v>
      </c>
      <c r="H1677" t="s">
        <v>5</v>
      </c>
      <c r="I1677" t="s">
        <v>5572</v>
      </c>
      <c r="J1677" t="s">
        <v>7</v>
      </c>
      <c r="K1677" s="3">
        <f t="shared" si="52"/>
        <v>0</v>
      </c>
      <c r="L1677" s="3">
        <f>IF(ISERROR(VLOOKUP(J1677,Lookups!$A$2:$A$16,1,FALSE)),1,0)</f>
        <v>1</v>
      </c>
      <c r="M1677" s="3">
        <f>IF(ISERROR(VLOOKUP(D1677,Data!$A$2:$D$223100,2,FALSE)),0,1)</f>
        <v>1</v>
      </c>
      <c r="N1677" s="3">
        <f t="shared" si="53"/>
        <v>1</v>
      </c>
      <c r="O1677" s="3" t="str">
        <f>IF(ISERROR(VLOOKUP(D1677,Data!$A$2:$C$223100,3,FALSE)),"INACTIVE",VLOOKUP(D1677,Data!$A$2:$C$223100,3,FALSE))</f>
        <v>Current</v>
      </c>
    </row>
    <row r="1678" spans="1:15" x14ac:dyDescent="0.25">
      <c r="A1678" t="s">
        <v>5083</v>
      </c>
      <c r="B1678" t="s">
        <v>5084</v>
      </c>
      <c r="C1678" t="s">
        <v>5085</v>
      </c>
      <c r="D1678" t="s">
        <v>5086</v>
      </c>
      <c r="E1678" t="s">
        <v>5</v>
      </c>
      <c r="F1678" t="s">
        <v>5087</v>
      </c>
      <c r="G1678" t="s">
        <v>5</v>
      </c>
      <c r="H1678" t="s">
        <v>5</v>
      </c>
      <c r="I1678" t="s">
        <v>5088</v>
      </c>
      <c r="J1678" t="s">
        <v>14</v>
      </c>
      <c r="K1678" s="3">
        <f t="shared" si="52"/>
        <v>0</v>
      </c>
      <c r="L1678" s="3">
        <f>IF(ISERROR(VLOOKUP(J1678,Lookups!$A$2:$A$16,1,FALSE)),1,0)</f>
        <v>1</v>
      </c>
      <c r="M1678" s="3">
        <f>IF(ISERROR(VLOOKUP(D1678,Data!$A$2:$D$223100,2,FALSE)),0,1)</f>
        <v>1</v>
      </c>
      <c r="N1678" s="3">
        <f t="shared" si="53"/>
        <v>1</v>
      </c>
      <c r="O1678" s="3" t="str">
        <f>IF(ISERROR(VLOOKUP(D1678,Data!$A$2:$C$223100,3,FALSE)),"INACTIVE",VLOOKUP(D1678,Data!$A$2:$C$223100,3,FALSE))</f>
        <v>FC</v>
      </c>
    </row>
    <row r="1679" spans="1:15" x14ac:dyDescent="0.25">
      <c r="A1679" t="s">
        <v>5083</v>
      </c>
      <c r="B1679" t="s">
        <v>5084</v>
      </c>
      <c r="C1679" t="s">
        <v>5089</v>
      </c>
      <c r="D1679" t="s">
        <v>5090</v>
      </c>
      <c r="E1679" t="s">
        <v>5</v>
      </c>
      <c r="F1679" t="s">
        <v>5091</v>
      </c>
      <c r="G1679" t="s">
        <v>5</v>
      </c>
      <c r="H1679" t="s">
        <v>5</v>
      </c>
      <c r="I1679" t="s">
        <v>5088</v>
      </c>
      <c r="J1679" t="s">
        <v>14</v>
      </c>
      <c r="K1679" s="3">
        <f t="shared" si="52"/>
        <v>0</v>
      </c>
      <c r="L1679" s="3">
        <f>IF(ISERROR(VLOOKUP(J1679,Lookups!$A$2:$A$16,1,FALSE)),1,0)</f>
        <v>1</v>
      </c>
      <c r="M1679" s="3">
        <f>IF(ISERROR(VLOOKUP(D1679,Data!$A$2:$D$223100,2,FALSE)),0,1)</f>
        <v>1</v>
      </c>
      <c r="N1679" s="3">
        <f t="shared" si="53"/>
        <v>1</v>
      </c>
      <c r="O1679" s="3" t="str">
        <f>IF(ISERROR(VLOOKUP(D1679,Data!$A$2:$C$223100,3,FALSE)),"INACTIVE",VLOOKUP(D1679,Data!$A$2:$C$223100,3,FALSE))</f>
        <v>90+</v>
      </c>
    </row>
    <row r="1680" spans="1:15" x14ac:dyDescent="0.25">
      <c r="A1680" t="s">
        <v>5083</v>
      </c>
      <c r="B1680" t="s">
        <v>5084</v>
      </c>
      <c r="C1680" t="s">
        <v>5092</v>
      </c>
      <c r="D1680" t="s">
        <v>5093</v>
      </c>
      <c r="E1680" t="s">
        <v>5094</v>
      </c>
      <c r="F1680" t="s">
        <v>5094</v>
      </c>
      <c r="G1680" t="s">
        <v>5</v>
      </c>
      <c r="H1680" t="s">
        <v>5</v>
      </c>
      <c r="I1680" t="s">
        <v>5088</v>
      </c>
      <c r="J1680" t="s">
        <v>7</v>
      </c>
      <c r="K1680" s="3">
        <f t="shared" si="52"/>
        <v>0</v>
      </c>
      <c r="L1680" s="3">
        <f>IF(ISERROR(VLOOKUP(J1680,Lookups!$A$2:$A$16,1,FALSE)),1,0)</f>
        <v>1</v>
      </c>
      <c r="M1680" s="3">
        <f>IF(ISERROR(VLOOKUP(D1680,Data!$A$2:$D$223100,2,FALSE)),0,1)</f>
        <v>1</v>
      </c>
      <c r="N1680" s="3">
        <f t="shared" si="53"/>
        <v>1</v>
      </c>
      <c r="O1680" s="3" t="str">
        <f>IF(ISERROR(VLOOKUP(D1680,Data!$A$2:$C$223100,3,FALSE)),"INACTIVE",VLOOKUP(D1680,Data!$A$2:$C$223100,3,FALSE))</f>
        <v>FC</v>
      </c>
    </row>
    <row r="1681" spans="1:15" x14ac:dyDescent="0.25">
      <c r="A1681" t="s">
        <v>5083</v>
      </c>
      <c r="B1681" t="s">
        <v>5084</v>
      </c>
      <c r="C1681" t="s">
        <v>5092</v>
      </c>
      <c r="D1681" t="s">
        <v>5093</v>
      </c>
      <c r="E1681" t="s">
        <v>5095</v>
      </c>
      <c r="F1681" t="s">
        <v>5096</v>
      </c>
      <c r="G1681" t="s">
        <v>5</v>
      </c>
      <c r="H1681" t="s">
        <v>5</v>
      </c>
      <c r="I1681" t="s">
        <v>5088</v>
      </c>
      <c r="J1681" t="s">
        <v>7</v>
      </c>
      <c r="K1681" s="3">
        <f t="shared" si="52"/>
        <v>0</v>
      </c>
      <c r="L1681" s="3">
        <f>IF(ISERROR(VLOOKUP(J1681,Lookups!$A$2:$A$16,1,FALSE)),1,0)</f>
        <v>1</v>
      </c>
      <c r="M1681" s="3">
        <f>IF(ISERROR(VLOOKUP(D1681,Data!$A$2:$D$223100,2,FALSE)),0,1)</f>
        <v>1</v>
      </c>
      <c r="N1681" s="3">
        <f t="shared" si="53"/>
        <v>1</v>
      </c>
      <c r="O1681" s="3" t="str">
        <f>IF(ISERROR(VLOOKUP(D1681,Data!$A$2:$C$223100,3,FALSE)),"INACTIVE",VLOOKUP(D1681,Data!$A$2:$C$223100,3,FALSE))</f>
        <v>FC</v>
      </c>
    </row>
    <row r="1682" spans="1:15" x14ac:dyDescent="0.25">
      <c r="A1682" t="s">
        <v>5083</v>
      </c>
      <c r="B1682" t="s">
        <v>5084</v>
      </c>
      <c r="C1682" t="s">
        <v>5097</v>
      </c>
      <c r="D1682" t="s">
        <v>5098</v>
      </c>
      <c r="E1682" t="s">
        <v>5</v>
      </c>
      <c r="F1682" t="s">
        <v>5099</v>
      </c>
      <c r="G1682" t="s">
        <v>5</v>
      </c>
      <c r="H1682" t="s">
        <v>5</v>
      </c>
      <c r="I1682" t="s">
        <v>5088</v>
      </c>
      <c r="J1682" t="s">
        <v>14</v>
      </c>
      <c r="K1682" s="3">
        <f t="shared" si="52"/>
        <v>0</v>
      </c>
      <c r="L1682" s="3">
        <f>IF(ISERROR(VLOOKUP(J1682,Lookups!$A$2:$A$16,1,FALSE)),1,0)</f>
        <v>1</v>
      </c>
      <c r="M1682" s="3">
        <f>IF(ISERROR(VLOOKUP(D1682,Data!$A$2:$D$223100,2,FALSE)),0,1)</f>
        <v>1</v>
      </c>
      <c r="N1682" s="3">
        <f t="shared" si="53"/>
        <v>1</v>
      </c>
      <c r="O1682" s="3" t="str">
        <f>IF(ISERROR(VLOOKUP(D1682,Data!$A$2:$C$223100,3,FALSE)),"INACTIVE",VLOOKUP(D1682,Data!$A$2:$C$223100,3,FALSE))</f>
        <v>90+</v>
      </c>
    </row>
    <row r="1683" spans="1:15" x14ac:dyDescent="0.25">
      <c r="A1683" t="s">
        <v>5083</v>
      </c>
      <c r="B1683" t="s">
        <v>5084</v>
      </c>
      <c r="C1683" t="s">
        <v>5100</v>
      </c>
      <c r="D1683" t="s">
        <v>5101</v>
      </c>
      <c r="E1683" t="s">
        <v>5102</v>
      </c>
      <c r="F1683" t="s">
        <v>5103</v>
      </c>
      <c r="G1683" t="s">
        <v>5</v>
      </c>
      <c r="H1683" t="s">
        <v>5</v>
      </c>
      <c r="I1683" t="s">
        <v>5088</v>
      </c>
      <c r="J1683" t="s">
        <v>14</v>
      </c>
      <c r="K1683" s="3">
        <f t="shared" si="52"/>
        <v>0</v>
      </c>
      <c r="L1683" s="3">
        <f>IF(ISERROR(VLOOKUP(J1683,Lookups!$A$2:$A$16,1,FALSE)),1,0)</f>
        <v>1</v>
      </c>
      <c r="M1683" s="3">
        <f>IF(ISERROR(VLOOKUP(D1683,Data!$A$2:$D$223100,2,FALSE)),0,1)</f>
        <v>1</v>
      </c>
      <c r="N1683" s="3">
        <f t="shared" si="53"/>
        <v>1</v>
      </c>
      <c r="O1683" s="3" t="str">
        <f>IF(ISERROR(VLOOKUP(D1683,Data!$A$2:$C$223100,3,FALSE)),"INACTIVE",VLOOKUP(D1683,Data!$A$2:$C$223100,3,FALSE))</f>
        <v>60+</v>
      </c>
    </row>
    <row r="1684" spans="1:15" x14ac:dyDescent="0.25">
      <c r="A1684" t="s">
        <v>5083</v>
      </c>
      <c r="B1684" t="s">
        <v>5084</v>
      </c>
      <c r="C1684" t="s">
        <v>5104</v>
      </c>
      <c r="D1684" t="s">
        <v>5105</v>
      </c>
      <c r="E1684" t="s">
        <v>5106</v>
      </c>
      <c r="F1684" t="s">
        <v>5106</v>
      </c>
      <c r="G1684" t="s">
        <v>5</v>
      </c>
      <c r="H1684" t="s">
        <v>5</v>
      </c>
      <c r="I1684" t="s">
        <v>5088</v>
      </c>
      <c r="J1684" t="s">
        <v>14</v>
      </c>
      <c r="K1684" s="3">
        <f t="shared" si="52"/>
        <v>0</v>
      </c>
      <c r="L1684" s="3">
        <f>IF(ISERROR(VLOOKUP(J1684,Lookups!$A$2:$A$16,1,FALSE)),1,0)</f>
        <v>1</v>
      </c>
      <c r="M1684" s="3">
        <f>IF(ISERROR(VLOOKUP(D1684,Data!$A$2:$D$223100,2,FALSE)),0,1)</f>
        <v>1</v>
      </c>
      <c r="N1684" s="3">
        <f t="shared" si="53"/>
        <v>1</v>
      </c>
      <c r="O1684" s="3" t="str">
        <f>IF(ISERROR(VLOOKUP(D1684,Data!$A$2:$C$223100,3,FALSE)),"INACTIVE",VLOOKUP(D1684,Data!$A$2:$C$223100,3,FALSE))</f>
        <v>Current</v>
      </c>
    </row>
    <row r="1685" spans="1:15" x14ac:dyDescent="0.25">
      <c r="A1685" t="s">
        <v>5083</v>
      </c>
      <c r="B1685" t="s">
        <v>5084</v>
      </c>
      <c r="C1685" t="s">
        <v>5107</v>
      </c>
      <c r="D1685" t="s">
        <v>5108</v>
      </c>
      <c r="E1685" t="s">
        <v>5109</v>
      </c>
      <c r="F1685" t="s">
        <v>5110</v>
      </c>
      <c r="G1685" t="s">
        <v>5</v>
      </c>
      <c r="H1685" t="s">
        <v>5</v>
      </c>
      <c r="I1685" t="s">
        <v>5088</v>
      </c>
      <c r="J1685" t="s">
        <v>7</v>
      </c>
      <c r="K1685" s="3">
        <f t="shared" si="52"/>
        <v>0</v>
      </c>
      <c r="L1685" s="3">
        <f>IF(ISERROR(VLOOKUP(J1685,Lookups!$A$2:$A$16,1,FALSE)),1,0)</f>
        <v>1</v>
      </c>
      <c r="M1685" s="3">
        <f>IF(ISERROR(VLOOKUP(D1685,Data!$A$2:$D$223100,2,FALSE)),0,1)</f>
        <v>1</v>
      </c>
      <c r="N1685" s="3">
        <f t="shared" si="53"/>
        <v>1</v>
      </c>
      <c r="O1685" s="3" t="str">
        <f>IF(ISERROR(VLOOKUP(D1685,Data!$A$2:$C$223100,3,FALSE)),"INACTIVE",VLOOKUP(D1685,Data!$A$2:$C$223100,3,FALSE))</f>
        <v>FC</v>
      </c>
    </row>
    <row r="1686" spans="1:15" x14ac:dyDescent="0.25">
      <c r="A1686" t="s">
        <v>5083</v>
      </c>
      <c r="B1686" t="s">
        <v>5084</v>
      </c>
      <c r="C1686" t="s">
        <v>5107</v>
      </c>
      <c r="D1686" t="s">
        <v>5108</v>
      </c>
      <c r="E1686" t="s">
        <v>5111</v>
      </c>
      <c r="F1686" t="s">
        <v>5111</v>
      </c>
      <c r="G1686" t="s">
        <v>5</v>
      </c>
      <c r="H1686" t="s">
        <v>5</v>
      </c>
      <c r="I1686" t="s">
        <v>5088</v>
      </c>
      <c r="J1686" t="s">
        <v>7</v>
      </c>
      <c r="K1686" s="3">
        <f t="shared" si="52"/>
        <v>0</v>
      </c>
      <c r="L1686" s="3">
        <f>IF(ISERROR(VLOOKUP(J1686,Lookups!$A$2:$A$16,1,FALSE)),1,0)</f>
        <v>1</v>
      </c>
      <c r="M1686" s="3">
        <f>IF(ISERROR(VLOOKUP(D1686,Data!$A$2:$D$223100,2,FALSE)),0,1)</f>
        <v>1</v>
      </c>
      <c r="N1686" s="3">
        <f t="shared" si="53"/>
        <v>1</v>
      </c>
      <c r="O1686" s="3" t="str">
        <f>IF(ISERROR(VLOOKUP(D1686,Data!$A$2:$C$223100,3,FALSE)),"INACTIVE",VLOOKUP(D1686,Data!$A$2:$C$223100,3,FALSE))</f>
        <v>FC</v>
      </c>
    </row>
    <row r="1687" spans="1:15" x14ac:dyDescent="0.25">
      <c r="A1687" t="s">
        <v>5083</v>
      </c>
      <c r="B1687" t="s">
        <v>5084</v>
      </c>
      <c r="C1687" t="s">
        <v>5112</v>
      </c>
      <c r="D1687" t="s">
        <v>5113</v>
      </c>
      <c r="E1687" t="s">
        <v>5114</v>
      </c>
      <c r="F1687" t="s">
        <v>5114</v>
      </c>
      <c r="G1687" t="s">
        <v>5</v>
      </c>
      <c r="H1687" t="s">
        <v>5</v>
      </c>
      <c r="I1687" t="s">
        <v>5088</v>
      </c>
      <c r="J1687" t="s">
        <v>7</v>
      </c>
      <c r="K1687" s="3">
        <f t="shared" si="52"/>
        <v>0</v>
      </c>
      <c r="L1687" s="3">
        <f>IF(ISERROR(VLOOKUP(J1687,Lookups!$A$2:$A$16,1,FALSE)),1,0)</f>
        <v>1</v>
      </c>
      <c r="M1687" s="3">
        <f>IF(ISERROR(VLOOKUP(D1687,Data!$A$2:$D$223100,2,FALSE)),0,1)</f>
        <v>1</v>
      </c>
      <c r="N1687" s="3">
        <f t="shared" si="53"/>
        <v>1</v>
      </c>
      <c r="O1687" s="3" t="str">
        <f>IF(ISERROR(VLOOKUP(D1687,Data!$A$2:$C$223100,3,FALSE)),"INACTIVE",VLOOKUP(D1687,Data!$A$2:$C$223100,3,FALSE))</f>
        <v>FC</v>
      </c>
    </row>
    <row r="1688" spans="1:15" x14ac:dyDescent="0.25">
      <c r="A1688" t="s">
        <v>5083</v>
      </c>
      <c r="B1688" t="s">
        <v>5084</v>
      </c>
      <c r="C1688" t="s">
        <v>5112</v>
      </c>
      <c r="D1688" t="s">
        <v>5113</v>
      </c>
      <c r="E1688" t="s">
        <v>5115</v>
      </c>
      <c r="F1688" t="s">
        <v>5116</v>
      </c>
      <c r="G1688" t="s">
        <v>5</v>
      </c>
      <c r="H1688" t="s">
        <v>5</v>
      </c>
      <c r="I1688" t="s">
        <v>5088</v>
      </c>
      <c r="J1688" t="s">
        <v>7</v>
      </c>
      <c r="K1688" s="3">
        <f t="shared" si="52"/>
        <v>0</v>
      </c>
      <c r="L1688" s="3">
        <f>IF(ISERROR(VLOOKUP(J1688,Lookups!$A$2:$A$16,1,FALSE)),1,0)</f>
        <v>1</v>
      </c>
      <c r="M1688" s="3">
        <f>IF(ISERROR(VLOOKUP(D1688,Data!$A$2:$D$223100,2,FALSE)),0,1)</f>
        <v>1</v>
      </c>
      <c r="N1688" s="3">
        <f t="shared" si="53"/>
        <v>1</v>
      </c>
      <c r="O1688" s="3" t="str">
        <f>IF(ISERROR(VLOOKUP(D1688,Data!$A$2:$C$223100,3,FALSE)),"INACTIVE",VLOOKUP(D1688,Data!$A$2:$C$223100,3,FALSE))</f>
        <v>FC</v>
      </c>
    </row>
    <row r="1689" spans="1:15" x14ac:dyDescent="0.25">
      <c r="A1689" t="s">
        <v>5083</v>
      </c>
      <c r="B1689" t="s">
        <v>5084</v>
      </c>
      <c r="C1689" t="s">
        <v>5117</v>
      </c>
      <c r="D1689" t="s">
        <v>5118</v>
      </c>
      <c r="E1689" t="s">
        <v>5</v>
      </c>
      <c r="F1689" t="s">
        <v>5119</v>
      </c>
      <c r="G1689" t="s">
        <v>5</v>
      </c>
      <c r="H1689" t="s">
        <v>5</v>
      </c>
      <c r="I1689" t="s">
        <v>5088</v>
      </c>
      <c r="J1689" t="s">
        <v>14</v>
      </c>
      <c r="K1689" s="3">
        <f t="shared" si="52"/>
        <v>0</v>
      </c>
      <c r="L1689" s="3">
        <f>IF(ISERROR(VLOOKUP(J1689,Lookups!$A$2:$A$16,1,FALSE)),1,0)</f>
        <v>1</v>
      </c>
      <c r="M1689" s="3">
        <f>IF(ISERROR(VLOOKUP(D1689,Data!$A$2:$D$223100,2,FALSE)),0,1)</f>
        <v>1</v>
      </c>
      <c r="N1689" s="3">
        <f t="shared" si="53"/>
        <v>1</v>
      </c>
      <c r="O1689" s="3" t="str">
        <f>IF(ISERROR(VLOOKUP(D1689,Data!$A$2:$C$223100,3,FALSE)),"INACTIVE",VLOOKUP(D1689,Data!$A$2:$C$223100,3,FALSE))</f>
        <v>30+</v>
      </c>
    </row>
    <row r="1690" spans="1:15" x14ac:dyDescent="0.25">
      <c r="A1690" t="s">
        <v>5083</v>
      </c>
      <c r="B1690" t="s">
        <v>5084</v>
      </c>
      <c r="C1690" t="s">
        <v>5120</v>
      </c>
      <c r="D1690" t="s">
        <v>5121</v>
      </c>
      <c r="E1690" t="s">
        <v>5122</v>
      </c>
      <c r="F1690" t="s">
        <v>5122</v>
      </c>
      <c r="G1690" t="s">
        <v>5</v>
      </c>
      <c r="H1690" t="s">
        <v>5</v>
      </c>
      <c r="I1690" t="s">
        <v>5088</v>
      </c>
      <c r="J1690" t="s">
        <v>7</v>
      </c>
      <c r="K1690" s="3">
        <f t="shared" si="52"/>
        <v>0</v>
      </c>
      <c r="L1690" s="3">
        <f>IF(ISERROR(VLOOKUP(J1690,Lookups!$A$2:$A$16,1,FALSE)),1,0)</f>
        <v>1</v>
      </c>
      <c r="M1690" s="3">
        <f>IF(ISERROR(VLOOKUP(D1690,Data!$A$2:$D$223100,2,FALSE)),0,1)</f>
        <v>1</v>
      </c>
      <c r="N1690" s="3">
        <f t="shared" si="53"/>
        <v>1</v>
      </c>
      <c r="O1690" s="3" t="str">
        <f>IF(ISERROR(VLOOKUP(D1690,Data!$A$2:$C$223100,3,FALSE)),"INACTIVE",VLOOKUP(D1690,Data!$A$2:$C$223100,3,FALSE))</f>
        <v>FC</v>
      </c>
    </row>
    <row r="1691" spans="1:15" x14ac:dyDescent="0.25">
      <c r="A1691" t="s">
        <v>5083</v>
      </c>
      <c r="B1691" t="s">
        <v>5084</v>
      </c>
      <c r="C1691" t="s">
        <v>5120</v>
      </c>
      <c r="D1691" t="s">
        <v>5121</v>
      </c>
      <c r="E1691" t="s">
        <v>5123</v>
      </c>
      <c r="F1691" t="s">
        <v>5124</v>
      </c>
      <c r="G1691" t="s">
        <v>5</v>
      </c>
      <c r="H1691" t="s">
        <v>5</v>
      </c>
      <c r="I1691" t="s">
        <v>5088</v>
      </c>
      <c r="J1691" t="s">
        <v>7</v>
      </c>
      <c r="K1691" s="3">
        <f t="shared" si="52"/>
        <v>0</v>
      </c>
      <c r="L1691" s="3">
        <f>IF(ISERROR(VLOOKUP(J1691,Lookups!$A$2:$A$16,1,FALSE)),1,0)</f>
        <v>1</v>
      </c>
      <c r="M1691" s="3">
        <f>IF(ISERROR(VLOOKUP(D1691,Data!$A$2:$D$223100,2,FALSE)),0,1)</f>
        <v>1</v>
      </c>
      <c r="N1691" s="3">
        <f t="shared" si="53"/>
        <v>1</v>
      </c>
      <c r="O1691" s="3" t="str">
        <f>IF(ISERROR(VLOOKUP(D1691,Data!$A$2:$C$223100,3,FALSE)),"INACTIVE",VLOOKUP(D1691,Data!$A$2:$C$223100,3,FALSE))</f>
        <v>FC</v>
      </c>
    </row>
    <row r="1692" spans="1:15" x14ac:dyDescent="0.25">
      <c r="A1692" t="s">
        <v>5332</v>
      </c>
      <c r="B1692" t="s">
        <v>5333</v>
      </c>
      <c r="C1692" t="s">
        <v>5334</v>
      </c>
      <c r="D1692" t="s">
        <v>5335</v>
      </c>
      <c r="E1692" t="s">
        <v>5336</v>
      </c>
      <c r="F1692" t="s">
        <v>5</v>
      </c>
      <c r="G1692" t="s">
        <v>5</v>
      </c>
      <c r="H1692" t="s">
        <v>5</v>
      </c>
      <c r="I1692" t="s">
        <v>5088</v>
      </c>
      <c r="J1692" t="s">
        <v>90</v>
      </c>
      <c r="K1692" s="3">
        <f t="shared" si="52"/>
        <v>0</v>
      </c>
      <c r="L1692" s="3">
        <f>IF(ISERROR(VLOOKUP(J1692,Lookups!$A$2:$A$16,1,FALSE)),1,0)</f>
        <v>0</v>
      </c>
      <c r="M1692" s="3">
        <f>IF(ISERROR(VLOOKUP(D1692,Data!$A$2:$D$223100,2,FALSE)),0,1)</f>
        <v>1</v>
      </c>
      <c r="N1692" s="3">
        <f t="shared" si="53"/>
        <v>0</v>
      </c>
      <c r="O1692" s="3" t="str">
        <f>IF(ISERROR(VLOOKUP(D1692,Data!$A$2:$C$223100,3,FALSE)),"INACTIVE",VLOOKUP(D1692,Data!$A$2:$C$223100,3,FALSE))</f>
        <v>30+</v>
      </c>
    </row>
    <row r="1693" spans="1:15" x14ac:dyDescent="0.25">
      <c r="A1693" t="s">
        <v>5332</v>
      </c>
      <c r="B1693" t="s">
        <v>5333</v>
      </c>
      <c r="C1693" t="s">
        <v>5337</v>
      </c>
      <c r="D1693" t="s">
        <v>5338</v>
      </c>
      <c r="E1693" t="s">
        <v>5339</v>
      </c>
      <c r="F1693" t="s">
        <v>5</v>
      </c>
      <c r="G1693" t="s">
        <v>5</v>
      </c>
      <c r="H1693" t="s">
        <v>5</v>
      </c>
      <c r="I1693" t="s">
        <v>5088</v>
      </c>
      <c r="J1693" t="s">
        <v>90</v>
      </c>
      <c r="K1693" s="3">
        <f t="shared" si="52"/>
        <v>0</v>
      </c>
      <c r="L1693" s="3">
        <f>IF(ISERROR(VLOOKUP(J1693,Lookups!$A$2:$A$16,1,FALSE)),1,0)</f>
        <v>0</v>
      </c>
      <c r="M1693" s="3">
        <f>IF(ISERROR(VLOOKUP(D1693,Data!$A$2:$D$223100,2,FALSE)),0,1)</f>
        <v>1</v>
      </c>
      <c r="N1693" s="3">
        <f t="shared" si="53"/>
        <v>0</v>
      </c>
      <c r="O1693" s="3" t="str">
        <f>IF(ISERROR(VLOOKUP(D1693,Data!$A$2:$C$223100,3,FALSE)),"INACTIVE",VLOOKUP(D1693,Data!$A$2:$C$223100,3,FALSE))</f>
        <v>FC</v>
      </c>
    </row>
    <row r="1694" spans="1:15" x14ac:dyDescent="0.25">
      <c r="A1694" t="s">
        <v>5340</v>
      </c>
      <c r="B1694" t="s">
        <v>5341</v>
      </c>
      <c r="C1694" t="s">
        <v>5342</v>
      </c>
      <c r="D1694" t="s">
        <v>5343</v>
      </c>
      <c r="E1694" t="s">
        <v>5344</v>
      </c>
      <c r="F1694" t="s">
        <v>5</v>
      </c>
      <c r="G1694" t="s">
        <v>5</v>
      </c>
      <c r="H1694" t="s">
        <v>5</v>
      </c>
      <c r="I1694" t="s">
        <v>5088</v>
      </c>
      <c r="J1694" t="s">
        <v>90</v>
      </c>
      <c r="K1694" s="3">
        <f t="shared" si="52"/>
        <v>0</v>
      </c>
      <c r="L1694" s="3">
        <f>IF(ISERROR(VLOOKUP(J1694,Lookups!$A$2:$A$16,1,FALSE)),1,0)</f>
        <v>0</v>
      </c>
      <c r="M1694" s="3">
        <f>IF(ISERROR(VLOOKUP(D1694,Data!$A$2:$D$223100,2,FALSE)),0,1)</f>
        <v>1</v>
      </c>
      <c r="N1694" s="3">
        <f t="shared" si="53"/>
        <v>0</v>
      </c>
      <c r="O1694" s="3" t="str">
        <f>IF(ISERROR(VLOOKUP(D1694,Data!$A$2:$C$223100,3,FALSE)),"INACTIVE",VLOOKUP(D1694,Data!$A$2:$C$223100,3,FALSE))</f>
        <v>FC</v>
      </c>
    </row>
    <row r="1695" spans="1:15" x14ac:dyDescent="0.25">
      <c r="A1695" t="s">
        <v>5060</v>
      </c>
      <c r="B1695" t="s">
        <v>5061</v>
      </c>
      <c r="C1695" t="s">
        <v>5062</v>
      </c>
      <c r="D1695" t="s">
        <v>5063</v>
      </c>
      <c r="E1695" t="s">
        <v>5064</v>
      </c>
      <c r="F1695" t="s">
        <v>5</v>
      </c>
      <c r="G1695" t="s">
        <v>5</v>
      </c>
      <c r="H1695" t="s">
        <v>5</v>
      </c>
      <c r="I1695" t="s">
        <v>5065</v>
      </c>
      <c r="J1695" t="s">
        <v>96</v>
      </c>
      <c r="K1695" s="3">
        <f t="shared" si="52"/>
        <v>0</v>
      </c>
      <c r="L1695" s="3">
        <f>IF(ISERROR(VLOOKUP(J1695,Lookups!$A$2:$A$16,1,FALSE)),1,0)</f>
        <v>0</v>
      </c>
      <c r="M1695" s="3">
        <f>IF(ISERROR(VLOOKUP(D1695,Data!$A$2:$D$223100,2,FALSE)),0,1)</f>
        <v>1</v>
      </c>
      <c r="N1695" s="3">
        <f t="shared" si="53"/>
        <v>0</v>
      </c>
      <c r="O1695" s="3" t="str">
        <f>IF(ISERROR(VLOOKUP(D1695,Data!$A$2:$C$223100,3,FALSE)),"INACTIVE",VLOOKUP(D1695,Data!$A$2:$C$223100,3,FALSE))</f>
        <v>30+</v>
      </c>
    </row>
    <row r="1696" spans="1:15" x14ac:dyDescent="0.25">
      <c r="A1696" t="s">
        <v>5564</v>
      </c>
      <c r="B1696" t="s">
        <v>5565</v>
      </c>
      <c r="C1696" t="s">
        <v>5566</v>
      </c>
      <c r="D1696" t="s">
        <v>5567</v>
      </c>
      <c r="E1696" t="s">
        <v>5568</v>
      </c>
      <c r="F1696" t="s">
        <v>5</v>
      </c>
      <c r="G1696" t="s">
        <v>5</v>
      </c>
      <c r="H1696" t="s">
        <v>5</v>
      </c>
      <c r="I1696" t="s">
        <v>5065</v>
      </c>
      <c r="J1696" t="s">
        <v>96</v>
      </c>
      <c r="K1696" s="3">
        <f t="shared" si="52"/>
        <v>0</v>
      </c>
      <c r="L1696" s="3">
        <f>IF(ISERROR(VLOOKUP(J1696,Lookups!$A$2:$A$16,1,FALSE)),1,0)</f>
        <v>0</v>
      </c>
      <c r="M1696" s="3">
        <f>IF(ISERROR(VLOOKUP(D1696,Data!$A$2:$D$223100,2,FALSE)),0,1)</f>
        <v>1</v>
      </c>
      <c r="N1696" s="3">
        <f t="shared" si="53"/>
        <v>0</v>
      </c>
      <c r="O1696" s="3" t="str">
        <f>IF(ISERROR(VLOOKUP(D1696,Data!$A$2:$C$223100,3,FALSE)),"INACTIVE",VLOOKUP(D1696,Data!$A$2:$C$223100,3,FALSE))</f>
        <v>Demand Letter</v>
      </c>
    </row>
    <row r="1697" spans="1:15" x14ac:dyDescent="0.25">
      <c r="A1697" t="s">
        <v>4530</v>
      </c>
      <c r="B1697" t="s">
        <v>5308</v>
      </c>
      <c r="C1697" t="s">
        <v>5309</v>
      </c>
      <c r="D1697" t="s">
        <v>5310</v>
      </c>
      <c r="E1697" t="s">
        <v>5311</v>
      </c>
      <c r="F1697" t="s">
        <v>5</v>
      </c>
      <c r="G1697" t="s">
        <v>5</v>
      </c>
      <c r="H1697" t="s">
        <v>5</v>
      </c>
      <c r="I1697" t="s">
        <v>5312</v>
      </c>
      <c r="J1697" t="s">
        <v>7</v>
      </c>
      <c r="K1697" s="3">
        <f t="shared" si="52"/>
        <v>0</v>
      </c>
      <c r="L1697" s="3">
        <f>IF(ISERROR(VLOOKUP(J1697,Lookups!$A$2:$A$16,1,FALSE)),1,0)</f>
        <v>1</v>
      </c>
      <c r="M1697" s="3">
        <f>IF(ISERROR(VLOOKUP(D1697,Data!$A$2:$D$223100,2,FALSE)),0,1)</f>
        <v>1</v>
      </c>
      <c r="N1697" s="3">
        <f t="shared" si="53"/>
        <v>1</v>
      </c>
      <c r="O1697" s="3" t="str">
        <f>IF(ISERROR(VLOOKUP(D1697,Data!$A$2:$C$223100,3,FALSE)),"INACTIVE",VLOOKUP(D1697,Data!$A$2:$C$223100,3,FALSE))</f>
        <v>90+</v>
      </c>
    </row>
    <row r="1698" spans="1:15" x14ac:dyDescent="0.25">
      <c r="A1698" t="s">
        <v>4530</v>
      </c>
      <c r="B1698" t="s">
        <v>5308</v>
      </c>
      <c r="C1698" t="s">
        <v>5313</v>
      </c>
      <c r="D1698" t="s">
        <v>5314</v>
      </c>
      <c r="E1698" t="s">
        <v>5315</v>
      </c>
      <c r="F1698" t="s">
        <v>5</v>
      </c>
      <c r="G1698" t="s">
        <v>5</v>
      </c>
      <c r="H1698" t="s">
        <v>5</v>
      </c>
      <c r="I1698" t="s">
        <v>5312</v>
      </c>
      <c r="J1698" t="s">
        <v>7</v>
      </c>
      <c r="K1698" s="3">
        <f t="shared" si="52"/>
        <v>0</v>
      </c>
      <c r="L1698" s="3">
        <f>IF(ISERROR(VLOOKUP(J1698,Lookups!$A$2:$A$16,1,FALSE)),1,0)</f>
        <v>1</v>
      </c>
      <c r="M1698" s="3">
        <f>IF(ISERROR(VLOOKUP(D1698,Data!$A$2:$D$223100,2,FALSE)),0,1)</f>
        <v>1</v>
      </c>
      <c r="N1698" s="3">
        <f t="shared" si="53"/>
        <v>1</v>
      </c>
      <c r="O1698" s="3" t="str">
        <f>IF(ISERROR(VLOOKUP(D1698,Data!$A$2:$C$223100,3,FALSE)),"INACTIVE",VLOOKUP(D1698,Data!$A$2:$C$223100,3,FALSE))</f>
        <v>FC</v>
      </c>
    </row>
    <row r="1699" spans="1:15" x14ac:dyDescent="0.25">
      <c r="A1699" t="s">
        <v>4530</v>
      </c>
      <c r="B1699" t="s">
        <v>5308</v>
      </c>
      <c r="C1699" t="s">
        <v>5316</v>
      </c>
      <c r="D1699" t="s">
        <v>5317</v>
      </c>
      <c r="E1699" t="s">
        <v>5318</v>
      </c>
      <c r="F1699" t="s">
        <v>5</v>
      </c>
      <c r="G1699" t="s">
        <v>5</v>
      </c>
      <c r="H1699" t="s">
        <v>5</v>
      </c>
      <c r="I1699" t="s">
        <v>5312</v>
      </c>
      <c r="J1699" t="s">
        <v>7</v>
      </c>
      <c r="K1699" s="3">
        <f t="shared" si="52"/>
        <v>0</v>
      </c>
      <c r="L1699" s="3">
        <f>IF(ISERROR(VLOOKUP(J1699,Lookups!$A$2:$A$16,1,FALSE)),1,0)</f>
        <v>1</v>
      </c>
      <c r="M1699" s="3">
        <f>IF(ISERROR(VLOOKUP(D1699,Data!$A$2:$D$223100,2,FALSE)),0,1)</f>
        <v>1</v>
      </c>
      <c r="N1699" s="3">
        <f t="shared" si="53"/>
        <v>1</v>
      </c>
      <c r="O1699" s="3" t="str">
        <f>IF(ISERROR(VLOOKUP(D1699,Data!$A$2:$C$223100,3,FALSE)),"INACTIVE",VLOOKUP(D1699,Data!$A$2:$C$223100,3,FALSE))</f>
        <v>30+</v>
      </c>
    </row>
    <row r="1700" spans="1:15" x14ac:dyDescent="0.25">
      <c r="A1700" t="s">
        <v>5371</v>
      </c>
      <c r="B1700" t="s">
        <v>5372</v>
      </c>
      <c r="C1700" t="s">
        <v>5373</v>
      </c>
      <c r="D1700" t="s">
        <v>5374</v>
      </c>
      <c r="E1700" t="s">
        <v>5375</v>
      </c>
      <c r="F1700" t="s">
        <v>5</v>
      </c>
      <c r="G1700" t="s">
        <v>5</v>
      </c>
      <c r="H1700" t="s">
        <v>5</v>
      </c>
      <c r="I1700" t="s">
        <v>5312</v>
      </c>
      <c r="J1700" t="s">
        <v>96</v>
      </c>
      <c r="K1700" s="3">
        <f t="shared" si="52"/>
        <v>0</v>
      </c>
      <c r="L1700" s="3">
        <f>IF(ISERROR(VLOOKUP(J1700,Lookups!$A$2:$A$16,1,FALSE)),1,0)</f>
        <v>0</v>
      </c>
      <c r="M1700" s="3">
        <f>IF(ISERROR(VLOOKUP(D1700,Data!$A$2:$D$223100,2,FALSE)),0,1)</f>
        <v>1</v>
      </c>
      <c r="N1700" s="3">
        <f t="shared" si="53"/>
        <v>0</v>
      </c>
      <c r="O1700" s="3" t="str">
        <f>IF(ISERROR(VLOOKUP(D1700,Data!$A$2:$C$223100,3,FALSE)),"INACTIVE",VLOOKUP(D1700,Data!$A$2:$C$223100,3,FALSE))</f>
        <v>30+</v>
      </c>
    </row>
    <row r="1701" spans="1:15" x14ac:dyDescent="0.25">
      <c r="A1701" t="s">
        <v>5371</v>
      </c>
      <c r="B1701" t="s">
        <v>5372</v>
      </c>
      <c r="C1701" t="s">
        <v>5376</v>
      </c>
      <c r="D1701" t="s">
        <v>5377</v>
      </c>
      <c r="E1701" t="s">
        <v>5378</v>
      </c>
      <c r="F1701" t="s">
        <v>5</v>
      </c>
      <c r="G1701" t="s">
        <v>5</v>
      </c>
      <c r="H1701" t="s">
        <v>5</v>
      </c>
      <c r="I1701" t="s">
        <v>5312</v>
      </c>
      <c r="J1701" t="s">
        <v>96</v>
      </c>
      <c r="K1701" s="3">
        <f t="shared" si="52"/>
        <v>0</v>
      </c>
      <c r="L1701" s="3">
        <f>IF(ISERROR(VLOOKUP(J1701,Lookups!$A$2:$A$16,1,FALSE)),1,0)</f>
        <v>0</v>
      </c>
      <c r="M1701" s="3">
        <f>IF(ISERROR(VLOOKUP(D1701,Data!$A$2:$D$223100,2,FALSE)),0,1)</f>
        <v>1</v>
      </c>
      <c r="N1701" s="3">
        <f t="shared" si="53"/>
        <v>0</v>
      </c>
      <c r="O1701" s="3" t="str">
        <f>IF(ISERROR(VLOOKUP(D1701,Data!$A$2:$C$223100,3,FALSE)),"INACTIVE",VLOOKUP(D1701,Data!$A$2:$C$223100,3,FALSE))</f>
        <v>Current</v>
      </c>
    </row>
    <row r="1702" spans="1:15" x14ac:dyDescent="0.25">
      <c r="A1702" t="s">
        <v>5371</v>
      </c>
      <c r="B1702" t="s">
        <v>5372</v>
      </c>
      <c r="C1702" t="s">
        <v>5379</v>
      </c>
      <c r="D1702" t="s">
        <v>5380</v>
      </c>
      <c r="E1702" t="s">
        <v>5381</v>
      </c>
      <c r="F1702" t="s">
        <v>5</v>
      </c>
      <c r="G1702" t="s">
        <v>5</v>
      </c>
      <c r="H1702" t="s">
        <v>5</v>
      </c>
      <c r="I1702" t="s">
        <v>5312</v>
      </c>
      <c r="J1702" t="s">
        <v>96</v>
      </c>
      <c r="K1702" s="3">
        <f t="shared" si="52"/>
        <v>0</v>
      </c>
      <c r="L1702" s="3">
        <f>IF(ISERROR(VLOOKUP(J1702,Lookups!$A$2:$A$16,1,FALSE)),1,0)</f>
        <v>0</v>
      </c>
      <c r="M1702" s="3">
        <f>IF(ISERROR(VLOOKUP(D1702,Data!$A$2:$D$223100,2,FALSE)),0,1)</f>
        <v>1</v>
      </c>
      <c r="N1702" s="3">
        <f t="shared" si="53"/>
        <v>0</v>
      </c>
      <c r="O1702" s="3" t="str">
        <f>IF(ISERROR(VLOOKUP(D1702,Data!$A$2:$C$223100,3,FALSE)),"INACTIVE",VLOOKUP(D1702,Data!$A$2:$C$223100,3,FALSE))</f>
        <v>30+</v>
      </c>
    </row>
    <row r="1703" spans="1:15" x14ac:dyDescent="0.25">
      <c r="A1703" t="s">
        <v>5371</v>
      </c>
      <c r="B1703" t="s">
        <v>5372</v>
      </c>
      <c r="C1703" t="s">
        <v>5382</v>
      </c>
      <c r="D1703" t="s">
        <v>5383</v>
      </c>
      <c r="E1703" t="s">
        <v>5384</v>
      </c>
      <c r="F1703" t="s">
        <v>5</v>
      </c>
      <c r="G1703" t="s">
        <v>5</v>
      </c>
      <c r="H1703" t="s">
        <v>5</v>
      </c>
      <c r="I1703" t="s">
        <v>5312</v>
      </c>
      <c r="J1703" t="s">
        <v>96</v>
      </c>
      <c r="K1703" s="3">
        <f t="shared" si="52"/>
        <v>0</v>
      </c>
      <c r="L1703" s="3">
        <f>IF(ISERROR(VLOOKUP(J1703,Lookups!$A$2:$A$16,1,FALSE)),1,0)</f>
        <v>0</v>
      </c>
      <c r="M1703" s="3">
        <f>IF(ISERROR(VLOOKUP(D1703,Data!$A$2:$D$223100,2,FALSE)),0,1)</f>
        <v>1</v>
      </c>
      <c r="N1703" s="3">
        <f t="shared" si="53"/>
        <v>0</v>
      </c>
      <c r="O1703" s="3" t="str">
        <f>IF(ISERROR(VLOOKUP(D1703,Data!$A$2:$C$223100,3,FALSE)),"INACTIVE",VLOOKUP(D1703,Data!$A$2:$C$223100,3,FALSE))</f>
        <v>FBA</v>
      </c>
    </row>
    <row r="1704" spans="1:15" x14ac:dyDescent="0.25">
      <c r="A1704" t="s">
        <v>5371</v>
      </c>
      <c r="B1704" t="s">
        <v>5372</v>
      </c>
      <c r="C1704" t="s">
        <v>5385</v>
      </c>
      <c r="D1704" t="s">
        <v>5386</v>
      </c>
      <c r="E1704" t="s">
        <v>5387</v>
      </c>
      <c r="F1704" t="s">
        <v>5</v>
      </c>
      <c r="G1704" t="s">
        <v>5</v>
      </c>
      <c r="H1704" t="s">
        <v>5</v>
      </c>
      <c r="I1704" t="s">
        <v>5312</v>
      </c>
      <c r="J1704" t="s">
        <v>96</v>
      </c>
      <c r="K1704" s="3">
        <f t="shared" si="52"/>
        <v>0</v>
      </c>
      <c r="L1704" s="3">
        <f>IF(ISERROR(VLOOKUP(J1704,Lookups!$A$2:$A$16,1,FALSE)),1,0)</f>
        <v>0</v>
      </c>
      <c r="M1704" s="3">
        <f>IF(ISERROR(VLOOKUP(D1704,Data!$A$2:$D$223100,2,FALSE)),0,1)</f>
        <v>1</v>
      </c>
      <c r="N1704" s="3">
        <f t="shared" si="53"/>
        <v>0</v>
      </c>
      <c r="O1704" s="3" t="str">
        <f>IF(ISERROR(VLOOKUP(D1704,Data!$A$2:$C$223100,3,FALSE)),"INACTIVE",VLOOKUP(D1704,Data!$A$2:$C$223100,3,FALSE))</f>
        <v>Current</v>
      </c>
    </row>
    <row r="1705" spans="1:15" x14ac:dyDescent="0.25">
      <c r="A1705" t="s">
        <v>5371</v>
      </c>
      <c r="B1705" t="s">
        <v>5372</v>
      </c>
      <c r="C1705" t="s">
        <v>5388</v>
      </c>
      <c r="D1705" t="s">
        <v>5389</v>
      </c>
      <c r="E1705" t="s">
        <v>5390</v>
      </c>
      <c r="F1705" t="s">
        <v>5</v>
      </c>
      <c r="G1705" t="s">
        <v>5</v>
      </c>
      <c r="H1705" t="s">
        <v>5</v>
      </c>
      <c r="I1705" t="s">
        <v>5312</v>
      </c>
      <c r="J1705" t="s">
        <v>96</v>
      </c>
      <c r="K1705" s="3">
        <f t="shared" si="52"/>
        <v>0</v>
      </c>
      <c r="L1705" s="3">
        <f>IF(ISERROR(VLOOKUP(J1705,Lookups!$A$2:$A$16,1,FALSE)),1,0)</f>
        <v>0</v>
      </c>
      <c r="M1705" s="3">
        <f>IF(ISERROR(VLOOKUP(D1705,Data!$A$2:$D$223100,2,FALSE)),0,1)</f>
        <v>1</v>
      </c>
      <c r="N1705" s="3">
        <f t="shared" si="53"/>
        <v>0</v>
      </c>
      <c r="O1705" s="3" t="str">
        <f>IF(ISERROR(VLOOKUP(D1705,Data!$A$2:$C$223100,3,FALSE)),"INACTIVE",VLOOKUP(D1705,Data!$A$2:$C$223100,3,FALSE))</f>
        <v>FC</v>
      </c>
    </row>
    <row r="1706" spans="1:15" x14ac:dyDescent="0.25">
      <c r="A1706" t="s">
        <v>5371</v>
      </c>
      <c r="B1706" t="s">
        <v>5372</v>
      </c>
      <c r="C1706" t="s">
        <v>5391</v>
      </c>
      <c r="D1706" t="s">
        <v>5392</v>
      </c>
      <c r="E1706" t="s">
        <v>5393</v>
      </c>
      <c r="F1706" t="s">
        <v>5</v>
      </c>
      <c r="G1706" t="s">
        <v>5</v>
      </c>
      <c r="H1706" t="s">
        <v>5</v>
      </c>
      <c r="I1706" t="s">
        <v>5312</v>
      </c>
      <c r="J1706" t="s">
        <v>96</v>
      </c>
      <c r="K1706" s="3">
        <f t="shared" si="52"/>
        <v>0</v>
      </c>
      <c r="L1706" s="3">
        <f>IF(ISERROR(VLOOKUP(J1706,Lookups!$A$2:$A$16,1,FALSE)),1,0)</f>
        <v>0</v>
      </c>
      <c r="M1706" s="3">
        <f>IF(ISERROR(VLOOKUP(D1706,Data!$A$2:$D$223100,2,FALSE)),0,1)</f>
        <v>1</v>
      </c>
      <c r="N1706" s="3">
        <f t="shared" si="53"/>
        <v>0</v>
      </c>
      <c r="O1706" s="3" t="str">
        <f>IF(ISERROR(VLOOKUP(D1706,Data!$A$2:$C$223100,3,FALSE)),"INACTIVE",VLOOKUP(D1706,Data!$A$2:$C$223100,3,FALSE))</f>
        <v>Current</v>
      </c>
    </row>
    <row r="1707" spans="1:15" x14ac:dyDescent="0.25">
      <c r="A1707" t="s">
        <v>5371</v>
      </c>
      <c r="B1707" t="s">
        <v>5372</v>
      </c>
      <c r="C1707" t="s">
        <v>5394</v>
      </c>
      <c r="D1707" t="s">
        <v>5395</v>
      </c>
      <c r="E1707" t="s">
        <v>5396</v>
      </c>
      <c r="F1707" t="s">
        <v>5</v>
      </c>
      <c r="G1707" t="s">
        <v>5</v>
      </c>
      <c r="H1707" t="s">
        <v>5</v>
      </c>
      <c r="I1707" t="s">
        <v>5312</v>
      </c>
      <c r="J1707" t="s">
        <v>96</v>
      </c>
      <c r="K1707" s="3">
        <f t="shared" si="52"/>
        <v>0</v>
      </c>
      <c r="L1707" s="3">
        <f>IF(ISERROR(VLOOKUP(J1707,Lookups!$A$2:$A$16,1,FALSE)),1,0)</f>
        <v>0</v>
      </c>
      <c r="M1707" s="3">
        <f>IF(ISERROR(VLOOKUP(D1707,Data!$A$2:$D$223100,2,FALSE)),0,1)</f>
        <v>1</v>
      </c>
      <c r="N1707" s="3">
        <f t="shared" si="53"/>
        <v>0</v>
      </c>
      <c r="O1707" s="3" t="str">
        <f>IF(ISERROR(VLOOKUP(D1707,Data!$A$2:$C$223100,3,FALSE)),"INACTIVE",VLOOKUP(D1707,Data!$A$2:$C$223100,3,FALSE))</f>
        <v>Trailing Claims</v>
      </c>
    </row>
    <row r="1708" spans="1:15" x14ac:dyDescent="0.25">
      <c r="A1708" t="s">
        <v>5371</v>
      </c>
      <c r="B1708" t="s">
        <v>5372</v>
      </c>
      <c r="C1708" t="s">
        <v>5397</v>
      </c>
      <c r="D1708" t="s">
        <v>5398</v>
      </c>
      <c r="E1708" t="s">
        <v>5399</v>
      </c>
      <c r="F1708" t="s">
        <v>5</v>
      </c>
      <c r="G1708" t="s">
        <v>5</v>
      </c>
      <c r="H1708" t="s">
        <v>5</v>
      </c>
      <c r="I1708" t="s">
        <v>5312</v>
      </c>
      <c r="J1708" t="s">
        <v>96</v>
      </c>
      <c r="K1708" s="3">
        <f t="shared" si="52"/>
        <v>0</v>
      </c>
      <c r="L1708" s="3">
        <f>IF(ISERROR(VLOOKUP(J1708,Lookups!$A$2:$A$16,1,FALSE)),1,0)</f>
        <v>0</v>
      </c>
      <c r="M1708" s="3">
        <f>IF(ISERROR(VLOOKUP(D1708,Data!$A$2:$D$223100,2,FALSE)),0,1)</f>
        <v>1</v>
      </c>
      <c r="N1708" s="3">
        <f t="shared" si="53"/>
        <v>0</v>
      </c>
      <c r="O1708" s="3" t="str">
        <f>IF(ISERROR(VLOOKUP(D1708,Data!$A$2:$C$223100,3,FALSE)),"INACTIVE",VLOOKUP(D1708,Data!$A$2:$C$223100,3,FALSE))</f>
        <v>30+</v>
      </c>
    </row>
    <row r="1709" spans="1:15" x14ac:dyDescent="0.25">
      <c r="A1709" t="s">
        <v>5371</v>
      </c>
      <c r="B1709" t="s">
        <v>5372</v>
      </c>
      <c r="C1709" t="s">
        <v>5400</v>
      </c>
      <c r="D1709" t="s">
        <v>5401</v>
      </c>
      <c r="E1709" t="s">
        <v>5402</v>
      </c>
      <c r="F1709" t="s">
        <v>5</v>
      </c>
      <c r="G1709" t="s">
        <v>5</v>
      </c>
      <c r="H1709" t="s">
        <v>5</v>
      </c>
      <c r="I1709" t="s">
        <v>5312</v>
      </c>
      <c r="J1709" t="s">
        <v>96</v>
      </c>
      <c r="K1709" s="3">
        <f t="shared" si="52"/>
        <v>0</v>
      </c>
      <c r="L1709" s="3">
        <f>IF(ISERROR(VLOOKUP(J1709,Lookups!$A$2:$A$16,1,FALSE)),1,0)</f>
        <v>0</v>
      </c>
      <c r="M1709" s="3">
        <f>IF(ISERROR(VLOOKUP(D1709,Data!$A$2:$D$223100,2,FALSE)),0,1)</f>
        <v>1</v>
      </c>
      <c r="N1709" s="3">
        <f t="shared" si="53"/>
        <v>0</v>
      </c>
      <c r="O1709" s="3" t="str">
        <f>IF(ISERROR(VLOOKUP(D1709,Data!$A$2:$C$223100,3,FALSE)),"INACTIVE",VLOOKUP(D1709,Data!$A$2:$C$223100,3,FALSE))</f>
        <v>180+</v>
      </c>
    </row>
    <row r="1710" spans="1:15" x14ac:dyDescent="0.25">
      <c r="A1710" t="s">
        <v>5371</v>
      </c>
      <c r="B1710" t="s">
        <v>5372</v>
      </c>
      <c r="C1710" t="s">
        <v>5403</v>
      </c>
      <c r="D1710" t="s">
        <v>5404</v>
      </c>
      <c r="E1710" t="s">
        <v>5405</v>
      </c>
      <c r="F1710" t="s">
        <v>5</v>
      </c>
      <c r="G1710" t="s">
        <v>5</v>
      </c>
      <c r="H1710" t="s">
        <v>5</v>
      </c>
      <c r="I1710" t="s">
        <v>5312</v>
      </c>
      <c r="J1710" t="s">
        <v>96</v>
      </c>
      <c r="K1710" s="3">
        <f t="shared" si="52"/>
        <v>0</v>
      </c>
      <c r="L1710" s="3">
        <f>IF(ISERROR(VLOOKUP(J1710,Lookups!$A$2:$A$16,1,FALSE)),1,0)</f>
        <v>0</v>
      </c>
      <c r="M1710" s="3">
        <f>IF(ISERROR(VLOOKUP(D1710,Data!$A$2:$D$223100,2,FALSE)),0,1)</f>
        <v>1</v>
      </c>
      <c r="N1710" s="3">
        <f t="shared" si="53"/>
        <v>0</v>
      </c>
      <c r="O1710" s="3" t="str">
        <f>IF(ISERROR(VLOOKUP(D1710,Data!$A$2:$C$223100,3,FALSE)),"INACTIVE",VLOOKUP(D1710,Data!$A$2:$C$223100,3,FALSE))</f>
        <v>Current</v>
      </c>
    </row>
    <row r="1711" spans="1:15" x14ac:dyDescent="0.25">
      <c r="A1711" t="s">
        <v>5371</v>
      </c>
      <c r="B1711" t="s">
        <v>5372</v>
      </c>
      <c r="C1711" t="s">
        <v>5406</v>
      </c>
      <c r="D1711" t="s">
        <v>5407</v>
      </c>
      <c r="E1711" t="s">
        <v>5408</v>
      </c>
      <c r="F1711" t="s">
        <v>5</v>
      </c>
      <c r="G1711" t="s">
        <v>5</v>
      </c>
      <c r="H1711" t="s">
        <v>5</v>
      </c>
      <c r="I1711" t="s">
        <v>5312</v>
      </c>
      <c r="J1711" t="s">
        <v>96</v>
      </c>
      <c r="K1711" s="3">
        <f t="shared" si="52"/>
        <v>0</v>
      </c>
      <c r="L1711" s="3">
        <f>IF(ISERROR(VLOOKUP(J1711,Lookups!$A$2:$A$16,1,FALSE)),1,0)</f>
        <v>0</v>
      </c>
      <c r="M1711" s="3">
        <f>IF(ISERROR(VLOOKUP(D1711,Data!$A$2:$D$223100,2,FALSE)),0,1)</f>
        <v>1</v>
      </c>
      <c r="N1711" s="3">
        <f t="shared" si="53"/>
        <v>0</v>
      </c>
      <c r="O1711" s="3" t="str">
        <f>IF(ISERROR(VLOOKUP(D1711,Data!$A$2:$C$223100,3,FALSE)),"INACTIVE",VLOOKUP(D1711,Data!$A$2:$C$223100,3,FALSE))</f>
        <v>Current</v>
      </c>
    </row>
    <row r="1712" spans="1:15" x14ac:dyDescent="0.25">
      <c r="A1712" t="s">
        <v>5371</v>
      </c>
      <c r="B1712" t="s">
        <v>5372</v>
      </c>
      <c r="C1712" t="s">
        <v>5409</v>
      </c>
      <c r="D1712" t="s">
        <v>5410</v>
      </c>
      <c r="E1712" t="s">
        <v>5411</v>
      </c>
      <c r="F1712" t="s">
        <v>5</v>
      </c>
      <c r="G1712" t="s">
        <v>5</v>
      </c>
      <c r="H1712" t="s">
        <v>5</v>
      </c>
      <c r="I1712" t="s">
        <v>5312</v>
      </c>
      <c r="J1712" t="s">
        <v>96</v>
      </c>
      <c r="K1712" s="3">
        <f t="shared" si="52"/>
        <v>0</v>
      </c>
      <c r="L1712" s="3">
        <f>IF(ISERROR(VLOOKUP(J1712,Lookups!$A$2:$A$16,1,FALSE)),1,0)</f>
        <v>0</v>
      </c>
      <c r="M1712" s="3">
        <f>IF(ISERROR(VLOOKUP(D1712,Data!$A$2:$D$223100,2,FALSE)),0,1)</f>
        <v>0</v>
      </c>
      <c r="N1712" s="3">
        <f t="shared" si="53"/>
        <v>0</v>
      </c>
      <c r="O1712" s="3" t="str">
        <f>IF(ISERROR(VLOOKUP(D1712,Data!$A$2:$C$223100,3,FALSE)),"INACTIVE",VLOOKUP(D1712,Data!$A$2:$C$223100,3,FALSE))</f>
        <v>INACTIVE</v>
      </c>
    </row>
    <row r="1713" spans="1:15" x14ac:dyDescent="0.25">
      <c r="A1713" t="s">
        <v>5412</v>
      </c>
      <c r="B1713" t="s">
        <v>5413</v>
      </c>
      <c r="C1713" t="s">
        <v>5414</v>
      </c>
      <c r="D1713" t="s">
        <v>5415</v>
      </c>
      <c r="E1713" t="s">
        <v>5416</v>
      </c>
      <c r="F1713" t="s">
        <v>5</v>
      </c>
      <c r="G1713" t="s">
        <v>5</v>
      </c>
      <c r="H1713" t="s">
        <v>5</v>
      </c>
      <c r="I1713" t="s">
        <v>5312</v>
      </c>
      <c r="J1713" t="s">
        <v>96</v>
      </c>
      <c r="K1713" s="3">
        <f t="shared" si="52"/>
        <v>0</v>
      </c>
      <c r="L1713" s="3">
        <f>IF(ISERROR(VLOOKUP(J1713,Lookups!$A$2:$A$16,1,FALSE)),1,0)</f>
        <v>0</v>
      </c>
      <c r="M1713" s="3">
        <f>IF(ISERROR(VLOOKUP(D1713,Data!$A$2:$D$223100,2,FALSE)),0,1)</f>
        <v>1</v>
      </c>
      <c r="N1713" s="3">
        <f t="shared" si="53"/>
        <v>0</v>
      </c>
      <c r="O1713" s="3" t="str">
        <f>IF(ISERROR(VLOOKUP(D1713,Data!$A$2:$C$223100,3,FALSE)),"INACTIVE",VLOOKUP(D1713,Data!$A$2:$C$223100,3,FALSE))</f>
        <v>180+</v>
      </c>
    </row>
    <row r="1714" spans="1:15" x14ac:dyDescent="0.25">
      <c r="A1714" t="s">
        <v>4772</v>
      </c>
      <c r="B1714" t="s">
        <v>5577</v>
      </c>
      <c r="C1714" t="s">
        <v>5578</v>
      </c>
      <c r="D1714" t="s">
        <v>5579</v>
      </c>
      <c r="E1714" t="s">
        <v>5580</v>
      </c>
      <c r="F1714" t="s">
        <v>5</v>
      </c>
      <c r="G1714" t="s">
        <v>5</v>
      </c>
      <c r="H1714" t="s">
        <v>5</v>
      </c>
      <c r="I1714" t="s">
        <v>5312</v>
      </c>
      <c r="J1714" t="s">
        <v>96</v>
      </c>
      <c r="K1714" s="3">
        <f t="shared" si="52"/>
        <v>0</v>
      </c>
      <c r="L1714" s="3">
        <f>IF(ISERROR(VLOOKUP(J1714,Lookups!$A$2:$A$16,1,FALSE)),1,0)</f>
        <v>0</v>
      </c>
      <c r="M1714" s="3">
        <f>IF(ISERROR(VLOOKUP(D1714,Data!$A$2:$D$223100,2,FALSE)),0,1)</f>
        <v>1</v>
      </c>
      <c r="N1714" s="3">
        <f t="shared" si="53"/>
        <v>0</v>
      </c>
      <c r="O1714" s="3" t="str">
        <f>IF(ISERROR(VLOOKUP(D1714,Data!$A$2:$C$223100,3,FALSE)),"INACTIVE",VLOOKUP(D1714,Data!$A$2:$C$223100,3,FALSE))</f>
        <v>BK13</v>
      </c>
    </row>
    <row r="1715" spans="1:15" x14ac:dyDescent="0.25">
      <c r="A1715" t="s">
        <v>4772</v>
      </c>
      <c r="B1715" t="s">
        <v>5577</v>
      </c>
      <c r="C1715" t="s">
        <v>5581</v>
      </c>
      <c r="D1715" t="s">
        <v>5579</v>
      </c>
      <c r="E1715" t="s">
        <v>5582</v>
      </c>
      <c r="F1715" t="s">
        <v>5</v>
      </c>
      <c r="G1715" t="s">
        <v>5</v>
      </c>
      <c r="H1715" t="s">
        <v>5</v>
      </c>
      <c r="I1715" t="s">
        <v>5312</v>
      </c>
      <c r="J1715" t="s">
        <v>96</v>
      </c>
      <c r="K1715" s="3">
        <f t="shared" si="52"/>
        <v>0</v>
      </c>
      <c r="L1715" s="3">
        <f>IF(ISERROR(VLOOKUP(J1715,Lookups!$A$2:$A$16,1,FALSE)),1,0)</f>
        <v>0</v>
      </c>
      <c r="M1715" s="3">
        <f>IF(ISERROR(VLOOKUP(D1715,Data!$A$2:$D$223100,2,FALSE)),0,1)</f>
        <v>1</v>
      </c>
      <c r="N1715" s="3">
        <f t="shared" si="53"/>
        <v>0</v>
      </c>
      <c r="O1715" s="3" t="str">
        <f>IF(ISERROR(VLOOKUP(D1715,Data!$A$2:$C$223100,3,FALSE)),"INACTIVE",VLOOKUP(D1715,Data!$A$2:$C$223100,3,FALSE))</f>
        <v>BK13</v>
      </c>
    </row>
    <row r="1716" spans="1:15" x14ac:dyDescent="0.25">
      <c r="A1716" t="s">
        <v>5469</v>
      </c>
      <c r="B1716" t="s">
        <v>5470</v>
      </c>
      <c r="C1716" t="s">
        <v>5471</v>
      </c>
      <c r="D1716" t="s">
        <v>5472</v>
      </c>
      <c r="E1716" t="s">
        <v>5473</v>
      </c>
      <c r="F1716" t="s">
        <v>5</v>
      </c>
      <c r="G1716" t="s">
        <v>5</v>
      </c>
      <c r="H1716" t="s">
        <v>5</v>
      </c>
      <c r="I1716" t="s">
        <v>5474</v>
      </c>
      <c r="J1716" t="s">
        <v>7</v>
      </c>
      <c r="K1716" s="3">
        <f t="shared" si="52"/>
        <v>0</v>
      </c>
      <c r="L1716" s="3">
        <f>IF(ISERROR(VLOOKUP(J1716,Lookups!$A$2:$A$16,1,FALSE)),1,0)</f>
        <v>1</v>
      </c>
      <c r="M1716" s="3">
        <f>IF(ISERROR(VLOOKUP(D1716,Data!$A$2:$D$223100,2,FALSE)),0,1)</f>
        <v>1</v>
      </c>
      <c r="N1716" s="3">
        <f t="shared" si="53"/>
        <v>1</v>
      </c>
      <c r="O1716" s="3" t="str">
        <f>IF(ISERROR(VLOOKUP(D1716,Data!$A$2:$C$223100,3,FALSE)),"INACTIVE",VLOOKUP(D1716,Data!$A$2:$C$223100,3,FALSE))</f>
        <v>Current</v>
      </c>
    </row>
    <row r="1717" spans="1:15" x14ac:dyDescent="0.25">
      <c r="A1717" t="s">
        <v>5469</v>
      </c>
      <c r="B1717" t="s">
        <v>5470</v>
      </c>
      <c r="C1717" t="s">
        <v>5471</v>
      </c>
      <c r="D1717" t="s">
        <v>5472</v>
      </c>
      <c r="E1717" t="s">
        <v>5475</v>
      </c>
      <c r="F1717" t="s">
        <v>5</v>
      </c>
      <c r="G1717" t="s">
        <v>5</v>
      </c>
      <c r="H1717" t="s">
        <v>5</v>
      </c>
      <c r="I1717" t="s">
        <v>5474</v>
      </c>
      <c r="J1717" t="s">
        <v>7</v>
      </c>
      <c r="K1717" s="3">
        <f t="shared" si="52"/>
        <v>0</v>
      </c>
      <c r="L1717" s="3">
        <f>IF(ISERROR(VLOOKUP(J1717,Lookups!$A$2:$A$16,1,FALSE)),1,0)</f>
        <v>1</v>
      </c>
      <c r="M1717" s="3">
        <f>IF(ISERROR(VLOOKUP(D1717,Data!$A$2:$D$223100,2,FALSE)),0,1)</f>
        <v>1</v>
      </c>
      <c r="N1717" s="3">
        <f t="shared" si="53"/>
        <v>1</v>
      </c>
      <c r="O1717" s="3" t="str">
        <f>IF(ISERROR(VLOOKUP(D1717,Data!$A$2:$C$223100,3,FALSE)),"INACTIVE",VLOOKUP(D1717,Data!$A$2:$C$223100,3,FALSE))</f>
        <v>Current</v>
      </c>
    </row>
    <row r="1718" spans="1:15" x14ac:dyDescent="0.25">
      <c r="A1718" t="s">
        <v>5469</v>
      </c>
      <c r="B1718" t="s">
        <v>5470</v>
      </c>
      <c r="C1718" t="s">
        <v>5476</v>
      </c>
      <c r="D1718" t="s">
        <v>5477</v>
      </c>
      <c r="E1718" t="s">
        <v>5478</v>
      </c>
      <c r="F1718" t="s">
        <v>5</v>
      </c>
      <c r="G1718" t="s">
        <v>5</v>
      </c>
      <c r="H1718" t="s">
        <v>5</v>
      </c>
      <c r="I1718" t="s">
        <v>5474</v>
      </c>
      <c r="J1718" t="s">
        <v>7</v>
      </c>
      <c r="K1718" s="3">
        <f t="shared" si="52"/>
        <v>0</v>
      </c>
      <c r="L1718" s="3">
        <f>IF(ISERROR(VLOOKUP(J1718,Lookups!$A$2:$A$16,1,FALSE)),1,0)</f>
        <v>1</v>
      </c>
      <c r="M1718" s="3">
        <f>IF(ISERROR(VLOOKUP(D1718,Data!$A$2:$D$223100,2,FALSE)),0,1)</f>
        <v>1</v>
      </c>
      <c r="N1718" s="3">
        <f t="shared" si="53"/>
        <v>1</v>
      </c>
      <c r="O1718" s="3" t="str">
        <f>IF(ISERROR(VLOOKUP(D1718,Data!$A$2:$C$223100,3,FALSE)),"INACTIVE",VLOOKUP(D1718,Data!$A$2:$C$223100,3,FALSE))</f>
        <v>Current</v>
      </c>
    </row>
    <row r="1719" spans="1:15" x14ac:dyDescent="0.25">
      <c r="A1719" t="s">
        <v>4514</v>
      </c>
      <c r="B1719" t="s">
        <v>4515</v>
      </c>
      <c r="C1719" t="s">
        <v>4516</v>
      </c>
      <c r="D1719" t="s">
        <v>4517</v>
      </c>
      <c r="E1719" t="s">
        <v>4518</v>
      </c>
      <c r="F1719" t="s">
        <v>5</v>
      </c>
      <c r="G1719" t="s">
        <v>5</v>
      </c>
      <c r="H1719" t="s">
        <v>5</v>
      </c>
      <c r="I1719" t="s">
        <v>4519</v>
      </c>
      <c r="J1719" t="s">
        <v>90</v>
      </c>
      <c r="K1719" s="3">
        <f t="shared" si="52"/>
        <v>0</v>
      </c>
      <c r="L1719" s="3">
        <f>IF(ISERROR(VLOOKUP(J1719,Lookups!$A$2:$A$16,1,FALSE)),1,0)</f>
        <v>0</v>
      </c>
      <c r="M1719" s="3">
        <f>IF(ISERROR(VLOOKUP(D1719,Data!$A$2:$D$223100,2,FALSE)),0,1)</f>
        <v>1</v>
      </c>
      <c r="N1719" s="3">
        <f t="shared" si="53"/>
        <v>0</v>
      </c>
      <c r="O1719" s="3" t="str">
        <f>IF(ISERROR(VLOOKUP(D1719,Data!$A$2:$C$223100,3,FALSE)),"INACTIVE",VLOOKUP(D1719,Data!$A$2:$C$223100,3,FALSE))</f>
        <v>FC</v>
      </c>
    </row>
    <row r="1720" spans="1:15" x14ac:dyDescent="0.25">
      <c r="A1720" t="s">
        <v>4808</v>
      </c>
      <c r="B1720" t="s">
        <v>4809</v>
      </c>
      <c r="C1720" t="s">
        <v>4810</v>
      </c>
      <c r="D1720" t="s">
        <v>4811</v>
      </c>
      <c r="E1720" t="s">
        <v>4812</v>
      </c>
      <c r="F1720" t="s">
        <v>5</v>
      </c>
      <c r="G1720" t="s">
        <v>5</v>
      </c>
      <c r="H1720" t="s">
        <v>5</v>
      </c>
      <c r="I1720" t="s">
        <v>4519</v>
      </c>
      <c r="J1720" t="s">
        <v>96</v>
      </c>
      <c r="K1720" s="3">
        <f t="shared" si="52"/>
        <v>0</v>
      </c>
      <c r="L1720" s="3">
        <f>IF(ISERROR(VLOOKUP(J1720,Lookups!$A$2:$A$16,1,FALSE)),1,0)</f>
        <v>0</v>
      </c>
      <c r="M1720" s="3">
        <f>IF(ISERROR(VLOOKUP(D1720,Data!$A$2:$D$223100,2,FALSE)),0,1)</f>
        <v>1</v>
      </c>
      <c r="N1720" s="3">
        <f t="shared" si="53"/>
        <v>0</v>
      </c>
      <c r="O1720" s="3" t="str">
        <f>IF(ISERROR(VLOOKUP(D1720,Data!$A$2:$C$223100,3,FALSE)),"INACTIVE",VLOOKUP(D1720,Data!$A$2:$C$223100,3,FALSE))</f>
        <v>180+</v>
      </c>
    </row>
    <row r="1721" spans="1:15" x14ac:dyDescent="0.25">
      <c r="A1721" t="s">
        <v>4813</v>
      </c>
      <c r="B1721" t="s">
        <v>4814</v>
      </c>
      <c r="C1721" t="s">
        <v>4815</v>
      </c>
      <c r="D1721" t="s">
        <v>4816</v>
      </c>
      <c r="E1721" t="s">
        <v>4817</v>
      </c>
      <c r="F1721" t="s">
        <v>5</v>
      </c>
      <c r="G1721" t="s">
        <v>5</v>
      </c>
      <c r="H1721" t="s">
        <v>5</v>
      </c>
      <c r="I1721" t="s">
        <v>4519</v>
      </c>
      <c r="J1721" t="s">
        <v>14</v>
      </c>
      <c r="K1721" s="3">
        <f t="shared" si="52"/>
        <v>0</v>
      </c>
      <c r="L1721" s="3">
        <f>IF(ISERROR(VLOOKUP(J1721,Lookups!$A$2:$A$16,1,FALSE)),1,0)</f>
        <v>1</v>
      </c>
      <c r="M1721" s="3">
        <f>IF(ISERROR(VLOOKUP(D1721,Data!$A$2:$D$223100,2,FALSE)),0,1)</f>
        <v>1</v>
      </c>
      <c r="N1721" s="3">
        <f t="shared" si="53"/>
        <v>1</v>
      </c>
      <c r="O1721" s="3" t="str">
        <f>IF(ISERROR(VLOOKUP(D1721,Data!$A$2:$C$223100,3,FALSE)),"INACTIVE",VLOOKUP(D1721,Data!$A$2:$C$223100,3,FALSE))</f>
        <v>Current</v>
      </c>
    </row>
    <row r="1722" spans="1:15" x14ac:dyDescent="0.25">
      <c r="A1722" t="s">
        <v>5078</v>
      </c>
      <c r="B1722" t="s">
        <v>5079</v>
      </c>
      <c r="C1722" t="s">
        <v>5080</v>
      </c>
      <c r="D1722" t="s">
        <v>5081</v>
      </c>
      <c r="E1722" t="s">
        <v>5082</v>
      </c>
      <c r="F1722" t="s">
        <v>5</v>
      </c>
      <c r="G1722" t="s">
        <v>5</v>
      </c>
      <c r="H1722" t="s">
        <v>5</v>
      </c>
      <c r="I1722" t="s">
        <v>4519</v>
      </c>
      <c r="J1722" t="s">
        <v>90</v>
      </c>
      <c r="K1722" s="3">
        <f t="shared" si="52"/>
        <v>0</v>
      </c>
      <c r="L1722" s="3">
        <f>IF(ISERROR(VLOOKUP(J1722,Lookups!$A$2:$A$16,1,FALSE)),1,0)</f>
        <v>0</v>
      </c>
      <c r="M1722" s="3">
        <f>IF(ISERROR(VLOOKUP(D1722,Data!$A$2:$D$223100,2,FALSE)),0,1)</f>
        <v>0</v>
      </c>
      <c r="N1722" s="3">
        <f t="shared" si="53"/>
        <v>0</v>
      </c>
      <c r="O1722" s="3" t="str">
        <f>IF(ISERROR(VLOOKUP(D1722,Data!$A$2:$C$223100,3,FALSE)),"INACTIVE",VLOOKUP(D1722,Data!$A$2:$C$223100,3,FALSE))</f>
        <v>INACTIVE</v>
      </c>
    </row>
    <row r="1723" spans="1:15" x14ac:dyDescent="0.25">
      <c r="A1723" t="s">
        <v>5417</v>
      </c>
      <c r="B1723" t="s">
        <v>5418</v>
      </c>
      <c r="C1723" t="s">
        <v>5419</v>
      </c>
      <c r="D1723" t="s">
        <v>5420</v>
      </c>
      <c r="E1723" t="s">
        <v>5421</v>
      </c>
      <c r="F1723" t="s">
        <v>5421</v>
      </c>
      <c r="G1723" t="s">
        <v>5</v>
      </c>
      <c r="H1723" t="s">
        <v>5</v>
      </c>
      <c r="I1723" t="s">
        <v>4519</v>
      </c>
      <c r="J1723" t="s">
        <v>7</v>
      </c>
      <c r="K1723" s="3">
        <f t="shared" si="52"/>
        <v>0</v>
      </c>
      <c r="L1723" s="3">
        <f>IF(ISERROR(VLOOKUP(J1723,Lookups!$A$2:$A$16,1,FALSE)),1,0)</f>
        <v>1</v>
      </c>
      <c r="M1723" s="3">
        <f>IF(ISERROR(VLOOKUP(D1723,Data!$A$2:$D$223100,2,FALSE)),0,1)</f>
        <v>1</v>
      </c>
      <c r="N1723" s="3">
        <f t="shared" si="53"/>
        <v>1</v>
      </c>
      <c r="O1723" s="3" t="str">
        <f>IF(ISERROR(VLOOKUP(D1723,Data!$A$2:$C$223100,3,FALSE)),"INACTIVE",VLOOKUP(D1723,Data!$A$2:$C$223100,3,FALSE))</f>
        <v>90+</v>
      </c>
    </row>
    <row r="1724" spans="1:15" x14ac:dyDescent="0.25">
      <c r="A1724" t="s">
        <v>5428</v>
      </c>
      <c r="B1724" t="s">
        <v>5429</v>
      </c>
      <c r="C1724" t="s">
        <v>5430</v>
      </c>
      <c r="D1724" t="s">
        <v>5431</v>
      </c>
      <c r="E1724" t="s">
        <v>5432</v>
      </c>
      <c r="F1724" t="s">
        <v>5</v>
      </c>
      <c r="G1724" t="s">
        <v>5</v>
      </c>
      <c r="H1724" t="s">
        <v>5</v>
      </c>
      <c r="I1724" t="s">
        <v>4519</v>
      </c>
      <c r="J1724" t="s">
        <v>90</v>
      </c>
      <c r="K1724" s="3">
        <f t="shared" si="52"/>
        <v>0</v>
      </c>
      <c r="L1724" s="3">
        <f>IF(ISERROR(VLOOKUP(J1724,Lookups!$A$2:$A$16,1,FALSE)),1,0)</f>
        <v>0</v>
      </c>
      <c r="M1724" s="3">
        <f>IF(ISERROR(VLOOKUP(D1724,Data!$A$2:$D$223100,2,FALSE)),0,1)</f>
        <v>1</v>
      </c>
      <c r="N1724" s="3">
        <f t="shared" si="53"/>
        <v>0</v>
      </c>
      <c r="O1724" s="3" t="str">
        <f>IF(ISERROR(VLOOKUP(D1724,Data!$A$2:$C$223100,3,FALSE)),"INACTIVE",VLOOKUP(D1724,Data!$A$2:$C$223100,3,FALSE))</f>
        <v>Current</v>
      </c>
    </row>
    <row r="1725" spans="1:15" x14ac:dyDescent="0.25">
      <c r="A1725" t="s">
        <v>5428</v>
      </c>
      <c r="B1725" t="s">
        <v>5429</v>
      </c>
      <c r="C1725" t="s">
        <v>5430</v>
      </c>
      <c r="D1725" t="s">
        <v>5431</v>
      </c>
      <c r="E1725" t="s">
        <v>5433</v>
      </c>
      <c r="F1725" t="s">
        <v>5</v>
      </c>
      <c r="G1725" t="s">
        <v>5</v>
      </c>
      <c r="H1725" t="s">
        <v>5</v>
      </c>
      <c r="I1725" t="s">
        <v>4519</v>
      </c>
      <c r="J1725" t="s">
        <v>90</v>
      </c>
      <c r="K1725" s="3">
        <f t="shared" si="52"/>
        <v>0</v>
      </c>
      <c r="L1725" s="3">
        <f>IF(ISERROR(VLOOKUP(J1725,Lookups!$A$2:$A$16,1,FALSE)),1,0)</f>
        <v>0</v>
      </c>
      <c r="M1725" s="3">
        <f>IF(ISERROR(VLOOKUP(D1725,Data!$A$2:$D$223100,2,FALSE)),0,1)</f>
        <v>1</v>
      </c>
      <c r="N1725" s="3">
        <f t="shared" si="53"/>
        <v>0</v>
      </c>
      <c r="O1725" s="3" t="str">
        <f>IF(ISERROR(VLOOKUP(D1725,Data!$A$2:$C$223100,3,FALSE)),"INACTIVE",VLOOKUP(D1725,Data!$A$2:$C$223100,3,FALSE))</f>
        <v>Current</v>
      </c>
    </row>
    <row r="1726" spans="1:15" x14ac:dyDescent="0.25">
      <c r="A1726" t="s">
        <v>5428</v>
      </c>
      <c r="B1726" t="s">
        <v>5429</v>
      </c>
      <c r="C1726" t="s">
        <v>5434</v>
      </c>
      <c r="D1726" t="s">
        <v>5223</v>
      </c>
      <c r="E1726" t="s">
        <v>5435</v>
      </c>
      <c r="F1726" t="s">
        <v>5</v>
      </c>
      <c r="G1726" t="s">
        <v>5</v>
      </c>
      <c r="H1726" t="s">
        <v>5</v>
      </c>
      <c r="I1726" t="s">
        <v>4519</v>
      </c>
      <c r="J1726" t="s">
        <v>96</v>
      </c>
      <c r="K1726" s="3">
        <f t="shared" si="52"/>
        <v>0</v>
      </c>
      <c r="L1726" s="3">
        <f>IF(ISERROR(VLOOKUP(J1726,Lookups!$A$2:$A$16,1,FALSE)),1,0)</f>
        <v>0</v>
      </c>
      <c r="M1726" s="3">
        <f>IF(ISERROR(VLOOKUP(D1726,Data!$A$2:$D$223100,2,FALSE)),0,1)</f>
        <v>0</v>
      </c>
      <c r="N1726" s="3">
        <f t="shared" si="53"/>
        <v>0</v>
      </c>
      <c r="O1726" s="3" t="str">
        <f>IF(ISERROR(VLOOKUP(D1726,Data!$A$2:$C$223100,3,FALSE)),"INACTIVE",VLOOKUP(D1726,Data!$A$2:$C$223100,3,FALSE))</f>
        <v>INACTIVE</v>
      </c>
    </row>
    <row r="1727" spans="1:15" x14ac:dyDescent="0.25">
      <c r="A1727" t="s">
        <v>5428</v>
      </c>
      <c r="B1727" t="s">
        <v>5429</v>
      </c>
      <c r="C1727" t="s">
        <v>5434</v>
      </c>
      <c r="D1727" t="s">
        <v>5223</v>
      </c>
      <c r="E1727" t="s">
        <v>5436</v>
      </c>
      <c r="F1727" t="s">
        <v>5</v>
      </c>
      <c r="G1727" t="s">
        <v>5</v>
      </c>
      <c r="H1727" t="s">
        <v>5</v>
      </c>
      <c r="I1727" t="s">
        <v>4519</v>
      </c>
      <c r="J1727" t="s">
        <v>96</v>
      </c>
      <c r="K1727" s="3">
        <f t="shared" si="52"/>
        <v>0</v>
      </c>
      <c r="L1727" s="3">
        <f>IF(ISERROR(VLOOKUP(J1727,Lookups!$A$2:$A$16,1,FALSE)),1,0)</f>
        <v>0</v>
      </c>
      <c r="M1727" s="3">
        <f>IF(ISERROR(VLOOKUP(D1727,Data!$A$2:$D$223100,2,FALSE)),0,1)</f>
        <v>0</v>
      </c>
      <c r="N1727" s="3">
        <f t="shared" si="53"/>
        <v>0</v>
      </c>
      <c r="O1727" s="3" t="str">
        <f>IF(ISERROR(VLOOKUP(D1727,Data!$A$2:$C$223100,3,FALSE)),"INACTIVE",VLOOKUP(D1727,Data!$A$2:$C$223100,3,FALSE))</f>
        <v>INACTIVE</v>
      </c>
    </row>
    <row r="1728" spans="1:15" x14ac:dyDescent="0.25">
      <c r="A1728" t="s">
        <v>5428</v>
      </c>
      <c r="B1728" t="s">
        <v>5429</v>
      </c>
      <c r="C1728" t="s">
        <v>5434</v>
      </c>
      <c r="D1728" t="s">
        <v>5223</v>
      </c>
      <c r="E1728" t="s">
        <v>5437</v>
      </c>
      <c r="F1728" t="s">
        <v>5</v>
      </c>
      <c r="G1728" t="s">
        <v>5</v>
      </c>
      <c r="H1728" t="s">
        <v>5</v>
      </c>
      <c r="I1728" t="s">
        <v>4519</v>
      </c>
      <c r="J1728" t="s">
        <v>96</v>
      </c>
      <c r="K1728" s="3">
        <f t="shared" si="52"/>
        <v>0</v>
      </c>
      <c r="L1728" s="3">
        <f>IF(ISERROR(VLOOKUP(J1728,Lookups!$A$2:$A$16,1,FALSE)),1,0)</f>
        <v>0</v>
      </c>
      <c r="M1728" s="3">
        <f>IF(ISERROR(VLOOKUP(D1728,Data!$A$2:$D$223100,2,FALSE)),0,1)</f>
        <v>0</v>
      </c>
      <c r="N1728" s="3">
        <f t="shared" si="53"/>
        <v>0</v>
      </c>
      <c r="O1728" s="3" t="str">
        <f>IF(ISERROR(VLOOKUP(D1728,Data!$A$2:$C$223100,3,FALSE)),"INACTIVE",VLOOKUP(D1728,Data!$A$2:$C$223100,3,FALSE))</f>
        <v>INACTIVE</v>
      </c>
    </row>
    <row r="1729" spans="1:15" x14ac:dyDescent="0.25">
      <c r="A1729" t="s">
        <v>5160</v>
      </c>
      <c r="B1729" t="s">
        <v>5161</v>
      </c>
      <c r="C1729" t="s">
        <v>5162</v>
      </c>
      <c r="D1729" t="s">
        <v>5163</v>
      </c>
      <c r="E1729" t="s">
        <v>5164</v>
      </c>
      <c r="F1729" t="s">
        <v>5165</v>
      </c>
      <c r="G1729" t="s">
        <v>5</v>
      </c>
      <c r="H1729" t="s">
        <v>5</v>
      </c>
      <c r="I1729" t="s">
        <v>5166</v>
      </c>
      <c r="J1729" t="s">
        <v>7</v>
      </c>
      <c r="K1729" s="3">
        <f t="shared" si="52"/>
        <v>0</v>
      </c>
      <c r="L1729" s="3">
        <f>IF(ISERROR(VLOOKUP(J1729,Lookups!$A$2:$A$16,1,FALSE)),1,0)</f>
        <v>1</v>
      </c>
      <c r="M1729" s="3">
        <f>IF(ISERROR(VLOOKUP(D1729,Data!$A$2:$D$223100,2,FALSE)),0,1)</f>
        <v>1</v>
      </c>
      <c r="N1729" s="3">
        <f t="shared" si="53"/>
        <v>1</v>
      </c>
      <c r="O1729" s="3" t="str">
        <f>IF(ISERROR(VLOOKUP(D1729,Data!$A$2:$C$223100,3,FALSE)),"INACTIVE",VLOOKUP(D1729,Data!$A$2:$C$223100,3,FALSE))</f>
        <v>FC</v>
      </c>
    </row>
    <row r="1730" spans="1:15" x14ac:dyDescent="0.25">
      <c r="A1730" t="s">
        <v>5160</v>
      </c>
      <c r="B1730" t="s">
        <v>5161</v>
      </c>
      <c r="C1730" t="s">
        <v>5162</v>
      </c>
      <c r="D1730" t="s">
        <v>5163</v>
      </c>
      <c r="E1730" t="s">
        <v>5167</v>
      </c>
      <c r="F1730" t="s">
        <v>5167</v>
      </c>
      <c r="G1730" t="s">
        <v>5</v>
      </c>
      <c r="H1730" t="s">
        <v>5</v>
      </c>
      <c r="I1730" t="s">
        <v>5166</v>
      </c>
      <c r="J1730" t="s">
        <v>7</v>
      </c>
      <c r="K1730" s="3">
        <f t="shared" si="52"/>
        <v>0</v>
      </c>
      <c r="L1730" s="3">
        <f>IF(ISERROR(VLOOKUP(J1730,Lookups!$A$2:$A$16,1,FALSE)),1,0)</f>
        <v>1</v>
      </c>
      <c r="M1730" s="3">
        <f>IF(ISERROR(VLOOKUP(D1730,Data!$A$2:$D$223100,2,FALSE)),0,1)</f>
        <v>1</v>
      </c>
      <c r="N1730" s="3">
        <f t="shared" si="53"/>
        <v>1</v>
      </c>
      <c r="O1730" s="3" t="str">
        <f>IF(ISERROR(VLOOKUP(D1730,Data!$A$2:$C$223100,3,FALSE)),"INACTIVE",VLOOKUP(D1730,Data!$A$2:$C$223100,3,FALSE))</f>
        <v>FC</v>
      </c>
    </row>
    <row r="1731" spans="1:15" x14ac:dyDescent="0.25">
      <c r="A1731" t="s">
        <v>5160</v>
      </c>
      <c r="B1731" t="s">
        <v>5161</v>
      </c>
      <c r="C1731" t="s">
        <v>5168</v>
      </c>
      <c r="D1731" t="s">
        <v>5169</v>
      </c>
      <c r="E1731" t="s">
        <v>5</v>
      </c>
      <c r="F1731" t="s">
        <v>5170</v>
      </c>
      <c r="G1731" t="s">
        <v>5</v>
      </c>
      <c r="H1731" t="s">
        <v>5</v>
      </c>
      <c r="I1731" t="s">
        <v>5166</v>
      </c>
      <c r="J1731" t="s">
        <v>14</v>
      </c>
      <c r="K1731" s="3">
        <f t="shared" ref="K1731:K1794" si="54">IF(ISERROR(FIND("LIEN",A1731,1)),0,1)</f>
        <v>0</v>
      </c>
      <c r="L1731" s="3">
        <f>IF(ISERROR(VLOOKUP(J1731,Lookups!$A$2:$A$16,1,FALSE)),1,0)</f>
        <v>1</v>
      </c>
      <c r="M1731" s="3">
        <f>IF(ISERROR(VLOOKUP(D1731,Data!$A$2:$D$223100,2,FALSE)),0,1)</f>
        <v>0</v>
      </c>
      <c r="N1731" s="3">
        <f t="shared" ref="N1731:N1794" si="55">IF(M1731=0,0,IF(SUM(K1731:L1731)&gt;0,1,0))</f>
        <v>0</v>
      </c>
      <c r="O1731" s="3" t="str">
        <f>IF(ISERROR(VLOOKUP(D1731,Data!$A$2:$C$223100,3,FALSE)),"INACTIVE",VLOOKUP(D1731,Data!$A$2:$C$223100,3,FALSE))</f>
        <v>INACTIVE</v>
      </c>
    </row>
    <row r="1732" spans="1:15" x14ac:dyDescent="0.25">
      <c r="A1732" t="s">
        <v>5160</v>
      </c>
      <c r="B1732" t="s">
        <v>5161</v>
      </c>
      <c r="C1732" t="s">
        <v>5171</v>
      </c>
      <c r="D1732" t="s">
        <v>5172</v>
      </c>
      <c r="E1732" t="s">
        <v>5</v>
      </c>
      <c r="F1732" t="s">
        <v>5173</v>
      </c>
      <c r="G1732" t="s">
        <v>5</v>
      </c>
      <c r="H1732" t="s">
        <v>5</v>
      </c>
      <c r="I1732" t="s">
        <v>5166</v>
      </c>
      <c r="J1732" t="s">
        <v>14</v>
      </c>
      <c r="K1732" s="3">
        <f t="shared" si="54"/>
        <v>0</v>
      </c>
      <c r="L1732" s="3">
        <f>IF(ISERROR(VLOOKUP(J1732,Lookups!$A$2:$A$16,1,FALSE)),1,0)</f>
        <v>1</v>
      </c>
      <c r="M1732" s="3">
        <f>IF(ISERROR(VLOOKUP(D1732,Data!$A$2:$D$223100,2,FALSE)),0,1)</f>
        <v>1</v>
      </c>
      <c r="N1732" s="3">
        <f t="shared" si="55"/>
        <v>1</v>
      </c>
      <c r="O1732" s="3" t="str">
        <f>IF(ISERROR(VLOOKUP(D1732,Data!$A$2:$C$223100,3,FALSE)),"INACTIVE",VLOOKUP(D1732,Data!$A$2:$C$223100,3,FALSE))</f>
        <v>Demand Letter</v>
      </c>
    </row>
    <row r="1733" spans="1:15" x14ac:dyDescent="0.25">
      <c r="A1733" t="s">
        <v>5160</v>
      </c>
      <c r="B1733" t="s">
        <v>5161</v>
      </c>
      <c r="C1733" t="s">
        <v>5174</v>
      </c>
      <c r="D1733" t="s">
        <v>5175</v>
      </c>
      <c r="E1733" t="s">
        <v>5</v>
      </c>
      <c r="F1733" t="s">
        <v>5176</v>
      </c>
      <c r="G1733" t="s">
        <v>5</v>
      </c>
      <c r="H1733" t="s">
        <v>5</v>
      </c>
      <c r="I1733" t="s">
        <v>5166</v>
      </c>
      <c r="J1733" t="s">
        <v>14</v>
      </c>
      <c r="K1733" s="3">
        <f t="shared" si="54"/>
        <v>0</v>
      </c>
      <c r="L1733" s="3">
        <f>IF(ISERROR(VLOOKUP(J1733,Lookups!$A$2:$A$16,1,FALSE)),1,0)</f>
        <v>1</v>
      </c>
      <c r="M1733" s="3">
        <f>IF(ISERROR(VLOOKUP(D1733,Data!$A$2:$D$223100,2,FALSE)),0,1)</f>
        <v>1</v>
      </c>
      <c r="N1733" s="3">
        <f t="shared" si="55"/>
        <v>1</v>
      </c>
      <c r="O1733" s="3" t="str">
        <f>IF(ISERROR(VLOOKUP(D1733,Data!$A$2:$C$223100,3,FALSE)),"INACTIVE",VLOOKUP(D1733,Data!$A$2:$C$223100,3,FALSE))</f>
        <v>FC</v>
      </c>
    </row>
    <row r="1734" spans="1:15" x14ac:dyDescent="0.25">
      <c r="A1734" t="s">
        <v>5160</v>
      </c>
      <c r="B1734" t="s">
        <v>5161</v>
      </c>
      <c r="C1734" t="s">
        <v>5177</v>
      </c>
      <c r="D1734" t="s">
        <v>5178</v>
      </c>
      <c r="E1734" t="s">
        <v>5179</v>
      </c>
      <c r="F1734" t="s">
        <v>5180</v>
      </c>
      <c r="G1734" t="s">
        <v>5</v>
      </c>
      <c r="H1734" t="s">
        <v>5</v>
      </c>
      <c r="I1734" t="s">
        <v>5166</v>
      </c>
      <c r="J1734" t="s">
        <v>14</v>
      </c>
      <c r="K1734" s="3">
        <f t="shared" si="54"/>
        <v>0</v>
      </c>
      <c r="L1734" s="3">
        <f>IF(ISERROR(VLOOKUP(J1734,Lookups!$A$2:$A$16,1,FALSE)),1,0)</f>
        <v>1</v>
      </c>
      <c r="M1734" s="3">
        <f>IF(ISERROR(VLOOKUP(D1734,Data!$A$2:$D$223100,2,FALSE)),0,1)</f>
        <v>1</v>
      </c>
      <c r="N1734" s="3">
        <f t="shared" si="55"/>
        <v>1</v>
      </c>
      <c r="O1734" s="3" t="str">
        <f>IF(ISERROR(VLOOKUP(D1734,Data!$A$2:$C$223100,3,FALSE)),"INACTIVE",VLOOKUP(D1734,Data!$A$2:$C$223100,3,FALSE))</f>
        <v>FC</v>
      </c>
    </row>
    <row r="1735" spans="1:15" x14ac:dyDescent="0.25">
      <c r="A1735" t="s">
        <v>5160</v>
      </c>
      <c r="B1735" t="s">
        <v>5161</v>
      </c>
      <c r="C1735" t="s">
        <v>5181</v>
      </c>
      <c r="D1735" t="s">
        <v>5182</v>
      </c>
      <c r="E1735" t="s">
        <v>5</v>
      </c>
      <c r="F1735" t="s">
        <v>5183</v>
      </c>
      <c r="G1735" t="s">
        <v>5</v>
      </c>
      <c r="H1735" t="s">
        <v>5</v>
      </c>
      <c r="I1735" t="s">
        <v>5166</v>
      </c>
      <c r="J1735" t="s">
        <v>7</v>
      </c>
      <c r="K1735" s="3">
        <f t="shared" si="54"/>
        <v>0</v>
      </c>
      <c r="L1735" s="3">
        <f>IF(ISERROR(VLOOKUP(J1735,Lookups!$A$2:$A$16,1,FALSE)),1,0)</f>
        <v>1</v>
      </c>
      <c r="M1735" s="3">
        <f>IF(ISERROR(VLOOKUP(D1735,Data!$A$2:$D$223100,2,FALSE)),0,1)</f>
        <v>1</v>
      </c>
      <c r="N1735" s="3">
        <f t="shared" si="55"/>
        <v>1</v>
      </c>
      <c r="O1735" s="3" t="str">
        <f>IF(ISERROR(VLOOKUP(D1735,Data!$A$2:$C$223100,3,FALSE)),"INACTIVE",VLOOKUP(D1735,Data!$A$2:$C$223100,3,FALSE))</f>
        <v>FC</v>
      </c>
    </row>
    <row r="1736" spans="1:15" x14ac:dyDescent="0.25">
      <c r="A1736" t="s">
        <v>5160</v>
      </c>
      <c r="B1736" t="s">
        <v>5161</v>
      </c>
      <c r="C1736" t="s">
        <v>5181</v>
      </c>
      <c r="D1736" t="s">
        <v>5182</v>
      </c>
      <c r="E1736" t="s">
        <v>5184</v>
      </c>
      <c r="F1736" t="s">
        <v>5184</v>
      </c>
      <c r="G1736" t="s">
        <v>5</v>
      </c>
      <c r="H1736" t="s">
        <v>5</v>
      </c>
      <c r="I1736" t="s">
        <v>5166</v>
      </c>
      <c r="J1736" t="s">
        <v>7</v>
      </c>
      <c r="K1736" s="3">
        <f t="shared" si="54"/>
        <v>0</v>
      </c>
      <c r="L1736" s="3">
        <f>IF(ISERROR(VLOOKUP(J1736,Lookups!$A$2:$A$16,1,FALSE)),1,0)</f>
        <v>1</v>
      </c>
      <c r="M1736" s="3">
        <f>IF(ISERROR(VLOOKUP(D1736,Data!$A$2:$D$223100,2,FALSE)),0,1)</f>
        <v>1</v>
      </c>
      <c r="N1736" s="3">
        <f t="shared" si="55"/>
        <v>1</v>
      </c>
      <c r="O1736" s="3" t="str">
        <f>IF(ISERROR(VLOOKUP(D1736,Data!$A$2:$C$223100,3,FALSE)),"INACTIVE",VLOOKUP(D1736,Data!$A$2:$C$223100,3,FALSE))</f>
        <v>FC</v>
      </c>
    </row>
    <row r="1737" spans="1:15" x14ac:dyDescent="0.25">
      <c r="A1737" t="s">
        <v>5319</v>
      </c>
      <c r="B1737" t="s">
        <v>5320</v>
      </c>
      <c r="C1737" t="s">
        <v>5321</v>
      </c>
      <c r="D1737" t="s">
        <v>5322</v>
      </c>
      <c r="E1737" t="s">
        <v>5323</v>
      </c>
      <c r="F1737" t="s">
        <v>5323</v>
      </c>
      <c r="G1737" t="s">
        <v>5</v>
      </c>
      <c r="H1737" t="s">
        <v>5</v>
      </c>
      <c r="I1737" t="s">
        <v>5166</v>
      </c>
      <c r="J1737" t="s">
        <v>90</v>
      </c>
      <c r="K1737" s="3">
        <f t="shared" si="54"/>
        <v>0</v>
      </c>
      <c r="L1737" s="3">
        <f>IF(ISERROR(VLOOKUP(J1737,Lookups!$A$2:$A$16,1,FALSE)),1,0)</f>
        <v>0</v>
      </c>
      <c r="M1737" s="3">
        <f>IF(ISERROR(VLOOKUP(D1737,Data!$A$2:$D$223100,2,FALSE)),0,1)</f>
        <v>1</v>
      </c>
      <c r="N1737" s="3">
        <f t="shared" si="55"/>
        <v>0</v>
      </c>
      <c r="O1737" s="3" t="str">
        <f>IF(ISERROR(VLOOKUP(D1737,Data!$A$2:$C$223100,3,FALSE)),"INACTIVE",VLOOKUP(D1737,Data!$A$2:$C$223100,3,FALSE))</f>
        <v>BK13</v>
      </c>
    </row>
    <row r="1738" spans="1:15" x14ac:dyDescent="0.25">
      <c r="A1738" t="s">
        <v>5319</v>
      </c>
      <c r="B1738" t="s">
        <v>5320</v>
      </c>
      <c r="C1738" t="s">
        <v>5321</v>
      </c>
      <c r="D1738" t="s">
        <v>5322</v>
      </c>
      <c r="E1738" t="s">
        <v>5323</v>
      </c>
      <c r="F1738" t="s">
        <v>5323</v>
      </c>
      <c r="G1738" t="s">
        <v>5</v>
      </c>
      <c r="H1738" t="s">
        <v>5</v>
      </c>
      <c r="I1738" t="s">
        <v>5166</v>
      </c>
      <c r="J1738" t="s">
        <v>90</v>
      </c>
      <c r="K1738" s="3">
        <f t="shared" si="54"/>
        <v>0</v>
      </c>
      <c r="L1738" s="3">
        <f>IF(ISERROR(VLOOKUP(J1738,Lookups!$A$2:$A$16,1,FALSE)),1,0)</f>
        <v>0</v>
      </c>
      <c r="M1738" s="3">
        <f>IF(ISERROR(VLOOKUP(D1738,Data!$A$2:$D$223100,2,FALSE)),0,1)</f>
        <v>1</v>
      </c>
      <c r="N1738" s="3">
        <f t="shared" si="55"/>
        <v>0</v>
      </c>
      <c r="O1738" s="3" t="str">
        <f>IF(ISERROR(VLOOKUP(D1738,Data!$A$2:$C$223100,3,FALSE)),"INACTIVE",VLOOKUP(D1738,Data!$A$2:$C$223100,3,FALSE))</f>
        <v>BK13</v>
      </c>
    </row>
    <row r="1739" spans="1:15" x14ac:dyDescent="0.25">
      <c r="A1739" t="s">
        <v>5324</v>
      </c>
      <c r="B1739" t="s">
        <v>5325</v>
      </c>
      <c r="C1739" t="s">
        <v>5326</v>
      </c>
      <c r="D1739" t="s">
        <v>5327</v>
      </c>
      <c r="E1739" t="s">
        <v>5328</v>
      </c>
      <c r="F1739" t="s">
        <v>5328</v>
      </c>
      <c r="G1739" t="s">
        <v>5</v>
      </c>
      <c r="H1739" t="s">
        <v>5</v>
      </c>
      <c r="I1739" t="s">
        <v>5166</v>
      </c>
      <c r="J1739" t="s">
        <v>96</v>
      </c>
      <c r="K1739" s="3">
        <f t="shared" si="54"/>
        <v>0</v>
      </c>
      <c r="L1739" s="3">
        <f>IF(ISERROR(VLOOKUP(J1739,Lookups!$A$2:$A$16,1,FALSE)),1,0)</f>
        <v>0</v>
      </c>
      <c r="M1739" s="3">
        <f>IF(ISERROR(VLOOKUP(D1739,Data!$A$2:$D$223100,2,FALSE)),0,1)</f>
        <v>0</v>
      </c>
      <c r="N1739" s="3">
        <f t="shared" si="55"/>
        <v>0</v>
      </c>
      <c r="O1739" s="3" t="str">
        <f>IF(ISERROR(VLOOKUP(D1739,Data!$A$2:$C$223100,3,FALSE)),"INACTIVE",VLOOKUP(D1739,Data!$A$2:$C$223100,3,FALSE))</f>
        <v>INACTIVE</v>
      </c>
    </row>
    <row r="1740" spans="1:15" x14ac:dyDescent="0.25">
      <c r="A1740" t="s">
        <v>5324</v>
      </c>
      <c r="B1740" t="s">
        <v>5325</v>
      </c>
      <c r="C1740" t="s">
        <v>5326</v>
      </c>
      <c r="D1740" t="s">
        <v>5327</v>
      </c>
      <c r="E1740" t="s">
        <v>5329</v>
      </c>
      <c r="F1740" t="s">
        <v>5329</v>
      </c>
      <c r="G1740" t="s">
        <v>5</v>
      </c>
      <c r="H1740" t="s">
        <v>5</v>
      </c>
      <c r="I1740" t="s">
        <v>5166</v>
      </c>
      <c r="J1740" t="s">
        <v>96</v>
      </c>
      <c r="K1740" s="3">
        <f t="shared" si="54"/>
        <v>0</v>
      </c>
      <c r="L1740" s="3">
        <f>IF(ISERROR(VLOOKUP(J1740,Lookups!$A$2:$A$16,1,FALSE)),1,0)</f>
        <v>0</v>
      </c>
      <c r="M1740" s="3">
        <f>IF(ISERROR(VLOOKUP(D1740,Data!$A$2:$D$223100,2,FALSE)),0,1)</f>
        <v>0</v>
      </c>
      <c r="N1740" s="3">
        <f t="shared" si="55"/>
        <v>0</v>
      </c>
      <c r="O1740" s="3" t="str">
        <f>IF(ISERROR(VLOOKUP(D1740,Data!$A$2:$C$223100,3,FALSE)),"INACTIVE",VLOOKUP(D1740,Data!$A$2:$C$223100,3,FALSE))</f>
        <v>INACTIVE</v>
      </c>
    </row>
    <row r="1741" spans="1:15" x14ac:dyDescent="0.25">
      <c r="A1741" t="s">
        <v>5324</v>
      </c>
      <c r="B1741" t="s">
        <v>5325</v>
      </c>
      <c r="C1741" t="s">
        <v>5326</v>
      </c>
      <c r="D1741" t="s">
        <v>5327</v>
      </c>
      <c r="E1741" t="s">
        <v>5330</v>
      </c>
      <c r="F1741" t="s">
        <v>5330</v>
      </c>
      <c r="G1741" t="s">
        <v>5</v>
      </c>
      <c r="H1741" t="s">
        <v>5</v>
      </c>
      <c r="I1741" t="s">
        <v>5166</v>
      </c>
      <c r="J1741" t="s">
        <v>96</v>
      </c>
      <c r="K1741" s="3">
        <f t="shared" si="54"/>
        <v>0</v>
      </c>
      <c r="L1741" s="3">
        <f>IF(ISERROR(VLOOKUP(J1741,Lookups!$A$2:$A$16,1,FALSE)),1,0)</f>
        <v>0</v>
      </c>
      <c r="M1741" s="3">
        <f>IF(ISERROR(VLOOKUP(D1741,Data!$A$2:$D$223100,2,FALSE)),0,1)</f>
        <v>0</v>
      </c>
      <c r="N1741" s="3">
        <f t="shared" si="55"/>
        <v>0</v>
      </c>
      <c r="O1741" s="3" t="str">
        <f>IF(ISERROR(VLOOKUP(D1741,Data!$A$2:$C$223100,3,FALSE)),"INACTIVE",VLOOKUP(D1741,Data!$A$2:$C$223100,3,FALSE))</f>
        <v>INACTIVE</v>
      </c>
    </row>
    <row r="1742" spans="1:15" x14ac:dyDescent="0.25">
      <c r="A1742" t="s">
        <v>5324</v>
      </c>
      <c r="B1742" t="s">
        <v>5325</v>
      </c>
      <c r="C1742" t="s">
        <v>5326</v>
      </c>
      <c r="D1742" t="s">
        <v>5327</v>
      </c>
      <c r="E1742" t="s">
        <v>5331</v>
      </c>
      <c r="F1742" t="s">
        <v>5331</v>
      </c>
      <c r="G1742" t="s">
        <v>5</v>
      </c>
      <c r="H1742" t="s">
        <v>5</v>
      </c>
      <c r="I1742" t="s">
        <v>5166</v>
      </c>
      <c r="J1742" t="s">
        <v>96</v>
      </c>
      <c r="K1742" s="3">
        <f t="shared" si="54"/>
        <v>0</v>
      </c>
      <c r="L1742" s="3">
        <f>IF(ISERROR(VLOOKUP(J1742,Lookups!$A$2:$A$16,1,FALSE)),1,0)</f>
        <v>0</v>
      </c>
      <c r="M1742" s="3">
        <f>IF(ISERROR(VLOOKUP(D1742,Data!$A$2:$D$223100,2,FALSE)),0,1)</f>
        <v>0</v>
      </c>
      <c r="N1742" s="3">
        <f t="shared" si="55"/>
        <v>0</v>
      </c>
      <c r="O1742" s="3" t="str">
        <f>IF(ISERROR(VLOOKUP(D1742,Data!$A$2:$C$223100,3,FALSE)),"INACTIVE",VLOOKUP(D1742,Data!$A$2:$C$223100,3,FALSE))</f>
        <v>INACTIVE</v>
      </c>
    </row>
    <row r="1743" spans="1:15" x14ac:dyDescent="0.25">
      <c r="A1743" t="s">
        <v>4802</v>
      </c>
      <c r="B1743" t="s">
        <v>4803</v>
      </c>
      <c r="C1743" t="s">
        <v>4804</v>
      </c>
      <c r="D1743" t="s">
        <v>4805</v>
      </c>
      <c r="E1743" t="s">
        <v>4806</v>
      </c>
      <c r="F1743" t="s">
        <v>5</v>
      </c>
      <c r="G1743" t="s">
        <v>5</v>
      </c>
      <c r="H1743" t="s">
        <v>5</v>
      </c>
      <c r="I1743" t="s">
        <v>4807</v>
      </c>
      <c r="J1743" t="s">
        <v>90</v>
      </c>
      <c r="K1743" s="3">
        <f t="shared" si="54"/>
        <v>0</v>
      </c>
      <c r="L1743" s="3">
        <f>IF(ISERROR(VLOOKUP(J1743,Lookups!$A$2:$A$16,1,FALSE)),1,0)</f>
        <v>0</v>
      </c>
      <c r="M1743" s="3">
        <f>IF(ISERROR(VLOOKUP(D1743,Data!$A$2:$D$223100,2,FALSE)),0,1)</f>
        <v>1</v>
      </c>
      <c r="N1743" s="3">
        <f t="shared" si="55"/>
        <v>0</v>
      </c>
      <c r="O1743" s="3" t="str">
        <f>IF(ISERROR(VLOOKUP(D1743,Data!$A$2:$C$223100,3,FALSE)),"INACTIVE",VLOOKUP(D1743,Data!$A$2:$C$223100,3,FALSE))</f>
        <v>FC</v>
      </c>
    </row>
    <row r="1744" spans="1:15" x14ac:dyDescent="0.25">
      <c r="A1744" t="s">
        <v>5230</v>
      </c>
      <c r="B1744" t="s">
        <v>5231</v>
      </c>
      <c r="C1744" t="s">
        <v>5232</v>
      </c>
      <c r="D1744" t="s">
        <v>5233</v>
      </c>
      <c r="E1744" t="s">
        <v>5234</v>
      </c>
      <c r="F1744" t="s">
        <v>5</v>
      </c>
      <c r="G1744" t="s">
        <v>5</v>
      </c>
      <c r="H1744" t="s">
        <v>5</v>
      </c>
      <c r="I1744" t="s">
        <v>4807</v>
      </c>
      <c r="J1744" t="s">
        <v>7</v>
      </c>
      <c r="K1744" s="3">
        <f t="shared" si="54"/>
        <v>0</v>
      </c>
      <c r="L1744" s="3">
        <f>IF(ISERROR(VLOOKUP(J1744,Lookups!$A$2:$A$16,1,FALSE)),1,0)</f>
        <v>1</v>
      </c>
      <c r="M1744" s="3">
        <f>IF(ISERROR(VLOOKUP(D1744,Data!$A$2:$D$223100,2,FALSE)),0,1)</f>
        <v>0</v>
      </c>
      <c r="N1744" s="3">
        <f t="shared" si="55"/>
        <v>0</v>
      </c>
      <c r="O1744" s="3" t="str">
        <f>IF(ISERROR(VLOOKUP(D1744,Data!$A$2:$C$223100,3,FALSE)),"INACTIVE",VLOOKUP(D1744,Data!$A$2:$C$223100,3,FALSE))</f>
        <v>INACTIVE</v>
      </c>
    </row>
    <row r="1745" spans="1:15" x14ac:dyDescent="0.25">
      <c r="A1745" t="s">
        <v>5230</v>
      </c>
      <c r="B1745" t="s">
        <v>5231</v>
      </c>
      <c r="C1745" t="s">
        <v>5235</v>
      </c>
      <c r="D1745" t="s">
        <v>5236</v>
      </c>
      <c r="E1745" t="s">
        <v>5237</v>
      </c>
      <c r="F1745" t="s">
        <v>5</v>
      </c>
      <c r="G1745" t="s">
        <v>5</v>
      </c>
      <c r="H1745" t="s">
        <v>5</v>
      </c>
      <c r="I1745" t="s">
        <v>4807</v>
      </c>
      <c r="J1745" t="s">
        <v>7</v>
      </c>
      <c r="K1745" s="3">
        <f t="shared" si="54"/>
        <v>0</v>
      </c>
      <c r="L1745" s="3">
        <f>IF(ISERROR(VLOOKUP(J1745,Lookups!$A$2:$A$16,1,FALSE)),1,0)</f>
        <v>1</v>
      </c>
      <c r="M1745" s="3">
        <f>IF(ISERROR(VLOOKUP(D1745,Data!$A$2:$D$223100,2,FALSE)),0,1)</f>
        <v>1</v>
      </c>
      <c r="N1745" s="3">
        <f t="shared" si="55"/>
        <v>1</v>
      </c>
      <c r="O1745" s="3" t="str">
        <f>IF(ISERROR(VLOOKUP(D1745,Data!$A$2:$C$223100,3,FALSE)),"INACTIVE",VLOOKUP(D1745,Data!$A$2:$C$223100,3,FALSE))</f>
        <v>60+</v>
      </c>
    </row>
    <row r="1746" spans="1:15" x14ac:dyDescent="0.25">
      <c r="A1746" t="s">
        <v>5230</v>
      </c>
      <c r="B1746" t="s">
        <v>5231</v>
      </c>
      <c r="C1746" t="s">
        <v>5238</v>
      </c>
      <c r="D1746" t="s">
        <v>5239</v>
      </c>
      <c r="E1746" t="s">
        <v>5240</v>
      </c>
      <c r="F1746" t="s">
        <v>5</v>
      </c>
      <c r="G1746" t="s">
        <v>5</v>
      </c>
      <c r="H1746" t="s">
        <v>5</v>
      </c>
      <c r="I1746" t="s">
        <v>4807</v>
      </c>
      <c r="J1746" t="s">
        <v>7</v>
      </c>
      <c r="K1746" s="3">
        <f t="shared" si="54"/>
        <v>0</v>
      </c>
      <c r="L1746" s="3">
        <f>IF(ISERROR(VLOOKUP(J1746,Lookups!$A$2:$A$16,1,FALSE)),1,0)</f>
        <v>1</v>
      </c>
      <c r="M1746" s="3">
        <f>IF(ISERROR(VLOOKUP(D1746,Data!$A$2:$D$223100,2,FALSE)),0,1)</f>
        <v>1</v>
      </c>
      <c r="N1746" s="3">
        <f t="shared" si="55"/>
        <v>1</v>
      </c>
      <c r="O1746" s="3" t="str">
        <f>IF(ISERROR(VLOOKUP(D1746,Data!$A$2:$C$223100,3,FALSE)),"INACTIVE",VLOOKUP(D1746,Data!$A$2:$C$223100,3,FALSE))</f>
        <v>Current</v>
      </c>
    </row>
    <row r="1747" spans="1:15" x14ac:dyDescent="0.25">
      <c r="A1747" t="s">
        <v>5230</v>
      </c>
      <c r="B1747" t="s">
        <v>5231</v>
      </c>
      <c r="C1747" t="s">
        <v>5241</v>
      </c>
      <c r="D1747" t="s">
        <v>5242</v>
      </c>
      <c r="E1747" t="s">
        <v>5243</v>
      </c>
      <c r="F1747" t="s">
        <v>5</v>
      </c>
      <c r="G1747" t="s">
        <v>5</v>
      </c>
      <c r="H1747" t="s">
        <v>5</v>
      </c>
      <c r="I1747" t="s">
        <v>4807</v>
      </c>
      <c r="J1747" t="s">
        <v>7</v>
      </c>
      <c r="K1747" s="3">
        <f t="shared" si="54"/>
        <v>0</v>
      </c>
      <c r="L1747" s="3">
        <f>IF(ISERROR(VLOOKUP(J1747,Lookups!$A$2:$A$16,1,FALSE)),1,0)</f>
        <v>1</v>
      </c>
      <c r="M1747" s="3">
        <f>IF(ISERROR(VLOOKUP(D1747,Data!$A$2:$D$223100,2,FALSE)),0,1)</f>
        <v>1</v>
      </c>
      <c r="N1747" s="3">
        <f t="shared" si="55"/>
        <v>1</v>
      </c>
      <c r="O1747" s="3" t="str">
        <f>IF(ISERROR(VLOOKUP(D1747,Data!$A$2:$C$223100,3,FALSE)),"INACTIVE",VLOOKUP(D1747,Data!$A$2:$C$223100,3,FALSE))</f>
        <v>150+</v>
      </c>
    </row>
    <row r="1748" spans="1:15" x14ac:dyDescent="0.25">
      <c r="A1748" t="s">
        <v>5230</v>
      </c>
      <c r="B1748" t="s">
        <v>5231</v>
      </c>
      <c r="C1748" t="s">
        <v>5244</v>
      </c>
      <c r="D1748" t="s">
        <v>5245</v>
      </c>
      <c r="E1748" t="s">
        <v>5246</v>
      </c>
      <c r="F1748" t="s">
        <v>5</v>
      </c>
      <c r="G1748" t="s">
        <v>5</v>
      </c>
      <c r="H1748" t="s">
        <v>5</v>
      </c>
      <c r="I1748" t="s">
        <v>4807</v>
      </c>
      <c r="J1748" t="s">
        <v>96</v>
      </c>
      <c r="K1748" s="3">
        <f t="shared" si="54"/>
        <v>0</v>
      </c>
      <c r="L1748" s="3">
        <f>IF(ISERROR(VLOOKUP(J1748,Lookups!$A$2:$A$16,1,FALSE)),1,0)</f>
        <v>0</v>
      </c>
      <c r="M1748" s="3">
        <f>IF(ISERROR(VLOOKUP(D1748,Data!$A$2:$D$223100,2,FALSE)),0,1)</f>
        <v>0</v>
      </c>
      <c r="N1748" s="3">
        <f t="shared" si="55"/>
        <v>0</v>
      </c>
      <c r="O1748" s="3" t="str">
        <f>IF(ISERROR(VLOOKUP(D1748,Data!$A$2:$C$223100,3,FALSE)),"INACTIVE",VLOOKUP(D1748,Data!$A$2:$C$223100,3,FALSE))</f>
        <v>INACTIVE</v>
      </c>
    </row>
    <row r="1749" spans="1:15" x14ac:dyDescent="0.25">
      <c r="A1749" t="s">
        <v>5230</v>
      </c>
      <c r="B1749" t="s">
        <v>5231</v>
      </c>
      <c r="C1749" t="s">
        <v>5247</v>
      </c>
      <c r="D1749" t="s">
        <v>5248</v>
      </c>
      <c r="E1749" t="s">
        <v>5249</v>
      </c>
      <c r="F1749" t="s">
        <v>5</v>
      </c>
      <c r="G1749" t="s">
        <v>5</v>
      </c>
      <c r="H1749" t="s">
        <v>5</v>
      </c>
      <c r="I1749" t="s">
        <v>4807</v>
      </c>
      <c r="J1749" t="s">
        <v>90</v>
      </c>
      <c r="K1749" s="3">
        <f t="shared" si="54"/>
        <v>0</v>
      </c>
      <c r="L1749" s="3">
        <f>IF(ISERROR(VLOOKUP(J1749,Lookups!$A$2:$A$16,1,FALSE)),1,0)</f>
        <v>0</v>
      </c>
      <c r="M1749" s="3">
        <f>IF(ISERROR(VLOOKUP(D1749,Data!$A$2:$D$223100,2,FALSE)),0,1)</f>
        <v>1</v>
      </c>
      <c r="N1749" s="3">
        <f t="shared" si="55"/>
        <v>0</v>
      </c>
      <c r="O1749" s="3" t="str">
        <f>IF(ISERROR(VLOOKUP(D1749,Data!$A$2:$C$223100,3,FALSE)),"INACTIVE",VLOOKUP(D1749,Data!$A$2:$C$223100,3,FALSE))</f>
        <v>BK13</v>
      </c>
    </row>
    <row r="1750" spans="1:15" x14ac:dyDescent="0.25">
      <c r="A1750" t="s">
        <v>5230</v>
      </c>
      <c r="B1750" t="s">
        <v>5231</v>
      </c>
      <c r="C1750" t="s">
        <v>5250</v>
      </c>
      <c r="D1750" t="s">
        <v>5251</v>
      </c>
      <c r="E1750" t="s">
        <v>5252</v>
      </c>
      <c r="F1750" t="s">
        <v>5</v>
      </c>
      <c r="G1750" t="s">
        <v>5</v>
      </c>
      <c r="H1750" t="s">
        <v>5</v>
      </c>
      <c r="I1750" t="s">
        <v>4807</v>
      </c>
      <c r="J1750" t="s">
        <v>90</v>
      </c>
      <c r="K1750" s="3">
        <f t="shared" si="54"/>
        <v>0</v>
      </c>
      <c r="L1750" s="3">
        <f>IF(ISERROR(VLOOKUP(J1750,Lookups!$A$2:$A$16,1,FALSE)),1,0)</f>
        <v>0</v>
      </c>
      <c r="M1750" s="3">
        <f>IF(ISERROR(VLOOKUP(D1750,Data!$A$2:$D$223100,2,FALSE)),0,1)</f>
        <v>0</v>
      </c>
      <c r="N1750" s="3">
        <f t="shared" si="55"/>
        <v>0</v>
      </c>
      <c r="O1750" s="3" t="str">
        <f>IF(ISERROR(VLOOKUP(D1750,Data!$A$2:$C$223100,3,FALSE)),"INACTIVE",VLOOKUP(D1750,Data!$A$2:$C$223100,3,FALSE))</f>
        <v>INACTIVE</v>
      </c>
    </row>
    <row r="1751" spans="1:15" x14ac:dyDescent="0.25">
      <c r="A1751" t="s">
        <v>5230</v>
      </c>
      <c r="B1751" t="s">
        <v>5231</v>
      </c>
      <c r="C1751" t="s">
        <v>5250</v>
      </c>
      <c r="D1751" t="s">
        <v>5251</v>
      </c>
      <c r="E1751" t="s">
        <v>5253</v>
      </c>
      <c r="F1751" t="s">
        <v>5</v>
      </c>
      <c r="G1751" t="s">
        <v>5</v>
      </c>
      <c r="H1751" t="s">
        <v>5</v>
      </c>
      <c r="I1751" t="s">
        <v>4807</v>
      </c>
      <c r="J1751" t="s">
        <v>90</v>
      </c>
      <c r="K1751" s="3">
        <f t="shared" si="54"/>
        <v>0</v>
      </c>
      <c r="L1751" s="3">
        <f>IF(ISERROR(VLOOKUP(J1751,Lookups!$A$2:$A$16,1,FALSE)),1,0)</f>
        <v>0</v>
      </c>
      <c r="M1751" s="3">
        <f>IF(ISERROR(VLOOKUP(D1751,Data!$A$2:$D$223100,2,FALSE)),0,1)</f>
        <v>0</v>
      </c>
      <c r="N1751" s="3">
        <f t="shared" si="55"/>
        <v>0</v>
      </c>
      <c r="O1751" s="3" t="str">
        <f>IF(ISERROR(VLOOKUP(D1751,Data!$A$2:$C$223100,3,FALSE)),"INACTIVE",VLOOKUP(D1751,Data!$A$2:$C$223100,3,FALSE))</f>
        <v>INACTIVE</v>
      </c>
    </row>
    <row r="1752" spans="1:15" x14ac:dyDescent="0.25">
      <c r="A1752" t="s">
        <v>5230</v>
      </c>
      <c r="B1752" t="s">
        <v>5231</v>
      </c>
      <c r="C1752" t="s">
        <v>5254</v>
      </c>
      <c r="D1752" t="s">
        <v>1520</v>
      </c>
      <c r="E1752" t="s">
        <v>5255</v>
      </c>
      <c r="F1752" t="s">
        <v>5</v>
      </c>
      <c r="G1752" t="s">
        <v>5</v>
      </c>
      <c r="H1752" t="s">
        <v>5</v>
      </c>
      <c r="I1752" t="s">
        <v>4807</v>
      </c>
      <c r="J1752" t="s">
        <v>96</v>
      </c>
      <c r="K1752" s="3">
        <f t="shared" si="54"/>
        <v>0</v>
      </c>
      <c r="L1752" s="3">
        <f>IF(ISERROR(VLOOKUP(J1752,Lookups!$A$2:$A$16,1,FALSE)),1,0)</f>
        <v>0</v>
      </c>
      <c r="M1752" s="3">
        <f>IF(ISERROR(VLOOKUP(D1752,Data!$A$2:$D$223100,2,FALSE)),0,1)</f>
        <v>1</v>
      </c>
      <c r="N1752" s="3">
        <f t="shared" si="55"/>
        <v>0</v>
      </c>
      <c r="O1752" s="3" t="str">
        <f>IF(ISERROR(VLOOKUP(D1752,Data!$A$2:$C$223100,3,FALSE)),"INACTIVE",VLOOKUP(D1752,Data!$A$2:$C$223100,3,FALSE))</f>
        <v>30+</v>
      </c>
    </row>
    <row r="1753" spans="1:15" x14ac:dyDescent="0.25">
      <c r="A1753" t="s">
        <v>5230</v>
      </c>
      <c r="B1753" t="s">
        <v>5231</v>
      </c>
      <c r="C1753" t="s">
        <v>5254</v>
      </c>
      <c r="D1753" t="s">
        <v>1520</v>
      </c>
      <c r="E1753" t="s">
        <v>5256</v>
      </c>
      <c r="F1753" t="s">
        <v>5</v>
      </c>
      <c r="G1753" t="s">
        <v>5</v>
      </c>
      <c r="H1753" t="s">
        <v>5</v>
      </c>
      <c r="I1753" t="s">
        <v>4807</v>
      </c>
      <c r="J1753" t="s">
        <v>96</v>
      </c>
      <c r="K1753" s="3">
        <f t="shared" si="54"/>
        <v>0</v>
      </c>
      <c r="L1753" s="3">
        <f>IF(ISERROR(VLOOKUP(J1753,Lookups!$A$2:$A$16,1,FALSE)),1,0)</f>
        <v>0</v>
      </c>
      <c r="M1753" s="3">
        <f>IF(ISERROR(VLOOKUP(D1753,Data!$A$2:$D$223100,2,FALSE)),0,1)</f>
        <v>1</v>
      </c>
      <c r="N1753" s="3">
        <f t="shared" si="55"/>
        <v>0</v>
      </c>
      <c r="O1753" s="3" t="str">
        <f>IF(ISERROR(VLOOKUP(D1753,Data!$A$2:$C$223100,3,FALSE)),"INACTIVE",VLOOKUP(D1753,Data!$A$2:$C$223100,3,FALSE))</f>
        <v>30+</v>
      </c>
    </row>
    <row r="1754" spans="1:15" x14ac:dyDescent="0.25">
      <c r="A1754" t="s">
        <v>5230</v>
      </c>
      <c r="B1754" t="s">
        <v>5231</v>
      </c>
      <c r="C1754" t="s">
        <v>5254</v>
      </c>
      <c r="D1754" t="s">
        <v>1520</v>
      </c>
      <c r="E1754" t="s">
        <v>5257</v>
      </c>
      <c r="F1754" t="s">
        <v>5</v>
      </c>
      <c r="G1754" t="s">
        <v>5</v>
      </c>
      <c r="H1754" t="s">
        <v>5</v>
      </c>
      <c r="I1754" t="s">
        <v>4807</v>
      </c>
      <c r="J1754" t="s">
        <v>96</v>
      </c>
      <c r="K1754" s="3">
        <f t="shared" si="54"/>
        <v>0</v>
      </c>
      <c r="L1754" s="3">
        <f>IF(ISERROR(VLOOKUP(J1754,Lookups!$A$2:$A$16,1,FALSE)),1,0)</f>
        <v>0</v>
      </c>
      <c r="M1754" s="3">
        <f>IF(ISERROR(VLOOKUP(D1754,Data!$A$2:$D$223100,2,FALSE)),0,1)</f>
        <v>1</v>
      </c>
      <c r="N1754" s="3">
        <f t="shared" si="55"/>
        <v>0</v>
      </c>
      <c r="O1754" s="3" t="str">
        <f>IF(ISERROR(VLOOKUP(D1754,Data!$A$2:$C$223100,3,FALSE)),"INACTIVE",VLOOKUP(D1754,Data!$A$2:$C$223100,3,FALSE))</f>
        <v>30+</v>
      </c>
    </row>
    <row r="1755" spans="1:15" x14ac:dyDescent="0.25">
      <c r="A1755" t="s">
        <v>5230</v>
      </c>
      <c r="B1755" t="s">
        <v>5231</v>
      </c>
      <c r="C1755" t="s">
        <v>5254</v>
      </c>
      <c r="D1755" t="s">
        <v>1520</v>
      </c>
      <c r="E1755" t="s">
        <v>5258</v>
      </c>
      <c r="F1755" t="s">
        <v>5</v>
      </c>
      <c r="G1755" t="s">
        <v>5</v>
      </c>
      <c r="H1755" t="s">
        <v>5</v>
      </c>
      <c r="I1755" t="s">
        <v>4807</v>
      </c>
      <c r="J1755" t="s">
        <v>96</v>
      </c>
      <c r="K1755" s="3">
        <f t="shared" si="54"/>
        <v>0</v>
      </c>
      <c r="L1755" s="3">
        <f>IF(ISERROR(VLOOKUP(J1755,Lookups!$A$2:$A$16,1,FALSE)),1,0)</f>
        <v>0</v>
      </c>
      <c r="M1755" s="3">
        <f>IF(ISERROR(VLOOKUP(D1755,Data!$A$2:$D$223100,2,FALSE)),0,1)</f>
        <v>1</v>
      </c>
      <c r="N1755" s="3">
        <f t="shared" si="55"/>
        <v>0</v>
      </c>
      <c r="O1755" s="3" t="str">
        <f>IF(ISERROR(VLOOKUP(D1755,Data!$A$2:$C$223100,3,FALSE)),"INACTIVE",VLOOKUP(D1755,Data!$A$2:$C$223100,3,FALSE))</f>
        <v>30+</v>
      </c>
    </row>
    <row r="1756" spans="1:15" x14ac:dyDescent="0.25">
      <c r="A1756" t="s">
        <v>5230</v>
      </c>
      <c r="B1756" t="s">
        <v>5231</v>
      </c>
      <c r="C1756" t="s">
        <v>5254</v>
      </c>
      <c r="D1756" t="s">
        <v>1520</v>
      </c>
      <c r="E1756" t="s">
        <v>5259</v>
      </c>
      <c r="F1756" t="s">
        <v>5</v>
      </c>
      <c r="G1756" t="s">
        <v>5</v>
      </c>
      <c r="H1756" t="s">
        <v>5</v>
      </c>
      <c r="I1756" t="s">
        <v>4807</v>
      </c>
      <c r="J1756" t="s">
        <v>96</v>
      </c>
      <c r="K1756" s="3">
        <f t="shared" si="54"/>
        <v>0</v>
      </c>
      <c r="L1756" s="3">
        <f>IF(ISERROR(VLOOKUP(J1756,Lookups!$A$2:$A$16,1,FALSE)),1,0)</f>
        <v>0</v>
      </c>
      <c r="M1756" s="3">
        <f>IF(ISERROR(VLOOKUP(D1756,Data!$A$2:$D$223100,2,FALSE)),0,1)</f>
        <v>1</v>
      </c>
      <c r="N1756" s="3">
        <f t="shared" si="55"/>
        <v>0</v>
      </c>
      <c r="O1756" s="3" t="str">
        <f>IF(ISERROR(VLOOKUP(D1756,Data!$A$2:$C$223100,3,FALSE)),"INACTIVE",VLOOKUP(D1756,Data!$A$2:$C$223100,3,FALSE))</f>
        <v>30+</v>
      </c>
    </row>
    <row r="1757" spans="1:15" x14ac:dyDescent="0.25">
      <c r="A1757" t="s">
        <v>5230</v>
      </c>
      <c r="B1757" t="s">
        <v>5231</v>
      </c>
      <c r="C1757" t="s">
        <v>5254</v>
      </c>
      <c r="D1757" t="s">
        <v>1520</v>
      </c>
      <c r="E1757" t="s">
        <v>5260</v>
      </c>
      <c r="F1757" t="s">
        <v>5</v>
      </c>
      <c r="G1757" t="s">
        <v>5</v>
      </c>
      <c r="H1757" t="s">
        <v>5</v>
      </c>
      <c r="I1757" t="s">
        <v>4807</v>
      </c>
      <c r="J1757" t="s">
        <v>96</v>
      </c>
      <c r="K1757" s="3">
        <f t="shared" si="54"/>
        <v>0</v>
      </c>
      <c r="L1757" s="3">
        <f>IF(ISERROR(VLOOKUP(J1757,Lookups!$A$2:$A$16,1,FALSE)),1,0)</f>
        <v>0</v>
      </c>
      <c r="M1757" s="3">
        <f>IF(ISERROR(VLOOKUP(D1757,Data!$A$2:$D$223100,2,FALSE)),0,1)</f>
        <v>1</v>
      </c>
      <c r="N1757" s="3">
        <f t="shared" si="55"/>
        <v>0</v>
      </c>
      <c r="O1757" s="3" t="str">
        <f>IF(ISERROR(VLOOKUP(D1757,Data!$A$2:$C$223100,3,FALSE)),"INACTIVE",VLOOKUP(D1757,Data!$A$2:$C$223100,3,FALSE))</f>
        <v>30+</v>
      </c>
    </row>
    <row r="1758" spans="1:15" x14ac:dyDescent="0.25">
      <c r="A1758" t="s">
        <v>5230</v>
      </c>
      <c r="B1758" t="s">
        <v>5231</v>
      </c>
      <c r="C1758" t="s">
        <v>5254</v>
      </c>
      <c r="D1758" t="s">
        <v>1520</v>
      </c>
      <c r="E1758" t="s">
        <v>5261</v>
      </c>
      <c r="F1758" t="s">
        <v>5</v>
      </c>
      <c r="G1758" t="s">
        <v>5</v>
      </c>
      <c r="H1758" t="s">
        <v>5</v>
      </c>
      <c r="I1758" t="s">
        <v>4807</v>
      </c>
      <c r="J1758" t="s">
        <v>96</v>
      </c>
      <c r="K1758" s="3">
        <f t="shared" si="54"/>
        <v>0</v>
      </c>
      <c r="L1758" s="3">
        <f>IF(ISERROR(VLOOKUP(J1758,Lookups!$A$2:$A$16,1,FALSE)),1,0)</f>
        <v>0</v>
      </c>
      <c r="M1758" s="3">
        <f>IF(ISERROR(VLOOKUP(D1758,Data!$A$2:$D$223100,2,FALSE)),0,1)</f>
        <v>1</v>
      </c>
      <c r="N1758" s="3">
        <f t="shared" si="55"/>
        <v>0</v>
      </c>
      <c r="O1758" s="3" t="str">
        <f>IF(ISERROR(VLOOKUP(D1758,Data!$A$2:$C$223100,3,FALSE)),"INACTIVE",VLOOKUP(D1758,Data!$A$2:$C$223100,3,FALSE))</f>
        <v>30+</v>
      </c>
    </row>
    <row r="1759" spans="1:15" x14ac:dyDescent="0.25">
      <c r="A1759" t="s">
        <v>5230</v>
      </c>
      <c r="B1759" t="s">
        <v>5231</v>
      </c>
      <c r="C1759" t="s">
        <v>5254</v>
      </c>
      <c r="D1759" t="s">
        <v>1520</v>
      </c>
      <c r="E1759" t="s">
        <v>5262</v>
      </c>
      <c r="F1759" t="s">
        <v>5</v>
      </c>
      <c r="G1759" t="s">
        <v>5</v>
      </c>
      <c r="H1759" t="s">
        <v>5</v>
      </c>
      <c r="I1759" t="s">
        <v>4807</v>
      </c>
      <c r="J1759" t="s">
        <v>96</v>
      </c>
      <c r="K1759" s="3">
        <f t="shared" si="54"/>
        <v>0</v>
      </c>
      <c r="L1759" s="3">
        <f>IF(ISERROR(VLOOKUP(J1759,Lookups!$A$2:$A$16,1,FALSE)),1,0)</f>
        <v>0</v>
      </c>
      <c r="M1759" s="3">
        <f>IF(ISERROR(VLOOKUP(D1759,Data!$A$2:$D$223100,2,FALSE)),0,1)</f>
        <v>1</v>
      </c>
      <c r="N1759" s="3">
        <f t="shared" si="55"/>
        <v>0</v>
      </c>
      <c r="O1759" s="3" t="str">
        <f>IF(ISERROR(VLOOKUP(D1759,Data!$A$2:$C$223100,3,FALSE)),"INACTIVE",VLOOKUP(D1759,Data!$A$2:$C$223100,3,FALSE))</f>
        <v>30+</v>
      </c>
    </row>
    <row r="1760" spans="1:15" x14ac:dyDescent="0.25">
      <c r="A1760" t="s">
        <v>5230</v>
      </c>
      <c r="B1760" t="s">
        <v>5231</v>
      </c>
      <c r="C1760" t="s">
        <v>5254</v>
      </c>
      <c r="D1760" t="s">
        <v>1520</v>
      </c>
      <c r="E1760" t="s">
        <v>5263</v>
      </c>
      <c r="F1760" t="s">
        <v>5</v>
      </c>
      <c r="G1760" t="s">
        <v>5</v>
      </c>
      <c r="H1760" t="s">
        <v>5</v>
      </c>
      <c r="I1760" t="s">
        <v>4807</v>
      </c>
      <c r="J1760" t="s">
        <v>96</v>
      </c>
      <c r="K1760" s="3">
        <f t="shared" si="54"/>
        <v>0</v>
      </c>
      <c r="L1760" s="3">
        <f>IF(ISERROR(VLOOKUP(J1760,Lookups!$A$2:$A$16,1,FALSE)),1,0)</f>
        <v>0</v>
      </c>
      <c r="M1760" s="3">
        <f>IF(ISERROR(VLOOKUP(D1760,Data!$A$2:$D$223100,2,FALSE)),0,1)</f>
        <v>1</v>
      </c>
      <c r="N1760" s="3">
        <f t="shared" si="55"/>
        <v>0</v>
      </c>
      <c r="O1760" s="3" t="str">
        <f>IF(ISERROR(VLOOKUP(D1760,Data!$A$2:$C$223100,3,FALSE)),"INACTIVE",VLOOKUP(D1760,Data!$A$2:$C$223100,3,FALSE))</f>
        <v>30+</v>
      </c>
    </row>
    <row r="1761" spans="1:15" x14ac:dyDescent="0.25">
      <c r="A1761" t="s">
        <v>5230</v>
      </c>
      <c r="B1761" t="s">
        <v>5231</v>
      </c>
      <c r="C1761" t="s">
        <v>5193</v>
      </c>
      <c r="D1761" t="s">
        <v>5194</v>
      </c>
      <c r="E1761" t="s">
        <v>5264</v>
      </c>
      <c r="F1761" t="s">
        <v>5</v>
      </c>
      <c r="G1761" t="s">
        <v>5</v>
      </c>
      <c r="H1761" t="s">
        <v>5</v>
      </c>
      <c r="I1761" t="s">
        <v>4807</v>
      </c>
      <c r="J1761" t="s">
        <v>90</v>
      </c>
      <c r="K1761" s="3">
        <f t="shared" si="54"/>
        <v>0</v>
      </c>
      <c r="L1761" s="3">
        <f>IF(ISERROR(VLOOKUP(J1761,Lookups!$A$2:$A$16,1,FALSE)),1,0)</f>
        <v>0</v>
      </c>
      <c r="M1761" s="3">
        <f>IF(ISERROR(VLOOKUP(D1761,Data!$A$2:$D$223100,2,FALSE)),0,1)</f>
        <v>1</v>
      </c>
      <c r="N1761" s="3">
        <f t="shared" si="55"/>
        <v>0</v>
      </c>
      <c r="O1761" s="3" t="str">
        <f>IF(ISERROR(VLOOKUP(D1761,Data!$A$2:$C$223100,3,FALSE)),"INACTIVE",VLOOKUP(D1761,Data!$A$2:$C$223100,3,FALSE))</f>
        <v>FC</v>
      </c>
    </row>
    <row r="1762" spans="1:15" x14ac:dyDescent="0.25">
      <c r="A1762" t="s">
        <v>5230</v>
      </c>
      <c r="B1762" t="s">
        <v>5231</v>
      </c>
      <c r="C1762" t="s">
        <v>5193</v>
      </c>
      <c r="D1762" t="s">
        <v>5194</v>
      </c>
      <c r="E1762" t="s">
        <v>5265</v>
      </c>
      <c r="F1762" t="s">
        <v>5</v>
      </c>
      <c r="G1762" t="s">
        <v>5</v>
      </c>
      <c r="H1762" t="s">
        <v>5</v>
      </c>
      <c r="I1762" t="s">
        <v>4807</v>
      </c>
      <c r="J1762" t="s">
        <v>90</v>
      </c>
      <c r="K1762" s="3">
        <f t="shared" si="54"/>
        <v>0</v>
      </c>
      <c r="L1762" s="3">
        <f>IF(ISERROR(VLOOKUP(J1762,Lookups!$A$2:$A$16,1,FALSE)),1,0)</f>
        <v>0</v>
      </c>
      <c r="M1762" s="3">
        <f>IF(ISERROR(VLOOKUP(D1762,Data!$A$2:$D$223100,2,FALSE)),0,1)</f>
        <v>1</v>
      </c>
      <c r="N1762" s="3">
        <f t="shared" si="55"/>
        <v>0</v>
      </c>
      <c r="O1762" s="3" t="str">
        <f>IF(ISERROR(VLOOKUP(D1762,Data!$A$2:$C$223100,3,FALSE)),"INACTIVE",VLOOKUP(D1762,Data!$A$2:$C$223100,3,FALSE))</f>
        <v>FC</v>
      </c>
    </row>
    <row r="1763" spans="1:15" x14ac:dyDescent="0.25">
      <c r="A1763" t="s">
        <v>5230</v>
      </c>
      <c r="B1763" t="s">
        <v>5231</v>
      </c>
      <c r="C1763" t="s">
        <v>5266</v>
      </c>
      <c r="D1763" t="s">
        <v>5267</v>
      </c>
      <c r="E1763" t="s">
        <v>5268</v>
      </c>
      <c r="F1763" t="s">
        <v>5</v>
      </c>
      <c r="G1763" t="s">
        <v>5</v>
      </c>
      <c r="H1763" t="s">
        <v>5</v>
      </c>
      <c r="I1763" t="s">
        <v>4807</v>
      </c>
      <c r="J1763" t="s">
        <v>7</v>
      </c>
      <c r="K1763" s="3">
        <f t="shared" si="54"/>
        <v>0</v>
      </c>
      <c r="L1763" s="3">
        <f>IF(ISERROR(VLOOKUP(J1763,Lookups!$A$2:$A$16,1,FALSE)),1,0)</f>
        <v>1</v>
      </c>
      <c r="M1763" s="3">
        <f>IF(ISERROR(VLOOKUP(D1763,Data!$A$2:$D$223100,2,FALSE)),0,1)</f>
        <v>1</v>
      </c>
      <c r="N1763" s="3">
        <f t="shared" si="55"/>
        <v>1</v>
      </c>
      <c r="O1763" s="3" t="str">
        <f>IF(ISERROR(VLOOKUP(D1763,Data!$A$2:$C$223100,3,FALSE)),"INACTIVE",VLOOKUP(D1763,Data!$A$2:$C$223100,3,FALSE))</f>
        <v>Demand Letter</v>
      </c>
    </row>
    <row r="1764" spans="1:15" x14ac:dyDescent="0.25">
      <c r="A1764" t="s">
        <v>5230</v>
      </c>
      <c r="B1764" t="s">
        <v>5231</v>
      </c>
      <c r="C1764" t="s">
        <v>5197</v>
      </c>
      <c r="D1764" t="s">
        <v>1537</v>
      </c>
      <c r="E1764" t="s">
        <v>5269</v>
      </c>
      <c r="F1764" t="s">
        <v>5</v>
      </c>
      <c r="G1764" t="s">
        <v>5</v>
      </c>
      <c r="H1764" t="s">
        <v>5</v>
      </c>
      <c r="I1764" t="s">
        <v>4807</v>
      </c>
      <c r="J1764" t="s">
        <v>96</v>
      </c>
      <c r="K1764" s="3">
        <f t="shared" si="54"/>
        <v>0</v>
      </c>
      <c r="L1764" s="3">
        <f>IF(ISERROR(VLOOKUP(J1764,Lookups!$A$2:$A$16,1,FALSE)),1,0)</f>
        <v>0</v>
      </c>
      <c r="M1764" s="3">
        <f>IF(ISERROR(VLOOKUP(D1764,Data!$A$2:$D$223100,2,FALSE)),0,1)</f>
        <v>1</v>
      </c>
      <c r="N1764" s="3">
        <f t="shared" si="55"/>
        <v>0</v>
      </c>
      <c r="O1764" s="3" t="str">
        <f>IF(ISERROR(VLOOKUP(D1764,Data!$A$2:$C$223100,3,FALSE)),"INACTIVE",VLOOKUP(D1764,Data!$A$2:$C$223100,3,FALSE))</f>
        <v>FC</v>
      </c>
    </row>
    <row r="1765" spans="1:15" x14ac:dyDescent="0.25">
      <c r="A1765" t="s">
        <v>5230</v>
      </c>
      <c r="B1765" t="s">
        <v>5231</v>
      </c>
      <c r="C1765" t="s">
        <v>5197</v>
      </c>
      <c r="D1765" t="s">
        <v>1537</v>
      </c>
      <c r="E1765" t="s">
        <v>5270</v>
      </c>
      <c r="F1765" t="s">
        <v>5</v>
      </c>
      <c r="G1765" t="s">
        <v>5</v>
      </c>
      <c r="H1765" t="s">
        <v>5</v>
      </c>
      <c r="I1765" t="s">
        <v>4807</v>
      </c>
      <c r="J1765" t="s">
        <v>96</v>
      </c>
      <c r="K1765" s="3">
        <f t="shared" si="54"/>
        <v>0</v>
      </c>
      <c r="L1765" s="3">
        <f>IF(ISERROR(VLOOKUP(J1765,Lookups!$A$2:$A$16,1,FALSE)),1,0)</f>
        <v>0</v>
      </c>
      <c r="M1765" s="3">
        <f>IF(ISERROR(VLOOKUP(D1765,Data!$A$2:$D$223100,2,FALSE)),0,1)</f>
        <v>1</v>
      </c>
      <c r="N1765" s="3">
        <f t="shared" si="55"/>
        <v>0</v>
      </c>
      <c r="O1765" s="3" t="str">
        <f>IF(ISERROR(VLOOKUP(D1765,Data!$A$2:$C$223100,3,FALSE)),"INACTIVE",VLOOKUP(D1765,Data!$A$2:$C$223100,3,FALSE))</f>
        <v>FC</v>
      </c>
    </row>
    <row r="1766" spans="1:15" x14ac:dyDescent="0.25">
      <c r="A1766" t="s">
        <v>5230</v>
      </c>
      <c r="B1766" t="s">
        <v>5231</v>
      </c>
      <c r="C1766" t="s">
        <v>5197</v>
      </c>
      <c r="D1766" t="s">
        <v>1537</v>
      </c>
      <c r="E1766" t="s">
        <v>5271</v>
      </c>
      <c r="F1766" t="s">
        <v>5</v>
      </c>
      <c r="G1766" t="s">
        <v>5</v>
      </c>
      <c r="H1766" t="s">
        <v>5</v>
      </c>
      <c r="I1766" t="s">
        <v>4807</v>
      </c>
      <c r="J1766" t="s">
        <v>96</v>
      </c>
      <c r="K1766" s="3">
        <f t="shared" si="54"/>
        <v>0</v>
      </c>
      <c r="L1766" s="3">
        <f>IF(ISERROR(VLOOKUP(J1766,Lookups!$A$2:$A$16,1,FALSE)),1,0)</f>
        <v>0</v>
      </c>
      <c r="M1766" s="3">
        <f>IF(ISERROR(VLOOKUP(D1766,Data!$A$2:$D$223100,2,FALSE)),0,1)</f>
        <v>1</v>
      </c>
      <c r="N1766" s="3">
        <f t="shared" si="55"/>
        <v>0</v>
      </c>
      <c r="O1766" s="3" t="str">
        <f>IF(ISERROR(VLOOKUP(D1766,Data!$A$2:$C$223100,3,FALSE)),"INACTIVE",VLOOKUP(D1766,Data!$A$2:$C$223100,3,FALSE))</f>
        <v>FC</v>
      </c>
    </row>
    <row r="1767" spans="1:15" x14ac:dyDescent="0.25">
      <c r="A1767" t="s">
        <v>5230</v>
      </c>
      <c r="B1767" t="s">
        <v>5231</v>
      </c>
      <c r="C1767" t="s">
        <v>4731</v>
      </c>
      <c r="D1767" t="s">
        <v>4732</v>
      </c>
      <c r="E1767" t="s">
        <v>5272</v>
      </c>
      <c r="F1767" t="s">
        <v>5</v>
      </c>
      <c r="G1767" t="s">
        <v>5</v>
      </c>
      <c r="H1767" t="s">
        <v>5</v>
      </c>
      <c r="I1767" t="s">
        <v>4807</v>
      </c>
      <c r="J1767" t="s">
        <v>90</v>
      </c>
      <c r="K1767" s="3">
        <f t="shared" si="54"/>
        <v>0</v>
      </c>
      <c r="L1767" s="3">
        <f>IF(ISERROR(VLOOKUP(J1767,Lookups!$A$2:$A$16,1,FALSE)),1,0)</f>
        <v>0</v>
      </c>
      <c r="M1767" s="3">
        <f>IF(ISERROR(VLOOKUP(D1767,Data!$A$2:$D$223100,2,FALSE)),0,1)</f>
        <v>1</v>
      </c>
      <c r="N1767" s="3">
        <f t="shared" si="55"/>
        <v>0</v>
      </c>
      <c r="O1767" s="3" t="str">
        <f>IF(ISERROR(VLOOKUP(D1767,Data!$A$2:$C$223100,3,FALSE)),"INACTIVE",VLOOKUP(D1767,Data!$A$2:$C$223100,3,FALSE))</f>
        <v>BK13</v>
      </c>
    </row>
    <row r="1768" spans="1:15" x14ac:dyDescent="0.25">
      <c r="A1768" t="s">
        <v>5230</v>
      </c>
      <c r="B1768" t="s">
        <v>5231</v>
      </c>
      <c r="C1768" t="s">
        <v>5273</v>
      </c>
      <c r="D1768" t="s">
        <v>4751</v>
      </c>
      <c r="E1768" t="s">
        <v>5274</v>
      </c>
      <c r="F1768" t="s">
        <v>5</v>
      </c>
      <c r="G1768" t="s">
        <v>5</v>
      </c>
      <c r="H1768" t="s">
        <v>5</v>
      </c>
      <c r="I1768" t="s">
        <v>4807</v>
      </c>
      <c r="J1768" t="s">
        <v>7</v>
      </c>
      <c r="K1768" s="3">
        <f t="shared" si="54"/>
        <v>0</v>
      </c>
      <c r="L1768" s="3">
        <f>IF(ISERROR(VLOOKUP(J1768,Lookups!$A$2:$A$16,1,FALSE)),1,0)</f>
        <v>1</v>
      </c>
      <c r="M1768" s="3">
        <f>IF(ISERROR(VLOOKUP(D1768,Data!$A$2:$D$223100,2,FALSE)),0,1)</f>
        <v>1</v>
      </c>
      <c r="N1768" s="3">
        <f t="shared" si="55"/>
        <v>1</v>
      </c>
      <c r="O1768" s="3" t="str">
        <f>IF(ISERROR(VLOOKUP(D1768,Data!$A$2:$C$223100,3,FALSE)),"INACTIVE",VLOOKUP(D1768,Data!$A$2:$C$223100,3,FALSE))</f>
        <v>FBA</v>
      </c>
    </row>
    <row r="1769" spans="1:15" x14ac:dyDescent="0.25">
      <c r="A1769" t="s">
        <v>4854</v>
      </c>
      <c r="B1769" t="s">
        <v>4855</v>
      </c>
      <c r="C1769" t="s">
        <v>4856</v>
      </c>
      <c r="D1769" t="s">
        <v>4857</v>
      </c>
      <c r="E1769" t="s">
        <v>5</v>
      </c>
      <c r="F1769" t="s">
        <v>4858</v>
      </c>
      <c r="G1769" t="s">
        <v>5</v>
      </c>
      <c r="H1769" t="s">
        <v>5</v>
      </c>
      <c r="I1769" t="s">
        <v>4859</v>
      </c>
      <c r="J1769" t="s">
        <v>7</v>
      </c>
      <c r="K1769" s="3">
        <f t="shared" si="54"/>
        <v>0</v>
      </c>
      <c r="L1769" s="3">
        <f>IF(ISERROR(VLOOKUP(J1769,Lookups!$A$2:$A$16,1,FALSE)),1,0)</f>
        <v>1</v>
      </c>
      <c r="M1769" s="3">
        <f>IF(ISERROR(VLOOKUP(D1769,Data!$A$2:$D$223100,2,FALSE)),0,1)</f>
        <v>1</v>
      </c>
      <c r="N1769" s="3">
        <f t="shared" si="55"/>
        <v>1</v>
      </c>
      <c r="O1769" s="3" t="str">
        <f>IF(ISERROR(VLOOKUP(D1769,Data!$A$2:$C$223100,3,FALSE)),"INACTIVE",VLOOKUP(D1769,Data!$A$2:$C$223100,3,FALSE))</f>
        <v>Current</v>
      </c>
    </row>
    <row r="1770" spans="1:15" x14ac:dyDescent="0.25">
      <c r="A1770" t="s">
        <v>4854</v>
      </c>
      <c r="B1770" t="s">
        <v>4855</v>
      </c>
      <c r="C1770" t="s">
        <v>4860</v>
      </c>
      <c r="D1770" t="s">
        <v>4857</v>
      </c>
      <c r="E1770" t="s">
        <v>5</v>
      </c>
      <c r="F1770" t="s">
        <v>4861</v>
      </c>
      <c r="G1770" t="s">
        <v>5</v>
      </c>
      <c r="H1770" t="s">
        <v>5</v>
      </c>
      <c r="I1770" t="s">
        <v>4859</v>
      </c>
      <c r="J1770" t="s">
        <v>7</v>
      </c>
      <c r="K1770" s="3">
        <f t="shared" si="54"/>
        <v>0</v>
      </c>
      <c r="L1770" s="3">
        <f>IF(ISERROR(VLOOKUP(J1770,Lookups!$A$2:$A$16,1,FALSE)),1,0)</f>
        <v>1</v>
      </c>
      <c r="M1770" s="3">
        <f>IF(ISERROR(VLOOKUP(D1770,Data!$A$2:$D$223100,2,FALSE)),0,1)</f>
        <v>1</v>
      </c>
      <c r="N1770" s="3">
        <f t="shared" si="55"/>
        <v>1</v>
      </c>
      <c r="O1770" s="3" t="str">
        <f>IF(ISERROR(VLOOKUP(D1770,Data!$A$2:$C$223100,3,FALSE)),"INACTIVE",VLOOKUP(D1770,Data!$A$2:$C$223100,3,FALSE))</f>
        <v>Current</v>
      </c>
    </row>
    <row r="1771" spans="1:15" x14ac:dyDescent="0.25">
      <c r="A1771" t="s">
        <v>4867</v>
      </c>
      <c r="B1771" t="s">
        <v>4868</v>
      </c>
      <c r="C1771" t="s">
        <v>4869</v>
      </c>
      <c r="D1771" t="s">
        <v>4870</v>
      </c>
      <c r="E1771" t="s">
        <v>5</v>
      </c>
      <c r="F1771" t="s">
        <v>4871</v>
      </c>
      <c r="G1771" t="s">
        <v>5</v>
      </c>
      <c r="H1771" t="s">
        <v>5</v>
      </c>
      <c r="I1771" t="s">
        <v>4859</v>
      </c>
      <c r="J1771" t="s">
        <v>90</v>
      </c>
      <c r="K1771" s="3">
        <f t="shared" si="54"/>
        <v>0</v>
      </c>
      <c r="L1771" s="3">
        <f>IF(ISERROR(VLOOKUP(J1771,Lookups!$A$2:$A$16,1,FALSE)),1,0)</f>
        <v>0</v>
      </c>
      <c r="M1771" s="3">
        <f>IF(ISERROR(VLOOKUP(D1771,Data!$A$2:$D$223100,2,FALSE)),0,1)</f>
        <v>0</v>
      </c>
      <c r="N1771" s="3">
        <f t="shared" si="55"/>
        <v>0</v>
      </c>
      <c r="O1771" s="3" t="str">
        <f>IF(ISERROR(VLOOKUP(D1771,Data!$A$2:$C$223100,3,FALSE)),"INACTIVE",VLOOKUP(D1771,Data!$A$2:$C$223100,3,FALSE))</f>
        <v>INACTIVE</v>
      </c>
    </row>
    <row r="1772" spans="1:15" x14ac:dyDescent="0.25">
      <c r="A1772" t="s">
        <v>5152</v>
      </c>
      <c r="B1772" t="s">
        <v>5153</v>
      </c>
      <c r="C1772" t="s">
        <v>5154</v>
      </c>
      <c r="D1772" t="s">
        <v>5155</v>
      </c>
      <c r="E1772" t="s">
        <v>5156</v>
      </c>
      <c r="F1772" t="s">
        <v>5156</v>
      </c>
      <c r="G1772" t="s">
        <v>5</v>
      </c>
      <c r="H1772" t="s">
        <v>5</v>
      </c>
      <c r="I1772" t="s">
        <v>4859</v>
      </c>
      <c r="J1772" t="s">
        <v>14</v>
      </c>
      <c r="K1772" s="3">
        <f t="shared" si="54"/>
        <v>0</v>
      </c>
      <c r="L1772" s="3">
        <f>IF(ISERROR(VLOOKUP(J1772,Lookups!$A$2:$A$16,1,FALSE)),1,0)</f>
        <v>1</v>
      </c>
      <c r="M1772" s="3">
        <f>IF(ISERROR(VLOOKUP(D1772,Data!$A$2:$D$223100,2,FALSE)),0,1)</f>
        <v>1</v>
      </c>
      <c r="N1772" s="3">
        <f t="shared" si="55"/>
        <v>1</v>
      </c>
      <c r="O1772" s="3" t="str">
        <f>IF(ISERROR(VLOOKUP(D1772,Data!$A$2:$C$223100,3,FALSE)),"INACTIVE",VLOOKUP(D1772,Data!$A$2:$C$223100,3,FALSE))</f>
        <v>90+</v>
      </c>
    </row>
    <row r="1773" spans="1:15" x14ac:dyDescent="0.25">
      <c r="A1773" t="s">
        <v>5152</v>
      </c>
      <c r="B1773" t="s">
        <v>5153</v>
      </c>
      <c r="C1773" t="s">
        <v>5157</v>
      </c>
      <c r="D1773" t="s">
        <v>5158</v>
      </c>
      <c r="E1773" t="s">
        <v>5159</v>
      </c>
      <c r="F1773" t="s">
        <v>5159</v>
      </c>
      <c r="G1773" t="s">
        <v>5</v>
      </c>
      <c r="H1773" t="s">
        <v>5</v>
      </c>
      <c r="I1773" t="s">
        <v>4859</v>
      </c>
      <c r="J1773" t="s">
        <v>14</v>
      </c>
      <c r="K1773" s="3">
        <f t="shared" si="54"/>
        <v>0</v>
      </c>
      <c r="L1773" s="3">
        <f>IF(ISERROR(VLOOKUP(J1773,Lookups!$A$2:$A$16,1,FALSE)),1,0)</f>
        <v>1</v>
      </c>
      <c r="M1773" s="3">
        <f>IF(ISERROR(VLOOKUP(D1773,Data!$A$2:$D$223100,2,FALSE)),0,1)</f>
        <v>0</v>
      </c>
      <c r="N1773" s="3">
        <f t="shared" si="55"/>
        <v>0</v>
      </c>
      <c r="O1773" s="3" t="str">
        <f>IF(ISERROR(VLOOKUP(D1773,Data!$A$2:$C$223100,3,FALSE)),"INACTIVE",VLOOKUP(D1773,Data!$A$2:$C$223100,3,FALSE))</f>
        <v>INACTIVE</v>
      </c>
    </row>
    <row r="1774" spans="1:15" x14ac:dyDescent="0.25">
      <c r="A1774" t="s">
        <v>5280</v>
      </c>
      <c r="B1774" t="s">
        <v>5281</v>
      </c>
      <c r="C1774" t="s">
        <v>5282</v>
      </c>
      <c r="D1774" t="s">
        <v>5283</v>
      </c>
      <c r="E1774" t="s">
        <v>5284</v>
      </c>
      <c r="F1774" t="s">
        <v>5</v>
      </c>
      <c r="G1774" t="s">
        <v>5</v>
      </c>
      <c r="H1774" t="s">
        <v>5</v>
      </c>
      <c r="I1774" t="s">
        <v>4859</v>
      </c>
      <c r="J1774" t="s">
        <v>7</v>
      </c>
      <c r="K1774" s="3">
        <f t="shared" si="54"/>
        <v>0</v>
      </c>
      <c r="L1774" s="3">
        <f>IF(ISERROR(VLOOKUP(J1774,Lookups!$A$2:$A$16,1,FALSE)),1,0)</f>
        <v>1</v>
      </c>
      <c r="M1774" s="3">
        <f>IF(ISERROR(VLOOKUP(D1774,Data!$A$2:$D$223100,2,FALSE)),0,1)</f>
        <v>1</v>
      </c>
      <c r="N1774" s="3">
        <f t="shared" si="55"/>
        <v>1</v>
      </c>
      <c r="O1774" s="3" t="str">
        <f>IF(ISERROR(VLOOKUP(D1774,Data!$A$2:$C$223100,3,FALSE)),"INACTIVE",VLOOKUP(D1774,Data!$A$2:$C$223100,3,FALSE))</f>
        <v>150+</v>
      </c>
    </row>
    <row r="1775" spans="1:15" x14ac:dyDescent="0.25">
      <c r="A1775" t="s">
        <v>4823</v>
      </c>
      <c r="B1775" t="s">
        <v>4824</v>
      </c>
      <c r="C1775" t="s">
        <v>4825</v>
      </c>
      <c r="D1775" t="s">
        <v>4826</v>
      </c>
      <c r="E1775" t="s">
        <v>4827</v>
      </c>
      <c r="F1775" t="s">
        <v>5</v>
      </c>
      <c r="G1775" t="s">
        <v>5</v>
      </c>
      <c r="H1775" t="s">
        <v>5</v>
      </c>
      <c r="I1775" t="s">
        <v>4828</v>
      </c>
      <c r="J1775" t="s">
        <v>96</v>
      </c>
      <c r="K1775" s="3">
        <f t="shared" si="54"/>
        <v>0</v>
      </c>
      <c r="L1775" s="3">
        <f>IF(ISERROR(VLOOKUP(J1775,Lookups!$A$2:$A$16,1,FALSE)),1,0)</f>
        <v>0</v>
      </c>
      <c r="M1775" s="3">
        <f>IF(ISERROR(VLOOKUP(D1775,Data!$A$2:$D$223100,2,FALSE)),0,1)</f>
        <v>1</v>
      </c>
      <c r="N1775" s="3">
        <f t="shared" si="55"/>
        <v>0</v>
      </c>
      <c r="O1775" s="3" t="str">
        <f>IF(ISERROR(VLOOKUP(D1775,Data!$A$2:$C$223100,3,FALSE)),"INACTIVE",VLOOKUP(D1775,Data!$A$2:$C$223100,3,FALSE))</f>
        <v>FC</v>
      </c>
    </row>
    <row r="1776" spans="1:15" x14ac:dyDescent="0.25">
      <c r="A1776" t="s">
        <v>4823</v>
      </c>
      <c r="B1776" t="s">
        <v>4824</v>
      </c>
      <c r="C1776" t="s">
        <v>4825</v>
      </c>
      <c r="D1776" t="s">
        <v>4826</v>
      </c>
      <c r="E1776" t="s">
        <v>4829</v>
      </c>
      <c r="F1776" t="s">
        <v>5</v>
      </c>
      <c r="G1776" t="s">
        <v>5</v>
      </c>
      <c r="H1776" t="s">
        <v>5</v>
      </c>
      <c r="I1776" t="s">
        <v>4828</v>
      </c>
      <c r="J1776" t="s">
        <v>96</v>
      </c>
      <c r="K1776" s="3">
        <f t="shared" si="54"/>
        <v>0</v>
      </c>
      <c r="L1776" s="3">
        <f>IF(ISERROR(VLOOKUP(J1776,Lookups!$A$2:$A$16,1,FALSE)),1,0)</f>
        <v>0</v>
      </c>
      <c r="M1776" s="3">
        <f>IF(ISERROR(VLOOKUP(D1776,Data!$A$2:$D$223100,2,FALSE)),0,1)</f>
        <v>1</v>
      </c>
      <c r="N1776" s="3">
        <f t="shared" si="55"/>
        <v>0</v>
      </c>
      <c r="O1776" s="3" t="str">
        <f>IF(ISERROR(VLOOKUP(D1776,Data!$A$2:$C$223100,3,FALSE)),"INACTIVE",VLOOKUP(D1776,Data!$A$2:$C$223100,3,FALSE))</f>
        <v>FC</v>
      </c>
    </row>
    <row r="1777" spans="1:15" x14ac:dyDescent="0.25">
      <c r="A1777" t="s">
        <v>4823</v>
      </c>
      <c r="B1777" t="s">
        <v>4824</v>
      </c>
      <c r="C1777" t="s">
        <v>4825</v>
      </c>
      <c r="D1777" t="s">
        <v>4826</v>
      </c>
      <c r="E1777" t="s">
        <v>4830</v>
      </c>
      <c r="F1777" t="s">
        <v>5</v>
      </c>
      <c r="G1777" t="s">
        <v>5</v>
      </c>
      <c r="H1777" t="s">
        <v>5</v>
      </c>
      <c r="I1777" t="s">
        <v>4828</v>
      </c>
      <c r="J1777" t="s">
        <v>96</v>
      </c>
      <c r="K1777" s="3">
        <f t="shared" si="54"/>
        <v>0</v>
      </c>
      <c r="L1777" s="3">
        <f>IF(ISERROR(VLOOKUP(J1777,Lookups!$A$2:$A$16,1,FALSE)),1,0)</f>
        <v>0</v>
      </c>
      <c r="M1777" s="3">
        <f>IF(ISERROR(VLOOKUP(D1777,Data!$A$2:$D$223100,2,FALSE)),0,1)</f>
        <v>1</v>
      </c>
      <c r="N1777" s="3">
        <f t="shared" si="55"/>
        <v>0</v>
      </c>
      <c r="O1777" s="3" t="str">
        <f>IF(ISERROR(VLOOKUP(D1777,Data!$A$2:$C$223100,3,FALSE)),"INACTIVE",VLOOKUP(D1777,Data!$A$2:$C$223100,3,FALSE))</f>
        <v>FC</v>
      </c>
    </row>
    <row r="1778" spans="1:15" x14ac:dyDescent="0.25">
      <c r="A1778" t="s">
        <v>4823</v>
      </c>
      <c r="B1778" t="s">
        <v>4824</v>
      </c>
      <c r="C1778" t="s">
        <v>4825</v>
      </c>
      <c r="D1778" t="s">
        <v>4826</v>
      </c>
      <c r="E1778" t="s">
        <v>4831</v>
      </c>
      <c r="F1778" t="s">
        <v>5</v>
      </c>
      <c r="G1778" t="s">
        <v>5</v>
      </c>
      <c r="H1778" t="s">
        <v>5</v>
      </c>
      <c r="I1778" t="s">
        <v>4828</v>
      </c>
      <c r="J1778" t="s">
        <v>96</v>
      </c>
      <c r="K1778" s="3">
        <f t="shared" si="54"/>
        <v>0</v>
      </c>
      <c r="L1778" s="3">
        <f>IF(ISERROR(VLOOKUP(J1778,Lookups!$A$2:$A$16,1,FALSE)),1,0)</f>
        <v>0</v>
      </c>
      <c r="M1778" s="3">
        <f>IF(ISERROR(VLOOKUP(D1778,Data!$A$2:$D$223100,2,FALSE)),0,1)</f>
        <v>1</v>
      </c>
      <c r="N1778" s="3">
        <f t="shared" si="55"/>
        <v>0</v>
      </c>
      <c r="O1778" s="3" t="str">
        <f>IF(ISERROR(VLOOKUP(D1778,Data!$A$2:$C$223100,3,FALSE)),"INACTIVE",VLOOKUP(D1778,Data!$A$2:$C$223100,3,FALSE))</f>
        <v>FC</v>
      </c>
    </row>
    <row r="1779" spans="1:15" x14ac:dyDescent="0.25">
      <c r="A1779" t="s">
        <v>5200</v>
      </c>
      <c r="B1779" t="s">
        <v>5201</v>
      </c>
      <c r="C1779" t="s">
        <v>5202</v>
      </c>
      <c r="D1779" t="s">
        <v>5203</v>
      </c>
      <c r="E1779" t="s">
        <v>5204</v>
      </c>
      <c r="F1779" t="s">
        <v>5</v>
      </c>
      <c r="G1779" t="s">
        <v>5</v>
      </c>
      <c r="H1779" t="s">
        <v>5</v>
      </c>
      <c r="I1779" t="s">
        <v>4828</v>
      </c>
      <c r="J1779" t="s">
        <v>7</v>
      </c>
      <c r="K1779" s="3">
        <f t="shared" si="54"/>
        <v>0</v>
      </c>
      <c r="L1779" s="3">
        <f>IF(ISERROR(VLOOKUP(J1779,Lookups!$A$2:$A$16,1,FALSE)),1,0)</f>
        <v>1</v>
      </c>
      <c r="M1779" s="3">
        <f>IF(ISERROR(VLOOKUP(D1779,Data!$A$2:$D$223100,2,FALSE)),0,1)</f>
        <v>1</v>
      </c>
      <c r="N1779" s="3">
        <f t="shared" si="55"/>
        <v>1</v>
      </c>
      <c r="O1779" s="3" t="str">
        <f>IF(ISERROR(VLOOKUP(D1779,Data!$A$2:$C$223100,3,FALSE)),"INACTIVE",VLOOKUP(D1779,Data!$A$2:$C$223100,3,FALSE))</f>
        <v>60+</v>
      </c>
    </row>
    <row r="1780" spans="1:15" x14ac:dyDescent="0.25">
      <c r="A1780" t="s">
        <v>5200</v>
      </c>
      <c r="B1780" t="s">
        <v>5201</v>
      </c>
      <c r="C1780" t="s">
        <v>5205</v>
      </c>
      <c r="D1780" t="s">
        <v>5206</v>
      </c>
      <c r="E1780" t="s">
        <v>5207</v>
      </c>
      <c r="F1780" t="s">
        <v>5</v>
      </c>
      <c r="G1780" t="s">
        <v>5</v>
      </c>
      <c r="H1780" t="s">
        <v>5</v>
      </c>
      <c r="I1780" t="s">
        <v>4828</v>
      </c>
      <c r="J1780" t="s">
        <v>7</v>
      </c>
      <c r="K1780" s="3">
        <f t="shared" si="54"/>
        <v>0</v>
      </c>
      <c r="L1780" s="3">
        <f>IF(ISERROR(VLOOKUP(J1780,Lookups!$A$2:$A$16,1,FALSE)),1,0)</f>
        <v>1</v>
      </c>
      <c r="M1780" s="3">
        <f>IF(ISERROR(VLOOKUP(D1780,Data!$A$2:$D$223100,2,FALSE)),0,1)</f>
        <v>1</v>
      </c>
      <c r="N1780" s="3">
        <f t="shared" si="55"/>
        <v>1</v>
      </c>
      <c r="O1780" s="3" t="str">
        <f>IF(ISERROR(VLOOKUP(D1780,Data!$A$2:$C$223100,3,FALSE)),"INACTIVE",VLOOKUP(D1780,Data!$A$2:$C$223100,3,FALSE))</f>
        <v>Demand Letter</v>
      </c>
    </row>
    <row r="1781" spans="1:15" x14ac:dyDescent="0.25">
      <c r="A1781" t="s">
        <v>5200</v>
      </c>
      <c r="B1781" t="s">
        <v>5201</v>
      </c>
      <c r="C1781" t="s">
        <v>5208</v>
      </c>
      <c r="D1781" t="s">
        <v>5209</v>
      </c>
      <c r="E1781" t="s">
        <v>5210</v>
      </c>
      <c r="F1781" t="s">
        <v>5</v>
      </c>
      <c r="G1781" t="s">
        <v>5</v>
      </c>
      <c r="H1781" t="s">
        <v>5</v>
      </c>
      <c r="I1781" t="s">
        <v>4828</v>
      </c>
      <c r="J1781" t="s">
        <v>90</v>
      </c>
      <c r="K1781" s="3">
        <f t="shared" si="54"/>
        <v>0</v>
      </c>
      <c r="L1781" s="3">
        <f>IF(ISERROR(VLOOKUP(J1781,Lookups!$A$2:$A$16,1,FALSE)),1,0)</f>
        <v>0</v>
      </c>
      <c r="M1781" s="3">
        <f>IF(ISERROR(VLOOKUP(D1781,Data!$A$2:$D$223100,2,FALSE)),0,1)</f>
        <v>1</v>
      </c>
      <c r="N1781" s="3">
        <f t="shared" si="55"/>
        <v>0</v>
      </c>
      <c r="O1781" s="3" t="str">
        <f>IF(ISERROR(VLOOKUP(D1781,Data!$A$2:$C$223100,3,FALSE)),"INACTIVE",VLOOKUP(D1781,Data!$A$2:$C$223100,3,FALSE))</f>
        <v>BK13</v>
      </c>
    </row>
    <row r="1782" spans="1:15" x14ac:dyDescent="0.25">
      <c r="A1782" t="s">
        <v>5200</v>
      </c>
      <c r="B1782" t="s">
        <v>5201</v>
      </c>
      <c r="C1782" t="s">
        <v>5208</v>
      </c>
      <c r="D1782" t="s">
        <v>5209</v>
      </c>
      <c r="E1782" t="s">
        <v>5211</v>
      </c>
      <c r="F1782" t="s">
        <v>5</v>
      </c>
      <c r="G1782" t="s">
        <v>5</v>
      </c>
      <c r="H1782" t="s">
        <v>5</v>
      </c>
      <c r="I1782" t="s">
        <v>4828</v>
      </c>
      <c r="J1782" t="s">
        <v>90</v>
      </c>
      <c r="K1782" s="3">
        <f t="shared" si="54"/>
        <v>0</v>
      </c>
      <c r="L1782" s="3">
        <f>IF(ISERROR(VLOOKUP(J1782,Lookups!$A$2:$A$16,1,FALSE)),1,0)</f>
        <v>0</v>
      </c>
      <c r="M1782" s="3">
        <f>IF(ISERROR(VLOOKUP(D1782,Data!$A$2:$D$223100,2,FALSE)),0,1)</f>
        <v>1</v>
      </c>
      <c r="N1782" s="3">
        <f t="shared" si="55"/>
        <v>0</v>
      </c>
      <c r="O1782" s="3" t="str">
        <f>IF(ISERROR(VLOOKUP(D1782,Data!$A$2:$C$223100,3,FALSE)),"INACTIVE",VLOOKUP(D1782,Data!$A$2:$C$223100,3,FALSE))</f>
        <v>BK13</v>
      </c>
    </row>
    <row r="1783" spans="1:15" x14ac:dyDescent="0.25">
      <c r="A1783" t="s">
        <v>5200</v>
      </c>
      <c r="B1783" t="s">
        <v>5201</v>
      </c>
      <c r="C1783" t="s">
        <v>5212</v>
      </c>
      <c r="D1783" t="s">
        <v>5213</v>
      </c>
      <c r="E1783" t="s">
        <v>5214</v>
      </c>
      <c r="F1783" t="s">
        <v>5</v>
      </c>
      <c r="G1783" t="s">
        <v>5</v>
      </c>
      <c r="H1783" t="s">
        <v>5</v>
      </c>
      <c r="I1783" t="s">
        <v>4828</v>
      </c>
      <c r="J1783" t="s">
        <v>90</v>
      </c>
      <c r="K1783" s="3">
        <f t="shared" si="54"/>
        <v>0</v>
      </c>
      <c r="L1783" s="3">
        <f>IF(ISERROR(VLOOKUP(J1783,Lookups!$A$2:$A$16,1,FALSE)),1,0)</f>
        <v>0</v>
      </c>
      <c r="M1783" s="3">
        <f>IF(ISERROR(VLOOKUP(D1783,Data!$A$2:$D$223100,2,FALSE)),0,1)</f>
        <v>1</v>
      </c>
      <c r="N1783" s="3">
        <f t="shared" si="55"/>
        <v>0</v>
      </c>
      <c r="O1783" s="3" t="str">
        <f>IF(ISERROR(VLOOKUP(D1783,Data!$A$2:$C$223100,3,FALSE)),"INACTIVE",VLOOKUP(D1783,Data!$A$2:$C$223100,3,FALSE))</f>
        <v>BK13</v>
      </c>
    </row>
    <row r="1784" spans="1:15" x14ac:dyDescent="0.25">
      <c r="A1784" t="s">
        <v>5200</v>
      </c>
      <c r="B1784" t="s">
        <v>5201</v>
      </c>
      <c r="C1784" t="s">
        <v>5212</v>
      </c>
      <c r="D1784" t="s">
        <v>5213</v>
      </c>
      <c r="E1784" t="s">
        <v>5215</v>
      </c>
      <c r="F1784" t="s">
        <v>5</v>
      </c>
      <c r="G1784" t="s">
        <v>5</v>
      </c>
      <c r="H1784" t="s">
        <v>5</v>
      </c>
      <c r="I1784" t="s">
        <v>4828</v>
      </c>
      <c r="J1784" t="s">
        <v>90</v>
      </c>
      <c r="K1784" s="3">
        <f t="shared" si="54"/>
        <v>0</v>
      </c>
      <c r="L1784" s="3">
        <f>IF(ISERROR(VLOOKUP(J1784,Lookups!$A$2:$A$16,1,FALSE)),1,0)</f>
        <v>0</v>
      </c>
      <c r="M1784" s="3">
        <f>IF(ISERROR(VLOOKUP(D1784,Data!$A$2:$D$223100,2,FALSE)),0,1)</f>
        <v>1</v>
      </c>
      <c r="N1784" s="3">
        <f t="shared" si="55"/>
        <v>0</v>
      </c>
      <c r="O1784" s="3" t="str">
        <f>IF(ISERROR(VLOOKUP(D1784,Data!$A$2:$C$223100,3,FALSE)),"INACTIVE",VLOOKUP(D1784,Data!$A$2:$C$223100,3,FALSE))</f>
        <v>BK13</v>
      </c>
    </row>
    <row r="1785" spans="1:15" x14ac:dyDescent="0.25">
      <c r="A1785" t="s">
        <v>5200</v>
      </c>
      <c r="B1785" t="s">
        <v>5201</v>
      </c>
      <c r="C1785" t="s">
        <v>5216</v>
      </c>
      <c r="D1785" t="s">
        <v>5217</v>
      </c>
      <c r="E1785" t="s">
        <v>5218</v>
      </c>
      <c r="F1785" t="s">
        <v>5</v>
      </c>
      <c r="G1785" t="s">
        <v>5</v>
      </c>
      <c r="H1785" t="s">
        <v>5</v>
      </c>
      <c r="I1785" t="s">
        <v>4828</v>
      </c>
      <c r="J1785" t="s">
        <v>7</v>
      </c>
      <c r="K1785" s="3">
        <f t="shared" si="54"/>
        <v>0</v>
      </c>
      <c r="L1785" s="3">
        <f>IF(ISERROR(VLOOKUP(J1785,Lookups!$A$2:$A$16,1,FALSE)),1,0)</f>
        <v>1</v>
      </c>
      <c r="M1785" s="3">
        <f>IF(ISERROR(VLOOKUP(D1785,Data!$A$2:$D$223100,2,FALSE)),0,1)</f>
        <v>1</v>
      </c>
      <c r="N1785" s="3">
        <f t="shared" si="55"/>
        <v>1</v>
      </c>
      <c r="O1785" s="3" t="str">
        <f>IF(ISERROR(VLOOKUP(D1785,Data!$A$2:$C$223100,3,FALSE)),"INACTIVE",VLOOKUP(D1785,Data!$A$2:$C$223100,3,FALSE))</f>
        <v>Current</v>
      </c>
    </row>
    <row r="1786" spans="1:15" x14ac:dyDescent="0.25">
      <c r="A1786" t="s">
        <v>5200</v>
      </c>
      <c r="B1786" t="s">
        <v>5201</v>
      </c>
      <c r="C1786" t="s">
        <v>5219</v>
      </c>
      <c r="D1786" t="s">
        <v>5220</v>
      </c>
      <c r="E1786" t="s">
        <v>5221</v>
      </c>
      <c r="F1786" t="s">
        <v>5</v>
      </c>
      <c r="G1786" t="s">
        <v>5</v>
      </c>
      <c r="H1786" t="s">
        <v>5</v>
      </c>
      <c r="I1786" t="s">
        <v>4828</v>
      </c>
      <c r="J1786" t="s">
        <v>7</v>
      </c>
      <c r="K1786" s="3">
        <f t="shared" si="54"/>
        <v>0</v>
      </c>
      <c r="L1786" s="3">
        <f>IF(ISERROR(VLOOKUP(J1786,Lookups!$A$2:$A$16,1,FALSE)),1,0)</f>
        <v>1</v>
      </c>
      <c r="M1786" s="3">
        <f>IF(ISERROR(VLOOKUP(D1786,Data!$A$2:$D$223100,2,FALSE)),0,1)</f>
        <v>1</v>
      </c>
      <c r="N1786" s="3">
        <f t="shared" si="55"/>
        <v>1</v>
      </c>
      <c r="O1786" s="3" t="str">
        <f>IF(ISERROR(VLOOKUP(D1786,Data!$A$2:$C$223100,3,FALSE)),"INACTIVE",VLOOKUP(D1786,Data!$A$2:$C$223100,3,FALSE))</f>
        <v>30+</v>
      </c>
    </row>
    <row r="1787" spans="1:15" x14ac:dyDescent="0.25">
      <c r="A1787" t="s">
        <v>5200</v>
      </c>
      <c r="B1787" t="s">
        <v>5201</v>
      </c>
      <c r="C1787" t="s">
        <v>5222</v>
      </c>
      <c r="D1787" t="s">
        <v>5223</v>
      </c>
      <c r="E1787" t="s">
        <v>5224</v>
      </c>
      <c r="F1787" t="s">
        <v>5</v>
      </c>
      <c r="G1787" t="s">
        <v>5</v>
      </c>
      <c r="H1787" t="s">
        <v>5</v>
      </c>
      <c r="I1787" t="s">
        <v>4828</v>
      </c>
      <c r="J1787" t="s">
        <v>96</v>
      </c>
      <c r="K1787" s="3">
        <f t="shared" si="54"/>
        <v>0</v>
      </c>
      <c r="L1787" s="3">
        <f>IF(ISERROR(VLOOKUP(J1787,Lookups!$A$2:$A$16,1,FALSE)),1,0)</f>
        <v>0</v>
      </c>
      <c r="M1787" s="3">
        <f>IF(ISERROR(VLOOKUP(D1787,Data!$A$2:$D$223100,2,FALSE)),0,1)</f>
        <v>0</v>
      </c>
      <c r="N1787" s="3">
        <f t="shared" si="55"/>
        <v>0</v>
      </c>
      <c r="O1787" s="3" t="str">
        <f>IF(ISERROR(VLOOKUP(D1787,Data!$A$2:$C$223100,3,FALSE)),"INACTIVE",VLOOKUP(D1787,Data!$A$2:$C$223100,3,FALSE))</f>
        <v>INACTIVE</v>
      </c>
    </row>
    <row r="1788" spans="1:15" x14ac:dyDescent="0.25">
      <c r="A1788" t="s">
        <v>5200</v>
      </c>
      <c r="B1788" t="s">
        <v>5201</v>
      </c>
      <c r="C1788" t="s">
        <v>5222</v>
      </c>
      <c r="D1788" t="s">
        <v>5223</v>
      </c>
      <c r="E1788" t="s">
        <v>5225</v>
      </c>
      <c r="F1788" t="s">
        <v>5</v>
      </c>
      <c r="G1788" t="s">
        <v>5</v>
      </c>
      <c r="H1788" t="s">
        <v>5</v>
      </c>
      <c r="I1788" t="s">
        <v>4828</v>
      </c>
      <c r="J1788" t="s">
        <v>96</v>
      </c>
      <c r="K1788" s="3">
        <f t="shared" si="54"/>
        <v>0</v>
      </c>
      <c r="L1788" s="3">
        <f>IF(ISERROR(VLOOKUP(J1788,Lookups!$A$2:$A$16,1,FALSE)),1,0)</f>
        <v>0</v>
      </c>
      <c r="M1788" s="3">
        <f>IF(ISERROR(VLOOKUP(D1788,Data!$A$2:$D$223100,2,FALSE)),0,1)</f>
        <v>0</v>
      </c>
      <c r="N1788" s="3">
        <f t="shared" si="55"/>
        <v>0</v>
      </c>
      <c r="O1788" s="3" t="str">
        <f>IF(ISERROR(VLOOKUP(D1788,Data!$A$2:$C$223100,3,FALSE)),"INACTIVE",VLOOKUP(D1788,Data!$A$2:$C$223100,3,FALSE))</f>
        <v>INACTIVE</v>
      </c>
    </row>
    <row r="1789" spans="1:15" x14ac:dyDescent="0.25">
      <c r="A1789" t="s">
        <v>5345</v>
      </c>
      <c r="B1789" t="s">
        <v>5346</v>
      </c>
      <c r="C1789" t="s">
        <v>5347</v>
      </c>
      <c r="D1789" t="s">
        <v>5348</v>
      </c>
      <c r="E1789" t="s">
        <v>5349</v>
      </c>
      <c r="F1789" t="s">
        <v>5</v>
      </c>
      <c r="G1789" t="s">
        <v>5</v>
      </c>
      <c r="H1789" t="s">
        <v>5</v>
      </c>
      <c r="I1789" t="s">
        <v>4828</v>
      </c>
      <c r="J1789" t="s">
        <v>90</v>
      </c>
      <c r="K1789" s="3">
        <f t="shared" si="54"/>
        <v>0</v>
      </c>
      <c r="L1789" s="3">
        <f>IF(ISERROR(VLOOKUP(J1789,Lookups!$A$2:$A$16,1,FALSE)),1,0)</f>
        <v>0</v>
      </c>
      <c r="M1789" s="3">
        <f>IF(ISERROR(VLOOKUP(D1789,Data!$A$2:$D$223100,2,FALSE)),0,1)</f>
        <v>1</v>
      </c>
      <c r="N1789" s="3">
        <f t="shared" si="55"/>
        <v>0</v>
      </c>
      <c r="O1789" s="3" t="str">
        <f>IF(ISERROR(VLOOKUP(D1789,Data!$A$2:$C$223100,3,FALSE)),"INACTIVE",VLOOKUP(D1789,Data!$A$2:$C$223100,3,FALSE))</f>
        <v>60+</v>
      </c>
    </row>
    <row r="1790" spans="1:15" x14ac:dyDescent="0.25">
      <c r="A1790" t="s">
        <v>5465</v>
      </c>
      <c r="B1790" t="s">
        <v>5466</v>
      </c>
      <c r="C1790" t="s">
        <v>4845</v>
      </c>
      <c r="D1790" t="s">
        <v>4846</v>
      </c>
      <c r="E1790" t="s">
        <v>5</v>
      </c>
      <c r="F1790" t="s">
        <v>5467</v>
      </c>
      <c r="G1790" t="s">
        <v>5</v>
      </c>
      <c r="H1790" t="s">
        <v>5</v>
      </c>
      <c r="I1790" t="s">
        <v>5468</v>
      </c>
      <c r="J1790" t="s">
        <v>90</v>
      </c>
      <c r="K1790" s="3">
        <f t="shared" si="54"/>
        <v>0</v>
      </c>
      <c r="L1790" s="3">
        <f>IF(ISERROR(VLOOKUP(J1790,Lookups!$A$2:$A$16,1,FALSE)),1,0)</f>
        <v>0</v>
      </c>
      <c r="M1790" s="3">
        <f>IF(ISERROR(VLOOKUP(D1790,Data!$A$2:$D$223100,2,FALSE)),0,1)</f>
        <v>1</v>
      </c>
      <c r="N1790" s="3">
        <f t="shared" si="55"/>
        <v>0</v>
      </c>
      <c r="O1790" s="3" t="str">
        <f>IF(ISERROR(VLOOKUP(D1790,Data!$A$2:$C$223100,3,FALSE)),"INACTIVE",VLOOKUP(D1790,Data!$A$2:$C$223100,3,FALSE))</f>
        <v>Current</v>
      </c>
    </row>
    <row r="1791" spans="1:15" x14ac:dyDescent="0.25">
      <c r="A1791" t="s">
        <v>4598</v>
      </c>
      <c r="B1791" t="s">
        <v>4599</v>
      </c>
      <c r="C1791" t="s">
        <v>4600</v>
      </c>
      <c r="D1791" t="s">
        <v>4601</v>
      </c>
      <c r="E1791" t="s">
        <v>4602</v>
      </c>
      <c r="F1791" t="s">
        <v>5</v>
      </c>
      <c r="G1791" t="s">
        <v>5</v>
      </c>
      <c r="H1791" t="s">
        <v>5</v>
      </c>
      <c r="I1791" t="s">
        <v>4603</v>
      </c>
      <c r="J1791" t="s">
        <v>7</v>
      </c>
      <c r="K1791" s="3">
        <f t="shared" si="54"/>
        <v>0</v>
      </c>
      <c r="L1791" s="3">
        <f>IF(ISERROR(VLOOKUP(J1791,Lookups!$A$2:$A$16,1,FALSE)),1,0)</f>
        <v>1</v>
      </c>
      <c r="M1791" s="3">
        <f>IF(ISERROR(VLOOKUP(D1791,Data!$A$2:$D$223100,2,FALSE)),0,1)</f>
        <v>1</v>
      </c>
      <c r="N1791" s="3">
        <f t="shared" si="55"/>
        <v>1</v>
      </c>
      <c r="O1791" s="3" t="str">
        <f>IF(ISERROR(VLOOKUP(D1791,Data!$A$2:$C$223100,3,FALSE)),"INACTIVE",VLOOKUP(D1791,Data!$A$2:$C$223100,3,FALSE))</f>
        <v>FBA</v>
      </c>
    </row>
    <row r="1792" spans="1:15" x14ac:dyDescent="0.25">
      <c r="A1792" t="s">
        <v>4598</v>
      </c>
      <c r="B1792" t="s">
        <v>4599</v>
      </c>
      <c r="C1792" t="s">
        <v>4604</v>
      </c>
      <c r="D1792" t="s">
        <v>4605</v>
      </c>
      <c r="E1792" t="s">
        <v>4606</v>
      </c>
      <c r="F1792" t="s">
        <v>5</v>
      </c>
      <c r="G1792" t="s">
        <v>5</v>
      </c>
      <c r="H1792" t="s">
        <v>5</v>
      </c>
      <c r="I1792" t="s">
        <v>4603</v>
      </c>
      <c r="J1792" t="s">
        <v>7</v>
      </c>
      <c r="K1792" s="3">
        <f t="shared" si="54"/>
        <v>0</v>
      </c>
      <c r="L1792" s="3">
        <f>IF(ISERROR(VLOOKUP(J1792,Lookups!$A$2:$A$16,1,FALSE)),1,0)</f>
        <v>1</v>
      </c>
      <c r="M1792" s="3">
        <f>IF(ISERROR(VLOOKUP(D1792,Data!$A$2:$D$223100,2,FALSE)),0,1)</f>
        <v>1</v>
      </c>
      <c r="N1792" s="3">
        <f t="shared" si="55"/>
        <v>1</v>
      </c>
      <c r="O1792" s="3" t="str">
        <f>IF(ISERROR(VLOOKUP(D1792,Data!$A$2:$C$223100,3,FALSE)),"INACTIVE",VLOOKUP(D1792,Data!$A$2:$C$223100,3,FALSE))</f>
        <v>Demand Letter</v>
      </c>
    </row>
    <row r="1793" spans="1:15" x14ac:dyDescent="0.25">
      <c r="A1793" t="s">
        <v>4598</v>
      </c>
      <c r="B1793" t="s">
        <v>4599</v>
      </c>
      <c r="C1793" t="s">
        <v>4607</v>
      </c>
      <c r="D1793" t="s">
        <v>4608</v>
      </c>
      <c r="E1793" t="s">
        <v>4609</v>
      </c>
      <c r="F1793" t="s">
        <v>5</v>
      </c>
      <c r="G1793" t="s">
        <v>5</v>
      </c>
      <c r="H1793" t="s">
        <v>5</v>
      </c>
      <c r="I1793" t="s">
        <v>4603</v>
      </c>
      <c r="J1793" t="s">
        <v>7</v>
      </c>
      <c r="K1793" s="3">
        <f t="shared" si="54"/>
        <v>0</v>
      </c>
      <c r="L1793" s="3">
        <f>IF(ISERROR(VLOOKUP(J1793,Lookups!$A$2:$A$16,1,FALSE)),1,0)</f>
        <v>1</v>
      </c>
      <c r="M1793" s="3">
        <f>IF(ISERROR(VLOOKUP(D1793,Data!$A$2:$D$223100,2,FALSE)),0,1)</f>
        <v>1</v>
      </c>
      <c r="N1793" s="3">
        <f t="shared" si="55"/>
        <v>1</v>
      </c>
      <c r="O1793" s="3" t="str">
        <f>IF(ISERROR(VLOOKUP(D1793,Data!$A$2:$C$223100,3,FALSE)),"INACTIVE",VLOOKUP(D1793,Data!$A$2:$C$223100,3,FALSE))</f>
        <v>FBA</v>
      </c>
    </row>
    <row r="1794" spans="1:15" x14ac:dyDescent="0.25">
      <c r="A1794" t="s">
        <v>4739</v>
      </c>
      <c r="B1794" t="s">
        <v>4740</v>
      </c>
      <c r="C1794" t="s">
        <v>4741</v>
      </c>
      <c r="D1794" t="s">
        <v>1520</v>
      </c>
      <c r="E1794" t="s">
        <v>4742</v>
      </c>
      <c r="F1794" t="s">
        <v>5</v>
      </c>
      <c r="G1794" t="s">
        <v>5</v>
      </c>
      <c r="H1794" t="s">
        <v>5</v>
      </c>
      <c r="I1794" t="s">
        <v>4603</v>
      </c>
      <c r="J1794" t="s">
        <v>96</v>
      </c>
      <c r="K1794" s="3">
        <f t="shared" si="54"/>
        <v>0</v>
      </c>
      <c r="L1794" s="3">
        <f>IF(ISERROR(VLOOKUP(J1794,Lookups!$A$2:$A$16,1,FALSE)),1,0)</f>
        <v>0</v>
      </c>
      <c r="M1794" s="3">
        <f>IF(ISERROR(VLOOKUP(D1794,Data!$A$2:$D$223100,2,FALSE)),0,1)</f>
        <v>1</v>
      </c>
      <c r="N1794" s="3">
        <f t="shared" si="55"/>
        <v>0</v>
      </c>
      <c r="O1794" s="3" t="str">
        <f>IF(ISERROR(VLOOKUP(D1794,Data!$A$2:$C$223100,3,FALSE)),"INACTIVE",VLOOKUP(D1794,Data!$A$2:$C$223100,3,FALSE))</f>
        <v>30+</v>
      </c>
    </row>
    <row r="1795" spans="1:15" x14ac:dyDescent="0.25">
      <c r="A1795" t="s">
        <v>4739</v>
      </c>
      <c r="B1795" t="s">
        <v>4740</v>
      </c>
      <c r="C1795" t="s">
        <v>4741</v>
      </c>
      <c r="D1795" t="s">
        <v>1520</v>
      </c>
      <c r="E1795" t="s">
        <v>4743</v>
      </c>
      <c r="F1795" t="s">
        <v>5</v>
      </c>
      <c r="G1795" t="s">
        <v>5</v>
      </c>
      <c r="H1795" t="s">
        <v>5</v>
      </c>
      <c r="I1795" t="s">
        <v>4603</v>
      </c>
      <c r="J1795" t="s">
        <v>96</v>
      </c>
      <c r="K1795" s="3">
        <f t="shared" ref="K1795:K1858" si="56">IF(ISERROR(FIND("LIEN",A1795,1)),0,1)</f>
        <v>0</v>
      </c>
      <c r="L1795" s="3">
        <f>IF(ISERROR(VLOOKUP(J1795,Lookups!$A$2:$A$16,1,FALSE)),1,0)</f>
        <v>0</v>
      </c>
      <c r="M1795" s="3">
        <f>IF(ISERROR(VLOOKUP(D1795,Data!$A$2:$D$223100,2,FALSE)),0,1)</f>
        <v>1</v>
      </c>
      <c r="N1795" s="3">
        <f t="shared" ref="N1795:N1858" si="57">IF(M1795=0,0,IF(SUM(K1795:L1795)&gt;0,1,0))</f>
        <v>0</v>
      </c>
      <c r="O1795" s="3" t="str">
        <f>IF(ISERROR(VLOOKUP(D1795,Data!$A$2:$C$223100,3,FALSE)),"INACTIVE",VLOOKUP(D1795,Data!$A$2:$C$223100,3,FALSE))</f>
        <v>30+</v>
      </c>
    </row>
    <row r="1796" spans="1:15" x14ac:dyDescent="0.25">
      <c r="A1796" t="s">
        <v>4739</v>
      </c>
      <c r="B1796" t="s">
        <v>4740</v>
      </c>
      <c r="C1796" t="s">
        <v>4741</v>
      </c>
      <c r="D1796" t="s">
        <v>1520</v>
      </c>
      <c r="E1796" t="s">
        <v>4744</v>
      </c>
      <c r="F1796" t="s">
        <v>5</v>
      </c>
      <c r="G1796" t="s">
        <v>5</v>
      </c>
      <c r="H1796" t="s">
        <v>5</v>
      </c>
      <c r="I1796" t="s">
        <v>4603</v>
      </c>
      <c r="J1796" t="s">
        <v>96</v>
      </c>
      <c r="K1796" s="3">
        <f t="shared" si="56"/>
        <v>0</v>
      </c>
      <c r="L1796" s="3">
        <f>IF(ISERROR(VLOOKUP(J1796,Lookups!$A$2:$A$16,1,FALSE)),1,0)</f>
        <v>0</v>
      </c>
      <c r="M1796" s="3">
        <f>IF(ISERROR(VLOOKUP(D1796,Data!$A$2:$D$223100,2,FALSE)),0,1)</f>
        <v>1</v>
      </c>
      <c r="N1796" s="3">
        <f t="shared" si="57"/>
        <v>0</v>
      </c>
      <c r="O1796" s="3" t="str">
        <f>IF(ISERROR(VLOOKUP(D1796,Data!$A$2:$C$223100,3,FALSE)),"INACTIVE",VLOOKUP(D1796,Data!$A$2:$C$223100,3,FALSE))</f>
        <v>30+</v>
      </c>
    </row>
    <row r="1797" spans="1:15" x14ac:dyDescent="0.25">
      <c r="A1797" t="s">
        <v>4739</v>
      </c>
      <c r="B1797" t="s">
        <v>4740</v>
      </c>
      <c r="C1797" t="s">
        <v>4741</v>
      </c>
      <c r="D1797" t="s">
        <v>1520</v>
      </c>
      <c r="E1797" t="s">
        <v>4744</v>
      </c>
      <c r="F1797" t="s">
        <v>5</v>
      </c>
      <c r="G1797" t="s">
        <v>5</v>
      </c>
      <c r="H1797" t="s">
        <v>5</v>
      </c>
      <c r="I1797" t="s">
        <v>4603</v>
      </c>
      <c r="J1797" t="s">
        <v>96</v>
      </c>
      <c r="K1797" s="3">
        <f t="shared" si="56"/>
        <v>0</v>
      </c>
      <c r="L1797" s="3">
        <f>IF(ISERROR(VLOOKUP(J1797,Lookups!$A$2:$A$16,1,FALSE)),1,0)</f>
        <v>0</v>
      </c>
      <c r="M1797" s="3">
        <f>IF(ISERROR(VLOOKUP(D1797,Data!$A$2:$D$223100,2,FALSE)),0,1)</f>
        <v>1</v>
      </c>
      <c r="N1797" s="3">
        <f t="shared" si="57"/>
        <v>0</v>
      </c>
      <c r="O1797" s="3" t="str">
        <f>IF(ISERROR(VLOOKUP(D1797,Data!$A$2:$C$223100,3,FALSE)),"INACTIVE",VLOOKUP(D1797,Data!$A$2:$C$223100,3,FALSE))</f>
        <v>30+</v>
      </c>
    </row>
    <row r="1798" spans="1:15" x14ac:dyDescent="0.25">
      <c r="A1798" t="s">
        <v>4739</v>
      </c>
      <c r="B1798" t="s">
        <v>4740</v>
      </c>
      <c r="C1798" t="s">
        <v>4741</v>
      </c>
      <c r="D1798" t="s">
        <v>1520</v>
      </c>
      <c r="E1798" t="s">
        <v>4744</v>
      </c>
      <c r="F1798" t="s">
        <v>5</v>
      </c>
      <c r="G1798" t="s">
        <v>5</v>
      </c>
      <c r="H1798" t="s">
        <v>5</v>
      </c>
      <c r="I1798" t="s">
        <v>4603</v>
      </c>
      <c r="J1798" t="s">
        <v>96</v>
      </c>
      <c r="K1798" s="3">
        <f t="shared" si="56"/>
        <v>0</v>
      </c>
      <c r="L1798" s="3">
        <f>IF(ISERROR(VLOOKUP(J1798,Lookups!$A$2:$A$16,1,FALSE)),1,0)</f>
        <v>0</v>
      </c>
      <c r="M1798" s="3">
        <f>IF(ISERROR(VLOOKUP(D1798,Data!$A$2:$D$223100,2,FALSE)),0,1)</f>
        <v>1</v>
      </c>
      <c r="N1798" s="3">
        <f t="shared" si="57"/>
        <v>0</v>
      </c>
      <c r="O1798" s="3" t="str">
        <f>IF(ISERROR(VLOOKUP(D1798,Data!$A$2:$C$223100,3,FALSE)),"INACTIVE",VLOOKUP(D1798,Data!$A$2:$C$223100,3,FALSE))</f>
        <v>30+</v>
      </c>
    </row>
    <row r="1799" spans="1:15" x14ac:dyDescent="0.25">
      <c r="A1799" t="s">
        <v>4739</v>
      </c>
      <c r="B1799" t="s">
        <v>4740</v>
      </c>
      <c r="C1799" t="s">
        <v>4741</v>
      </c>
      <c r="D1799" t="s">
        <v>1520</v>
      </c>
      <c r="E1799" t="s">
        <v>4744</v>
      </c>
      <c r="F1799" t="s">
        <v>5</v>
      </c>
      <c r="G1799" t="s">
        <v>5</v>
      </c>
      <c r="H1799" t="s">
        <v>5</v>
      </c>
      <c r="I1799" t="s">
        <v>4603</v>
      </c>
      <c r="J1799" t="s">
        <v>96</v>
      </c>
      <c r="K1799" s="3">
        <f t="shared" si="56"/>
        <v>0</v>
      </c>
      <c r="L1799" s="3">
        <f>IF(ISERROR(VLOOKUP(J1799,Lookups!$A$2:$A$16,1,FALSE)),1,0)</f>
        <v>0</v>
      </c>
      <c r="M1799" s="3">
        <f>IF(ISERROR(VLOOKUP(D1799,Data!$A$2:$D$223100,2,FALSE)),0,1)</f>
        <v>1</v>
      </c>
      <c r="N1799" s="3">
        <f t="shared" si="57"/>
        <v>0</v>
      </c>
      <c r="O1799" s="3" t="str">
        <f>IF(ISERROR(VLOOKUP(D1799,Data!$A$2:$C$223100,3,FALSE)),"INACTIVE",VLOOKUP(D1799,Data!$A$2:$C$223100,3,FALSE))</f>
        <v>30+</v>
      </c>
    </row>
    <row r="1800" spans="1:15" x14ac:dyDescent="0.25">
      <c r="A1800" t="s">
        <v>4739</v>
      </c>
      <c r="B1800" t="s">
        <v>4740</v>
      </c>
      <c r="C1800" t="s">
        <v>4741</v>
      </c>
      <c r="D1800" t="s">
        <v>1520</v>
      </c>
      <c r="E1800" t="s">
        <v>4744</v>
      </c>
      <c r="F1800" t="s">
        <v>5</v>
      </c>
      <c r="G1800" t="s">
        <v>5</v>
      </c>
      <c r="H1800" t="s">
        <v>5</v>
      </c>
      <c r="I1800" t="s">
        <v>4603</v>
      </c>
      <c r="J1800" t="s">
        <v>96</v>
      </c>
      <c r="K1800" s="3">
        <f t="shared" si="56"/>
        <v>0</v>
      </c>
      <c r="L1800" s="3">
        <f>IF(ISERROR(VLOOKUP(J1800,Lookups!$A$2:$A$16,1,FALSE)),1,0)</f>
        <v>0</v>
      </c>
      <c r="M1800" s="3">
        <f>IF(ISERROR(VLOOKUP(D1800,Data!$A$2:$D$223100,2,FALSE)),0,1)</f>
        <v>1</v>
      </c>
      <c r="N1800" s="3">
        <f t="shared" si="57"/>
        <v>0</v>
      </c>
      <c r="O1800" s="3" t="str">
        <f>IF(ISERROR(VLOOKUP(D1800,Data!$A$2:$C$223100,3,FALSE)),"INACTIVE",VLOOKUP(D1800,Data!$A$2:$C$223100,3,FALSE))</f>
        <v>30+</v>
      </c>
    </row>
    <row r="1801" spans="1:15" x14ac:dyDescent="0.25">
      <c r="A1801" t="s">
        <v>4739</v>
      </c>
      <c r="B1801" t="s">
        <v>4740</v>
      </c>
      <c r="C1801" t="s">
        <v>4741</v>
      </c>
      <c r="D1801" t="s">
        <v>1520</v>
      </c>
      <c r="E1801" t="s">
        <v>4744</v>
      </c>
      <c r="F1801" t="s">
        <v>5</v>
      </c>
      <c r="G1801" t="s">
        <v>5</v>
      </c>
      <c r="H1801" t="s">
        <v>5</v>
      </c>
      <c r="I1801" t="s">
        <v>4603</v>
      </c>
      <c r="J1801" t="s">
        <v>96</v>
      </c>
      <c r="K1801" s="3">
        <f t="shared" si="56"/>
        <v>0</v>
      </c>
      <c r="L1801" s="3">
        <f>IF(ISERROR(VLOOKUP(J1801,Lookups!$A$2:$A$16,1,FALSE)),1,0)</f>
        <v>0</v>
      </c>
      <c r="M1801" s="3">
        <f>IF(ISERROR(VLOOKUP(D1801,Data!$A$2:$D$223100,2,FALSE)),0,1)</f>
        <v>1</v>
      </c>
      <c r="N1801" s="3">
        <f t="shared" si="57"/>
        <v>0</v>
      </c>
      <c r="O1801" s="3" t="str">
        <f>IF(ISERROR(VLOOKUP(D1801,Data!$A$2:$C$223100,3,FALSE)),"INACTIVE",VLOOKUP(D1801,Data!$A$2:$C$223100,3,FALSE))</f>
        <v>30+</v>
      </c>
    </row>
    <row r="1802" spans="1:15" x14ac:dyDescent="0.25">
      <c r="A1802" t="s">
        <v>4739</v>
      </c>
      <c r="B1802" t="s">
        <v>4740</v>
      </c>
      <c r="C1802" t="s">
        <v>4741</v>
      </c>
      <c r="D1802" t="s">
        <v>1520</v>
      </c>
      <c r="E1802" t="s">
        <v>4744</v>
      </c>
      <c r="F1802" t="s">
        <v>5</v>
      </c>
      <c r="G1802" t="s">
        <v>5</v>
      </c>
      <c r="H1802" t="s">
        <v>5</v>
      </c>
      <c r="I1802" t="s">
        <v>4603</v>
      </c>
      <c r="J1802" t="s">
        <v>96</v>
      </c>
      <c r="K1802" s="3">
        <f t="shared" si="56"/>
        <v>0</v>
      </c>
      <c r="L1802" s="3">
        <f>IF(ISERROR(VLOOKUP(J1802,Lookups!$A$2:$A$16,1,FALSE)),1,0)</f>
        <v>0</v>
      </c>
      <c r="M1802" s="3">
        <f>IF(ISERROR(VLOOKUP(D1802,Data!$A$2:$D$223100,2,FALSE)),0,1)</f>
        <v>1</v>
      </c>
      <c r="N1802" s="3">
        <f t="shared" si="57"/>
        <v>0</v>
      </c>
      <c r="O1802" s="3" t="str">
        <f>IF(ISERROR(VLOOKUP(D1802,Data!$A$2:$C$223100,3,FALSE)),"INACTIVE",VLOOKUP(D1802,Data!$A$2:$C$223100,3,FALSE))</f>
        <v>30+</v>
      </c>
    </row>
    <row r="1803" spans="1:15" x14ac:dyDescent="0.25">
      <c r="A1803" t="s">
        <v>4739</v>
      </c>
      <c r="B1803" t="s">
        <v>4740</v>
      </c>
      <c r="C1803" t="s">
        <v>4741</v>
      </c>
      <c r="D1803" t="s">
        <v>1520</v>
      </c>
      <c r="E1803" t="s">
        <v>4745</v>
      </c>
      <c r="F1803" t="s">
        <v>5</v>
      </c>
      <c r="G1803" t="s">
        <v>5</v>
      </c>
      <c r="H1803" t="s">
        <v>5</v>
      </c>
      <c r="I1803" t="s">
        <v>4603</v>
      </c>
      <c r="J1803" t="s">
        <v>96</v>
      </c>
      <c r="K1803" s="3">
        <f t="shared" si="56"/>
        <v>0</v>
      </c>
      <c r="L1803" s="3">
        <f>IF(ISERROR(VLOOKUP(J1803,Lookups!$A$2:$A$16,1,FALSE)),1,0)</f>
        <v>0</v>
      </c>
      <c r="M1803" s="3">
        <f>IF(ISERROR(VLOOKUP(D1803,Data!$A$2:$D$223100,2,FALSE)),0,1)</f>
        <v>1</v>
      </c>
      <c r="N1803" s="3">
        <f t="shared" si="57"/>
        <v>0</v>
      </c>
      <c r="O1803" s="3" t="str">
        <f>IF(ISERROR(VLOOKUP(D1803,Data!$A$2:$C$223100,3,FALSE)),"INACTIVE",VLOOKUP(D1803,Data!$A$2:$C$223100,3,FALSE))</f>
        <v>30+</v>
      </c>
    </row>
    <row r="1804" spans="1:15" x14ac:dyDescent="0.25">
      <c r="A1804" t="s">
        <v>4739</v>
      </c>
      <c r="B1804" t="s">
        <v>4740</v>
      </c>
      <c r="C1804" t="s">
        <v>4741</v>
      </c>
      <c r="D1804" t="s">
        <v>1520</v>
      </c>
      <c r="E1804" t="s">
        <v>4745</v>
      </c>
      <c r="F1804" t="s">
        <v>5</v>
      </c>
      <c r="G1804" t="s">
        <v>5</v>
      </c>
      <c r="H1804" t="s">
        <v>5</v>
      </c>
      <c r="I1804" t="s">
        <v>4603</v>
      </c>
      <c r="J1804" t="s">
        <v>96</v>
      </c>
      <c r="K1804" s="3">
        <f t="shared" si="56"/>
        <v>0</v>
      </c>
      <c r="L1804" s="3">
        <f>IF(ISERROR(VLOOKUP(J1804,Lookups!$A$2:$A$16,1,FALSE)),1,0)</f>
        <v>0</v>
      </c>
      <c r="M1804" s="3">
        <f>IF(ISERROR(VLOOKUP(D1804,Data!$A$2:$D$223100,2,FALSE)),0,1)</f>
        <v>1</v>
      </c>
      <c r="N1804" s="3">
        <f t="shared" si="57"/>
        <v>0</v>
      </c>
      <c r="O1804" s="3" t="str">
        <f>IF(ISERROR(VLOOKUP(D1804,Data!$A$2:$C$223100,3,FALSE)),"INACTIVE",VLOOKUP(D1804,Data!$A$2:$C$223100,3,FALSE))</f>
        <v>30+</v>
      </c>
    </row>
    <row r="1805" spans="1:15" x14ac:dyDescent="0.25">
      <c r="A1805" t="s">
        <v>4739</v>
      </c>
      <c r="B1805" t="s">
        <v>4740</v>
      </c>
      <c r="C1805" t="s">
        <v>4741</v>
      </c>
      <c r="D1805" t="s">
        <v>1520</v>
      </c>
      <c r="E1805" t="s">
        <v>4745</v>
      </c>
      <c r="F1805" t="s">
        <v>5</v>
      </c>
      <c r="G1805" t="s">
        <v>5</v>
      </c>
      <c r="H1805" t="s">
        <v>5</v>
      </c>
      <c r="I1805" t="s">
        <v>4603</v>
      </c>
      <c r="J1805" t="s">
        <v>96</v>
      </c>
      <c r="K1805" s="3">
        <f t="shared" si="56"/>
        <v>0</v>
      </c>
      <c r="L1805" s="3">
        <f>IF(ISERROR(VLOOKUP(J1805,Lookups!$A$2:$A$16,1,FALSE)),1,0)</f>
        <v>0</v>
      </c>
      <c r="M1805" s="3">
        <f>IF(ISERROR(VLOOKUP(D1805,Data!$A$2:$D$223100,2,FALSE)),0,1)</f>
        <v>1</v>
      </c>
      <c r="N1805" s="3">
        <f t="shared" si="57"/>
        <v>0</v>
      </c>
      <c r="O1805" s="3" t="str">
        <f>IF(ISERROR(VLOOKUP(D1805,Data!$A$2:$C$223100,3,FALSE)),"INACTIVE",VLOOKUP(D1805,Data!$A$2:$C$223100,3,FALSE))</f>
        <v>30+</v>
      </c>
    </row>
    <row r="1806" spans="1:15" x14ac:dyDescent="0.25">
      <c r="A1806" t="s">
        <v>4739</v>
      </c>
      <c r="B1806" t="s">
        <v>4740</v>
      </c>
      <c r="C1806" t="s">
        <v>4741</v>
      </c>
      <c r="D1806" t="s">
        <v>1520</v>
      </c>
      <c r="E1806" t="s">
        <v>4745</v>
      </c>
      <c r="F1806" t="s">
        <v>5</v>
      </c>
      <c r="G1806" t="s">
        <v>5</v>
      </c>
      <c r="H1806" t="s">
        <v>5</v>
      </c>
      <c r="I1806" t="s">
        <v>4603</v>
      </c>
      <c r="J1806" t="s">
        <v>96</v>
      </c>
      <c r="K1806" s="3">
        <f t="shared" si="56"/>
        <v>0</v>
      </c>
      <c r="L1806" s="3">
        <f>IF(ISERROR(VLOOKUP(J1806,Lookups!$A$2:$A$16,1,FALSE)),1,0)</f>
        <v>0</v>
      </c>
      <c r="M1806" s="3">
        <f>IF(ISERROR(VLOOKUP(D1806,Data!$A$2:$D$223100,2,FALSE)),0,1)</f>
        <v>1</v>
      </c>
      <c r="N1806" s="3">
        <f t="shared" si="57"/>
        <v>0</v>
      </c>
      <c r="O1806" s="3" t="str">
        <f>IF(ISERROR(VLOOKUP(D1806,Data!$A$2:$C$223100,3,FALSE)),"INACTIVE",VLOOKUP(D1806,Data!$A$2:$C$223100,3,FALSE))</f>
        <v>30+</v>
      </c>
    </row>
    <row r="1807" spans="1:15" x14ac:dyDescent="0.25">
      <c r="A1807" t="s">
        <v>4739</v>
      </c>
      <c r="B1807" t="s">
        <v>4740</v>
      </c>
      <c r="C1807" t="s">
        <v>4741</v>
      </c>
      <c r="D1807" t="s">
        <v>1520</v>
      </c>
      <c r="E1807" t="s">
        <v>4746</v>
      </c>
      <c r="F1807" t="s">
        <v>5</v>
      </c>
      <c r="G1807" t="s">
        <v>5</v>
      </c>
      <c r="H1807" t="s">
        <v>5</v>
      </c>
      <c r="I1807" t="s">
        <v>4603</v>
      </c>
      <c r="J1807" t="s">
        <v>96</v>
      </c>
      <c r="K1807" s="3">
        <f t="shared" si="56"/>
        <v>0</v>
      </c>
      <c r="L1807" s="3">
        <f>IF(ISERROR(VLOOKUP(J1807,Lookups!$A$2:$A$16,1,FALSE)),1,0)</f>
        <v>0</v>
      </c>
      <c r="M1807" s="3">
        <f>IF(ISERROR(VLOOKUP(D1807,Data!$A$2:$D$223100,2,FALSE)),0,1)</f>
        <v>1</v>
      </c>
      <c r="N1807" s="3">
        <f t="shared" si="57"/>
        <v>0</v>
      </c>
      <c r="O1807" s="3" t="str">
        <f>IF(ISERROR(VLOOKUP(D1807,Data!$A$2:$C$223100,3,FALSE)),"INACTIVE",VLOOKUP(D1807,Data!$A$2:$C$223100,3,FALSE))</f>
        <v>30+</v>
      </c>
    </row>
    <row r="1808" spans="1:15" x14ac:dyDescent="0.25">
      <c r="A1808" t="s">
        <v>4739</v>
      </c>
      <c r="B1808" t="s">
        <v>4740</v>
      </c>
      <c r="C1808" t="s">
        <v>4747</v>
      </c>
      <c r="D1808" t="s">
        <v>4748</v>
      </c>
      <c r="E1808" t="s">
        <v>4749</v>
      </c>
      <c r="F1808" t="s">
        <v>5</v>
      </c>
      <c r="G1808" t="s">
        <v>5</v>
      </c>
      <c r="H1808" t="s">
        <v>5</v>
      </c>
      <c r="I1808" t="s">
        <v>4603</v>
      </c>
      <c r="J1808" t="s">
        <v>7</v>
      </c>
      <c r="K1808" s="3">
        <f t="shared" si="56"/>
        <v>0</v>
      </c>
      <c r="L1808" s="3">
        <f>IF(ISERROR(VLOOKUP(J1808,Lookups!$A$2:$A$16,1,FALSE)),1,0)</f>
        <v>1</v>
      </c>
      <c r="M1808" s="3">
        <f>IF(ISERROR(VLOOKUP(D1808,Data!$A$2:$D$223100,2,FALSE)),0,1)</f>
        <v>1</v>
      </c>
      <c r="N1808" s="3">
        <f t="shared" si="57"/>
        <v>1</v>
      </c>
      <c r="O1808" s="3" t="str">
        <f>IF(ISERROR(VLOOKUP(D1808,Data!$A$2:$C$223100,3,FALSE)),"INACTIVE",VLOOKUP(D1808,Data!$A$2:$C$223100,3,FALSE))</f>
        <v>Current</v>
      </c>
    </row>
    <row r="1809" spans="1:15" x14ac:dyDescent="0.25">
      <c r="A1809" t="s">
        <v>4739</v>
      </c>
      <c r="B1809" t="s">
        <v>4740</v>
      </c>
      <c r="C1809" t="s">
        <v>4750</v>
      </c>
      <c r="D1809" t="s">
        <v>4751</v>
      </c>
      <c r="E1809" t="s">
        <v>4752</v>
      </c>
      <c r="F1809" t="s">
        <v>5</v>
      </c>
      <c r="G1809" t="s">
        <v>5</v>
      </c>
      <c r="H1809" t="s">
        <v>5</v>
      </c>
      <c r="I1809" t="s">
        <v>4603</v>
      </c>
      <c r="J1809" t="s">
        <v>7</v>
      </c>
      <c r="K1809" s="3">
        <f t="shared" si="56"/>
        <v>0</v>
      </c>
      <c r="L1809" s="3">
        <f>IF(ISERROR(VLOOKUP(J1809,Lookups!$A$2:$A$16,1,FALSE)),1,0)</f>
        <v>1</v>
      </c>
      <c r="M1809" s="3">
        <f>IF(ISERROR(VLOOKUP(D1809,Data!$A$2:$D$223100,2,FALSE)),0,1)</f>
        <v>1</v>
      </c>
      <c r="N1809" s="3">
        <f t="shared" si="57"/>
        <v>1</v>
      </c>
      <c r="O1809" s="3" t="str">
        <f>IF(ISERROR(VLOOKUP(D1809,Data!$A$2:$C$223100,3,FALSE)),"INACTIVE",VLOOKUP(D1809,Data!$A$2:$C$223100,3,FALSE))</f>
        <v>FBA</v>
      </c>
    </row>
    <row r="1810" spans="1:15" x14ac:dyDescent="0.25">
      <c r="A1810" t="s">
        <v>4767</v>
      </c>
      <c r="B1810" t="s">
        <v>4768</v>
      </c>
      <c r="C1810" t="s">
        <v>4769</v>
      </c>
      <c r="D1810" t="s">
        <v>4770</v>
      </c>
      <c r="E1810" t="s">
        <v>4771</v>
      </c>
      <c r="F1810" t="s">
        <v>5</v>
      </c>
      <c r="G1810" t="s">
        <v>5</v>
      </c>
      <c r="H1810" t="s">
        <v>5</v>
      </c>
      <c r="I1810" t="s">
        <v>4603</v>
      </c>
      <c r="J1810" t="s">
        <v>7</v>
      </c>
      <c r="K1810" s="3">
        <f t="shared" si="56"/>
        <v>0</v>
      </c>
      <c r="L1810" s="3">
        <f>IF(ISERROR(VLOOKUP(J1810,Lookups!$A$2:$A$16,1,FALSE)),1,0)</f>
        <v>1</v>
      </c>
      <c r="M1810" s="3">
        <f>IF(ISERROR(VLOOKUP(D1810,Data!$A$2:$D$223100,2,FALSE)),0,1)</f>
        <v>1</v>
      </c>
      <c r="N1810" s="3">
        <f t="shared" si="57"/>
        <v>1</v>
      </c>
      <c r="O1810" s="3" t="str">
        <f>IF(ISERROR(VLOOKUP(D1810,Data!$A$2:$C$223100,3,FALSE)),"INACTIVE",VLOOKUP(D1810,Data!$A$2:$C$223100,3,FALSE))</f>
        <v>Current</v>
      </c>
    </row>
    <row r="1811" spans="1:15" x14ac:dyDescent="0.25">
      <c r="A1811" t="s">
        <v>4837</v>
      </c>
      <c r="B1811" t="s">
        <v>4838</v>
      </c>
      <c r="C1811" t="s">
        <v>4839</v>
      </c>
      <c r="D1811" t="s">
        <v>4840</v>
      </c>
      <c r="E1811" t="s">
        <v>5</v>
      </c>
      <c r="F1811" t="s">
        <v>4841</v>
      </c>
      <c r="G1811" t="s">
        <v>5</v>
      </c>
      <c r="H1811" t="s">
        <v>5</v>
      </c>
      <c r="I1811" t="s">
        <v>4603</v>
      </c>
      <c r="J1811" t="s">
        <v>7</v>
      </c>
      <c r="K1811" s="3">
        <f t="shared" si="56"/>
        <v>0</v>
      </c>
      <c r="L1811" s="3">
        <f>IF(ISERROR(VLOOKUP(J1811,Lookups!$A$2:$A$16,1,FALSE)),1,0)</f>
        <v>1</v>
      </c>
      <c r="M1811" s="3">
        <f>IF(ISERROR(VLOOKUP(D1811,Data!$A$2:$D$223100,2,FALSE)),0,1)</f>
        <v>1</v>
      </c>
      <c r="N1811" s="3">
        <f t="shared" si="57"/>
        <v>1</v>
      </c>
      <c r="O1811" s="3" t="str">
        <f>IF(ISERROR(VLOOKUP(D1811,Data!$A$2:$C$223100,3,FALSE)),"INACTIVE",VLOOKUP(D1811,Data!$A$2:$C$223100,3,FALSE))</f>
        <v>60+</v>
      </c>
    </row>
    <row r="1812" spans="1:15" x14ac:dyDescent="0.25">
      <c r="A1812" t="s">
        <v>4837</v>
      </c>
      <c r="B1812" t="s">
        <v>4838</v>
      </c>
      <c r="C1812" t="s">
        <v>4842</v>
      </c>
      <c r="D1812" t="s">
        <v>4843</v>
      </c>
      <c r="E1812" t="s">
        <v>5</v>
      </c>
      <c r="F1812" t="s">
        <v>4844</v>
      </c>
      <c r="G1812" t="s">
        <v>5</v>
      </c>
      <c r="H1812" t="s">
        <v>5</v>
      </c>
      <c r="I1812" t="s">
        <v>4603</v>
      </c>
      <c r="J1812" t="s">
        <v>7</v>
      </c>
      <c r="K1812" s="3">
        <f t="shared" si="56"/>
        <v>0</v>
      </c>
      <c r="L1812" s="3">
        <f>IF(ISERROR(VLOOKUP(J1812,Lookups!$A$2:$A$16,1,FALSE)),1,0)</f>
        <v>1</v>
      </c>
      <c r="M1812" s="3">
        <f>IF(ISERROR(VLOOKUP(D1812,Data!$A$2:$D$223100,2,FALSE)),0,1)</f>
        <v>1</v>
      </c>
      <c r="N1812" s="3">
        <f t="shared" si="57"/>
        <v>1</v>
      </c>
      <c r="O1812" s="3" t="str">
        <f>IF(ISERROR(VLOOKUP(D1812,Data!$A$2:$C$223100,3,FALSE)),"INACTIVE",VLOOKUP(D1812,Data!$A$2:$C$223100,3,FALSE))</f>
        <v>Demand Letter</v>
      </c>
    </row>
    <row r="1813" spans="1:15" x14ac:dyDescent="0.25">
      <c r="A1813" t="s">
        <v>4837</v>
      </c>
      <c r="B1813" t="s">
        <v>4838</v>
      </c>
      <c r="C1813" t="s">
        <v>4845</v>
      </c>
      <c r="D1813" t="s">
        <v>4846</v>
      </c>
      <c r="E1813" t="s">
        <v>4847</v>
      </c>
      <c r="F1813" t="s">
        <v>4848</v>
      </c>
      <c r="G1813" t="s">
        <v>5</v>
      </c>
      <c r="H1813" t="s">
        <v>5</v>
      </c>
      <c r="I1813" t="s">
        <v>4603</v>
      </c>
      <c r="J1813" t="s">
        <v>90</v>
      </c>
      <c r="K1813" s="3">
        <f t="shared" si="56"/>
        <v>0</v>
      </c>
      <c r="L1813" s="3">
        <f>IF(ISERROR(VLOOKUP(J1813,Lookups!$A$2:$A$16,1,FALSE)),1,0)</f>
        <v>0</v>
      </c>
      <c r="M1813" s="3">
        <f>IF(ISERROR(VLOOKUP(D1813,Data!$A$2:$D$223100,2,FALSE)),0,1)</f>
        <v>1</v>
      </c>
      <c r="N1813" s="3">
        <f t="shared" si="57"/>
        <v>0</v>
      </c>
      <c r="O1813" s="3" t="str">
        <f>IF(ISERROR(VLOOKUP(D1813,Data!$A$2:$C$223100,3,FALSE)),"INACTIVE",VLOOKUP(D1813,Data!$A$2:$C$223100,3,FALSE))</f>
        <v>Current</v>
      </c>
    </row>
    <row r="1814" spans="1:15" x14ac:dyDescent="0.25">
      <c r="A1814" t="s">
        <v>4837</v>
      </c>
      <c r="B1814" t="s">
        <v>4838</v>
      </c>
      <c r="C1814" t="s">
        <v>4845</v>
      </c>
      <c r="D1814" t="s">
        <v>4846</v>
      </c>
      <c r="E1814" t="s">
        <v>4849</v>
      </c>
      <c r="F1814" t="s">
        <v>4849</v>
      </c>
      <c r="G1814" t="s">
        <v>5</v>
      </c>
      <c r="H1814" t="s">
        <v>5</v>
      </c>
      <c r="I1814" t="s">
        <v>4603</v>
      </c>
      <c r="J1814" t="s">
        <v>90</v>
      </c>
      <c r="K1814" s="3">
        <f t="shared" si="56"/>
        <v>0</v>
      </c>
      <c r="L1814" s="3">
        <f>IF(ISERROR(VLOOKUP(J1814,Lookups!$A$2:$A$16,1,FALSE)),1,0)</f>
        <v>0</v>
      </c>
      <c r="M1814" s="3">
        <f>IF(ISERROR(VLOOKUP(D1814,Data!$A$2:$D$223100,2,FALSE)),0,1)</f>
        <v>1</v>
      </c>
      <c r="N1814" s="3">
        <f t="shared" si="57"/>
        <v>0</v>
      </c>
      <c r="O1814" s="3" t="str">
        <f>IF(ISERROR(VLOOKUP(D1814,Data!$A$2:$C$223100,3,FALSE)),"INACTIVE",VLOOKUP(D1814,Data!$A$2:$C$223100,3,FALSE))</f>
        <v>Current</v>
      </c>
    </row>
    <row r="1815" spans="1:15" x14ac:dyDescent="0.25">
      <c r="A1815" t="s">
        <v>4837</v>
      </c>
      <c r="B1815" t="s">
        <v>4838</v>
      </c>
      <c r="C1815" t="s">
        <v>4850</v>
      </c>
      <c r="D1815" t="s">
        <v>4851</v>
      </c>
      <c r="E1815" t="s">
        <v>5</v>
      </c>
      <c r="F1815" t="s">
        <v>4852</v>
      </c>
      <c r="G1815" t="s">
        <v>5</v>
      </c>
      <c r="H1815" t="s">
        <v>5</v>
      </c>
      <c r="I1815" t="s">
        <v>4603</v>
      </c>
      <c r="J1815" t="s">
        <v>90</v>
      </c>
      <c r="K1815" s="3">
        <f t="shared" si="56"/>
        <v>0</v>
      </c>
      <c r="L1815" s="3">
        <f>IF(ISERROR(VLOOKUP(J1815,Lookups!$A$2:$A$16,1,FALSE)),1,0)</f>
        <v>0</v>
      </c>
      <c r="M1815" s="3">
        <f>IF(ISERROR(VLOOKUP(D1815,Data!$A$2:$D$223100,2,FALSE)),0,1)</f>
        <v>1</v>
      </c>
      <c r="N1815" s="3">
        <f t="shared" si="57"/>
        <v>0</v>
      </c>
      <c r="O1815" s="3" t="str">
        <f>IF(ISERROR(VLOOKUP(D1815,Data!$A$2:$C$223100,3,FALSE)),"INACTIVE",VLOOKUP(D1815,Data!$A$2:$C$223100,3,FALSE))</f>
        <v>Current</v>
      </c>
    </row>
    <row r="1816" spans="1:15" x14ac:dyDescent="0.25">
      <c r="A1816" t="s">
        <v>4837</v>
      </c>
      <c r="B1816" t="s">
        <v>4838</v>
      </c>
      <c r="C1816" t="s">
        <v>4850</v>
      </c>
      <c r="D1816" t="s">
        <v>4851</v>
      </c>
      <c r="E1816" t="s">
        <v>4853</v>
      </c>
      <c r="F1816" t="s">
        <v>4853</v>
      </c>
      <c r="G1816" t="s">
        <v>5</v>
      </c>
      <c r="H1816" t="s">
        <v>5</v>
      </c>
      <c r="I1816" t="s">
        <v>4603</v>
      </c>
      <c r="J1816" t="s">
        <v>90</v>
      </c>
      <c r="K1816" s="3">
        <f t="shared" si="56"/>
        <v>0</v>
      </c>
      <c r="L1816" s="3">
        <f>IF(ISERROR(VLOOKUP(J1816,Lookups!$A$2:$A$16,1,FALSE)),1,0)</f>
        <v>0</v>
      </c>
      <c r="M1816" s="3">
        <f>IF(ISERROR(VLOOKUP(D1816,Data!$A$2:$D$223100,2,FALSE)),0,1)</f>
        <v>1</v>
      </c>
      <c r="N1816" s="3">
        <f t="shared" si="57"/>
        <v>0</v>
      </c>
      <c r="O1816" s="3" t="str">
        <f>IF(ISERROR(VLOOKUP(D1816,Data!$A$2:$C$223100,3,FALSE)),"INACTIVE",VLOOKUP(D1816,Data!$A$2:$C$223100,3,FALSE))</f>
        <v>Current</v>
      </c>
    </row>
    <row r="1817" spans="1:15" x14ac:dyDescent="0.25">
      <c r="A1817" t="s">
        <v>4899</v>
      </c>
      <c r="B1817" t="s">
        <v>4900</v>
      </c>
      <c r="C1817" t="s">
        <v>4901</v>
      </c>
      <c r="D1817" t="s">
        <v>4902</v>
      </c>
      <c r="E1817" t="s">
        <v>4903</v>
      </c>
      <c r="F1817" t="s">
        <v>5</v>
      </c>
      <c r="G1817" t="s">
        <v>5</v>
      </c>
      <c r="H1817" t="s">
        <v>5</v>
      </c>
      <c r="I1817" t="s">
        <v>4603</v>
      </c>
      <c r="J1817" t="s">
        <v>90</v>
      </c>
      <c r="K1817" s="3">
        <f t="shared" si="56"/>
        <v>0</v>
      </c>
      <c r="L1817" s="3">
        <f>IF(ISERROR(VLOOKUP(J1817,Lookups!$A$2:$A$16,1,FALSE)),1,0)</f>
        <v>0</v>
      </c>
      <c r="M1817" s="3">
        <f>IF(ISERROR(VLOOKUP(D1817,Data!$A$2:$D$223100,2,FALSE)),0,1)</f>
        <v>0</v>
      </c>
      <c r="N1817" s="3">
        <f t="shared" si="57"/>
        <v>0</v>
      </c>
      <c r="O1817" s="3" t="str">
        <f>IF(ISERROR(VLOOKUP(D1817,Data!$A$2:$C$223100,3,FALSE)),"INACTIVE",VLOOKUP(D1817,Data!$A$2:$C$223100,3,FALSE))</f>
        <v>INACTIVE</v>
      </c>
    </row>
    <row r="1818" spans="1:15" x14ac:dyDescent="0.25">
      <c r="A1818" t="s">
        <v>4899</v>
      </c>
      <c r="B1818" t="s">
        <v>4900</v>
      </c>
      <c r="C1818" t="s">
        <v>4904</v>
      </c>
      <c r="D1818" t="s">
        <v>4905</v>
      </c>
      <c r="E1818" t="s">
        <v>4906</v>
      </c>
      <c r="F1818" t="s">
        <v>5</v>
      </c>
      <c r="G1818" t="s">
        <v>5</v>
      </c>
      <c r="H1818" t="s">
        <v>5</v>
      </c>
      <c r="I1818" t="s">
        <v>4603</v>
      </c>
      <c r="J1818" t="s">
        <v>90</v>
      </c>
      <c r="K1818" s="3">
        <f t="shared" si="56"/>
        <v>0</v>
      </c>
      <c r="L1818" s="3">
        <f>IF(ISERROR(VLOOKUP(J1818,Lookups!$A$2:$A$16,1,FALSE)),1,0)</f>
        <v>0</v>
      </c>
      <c r="M1818" s="3">
        <f>IF(ISERROR(VLOOKUP(D1818,Data!$A$2:$D$223100,2,FALSE)),0,1)</f>
        <v>1</v>
      </c>
      <c r="N1818" s="3">
        <f t="shared" si="57"/>
        <v>0</v>
      </c>
      <c r="O1818" s="3" t="str">
        <f>IF(ISERROR(VLOOKUP(D1818,Data!$A$2:$C$223100,3,FALSE)),"INACTIVE",VLOOKUP(D1818,Data!$A$2:$C$223100,3,FALSE))</f>
        <v>Current</v>
      </c>
    </row>
    <row r="1819" spans="1:15" x14ac:dyDescent="0.25">
      <c r="A1819" t="s">
        <v>4899</v>
      </c>
      <c r="B1819" t="s">
        <v>4900</v>
      </c>
      <c r="C1819" t="s">
        <v>4907</v>
      </c>
      <c r="D1819" t="s">
        <v>4908</v>
      </c>
      <c r="E1819" t="s">
        <v>4909</v>
      </c>
      <c r="F1819" t="s">
        <v>5</v>
      </c>
      <c r="G1819" t="s">
        <v>5</v>
      </c>
      <c r="H1819" t="s">
        <v>5</v>
      </c>
      <c r="I1819" t="s">
        <v>4603</v>
      </c>
      <c r="J1819" t="s">
        <v>90</v>
      </c>
      <c r="K1819" s="3">
        <f t="shared" si="56"/>
        <v>0</v>
      </c>
      <c r="L1819" s="3">
        <f>IF(ISERROR(VLOOKUP(J1819,Lookups!$A$2:$A$16,1,FALSE)),1,0)</f>
        <v>0</v>
      </c>
      <c r="M1819" s="3">
        <f>IF(ISERROR(VLOOKUP(D1819,Data!$A$2:$D$223100,2,FALSE)),0,1)</f>
        <v>1</v>
      </c>
      <c r="N1819" s="3">
        <f t="shared" si="57"/>
        <v>0</v>
      </c>
      <c r="O1819" s="3" t="str">
        <f>IF(ISERROR(VLOOKUP(D1819,Data!$A$2:$C$223100,3,FALSE)),"INACTIVE",VLOOKUP(D1819,Data!$A$2:$C$223100,3,FALSE))</f>
        <v>150+</v>
      </c>
    </row>
    <row r="1820" spans="1:15" x14ac:dyDescent="0.25">
      <c r="A1820" t="s">
        <v>4899</v>
      </c>
      <c r="B1820" t="s">
        <v>4900</v>
      </c>
      <c r="C1820" t="s">
        <v>4910</v>
      </c>
      <c r="D1820" t="s">
        <v>4911</v>
      </c>
      <c r="E1820" t="s">
        <v>4912</v>
      </c>
      <c r="F1820" t="s">
        <v>5</v>
      </c>
      <c r="G1820" t="s">
        <v>5</v>
      </c>
      <c r="H1820" t="s">
        <v>5</v>
      </c>
      <c r="I1820" t="s">
        <v>4603</v>
      </c>
      <c r="J1820" t="s">
        <v>90</v>
      </c>
      <c r="K1820" s="3">
        <f t="shared" si="56"/>
        <v>0</v>
      </c>
      <c r="L1820" s="3">
        <f>IF(ISERROR(VLOOKUP(J1820,Lookups!$A$2:$A$16,1,FALSE)),1,0)</f>
        <v>0</v>
      </c>
      <c r="M1820" s="3">
        <f>IF(ISERROR(VLOOKUP(D1820,Data!$A$2:$D$223100,2,FALSE)),0,1)</f>
        <v>1</v>
      </c>
      <c r="N1820" s="3">
        <f t="shared" si="57"/>
        <v>0</v>
      </c>
      <c r="O1820" s="3" t="str">
        <f>IF(ISERROR(VLOOKUP(D1820,Data!$A$2:$C$223100,3,FALSE)),"INACTIVE",VLOOKUP(D1820,Data!$A$2:$C$223100,3,FALSE))</f>
        <v>BK11</v>
      </c>
    </row>
    <row r="1821" spans="1:15" x14ac:dyDescent="0.25">
      <c r="A1821" t="s">
        <v>4899</v>
      </c>
      <c r="B1821" t="s">
        <v>4900</v>
      </c>
      <c r="C1821" t="s">
        <v>4913</v>
      </c>
      <c r="D1821" t="s">
        <v>4914</v>
      </c>
      <c r="E1821" t="s">
        <v>4915</v>
      </c>
      <c r="F1821" t="s">
        <v>5</v>
      </c>
      <c r="G1821" t="s">
        <v>5</v>
      </c>
      <c r="H1821" t="s">
        <v>5</v>
      </c>
      <c r="I1821" t="s">
        <v>4603</v>
      </c>
      <c r="J1821" t="s">
        <v>90</v>
      </c>
      <c r="K1821" s="3">
        <f t="shared" si="56"/>
        <v>0</v>
      </c>
      <c r="L1821" s="3">
        <f>IF(ISERROR(VLOOKUP(J1821,Lookups!$A$2:$A$16,1,FALSE)),1,0)</f>
        <v>0</v>
      </c>
      <c r="M1821" s="3">
        <f>IF(ISERROR(VLOOKUP(D1821,Data!$A$2:$D$223100,2,FALSE)),0,1)</f>
        <v>1</v>
      </c>
      <c r="N1821" s="3">
        <f t="shared" si="57"/>
        <v>0</v>
      </c>
      <c r="O1821" s="3" t="str">
        <f>IF(ISERROR(VLOOKUP(D1821,Data!$A$2:$C$223100,3,FALSE)),"INACTIVE",VLOOKUP(D1821,Data!$A$2:$C$223100,3,FALSE))</f>
        <v>FC</v>
      </c>
    </row>
    <row r="1822" spans="1:15" x14ac:dyDescent="0.25">
      <c r="A1822" t="s">
        <v>4899</v>
      </c>
      <c r="B1822" t="s">
        <v>4900</v>
      </c>
      <c r="C1822" t="s">
        <v>4916</v>
      </c>
      <c r="D1822" t="s">
        <v>4917</v>
      </c>
      <c r="E1822" t="s">
        <v>4918</v>
      </c>
      <c r="F1822" t="s">
        <v>5</v>
      </c>
      <c r="G1822" t="s">
        <v>5</v>
      </c>
      <c r="H1822" t="s">
        <v>5</v>
      </c>
      <c r="I1822" t="s">
        <v>4603</v>
      </c>
      <c r="J1822" t="s">
        <v>90</v>
      </c>
      <c r="K1822" s="3">
        <f t="shared" si="56"/>
        <v>0</v>
      </c>
      <c r="L1822" s="3">
        <f>IF(ISERROR(VLOOKUP(J1822,Lookups!$A$2:$A$16,1,FALSE)),1,0)</f>
        <v>0</v>
      </c>
      <c r="M1822" s="3">
        <f>IF(ISERROR(VLOOKUP(D1822,Data!$A$2:$D$223100,2,FALSE)),0,1)</f>
        <v>0</v>
      </c>
      <c r="N1822" s="3">
        <f t="shared" si="57"/>
        <v>0</v>
      </c>
      <c r="O1822" s="3" t="str">
        <f>IF(ISERROR(VLOOKUP(D1822,Data!$A$2:$C$223100,3,FALSE)),"INACTIVE",VLOOKUP(D1822,Data!$A$2:$C$223100,3,FALSE))</f>
        <v>INACTIVE</v>
      </c>
    </row>
    <row r="1823" spans="1:15" x14ac:dyDescent="0.25">
      <c r="A1823" t="s">
        <v>4899</v>
      </c>
      <c r="B1823" t="s">
        <v>4900</v>
      </c>
      <c r="C1823" t="s">
        <v>4919</v>
      </c>
      <c r="D1823" t="s">
        <v>4920</v>
      </c>
      <c r="E1823" t="s">
        <v>4921</v>
      </c>
      <c r="F1823" t="s">
        <v>5</v>
      </c>
      <c r="G1823" t="s">
        <v>5</v>
      </c>
      <c r="H1823" t="s">
        <v>5</v>
      </c>
      <c r="I1823" t="s">
        <v>4603</v>
      </c>
      <c r="J1823" t="s">
        <v>90</v>
      </c>
      <c r="K1823" s="3">
        <f t="shared" si="56"/>
        <v>0</v>
      </c>
      <c r="L1823" s="3">
        <f>IF(ISERROR(VLOOKUP(J1823,Lookups!$A$2:$A$16,1,FALSE)),1,0)</f>
        <v>0</v>
      </c>
      <c r="M1823" s="3">
        <f>IF(ISERROR(VLOOKUP(D1823,Data!$A$2:$D$223100,2,FALSE)),0,1)</f>
        <v>1</v>
      </c>
      <c r="N1823" s="3">
        <f t="shared" si="57"/>
        <v>0</v>
      </c>
      <c r="O1823" s="3" t="str">
        <f>IF(ISERROR(VLOOKUP(D1823,Data!$A$2:$C$223100,3,FALSE)),"INACTIVE",VLOOKUP(D1823,Data!$A$2:$C$223100,3,FALSE))</f>
        <v>FBA</v>
      </c>
    </row>
    <row r="1824" spans="1:15" x14ac:dyDescent="0.25">
      <c r="A1824" t="s">
        <v>4899</v>
      </c>
      <c r="B1824" t="s">
        <v>4900</v>
      </c>
      <c r="C1824" t="s">
        <v>4922</v>
      </c>
      <c r="D1824" t="s">
        <v>4923</v>
      </c>
      <c r="E1824" t="s">
        <v>4924</v>
      </c>
      <c r="F1824" t="s">
        <v>5</v>
      </c>
      <c r="G1824" t="s">
        <v>5</v>
      </c>
      <c r="H1824" t="s">
        <v>5</v>
      </c>
      <c r="I1824" t="s">
        <v>4603</v>
      </c>
      <c r="J1824" t="s">
        <v>90</v>
      </c>
      <c r="K1824" s="3">
        <f t="shared" si="56"/>
        <v>0</v>
      </c>
      <c r="L1824" s="3">
        <f>IF(ISERROR(VLOOKUP(J1824,Lookups!$A$2:$A$16,1,FALSE)),1,0)</f>
        <v>0</v>
      </c>
      <c r="M1824" s="3">
        <f>IF(ISERROR(VLOOKUP(D1824,Data!$A$2:$D$223100,2,FALSE)),0,1)</f>
        <v>1</v>
      </c>
      <c r="N1824" s="3">
        <f t="shared" si="57"/>
        <v>0</v>
      </c>
      <c r="O1824" s="3" t="str">
        <f>IF(ISERROR(VLOOKUP(D1824,Data!$A$2:$C$223100,3,FALSE)),"INACTIVE",VLOOKUP(D1824,Data!$A$2:$C$223100,3,FALSE))</f>
        <v>Current</v>
      </c>
    </row>
    <row r="1825" spans="1:15" x14ac:dyDescent="0.25">
      <c r="A1825" t="s">
        <v>4899</v>
      </c>
      <c r="B1825" t="s">
        <v>4900</v>
      </c>
      <c r="C1825" t="s">
        <v>4925</v>
      </c>
      <c r="D1825" t="s">
        <v>4926</v>
      </c>
      <c r="E1825" t="s">
        <v>4927</v>
      </c>
      <c r="F1825" t="s">
        <v>5</v>
      </c>
      <c r="G1825" t="s">
        <v>5</v>
      </c>
      <c r="H1825" t="s">
        <v>5</v>
      </c>
      <c r="I1825" t="s">
        <v>4603</v>
      </c>
      <c r="J1825" t="s">
        <v>90</v>
      </c>
      <c r="K1825" s="3">
        <f t="shared" si="56"/>
        <v>0</v>
      </c>
      <c r="L1825" s="3">
        <f>IF(ISERROR(VLOOKUP(J1825,Lookups!$A$2:$A$16,1,FALSE)),1,0)</f>
        <v>0</v>
      </c>
      <c r="M1825" s="3">
        <f>IF(ISERROR(VLOOKUP(D1825,Data!$A$2:$D$223100,2,FALSE)),0,1)</f>
        <v>1</v>
      </c>
      <c r="N1825" s="3">
        <f t="shared" si="57"/>
        <v>0</v>
      </c>
      <c r="O1825" s="3" t="str">
        <f>IF(ISERROR(VLOOKUP(D1825,Data!$A$2:$C$223100,3,FALSE)),"INACTIVE",VLOOKUP(D1825,Data!$A$2:$C$223100,3,FALSE))</f>
        <v>FBA</v>
      </c>
    </row>
    <row r="1826" spans="1:15" x14ac:dyDescent="0.25">
      <c r="A1826" t="s">
        <v>4899</v>
      </c>
      <c r="B1826" t="s">
        <v>4900</v>
      </c>
      <c r="C1826" t="s">
        <v>4928</v>
      </c>
      <c r="D1826" t="s">
        <v>4929</v>
      </c>
      <c r="E1826" t="s">
        <v>4930</v>
      </c>
      <c r="F1826" t="s">
        <v>5</v>
      </c>
      <c r="G1826" t="s">
        <v>5</v>
      </c>
      <c r="H1826" t="s">
        <v>5</v>
      </c>
      <c r="I1826" t="s">
        <v>4603</v>
      </c>
      <c r="J1826" t="s">
        <v>90</v>
      </c>
      <c r="K1826" s="3">
        <f t="shared" si="56"/>
        <v>0</v>
      </c>
      <c r="L1826" s="3">
        <f>IF(ISERROR(VLOOKUP(J1826,Lookups!$A$2:$A$16,1,FALSE)),1,0)</f>
        <v>0</v>
      </c>
      <c r="M1826" s="3">
        <f>IF(ISERROR(VLOOKUP(D1826,Data!$A$2:$D$223100,2,FALSE)),0,1)</f>
        <v>1</v>
      </c>
      <c r="N1826" s="3">
        <f t="shared" si="57"/>
        <v>0</v>
      </c>
      <c r="O1826" s="3" t="str">
        <f>IF(ISERROR(VLOOKUP(D1826,Data!$A$2:$C$223100,3,FALSE)),"INACTIVE",VLOOKUP(D1826,Data!$A$2:$C$223100,3,FALSE))</f>
        <v>FBA</v>
      </c>
    </row>
    <row r="1827" spans="1:15" x14ac:dyDescent="0.25">
      <c r="A1827" t="s">
        <v>4899</v>
      </c>
      <c r="B1827" t="s">
        <v>4900</v>
      </c>
      <c r="C1827" t="s">
        <v>4931</v>
      </c>
      <c r="D1827" t="s">
        <v>4932</v>
      </c>
      <c r="E1827" t="s">
        <v>4933</v>
      </c>
      <c r="F1827" t="s">
        <v>5</v>
      </c>
      <c r="G1827" t="s">
        <v>5</v>
      </c>
      <c r="H1827" t="s">
        <v>5</v>
      </c>
      <c r="I1827" t="s">
        <v>4603</v>
      </c>
      <c r="J1827" t="s">
        <v>90</v>
      </c>
      <c r="K1827" s="3">
        <f t="shared" si="56"/>
        <v>0</v>
      </c>
      <c r="L1827" s="3">
        <f>IF(ISERROR(VLOOKUP(J1827,Lookups!$A$2:$A$16,1,FALSE)),1,0)</f>
        <v>0</v>
      </c>
      <c r="M1827" s="3">
        <f>IF(ISERROR(VLOOKUP(D1827,Data!$A$2:$D$223100,2,FALSE)),0,1)</f>
        <v>1</v>
      </c>
      <c r="N1827" s="3">
        <f t="shared" si="57"/>
        <v>0</v>
      </c>
      <c r="O1827" s="3" t="str">
        <f>IF(ISERROR(VLOOKUP(D1827,Data!$A$2:$C$223100,3,FALSE)),"INACTIVE",VLOOKUP(D1827,Data!$A$2:$C$223100,3,FALSE))</f>
        <v>FBA</v>
      </c>
    </row>
    <row r="1828" spans="1:15" x14ac:dyDescent="0.25">
      <c r="A1828" t="s">
        <v>4899</v>
      </c>
      <c r="B1828" t="s">
        <v>4900</v>
      </c>
      <c r="C1828" t="s">
        <v>4934</v>
      </c>
      <c r="D1828" t="s">
        <v>4935</v>
      </c>
      <c r="E1828" t="s">
        <v>4936</v>
      </c>
      <c r="F1828" t="s">
        <v>5</v>
      </c>
      <c r="G1828" t="s">
        <v>5</v>
      </c>
      <c r="H1828" t="s">
        <v>5</v>
      </c>
      <c r="I1828" t="s">
        <v>4603</v>
      </c>
      <c r="J1828" t="s">
        <v>90</v>
      </c>
      <c r="K1828" s="3">
        <f t="shared" si="56"/>
        <v>0</v>
      </c>
      <c r="L1828" s="3">
        <f>IF(ISERROR(VLOOKUP(J1828,Lookups!$A$2:$A$16,1,FALSE)),1,0)</f>
        <v>0</v>
      </c>
      <c r="M1828" s="3">
        <f>IF(ISERROR(VLOOKUP(D1828,Data!$A$2:$D$223100,2,FALSE)),0,1)</f>
        <v>1</v>
      </c>
      <c r="N1828" s="3">
        <f t="shared" si="57"/>
        <v>0</v>
      </c>
      <c r="O1828" s="3" t="str">
        <f>IF(ISERROR(VLOOKUP(D1828,Data!$A$2:$C$223100,3,FALSE)),"INACTIVE",VLOOKUP(D1828,Data!$A$2:$C$223100,3,FALSE))</f>
        <v>Demand Letter</v>
      </c>
    </row>
    <row r="1829" spans="1:15" x14ac:dyDescent="0.25">
      <c r="A1829" t="s">
        <v>4899</v>
      </c>
      <c r="B1829" t="s">
        <v>4900</v>
      </c>
      <c r="C1829" t="s">
        <v>4937</v>
      </c>
      <c r="D1829" t="s">
        <v>4938</v>
      </c>
      <c r="E1829" t="s">
        <v>4939</v>
      </c>
      <c r="F1829" t="s">
        <v>5</v>
      </c>
      <c r="G1829" t="s">
        <v>5</v>
      </c>
      <c r="H1829" t="s">
        <v>5</v>
      </c>
      <c r="I1829" t="s">
        <v>4603</v>
      </c>
      <c r="J1829" t="s">
        <v>90</v>
      </c>
      <c r="K1829" s="3">
        <f t="shared" si="56"/>
        <v>0</v>
      </c>
      <c r="L1829" s="3">
        <f>IF(ISERROR(VLOOKUP(J1829,Lookups!$A$2:$A$16,1,FALSE)),1,0)</f>
        <v>0</v>
      </c>
      <c r="M1829" s="3">
        <f>IF(ISERROR(VLOOKUP(D1829,Data!$A$2:$D$223100,2,FALSE)),0,1)</f>
        <v>1</v>
      </c>
      <c r="N1829" s="3">
        <f t="shared" si="57"/>
        <v>0</v>
      </c>
      <c r="O1829" s="3" t="str">
        <f>IF(ISERROR(VLOOKUP(D1829,Data!$A$2:$C$223100,3,FALSE)),"INACTIVE",VLOOKUP(D1829,Data!$A$2:$C$223100,3,FALSE))</f>
        <v>FBA</v>
      </c>
    </row>
    <row r="1830" spans="1:15" x14ac:dyDescent="0.25">
      <c r="A1830" t="s">
        <v>4899</v>
      </c>
      <c r="B1830" t="s">
        <v>4900</v>
      </c>
      <c r="C1830" t="s">
        <v>4940</v>
      </c>
      <c r="D1830" t="s">
        <v>4941</v>
      </c>
      <c r="E1830" t="s">
        <v>4942</v>
      </c>
      <c r="F1830" t="s">
        <v>5</v>
      </c>
      <c r="G1830" t="s">
        <v>5</v>
      </c>
      <c r="H1830" t="s">
        <v>5</v>
      </c>
      <c r="I1830" t="s">
        <v>4603</v>
      </c>
      <c r="J1830" t="s">
        <v>90</v>
      </c>
      <c r="K1830" s="3">
        <f t="shared" si="56"/>
        <v>0</v>
      </c>
      <c r="L1830" s="3">
        <f>IF(ISERROR(VLOOKUP(J1830,Lookups!$A$2:$A$16,1,FALSE)),1,0)</f>
        <v>0</v>
      </c>
      <c r="M1830" s="3">
        <f>IF(ISERROR(VLOOKUP(D1830,Data!$A$2:$D$223100,2,FALSE)),0,1)</f>
        <v>1</v>
      </c>
      <c r="N1830" s="3">
        <f t="shared" si="57"/>
        <v>0</v>
      </c>
      <c r="O1830" s="3" t="str">
        <f>IF(ISERROR(VLOOKUP(D1830,Data!$A$2:$C$223100,3,FALSE)),"INACTIVE",VLOOKUP(D1830,Data!$A$2:$C$223100,3,FALSE))</f>
        <v>FBA</v>
      </c>
    </row>
    <row r="1831" spans="1:15" x14ac:dyDescent="0.25">
      <c r="A1831" t="s">
        <v>4899</v>
      </c>
      <c r="B1831" t="s">
        <v>4900</v>
      </c>
      <c r="C1831" t="s">
        <v>4943</v>
      </c>
      <c r="D1831" t="s">
        <v>4944</v>
      </c>
      <c r="E1831" t="s">
        <v>4945</v>
      </c>
      <c r="F1831" t="s">
        <v>5</v>
      </c>
      <c r="G1831" t="s">
        <v>5</v>
      </c>
      <c r="H1831" t="s">
        <v>5</v>
      </c>
      <c r="I1831" t="s">
        <v>4603</v>
      </c>
      <c r="J1831" t="s">
        <v>90</v>
      </c>
      <c r="K1831" s="3">
        <f t="shared" si="56"/>
        <v>0</v>
      </c>
      <c r="L1831" s="3">
        <f>IF(ISERROR(VLOOKUP(J1831,Lookups!$A$2:$A$16,1,FALSE)),1,0)</f>
        <v>0</v>
      </c>
      <c r="M1831" s="3">
        <f>IF(ISERROR(VLOOKUP(D1831,Data!$A$2:$D$223100,2,FALSE)),0,1)</f>
        <v>1</v>
      </c>
      <c r="N1831" s="3">
        <f t="shared" si="57"/>
        <v>0</v>
      </c>
      <c r="O1831" s="3" t="str">
        <f>IF(ISERROR(VLOOKUP(D1831,Data!$A$2:$C$223100,3,FALSE)),"INACTIVE",VLOOKUP(D1831,Data!$A$2:$C$223100,3,FALSE))</f>
        <v>Current</v>
      </c>
    </row>
    <row r="1832" spans="1:15" x14ac:dyDescent="0.25">
      <c r="A1832" t="s">
        <v>4899</v>
      </c>
      <c r="B1832" t="s">
        <v>4900</v>
      </c>
      <c r="C1832" t="s">
        <v>4946</v>
      </c>
      <c r="D1832" t="s">
        <v>4947</v>
      </c>
      <c r="E1832" t="s">
        <v>4948</v>
      </c>
      <c r="F1832" t="s">
        <v>5</v>
      </c>
      <c r="G1832" t="s">
        <v>5</v>
      </c>
      <c r="H1832" t="s">
        <v>5</v>
      </c>
      <c r="I1832" t="s">
        <v>4603</v>
      </c>
      <c r="J1832" t="s">
        <v>90</v>
      </c>
      <c r="K1832" s="3">
        <f t="shared" si="56"/>
        <v>0</v>
      </c>
      <c r="L1832" s="3">
        <f>IF(ISERROR(VLOOKUP(J1832,Lookups!$A$2:$A$16,1,FALSE)),1,0)</f>
        <v>0</v>
      </c>
      <c r="M1832" s="3">
        <f>IF(ISERROR(VLOOKUP(D1832,Data!$A$2:$D$223100,2,FALSE)),0,1)</f>
        <v>1</v>
      </c>
      <c r="N1832" s="3">
        <f t="shared" si="57"/>
        <v>0</v>
      </c>
      <c r="O1832" s="3" t="str">
        <f>IF(ISERROR(VLOOKUP(D1832,Data!$A$2:$C$223100,3,FALSE)),"INACTIVE",VLOOKUP(D1832,Data!$A$2:$C$223100,3,FALSE))</f>
        <v>Current</v>
      </c>
    </row>
    <row r="1833" spans="1:15" x14ac:dyDescent="0.25">
      <c r="A1833" t="s">
        <v>4899</v>
      </c>
      <c r="B1833" t="s">
        <v>4900</v>
      </c>
      <c r="C1833" t="s">
        <v>4949</v>
      </c>
      <c r="D1833" t="s">
        <v>4950</v>
      </c>
      <c r="E1833" t="s">
        <v>4951</v>
      </c>
      <c r="F1833" t="s">
        <v>5</v>
      </c>
      <c r="G1833" t="s">
        <v>5</v>
      </c>
      <c r="H1833" t="s">
        <v>5</v>
      </c>
      <c r="I1833" t="s">
        <v>4603</v>
      </c>
      <c r="J1833" t="s">
        <v>90</v>
      </c>
      <c r="K1833" s="3">
        <f t="shared" si="56"/>
        <v>0</v>
      </c>
      <c r="L1833" s="3">
        <f>IF(ISERROR(VLOOKUP(J1833,Lookups!$A$2:$A$16,1,FALSE)),1,0)</f>
        <v>0</v>
      </c>
      <c r="M1833" s="3">
        <f>IF(ISERROR(VLOOKUP(D1833,Data!$A$2:$D$223100,2,FALSE)),0,1)</f>
        <v>1</v>
      </c>
      <c r="N1833" s="3">
        <f t="shared" si="57"/>
        <v>0</v>
      </c>
      <c r="O1833" s="3" t="str">
        <f>IF(ISERROR(VLOOKUP(D1833,Data!$A$2:$C$223100,3,FALSE)),"INACTIVE",VLOOKUP(D1833,Data!$A$2:$C$223100,3,FALSE))</f>
        <v>30+</v>
      </c>
    </row>
    <row r="1834" spans="1:15" x14ac:dyDescent="0.25">
      <c r="A1834" t="s">
        <v>4899</v>
      </c>
      <c r="B1834" t="s">
        <v>4900</v>
      </c>
      <c r="C1834" t="s">
        <v>4952</v>
      </c>
      <c r="D1834" t="s">
        <v>4953</v>
      </c>
      <c r="E1834" t="s">
        <v>4954</v>
      </c>
      <c r="F1834" t="s">
        <v>5</v>
      </c>
      <c r="G1834" t="s">
        <v>5</v>
      </c>
      <c r="H1834" t="s">
        <v>5</v>
      </c>
      <c r="I1834" t="s">
        <v>4603</v>
      </c>
      <c r="J1834" t="s">
        <v>90</v>
      </c>
      <c r="K1834" s="3">
        <f t="shared" si="56"/>
        <v>0</v>
      </c>
      <c r="L1834" s="3">
        <f>IF(ISERROR(VLOOKUP(J1834,Lookups!$A$2:$A$16,1,FALSE)),1,0)</f>
        <v>0</v>
      </c>
      <c r="M1834" s="3">
        <f>IF(ISERROR(VLOOKUP(D1834,Data!$A$2:$D$223100,2,FALSE)),0,1)</f>
        <v>1</v>
      </c>
      <c r="N1834" s="3">
        <f t="shared" si="57"/>
        <v>0</v>
      </c>
      <c r="O1834" s="3" t="str">
        <f>IF(ISERROR(VLOOKUP(D1834,Data!$A$2:$C$223100,3,FALSE)),"INACTIVE",VLOOKUP(D1834,Data!$A$2:$C$223100,3,FALSE))</f>
        <v>Current</v>
      </c>
    </row>
    <row r="1835" spans="1:15" x14ac:dyDescent="0.25">
      <c r="A1835" t="s">
        <v>4899</v>
      </c>
      <c r="B1835" t="s">
        <v>4900</v>
      </c>
      <c r="C1835" t="s">
        <v>4955</v>
      </c>
      <c r="D1835" t="s">
        <v>4956</v>
      </c>
      <c r="E1835" t="s">
        <v>4957</v>
      </c>
      <c r="F1835" t="s">
        <v>5</v>
      </c>
      <c r="G1835" t="s">
        <v>5</v>
      </c>
      <c r="H1835" t="s">
        <v>5</v>
      </c>
      <c r="I1835" t="s">
        <v>4603</v>
      </c>
      <c r="J1835" t="s">
        <v>96</v>
      </c>
      <c r="K1835" s="3">
        <f t="shared" si="56"/>
        <v>0</v>
      </c>
      <c r="L1835" s="3">
        <f>IF(ISERROR(VLOOKUP(J1835,Lookups!$A$2:$A$16,1,FALSE)),1,0)</f>
        <v>0</v>
      </c>
      <c r="M1835" s="3">
        <f>IF(ISERROR(VLOOKUP(D1835,Data!$A$2:$D$223100,2,FALSE)),0,1)</f>
        <v>1</v>
      </c>
      <c r="N1835" s="3">
        <f t="shared" si="57"/>
        <v>0</v>
      </c>
      <c r="O1835" s="3" t="str">
        <f>IF(ISERROR(VLOOKUP(D1835,Data!$A$2:$C$223100,3,FALSE)),"INACTIVE",VLOOKUP(D1835,Data!$A$2:$C$223100,3,FALSE))</f>
        <v>Current</v>
      </c>
    </row>
    <row r="1836" spans="1:15" x14ac:dyDescent="0.25">
      <c r="A1836" t="s">
        <v>4899</v>
      </c>
      <c r="B1836" t="s">
        <v>4900</v>
      </c>
      <c r="C1836" t="s">
        <v>4955</v>
      </c>
      <c r="D1836" t="s">
        <v>4956</v>
      </c>
      <c r="E1836" t="s">
        <v>4958</v>
      </c>
      <c r="F1836" t="s">
        <v>5</v>
      </c>
      <c r="G1836" t="s">
        <v>5</v>
      </c>
      <c r="H1836" t="s">
        <v>5</v>
      </c>
      <c r="I1836" t="s">
        <v>4603</v>
      </c>
      <c r="J1836" t="s">
        <v>96</v>
      </c>
      <c r="K1836" s="3">
        <f t="shared" si="56"/>
        <v>0</v>
      </c>
      <c r="L1836" s="3">
        <f>IF(ISERROR(VLOOKUP(J1836,Lookups!$A$2:$A$16,1,FALSE)),1,0)</f>
        <v>0</v>
      </c>
      <c r="M1836" s="3">
        <f>IF(ISERROR(VLOOKUP(D1836,Data!$A$2:$D$223100,2,FALSE)),0,1)</f>
        <v>1</v>
      </c>
      <c r="N1836" s="3">
        <f t="shared" si="57"/>
        <v>0</v>
      </c>
      <c r="O1836" s="3" t="str">
        <f>IF(ISERROR(VLOOKUP(D1836,Data!$A$2:$C$223100,3,FALSE)),"INACTIVE",VLOOKUP(D1836,Data!$A$2:$C$223100,3,FALSE))</f>
        <v>Current</v>
      </c>
    </row>
    <row r="1837" spans="1:15" x14ac:dyDescent="0.25">
      <c r="A1837" t="s">
        <v>4899</v>
      </c>
      <c r="B1837" t="s">
        <v>4900</v>
      </c>
      <c r="C1837" t="s">
        <v>4955</v>
      </c>
      <c r="D1837" t="s">
        <v>4956</v>
      </c>
      <c r="E1837" t="s">
        <v>4959</v>
      </c>
      <c r="F1837" t="s">
        <v>5</v>
      </c>
      <c r="G1837" t="s">
        <v>5</v>
      </c>
      <c r="H1837" t="s">
        <v>5</v>
      </c>
      <c r="I1837" t="s">
        <v>4603</v>
      </c>
      <c r="J1837" t="s">
        <v>96</v>
      </c>
      <c r="K1837" s="3">
        <f t="shared" si="56"/>
        <v>0</v>
      </c>
      <c r="L1837" s="3">
        <f>IF(ISERROR(VLOOKUP(J1837,Lookups!$A$2:$A$16,1,FALSE)),1,0)</f>
        <v>0</v>
      </c>
      <c r="M1837" s="3">
        <f>IF(ISERROR(VLOOKUP(D1837,Data!$A$2:$D$223100,2,FALSE)),0,1)</f>
        <v>1</v>
      </c>
      <c r="N1837" s="3">
        <f t="shared" si="57"/>
        <v>0</v>
      </c>
      <c r="O1837" s="3" t="str">
        <f>IF(ISERROR(VLOOKUP(D1837,Data!$A$2:$C$223100,3,FALSE)),"INACTIVE",VLOOKUP(D1837,Data!$A$2:$C$223100,3,FALSE))</f>
        <v>Current</v>
      </c>
    </row>
    <row r="1838" spans="1:15" x14ac:dyDescent="0.25">
      <c r="A1838" t="s">
        <v>4899</v>
      </c>
      <c r="B1838" t="s">
        <v>4900</v>
      </c>
      <c r="C1838" t="s">
        <v>4960</v>
      </c>
      <c r="D1838" t="s">
        <v>4961</v>
      </c>
      <c r="E1838" t="s">
        <v>4962</v>
      </c>
      <c r="F1838" t="s">
        <v>5</v>
      </c>
      <c r="G1838" t="s">
        <v>5</v>
      </c>
      <c r="H1838" t="s">
        <v>5</v>
      </c>
      <c r="I1838" t="s">
        <v>4603</v>
      </c>
      <c r="J1838" t="s">
        <v>90</v>
      </c>
      <c r="K1838" s="3">
        <f t="shared" si="56"/>
        <v>0</v>
      </c>
      <c r="L1838" s="3">
        <f>IF(ISERROR(VLOOKUP(J1838,Lookups!$A$2:$A$16,1,FALSE)),1,0)</f>
        <v>0</v>
      </c>
      <c r="M1838" s="3">
        <f>IF(ISERROR(VLOOKUP(D1838,Data!$A$2:$D$223100,2,FALSE)),0,1)</f>
        <v>1</v>
      </c>
      <c r="N1838" s="3">
        <f t="shared" si="57"/>
        <v>0</v>
      </c>
      <c r="O1838" s="3" t="str">
        <f>IF(ISERROR(VLOOKUP(D1838,Data!$A$2:$C$223100,3,FALSE)),"INACTIVE",VLOOKUP(D1838,Data!$A$2:$C$223100,3,FALSE))</f>
        <v>Current</v>
      </c>
    </row>
    <row r="1839" spans="1:15" x14ac:dyDescent="0.25">
      <c r="A1839" t="s">
        <v>4899</v>
      </c>
      <c r="B1839" t="s">
        <v>4900</v>
      </c>
      <c r="C1839" t="s">
        <v>4963</v>
      </c>
      <c r="D1839" t="s">
        <v>4964</v>
      </c>
      <c r="E1839" t="s">
        <v>4965</v>
      </c>
      <c r="F1839" t="s">
        <v>5</v>
      </c>
      <c r="G1839" t="s">
        <v>5</v>
      </c>
      <c r="H1839" t="s">
        <v>5</v>
      </c>
      <c r="I1839" t="s">
        <v>4603</v>
      </c>
      <c r="J1839" t="s">
        <v>90</v>
      </c>
      <c r="K1839" s="3">
        <f t="shared" si="56"/>
        <v>0</v>
      </c>
      <c r="L1839" s="3">
        <f>IF(ISERROR(VLOOKUP(J1839,Lookups!$A$2:$A$16,1,FALSE)),1,0)</f>
        <v>0</v>
      </c>
      <c r="M1839" s="3">
        <f>IF(ISERROR(VLOOKUP(D1839,Data!$A$2:$D$223100,2,FALSE)),0,1)</f>
        <v>1</v>
      </c>
      <c r="N1839" s="3">
        <f t="shared" si="57"/>
        <v>0</v>
      </c>
      <c r="O1839" s="3" t="str">
        <f>IF(ISERROR(VLOOKUP(D1839,Data!$A$2:$C$223100,3,FALSE)),"INACTIVE",VLOOKUP(D1839,Data!$A$2:$C$223100,3,FALSE))</f>
        <v>Current</v>
      </c>
    </row>
    <row r="1840" spans="1:15" x14ac:dyDescent="0.25">
      <c r="A1840" t="s">
        <v>4899</v>
      </c>
      <c r="B1840" t="s">
        <v>4900</v>
      </c>
      <c r="C1840" t="s">
        <v>4966</v>
      </c>
      <c r="D1840" t="s">
        <v>4964</v>
      </c>
      <c r="E1840" t="s">
        <v>4967</v>
      </c>
      <c r="F1840" t="s">
        <v>5</v>
      </c>
      <c r="G1840" t="s">
        <v>5</v>
      </c>
      <c r="H1840" t="s">
        <v>5</v>
      </c>
      <c r="I1840" t="s">
        <v>4603</v>
      </c>
      <c r="J1840" t="s">
        <v>90</v>
      </c>
      <c r="K1840" s="3">
        <f t="shared" si="56"/>
        <v>0</v>
      </c>
      <c r="L1840" s="3">
        <f>IF(ISERROR(VLOOKUP(J1840,Lookups!$A$2:$A$16,1,FALSE)),1,0)</f>
        <v>0</v>
      </c>
      <c r="M1840" s="3">
        <f>IF(ISERROR(VLOOKUP(D1840,Data!$A$2:$D$223100,2,FALSE)),0,1)</f>
        <v>1</v>
      </c>
      <c r="N1840" s="3">
        <f t="shared" si="57"/>
        <v>0</v>
      </c>
      <c r="O1840" s="3" t="str">
        <f>IF(ISERROR(VLOOKUP(D1840,Data!$A$2:$C$223100,3,FALSE)),"INACTIVE",VLOOKUP(D1840,Data!$A$2:$C$223100,3,FALSE))</f>
        <v>Current</v>
      </c>
    </row>
    <row r="1841" spans="1:15" x14ac:dyDescent="0.25">
      <c r="A1841" t="s">
        <v>4899</v>
      </c>
      <c r="B1841" t="s">
        <v>4900</v>
      </c>
      <c r="C1841" t="s">
        <v>4968</v>
      </c>
      <c r="D1841" t="s">
        <v>4969</v>
      </c>
      <c r="E1841" t="s">
        <v>4970</v>
      </c>
      <c r="F1841" t="s">
        <v>5</v>
      </c>
      <c r="G1841" t="s">
        <v>5</v>
      </c>
      <c r="H1841" t="s">
        <v>5</v>
      </c>
      <c r="I1841" t="s">
        <v>4603</v>
      </c>
      <c r="J1841" t="s">
        <v>90</v>
      </c>
      <c r="K1841" s="3">
        <f t="shared" si="56"/>
        <v>0</v>
      </c>
      <c r="L1841" s="3">
        <f>IF(ISERROR(VLOOKUP(J1841,Lookups!$A$2:$A$16,1,FALSE)),1,0)</f>
        <v>0</v>
      </c>
      <c r="M1841" s="3">
        <f>IF(ISERROR(VLOOKUP(D1841,Data!$A$2:$D$223100,2,FALSE)),0,1)</f>
        <v>1</v>
      </c>
      <c r="N1841" s="3">
        <f t="shared" si="57"/>
        <v>0</v>
      </c>
      <c r="O1841" s="3" t="str">
        <f>IF(ISERROR(VLOOKUP(D1841,Data!$A$2:$C$223100,3,FALSE)),"INACTIVE",VLOOKUP(D1841,Data!$A$2:$C$223100,3,FALSE))</f>
        <v>FBA</v>
      </c>
    </row>
    <row r="1842" spans="1:15" x14ac:dyDescent="0.25">
      <c r="A1842" t="s">
        <v>4899</v>
      </c>
      <c r="B1842" t="s">
        <v>4900</v>
      </c>
      <c r="C1842" t="s">
        <v>4971</v>
      </c>
      <c r="D1842" t="s">
        <v>4972</v>
      </c>
      <c r="E1842" t="s">
        <v>4973</v>
      </c>
      <c r="F1842" t="s">
        <v>5</v>
      </c>
      <c r="G1842" t="s">
        <v>5</v>
      </c>
      <c r="H1842" t="s">
        <v>5</v>
      </c>
      <c r="I1842" t="s">
        <v>4603</v>
      </c>
      <c r="J1842" t="s">
        <v>90</v>
      </c>
      <c r="K1842" s="3">
        <f t="shared" si="56"/>
        <v>0</v>
      </c>
      <c r="L1842" s="3">
        <f>IF(ISERROR(VLOOKUP(J1842,Lookups!$A$2:$A$16,1,FALSE)),1,0)</f>
        <v>0</v>
      </c>
      <c r="M1842" s="3">
        <f>IF(ISERROR(VLOOKUP(D1842,Data!$A$2:$D$223100,2,FALSE)),0,1)</f>
        <v>1</v>
      </c>
      <c r="N1842" s="3">
        <f t="shared" si="57"/>
        <v>0</v>
      </c>
      <c r="O1842" s="3" t="str">
        <f>IF(ISERROR(VLOOKUP(D1842,Data!$A$2:$C$223100,3,FALSE)),"INACTIVE",VLOOKUP(D1842,Data!$A$2:$C$223100,3,FALSE))</f>
        <v>Current</v>
      </c>
    </row>
    <row r="1843" spans="1:15" x14ac:dyDescent="0.25">
      <c r="A1843" t="s">
        <v>4899</v>
      </c>
      <c r="B1843" t="s">
        <v>4900</v>
      </c>
      <c r="C1843" t="s">
        <v>4974</v>
      </c>
      <c r="D1843" t="s">
        <v>4975</v>
      </c>
      <c r="E1843" t="s">
        <v>4976</v>
      </c>
      <c r="F1843" t="s">
        <v>5</v>
      </c>
      <c r="G1843" t="s">
        <v>5</v>
      </c>
      <c r="H1843" t="s">
        <v>5</v>
      </c>
      <c r="I1843" t="s">
        <v>4603</v>
      </c>
      <c r="J1843" t="s">
        <v>90</v>
      </c>
      <c r="K1843" s="3">
        <f t="shared" si="56"/>
        <v>0</v>
      </c>
      <c r="L1843" s="3">
        <f>IF(ISERROR(VLOOKUP(J1843,Lookups!$A$2:$A$16,1,FALSE)),1,0)</f>
        <v>0</v>
      </c>
      <c r="M1843" s="3">
        <f>IF(ISERROR(VLOOKUP(D1843,Data!$A$2:$D$223100,2,FALSE)),0,1)</f>
        <v>1</v>
      </c>
      <c r="N1843" s="3">
        <f t="shared" si="57"/>
        <v>0</v>
      </c>
      <c r="O1843" s="3" t="str">
        <f>IF(ISERROR(VLOOKUP(D1843,Data!$A$2:$C$223100,3,FALSE)),"INACTIVE",VLOOKUP(D1843,Data!$A$2:$C$223100,3,FALSE))</f>
        <v>Demand Letter</v>
      </c>
    </row>
    <row r="1844" spans="1:15" x14ac:dyDescent="0.25">
      <c r="A1844" t="s">
        <v>4899</v>
      </c>
      <c r="B1844" t="s">
        <v>4900</v>
      </c>
      <c r="C1844" t="s">
        <v>4977</v>
      </c>
      <c r="D1844" t="s">
        <v>4978</v>
      </c>
      <c r="E1844" t="s">
        <v>4979</v>
      </c>
      <c r="F1844" t="s">
        <v>5</v>
      </c>
      <c r="G1844" t="s">
        <v>5</v>
      </c>
      <c r="H1844" t="s">
        <v>5</v>
      </c>
      <c r="I1844" t="s">
        <v>4603</v>
      </c>
      <c r="J1844" t="s">
        <v>90</v>
      </c>
      <c r="K1844" s="3">
        <f t="shared" si="56"/>
        <v>0</v>
      </c>
      <c r="L1844" s="3">
        <f>IF(ISERROR(VLOOKUP(J1844,Lookups!$A$2:$A$16,1,FALSE)),1,0)</f>
        <v>0</v>
      </c>
      <c r="M1844" s="3">
        <f>IF(ISERROR(VLOOKUP(D1844,Data!$A$2:$D$223100,2,FALSE)),0,1)</f>
        <v>1</v>
      </c>
      <c r="N1844" s="3">
        <f t="shared" si="57"/>
        <v>0</v>
      </c>
      <c r="O1844" s="3" t="str">
        <f>IF(ISERROR(VLOOKUP(D1844,Data!$A$2:$C$223100,3,FALSE)),"INACTIVE",VLOOKUP(D1844,Data!$A$2:$C$223100,3,FALSE))</f>
        <v>Current</v>
      </c>
    </row>
    <row r="1845" spans="1:15" x14ac:dyDescent="0.25">
      <c r="A1845" t="s">
        <v>4899</v>
      </c>
      <c r="B1845" t="s">
        <v>4900</v>
      </c>
      <c r="C1845" t="s">
        <v>4980</v>
      </c>
      <c r="D1845" t="s">
        <v>4981</v>
      </c>
      <c r="E1845" t="s">
        <v>4982</v>
      </c>
      <c r="F1845" t="s">
        <v>5</v>
      </c>
      <c r="G1845" t="s">
        <v>5</v>
      </c>
      <c r="H1845" t="s">
        <v>5</v>
      </c>
      <c r="I1845" t="s">
        <v>4603</v>
      </c>
      <c r="J1845" t="s">
        <v>90</v>
      </c>
      <c r="K1845" s="3">
        <f t="shared" si="56"/>
        <v>0</v>
      </c>
      <c r="L1845" s="3">
        <f>IF(ISERROR(VLOOKUP(J1845,Lookups!$A$2:$A$16,1,FALSE)),1,0)</f>
        <v>0</v>
      </c>
      <c r="M1845" s="3">
        <f>IF(ISERROR(VLOOKUP(D1845,Data!$A$2:$D$223100,2,FALSE)),0,1)</f>
        <v>1</v>
      </c>
      <c r="N1845" s="3">
        <f t="shared" si="57"/>
        <v>0</v>
      </c>
      <c r="O1845" s="3" t="str">
        <f>IF(ISERROR(VLOOKUP(D1845,Data!$A$2:$C$223100,3,FALSE)),"INACTIVE",VLOOKUP(D1845,Data!$A$2:$C$223100,3,FALSE))</f>
        <v>Current</v>
      </c>
    </row>
    <row r="1846" spans="1:15" x14ac:dyDescent="0.25">
      <c r="A1846" t="s">
        <v>4899</v>
      </c>
      <c r="B1846" t="s">
        <v>4900</v>
      </c>
      <c r="C1846" t="s">
        <v>4983</v>
      </c>
      <c r="D1846" t="s">
        <v>4984</v>
      </c>
      <c r="E1846" t="s">
        <v>4985</v>
      </c>
      <c r="F1846" t="s">
        <v>5</v>
      </c>
      <c r="G1846" t="s">
        <v>5</v>
      </c>
      <c r="H1846" t="s">
        <v>5</v>
      </c>
      <c r="I1846" t="s">
        <v>4603</v>
      </c>
      <c r="J1846" t="s">
        <v>90</v>
      </c>
      <c r="K1846" s="3">
        <f t="shared" si="56"/>
        <v>0</v>
      </c>
      <c r="L1846" s="3">
        <f>IF(ISERROR(VLOOKUP(J1846,Lookups!$A$2:$A$16,1,FALSE)),1,0)</f>
        <v>0</v>
      </c>
      <c r="M1846" s="3">
        <f>IF(ISERROR(VLOOKUP(D1846,Data!$A$2:$D$223100,2,FALSE)),0,1)</f>
        <v>1</v>
      </c>
      <c r="N1846" s="3">
        <f t="shared" si="57"/>
        <v>0</v>
      </c>
      <c r="O1846" s="3" t="str">
        <f>IF(ISERROR(VLOOKUP(D1846,Data!$A$2:$C$223100,3,FALSE)),"INACTIVE",VLOOKUP(D1846,Data!$A$2:$C$223100,3,FALSE))</f>
        <v>FBA</v>
      </c>
    </row>
    <row r="1847" spans="1:15" x14ac:dyDescent="0.25">
      <c r="A1847" t="s">
        <v>4899</v>
      </c>
      <c r="B1847" t="s">
        <v>4900</v>
      </c>
      <c r="C1847" t="s">
        <v>4986</v>
      </c>
      <c r="D1847" t="s">
        <v>4987</v>
      </c>
      <c r="E1847" t="s">
        <v>4988</v>
      </c>
      <c r="F1847" t="s">
        <v>5</v>
      </c>
      <c r="G1847" t="s">
        <v>5</v>
      </c>
      <c r="H1847" t="s">
        <v>5</v>
      </c>
      <c r="I1847" t="s">
        <v>4603</v>
      </c>
      <c r="J1847" t="s">
        <v>90</v>
      </c>
      <c r="K1847" s="3">
        <f t="shared" si="56"/>
        <v>0</v>
      </c>
      <c r="L1847" s="3">
        <f>IF(ISERROR(VLOOKUP(J1847,Lookups!$A$2:$A$16,1,FALSE)),1,0)</f>
        <v>0</v>
      </c>
      <c r="M1847" s="3">
        <f>IF(ISERROR(VLOOKUP(D1847,Data!$A$2:$D$223100,2,FALSE)),0,1)</f>
        <v>1</v>
      </c>
      <c r="N1847" s="3">
        <f t="shared" si="57"/>
        <v>0</v>
      </c>
      <c r="O1847" s="3" t="str">
        <f>IF(ISERROR(VLOOKUP(D1847,Data!$A$2:$C$223100,3,FALSE)),"INACTIVE",VLOOKUP(D1847,Data!$A$2:$C$223100,3,FALSE))</f>
        <v>Current</v>
      </c>
    </row>
    <row r="1848" spans="1:15" x14ac:dyDescent="0.25">
      <c r="A1848" t="s">
        <v>4899</v>
      </c>
      <c r="B1848" t="s">
        <v>4900</v>
      </c>
      <c r="C1848" t="s">
        <v>4989</v>
      </c>
      <c r="D1848" t="s">
        <v>4990</v>
      </c>
      <c r="E1848" t="s">
        <v>4991</v>
      </c>
      <c r="F1848" t="s">
        <v>5</v>
      </c>
      <c r="G1848" t="s">
        <v>5</v>
      </c>
      <c r="H1848" t="s">
        <v>5</v>
      </c>
      <c r="I1848" t="s">
        <v>4603</v>
      </c>
      <c r="J1848" t="s">
        <v>90</v>
      </c>
      <c r="K1848" s="3">
        <f t="shared" si="56"/>
        <v>0</v>
      </c>
      <c r="L1848" s="3">
        <f>IF(ISERROR(VLOOKUP(J1848,Lookups!$A$2:$A$16,1,FALSE)),1,0)</f>
        <v>0</v>
      </c>
      <c r="M1848" s="3">
        <f>IF(ISERROR(VLOOKUP(D1848,Data!$A$2:$D$223100,2,FALSE)),0,1)</f>
        <v>1</v>
      </c>
      <c r="N1848" s="3">
        <f t="shared" si="57"/>
        <v>0</v>
      </c>
      <c r="O1848" s="3" t="str">
        <f>IF(ISERROR(VLOOKUP(D1848,Data!$A$2:$C$223100,3,FALSE)),"INACTIVE",VLOOKUP(D1848,Data!$A$2:$C$223100,3,FALSE))</f>
        <v>120+</v>
      </c>
    </row>
    <row r="1849" spans="1:15" x14ac:dyDescent="0.25">
      <c r="A1849" t="s">
        <v>4899</v>
      </c>
      <c r="B1849" t="s">
        <v>4900</v>
      </c>
      <c r="C1849" t="s">
        <v>4992</v>
      </c>
      <c r="D1849" t="s">
        <v>4993</v>
      </c>
      <c r="E1849" t="s">
        <v>4994</v>
      </c>
      <c r="F1849" t="s">
        <v>5</v>
      </c>
      <c r="G1849" t="s">
        <v>5</v>
      </c>
      <c r="H1849" t="s">
        <v>5</v>
      </c>
      <c r="I1849" t="s">
        <v>4603</v>
      </c>
      <c r="J1849" t="s">
        <v>90</v>
      </c>
      <c r="K1849" s="3">
        <f t="shared" si="56"/>
        <v>0</v>
      </c>
      <c r="L1849" s="3">
        <f>IF(ISERROR(VLOOKUP(J1849,Lookups!$A$2:$A$16,1,FALSE)),1,0)</f>
        <v>0</v>
      </c>
      <c r="M1849" s="3">
        <f>IF(ISERROR(VLOOKUP(D1849,Data!$A$2:$D$223100,2,FALSE)),0,1)</f>
        <v>1</v>
      </c>
      <c r="N1849" s="3">
        <f t="shared" si="57"/>
        <v>0</v>
      </c>
      <c r="O1849" s="3" t="str">
        <f>IF(ISERROR(VLOOKUP(D1849,Data!$A$2:$C$223100,3,FALSE)),"INACTIVE",VLOOKUP(D1849,Data!$A$2:$C$223100,3,FALSE))</f>
        <v>180+</v>
      </c>
    </row>
    <row r="1850" spans="1:15" x14ac:dyDescent="0.25">
      <c r="A1850" t="s">
        <v>4899</v>
      </c>
      <c r="B1850" t="s">
        <v>4900</v>
      </c>
      <c r="C1850" t="s">
        <v>4995</v>
      </c>
      <c r="D1850" t="s">
        <v>4996</v>
      </c>
      <c r="E1850" t="s">
        <v>4997</v>
      </c>
      <c r="F1850" t="s">
        <v>5</v>
      </c>
      <c r="G1850" t="s">
        <v>5</v>
      </c>
      <c r="H1850" t="s">
        <v>5</v>
      </c>
      <c r="I1850" t="s">
        <v>4603</v>
      </c>
      <c r="J1850" t="s">
        <v>90</v>
      </c>
      <c r="K1850" s="3">
        <f t="shared" si="56"/>
        <v>0</v>
      </c>
      <c r="L1850" s="3">
        <f>IF(ISERROR(VLOOKUP(J1850,Lookups!$A$2:$A$16,1,FALSE)),1,0)</f>
        <v>0</v>
      </c>
      <c r="M1850" s="3">
        <f>IF(ISERROR(VLOOKUP(D1850,Data!$A$2:$D$223100,2,FALSE)),0,1)</f>
        <v>1</v>
      </c>
      <c r="N1850" s="3">
        <f t="shared" si="57"/>
        <v>0</v>
      </c>
      <c r="O1850" s="3" t="str">
        <f>IF(ISERROR(VLOOKUP(D1850,Data!$A$2:$C$223100,3,FALSE)),"INACTIVE",VLOOKUP(D1850,Data!$A$2:$C$223100,3,FALSE))</f>
        <v>Current</v>
      </c>
    </row>
    <row r="1851" spans="1:15" x14ac:dyDescent="0.25">
      <c r="A1851" t="s">
        <v>4899</v>
      </c>
      <c r="B1851" t="s">
        <v>4900</v>
      </c>
      <c r="C1851" t="s">
        <v>4998</v>
      </c>
      <c r="D1851" t="s">
        <v>4999</v>
      </c>
      <c r="E1851" t="s">
        <v>5000</v>
      </c>
      <c r="F1851" t="s">
        <v>5</v>
      </c>
      <c r="G1851" t="s">
        <v>5</v>
      </c>
      <c r="H1851" t="s">
        <v>5</v>
      </c>
      <c r="I1851" t="s">
        <v>4603</v>
      </c>
      <c r="J1851" t="s">
        <v>90</v>
      </c>
      <c r="K1851" s="3">
        <f t="shared" si="56"/>
        <v>0</v>
      </c>
      <c r="L1851" s="3">
        <f>IF(ISERROR(VLOOKUP(J1851,Lookups!$A$2:$A$16,1,FALSE)),1,0)</f>
        <v>0</v>
      </c>
      <c r="M1851" s="3">
        <f>IF(ISERROR(VLOOKUP(D1851,Data!$A$2:$D$223100,2,FALSE)),0,1)</f>
        <v>1</v>
      </c>
      <c r="N1851" s="3">
        <f t="shared" si="57"/>
        <v>0</v>
      </c>
      <c r="O1851" s="3" t="str">
        <f>IF(ISERROR(VLOOKUP(D1851,Data!$A$2:$C$223100,3,FALSE)),"INACTIVE",VLOOKUP(D1851,Data!$A$2:$C$223100,3,FALSE))</f>
        <v>Current</v>
      </c>
    </row>
    <row r="1852" spans="1:15" x14ac:dyDescent="0.25">
      <c r="A1852" t="s">
        <v>4899</v>
      </c>
      <c r="B1852" t="s">
        <v>4900</v>
      </c>
      <c r="C1852" t="s">
        <v>5001</v>
      </c>
      <c r="D1852" t="s">
        <v>5002</v>
      </c>
      <c r="E1852" t="s">
        <v>5003</v>
      </c>
      <c r="F1852" t="s">
        <v>5</v>
      </c>
      <c r="G1852" t="s">
        <v>5</v>
      </c>
      <c r="H1852" t="s">
        <v>5</v>
      </c>
      <c r="I1852" t="s">
        <v>4603</v>
      </c>
      <c r="J1852" t="s">
        <v>90</v>
      </c>
      <c r="K1852" s="3">
        <f t="shared" si="56"/>
        <v>0</v>
      </c>
      <c r="L1852" s="3">
        <f>IF(ISERROR(VLOOKUP(J1852,Lookups!$A$2:$A$16,1,FALSE)),1,0)</f>
        <v>0</v>
      </c>
      <c r="M1852" s="3">
        <f>IF(ISERROR(VLOOKUP(D1852,Data!$A$2:$D$223100,2,FALSE)),0,1)</f>
        <v>1</v>
      </c>
      <c r="N1852" s="3">
        <f t="shared" si="57"/>
        <v>0</v>
      </c>
      <c r="O1852" s="3" t="str">
        <f>IF(ISERROR(VLOOKUP(D1852,Data!$A$2:$C$223100,3,FALSE)),"INACTIVE",VLOOKUP(D1852,Data!$A$2:$C$223100,3,FALSE))</f>
        <v>60+</v>
      </c>
    </row>
    <row r="1853" spans="1:15" x14ac:dyDescent="0.25">
      <c r="A1853" t="s">
        <v>4899</v>
      </c>
      <c r="B1853" t="s">
        <v>4900</v>
      </c>
      <c r="C1853" t="s">
        <v>5004</v>
      </c>
      <c r="D1853" t="s">
        <v>5005</v>
      </c>
      <c r="E1853" t="s">
        <v>5006</v>
      </c>
      <c r="F1853" t="s">
        <v>5</v>
      </c>
      <c r="G1853" t="s">
        <v>5</v>
      </c>
      <c r="H1853" t="s">
        <v>5</v>
      </c>
      <c r="I1853" t="s">
        <v>4603</v>
      </c>
      <c r="J1853" t="s">
        <v>90</v>
      </c>
      <c r="K1853" s="3">
        <f t="shared" si="56"/>
        <v>0</v>
      </c>
      <c r="L1853" s="3">
        <f>IF(ISERROR(VLOOKUP(J1853,Lookups!$A$2:$A$16,1,FALSE)),1,0)</f>
        <v>0</v>
      </c>
      <c r="M1853" s="3">
        <f>IF(ISERROR(VLOOKUP(D1853,Data!$A$2:$D$223100,2,FALSE)),0,1)</f>
        <v>1</v>
      </c>
      <c r="N1853" s="3">
        <f t="shared" si="57"/>
        <v>0</v>
      </c>
      <c r="O1853" s="3" t="str">
        <f>IF(ISERROR(VLOOKUP(D1853,Data!$A$2:$C$223100,3,FALSE)),"INACTIVE",VLOOKUP(D1853,Data!$A$2:$C$223100,3,FALSE))</f>
        <v>120+</v>
      </c>
    </row>
    <row r="1854" spans="1:15" x14ac:dyDescent="0.25">
      <c r="A1854" t="s">
        <v>4899</v>
      </c>
      <c r="B1854" t="s">
        <v>4900</v>
      </c>
      <c r="C1854" t="s">
        <v>5007</v>
      </c>
      <c r="D1854" t="s">
        <v>5008</v>
      </c>
      <c r="E1854" t="s">
        <v>5009</v>
      </c>
      <c r="F1854" t="s">
        <v>5</v>
      </c>
      <c r="G1854" t="s">
        <v>5</v>
      </c>
      <c r="H1854" t="s">
        <v>5</v>
      </c>
      <c r="I1854" t="s">
        <v>4603</v>
      </c>
      <c r="J1854" t="s">
        <v>90</v>
      </c>
      <c r="K1854" s="3">
        <f t="shared" si="56"/>
        <v>0</v>
      </c>
      <c r="L1854" s="3">
        <f>IF(ISERROR(VLOOKUP(J1854,Lookups!$A$2:$A$16,1,FALSE)),1,0)</f>
        <v>0</v>
      </c>
      <c r="M1854" s="3">
        <f>IF(ISERROR(VLOOKUP(D1854,Data!$A$2:$D$223100,2,FALSE)),0,1)</f>
        <v>1</v>
      </c>
      <c r="N1854" s="3">
        <f t="shared" si="57"/>
        <v>0</v>
      </c>
      <c r="O1854" s="3" t="str">
        <f>IF(ISERROR(VLOOKUP(D1854,Data!$A$2:$C$223100,3,FALSE)),"INACTIVE",VLOOKUP(D1854,Data!$A$2:$C$223100,3,FALSE))</f>
        <v>FBA</v>
      </c>
    </row>
    <row r="1855" spans="1:15" x14ac:dyDescent="0.25">
      <c r="A1855" t="s">
        <v>4899</v>
      </c>
      <c r="B1855" t="s">
        <v>4900</v>
      </c>
      <c r="C1855" t="s">
        <v>5010</v>
      </c>
      <c r="D1855" t="s">
        <v>5011</v>
      </c>
      <c r="E1855" t="s">
        <v>5012</v>
      </c>
      <c r="F1855" t="s">
        <v>5</v>
      </c>
      <c r="G1855" t="s">
        <v>5</v>
      </c>
      <c r="H1855" t="s">
        <v>5</v>
      </c>
      <c r="I1855" t="s">
        <v>4603</v>
      </c>
      <c r="J1855" t="s">
        <v>90</v>
      </c>
      <c r="K1855" s="3">
        <f t="shared" si="56"/>
        <v>0</v>
      </c>
      <c r="L1855" s="3">
        <f>IF(ISERROR(VLOOKUP(J1855,Lookups!$A$2:$A$16,1,FALSE)),1,0)</f>
        <v>0</v>
      </c>
      <c r="M1855" s="3">
        <f>IF(ISERROR(VLOOKUP(D1855,Data!$A$2:$D$223100,2,FALSE)),0,1)</f>
        <v>1</v>
      </c>
      <c r="N1855" s="3">
        <f t="shared" si="57"/>
        <v>0</v>
      </c>
      <c r="O1855" s="3" t="str">
        <f>IF(ISERROR(VLOOKUP(D1855,Data!$A$2:$C$223100,3,FALSE)),"INACTIVE",VLOOKUP(D1855,Data!$A$2:$C$223100,3,FALSE))</f>
        <v>FBA</v>
      </c>
    </row>
    <row r="1856" spans="1:15" x14ac:dyDescent="0.25">
      <c r="A1856" t="s">
        <v>4899</v>
      </c>
      <c r="B1856" t="s">
        <v>4900</v>
      </c>
      <c r="C1856" t="s">
        <v>5013</v>
      </c>
      <c r="D1856" t="s">
        <v>5014</v>
      </c>
      <c r="E1856" t="s">
        <v>5015</v>
      </c>
      <c r="F1856" t="s">
        <v>5</v>
      </c>
      <c r="G1856" t="s">
        <v>5</v>
      </c>
      <c r="H1856" t="s">
        <v>5</v>
      </c>
      <c r="I1856" t="s">
        <v>4603</v>
      </c>
      <c r="J1856" t="s">
        <v>90</v>
      </c>
      <c r="K1856" s="3">
        <f t="shared" si="56"/>
        <v>0</v>
      </c>
      <c r="L1856" s="3">
        <f>IF(ISERROR(VLOOKUP(J1856,Lookups!$A$2:$A$16,1,FALSE)),1,0)</f>
        <v>0</v>
      </c>
      <c r="M1856" s="3">
        <f>IF(ISERROR(VLOOKUP(D1856,Data!$A$2:$D$223100,2,FALSE)),0,1)</f>
        <v>1</v>
      </c>
      <c r="N1856" s="3">
        <f t="shared" si="57"/>
        <v>0</v>
      </c>
      <c r="O1856" s="3" t="str">
        <f>IF(ISERROR(VLOOKUP(D1856,Data!$A$2:$C$223100,3,FALSE)),"INACTIVE",VLOOKUP(D1856,Data!$A$2:$C$223100,3,FALSE))</f>
        <v>FC</v>
      </c>
    </row>
    <row r="1857" spans="1:15" x14ac:dyDescent="0.25">
      <c r="A1857" t="s">
        <v>4899</v>
      </c>
      <c r="B1857" t="s">
        <v>4900</v>
      </c>
      <c r="C1857" t="s">
        <v>5016</v>
      </c>
      <c r="D1857" t="s">
        <v>5017</v>
      </c>
      <c r="E1857" t="s">
        <v>5018</v>
      </c>
      <c r="F1857" t="s">
        <v>5</v>
      </c>
      <c r="G1857" t="s">
        <v>5</v>
      </c>
      <c r="H1857" t="s">
        <v>5</v>
      </c>
      <c r="I1857" t="s">
        <v>4603</v>
      </c>
      <c r="J1857" t="s">
        <v>90</v>
      </c>
      <c r="K1857" s="3">
        <f t="shared" si="56"/>
        <v>0</v>
      </c>
      <c r="L1857" s="3">
        <f>IF(ISERROR(VLOOKUP(J1857,Lookups!$A$2:$A$16,1,FALSE)),1,0)</f>
        <v>0</v>
      </c>
      <c r="M1857" s="3">
        <f>IF(ISERROR(VLOOKUP(D1857,Data!$A$2:$D$223100,2,FALSE)),0,1)</f>
        <v>1</v>
      </c>
      <c r="N1857" s="3">
        <f t="shared" si="57"/>
        <v>0</v>
      </c>
      <c r="O1857" s="3" t="str">
        <f>IF(ISERROR(VLOOKUP(D1857,Data!$A$2:$C$223100,3,FALSE)),"INACTIVE",VLOOKUP(D1857,Data!$A$2:$C$223100,3,FALSE))</f>
        <v>30+</v>
      </c>
    </row>
    <row r="1858" spans="1:15" x14ac:dyDescent="0.25">
      <c r="A1858" t="s">
        <v>4899</v>
      </c>
      <c r="B1858" t="s">
        <v>4900</v>
      </c>
      <c r="C1858" t="s">
        <v>5019</v>
      </c>
      <c r="D1858" t="s">
        <v>5020</v>
      </c>
      <c r="E1858" t="s">
        <v>5021</v>
      </c>
      <c r="F1858" t="s">
        <v>5</v>
      </c>
      <c r="G1858" t="s">
        <v>5</v>
      </c>
      <c r="H1858" t="s">
        <v>5</v>
      </c>
      <c r="I1858" t="s">
        <v>4603</v>
      </c>
      <c r="J1858" t="s">
        <v>90</v>
      </c>
      <c r="K1858" s="3">
        <f t="shared" si="56"/>
        <v>0</v>
      </c>
      <c r="L1858" s="3">
        <f>IF(ISERROR(VLOOKUP(J1858,Lookups!$A$2:$A$16,1,FALSE)),1,0)</f>
        <v>0</v>
      </c>
      <c r="M1858" s="3">
        <f>IF(ISERROR(VLOOKUP(D1858,Data!$A$2:$D$223100,2,FALSE)),0,1)</f>
        <v>1</v>
      </c>
      <c r="N1858" s="3">
        <f t="shared" si="57"/>
        <v>0</v>
      </c>
      <c r="O1858" s="3" t="str">
        <f>IF(ISERROR(VLOOKUP(D1858,Data!$A$2:$C$223100,3,FALSE)),"INACTIVE",VLOOKUP(D1858,Data!$A$2:$C$223100,3,FALSE))</f>
        <v>FBA</v>
      </c>
    </row>
    <row r="1859" spans="1:15" x14ac:dyDescent="0.25">
      <c r="A1859" t="s">
        <v>4899</v>
      </c>
      <c r="B1859" t="s">
        <v>4900</v>
      </c>
      <c r="C1859" t="s">
        <v>5022</v>
      </c>
      <c r="D1859" t="s">
        <v>5023</v>
      </c>
      <c r="E1859" t="s">
        <v>5024</v>
      </c>
      <c r="F1859" t="s">
        <v>5</v>
      </c>
      <c r="G1859" t="s">
        <v>5</v>
      </c>
      <c r="H1859" t="s">
        <v>5</v>
      </c>
      <c r="I1859" t="s">
        <v>4603</v>
      </c>
      <c r="J1859" t="s">
        <v>90</v>
      </c>
      <c r="K1859" s="3">
        <f t="shared" ref="K1859:K1922" si="58">IF(ISERROR(FIND("LIEN",A1859,1)),0,1)</f>
        <v>0</v>
      </c>
      <c r="L1859" s="3">
        <f>IF(ISERROR(VLOOKUP(J1859,Lookups!$A$2:$A$16,1,FALSE)),1,0)</f>
        <v>0</v>
      </c>
      <c r="M1859" s="3">
        <f>IF(ISERROR(VLOOKUP(D1859,Data!$A$2:$D$223100,2,FALSE)),0,1)</f>
        <v>1</v>
      </c>
      <c r="N1859" s="3">
        <f t="shared" ref="N1859:N1922" si="59">IF(M1859=0,0,IF(SUM(K1859:L1859)&gt;0,1,0))</f>
        <v>0</v>
      </c>
      <c r="O1859" s="3" t="str">
        <f>IF(ISERROR(VLOOKUP(D1859,Data!$A$2:$C$223100,3,FALSE)),"INACTIVE",VLOOKUP(D1859,Data!$A$2:$C$223100,3,FALSE))</f>
        <v>FC</v>
      </c>
    </row>
    <row r="1860" spans="1:15" x14ac:dyDescent="0.25">
      <c r="A1860" t="s">
        <v>4899</v>
      </c>
      <c r="B1860" t="s">
        <v>4900</v>
      </c>
      <c r="C1860" t="s">
        <v>5025</v>
      </c>
      <c r="D1860" t="s">
        <v>5026</v>
      </c>
      <c r="E1860" t="s">
        <v>5027</v>
      </c>
      <c r="F1860" t="s">
        <v>5</v>
      </c>
      <c r="G1860" t="s">
        <v>5</v>
      </c>
      <c r="H1860" t="s">
        <v>5</v>
      </c>
      <c r="I1860" t="s">
        <v>4603</v>
      </c>
      <c r="J1860" t="s">
        <v>90</v>
      </c>
      <c r="K1860" s="3">
        <f t="shared" si="58"/>
        <v>0</v>
      </c>
      <c r="L1860" s="3">
        <f>IF(ISERROR(VLOOKUP(J1860,Lookups!$A$2:$A$16,1,FALSE)),1,0)</f>
        <v>0</v>
      </c>
      <c r="M1860" s="3">
        <f>IF(ISERROR(VLOOKUP(D1860,Data!$A$2:$D$223100,2,FALSE)),0,1)</f>
        <v>1</v>
      </c>
      <c r="N1860" s="3">
        <f t="shared" si="59"/>
        <v>0</v>
      </c>
      <c r="O1860" s="3" t="str">
        <f>IF(ISERROR(VLOOKUP(D1860,Data!$A$2:$C$223100,3,FALSE)),"INACTIVE",VLOOKUP(D1860,Data!$A$2:$C$223100,3,FALSE))</f>
        <v>Current</v>
      </c>
    </row>
    <row r="1861" spans="1:15" x14ac:dyDescent="0.25">
      <c r="A1861" t="s">
        <v>4899</v>
      </c>
      <c r="B1861" t="s">
        <v>4900</v>
      </c>
      <c r="C1861" t="s">
        <v>5028</v>
      </c>
      <c r="D1861" t="s">
        <v>5029</v>
      </c>
      <c r="E1861" t="s">
        <v>5030</v>
      </c>
      <c r="F1861" t="s">
        <v>5</v>
      </c>
      <c r="G1861" t="s">
        <v>5</v>
      </c>
      <c r="H1861" t="s">
        <v>5</v>
      </c>
      <c r="I1861" t="s">
        <v>4603</v>
      </c>
      <c r="J1861" t="s">
        <v>90</v>
      </c>
      <c r="K1861" s="3">
        <f t="shared" si="58"/>
        <v>0</v>
      </c>
      <c r="L1861" s="3">
        <f>IF(ISERROR(VLOOKUP(J1861,Lookups!$A$2:$A$16,1,FALSE)),1,0)</f>
        <v>0</v>
      </c>
      <c r="M1861" s="3">
        <f>IF(ISERROR(VLOOKUP(D1861,Data!$A$2:$D$223100,2,FALSE)),0,1)</f>
        <v>1</v>
      </c>
      <c r="N1861" s="3">
        <f t="shared" si="59"/>
        <v>0</v>
      </c>
      <c r="O1861" s="3" t="str">
        <f>IF(ISERROR(VLOOKUP(D1861,Data!$A$2:$C$223100,3,FALSE)),"INACTIVE",VLOOKUP(D1861,Data!$A$2:$C$223100,3,FALSE))</f>
        <v>FBA</v>
      </c>
    </row>
    <row r="1862" spans="1:15" x14ac:dyDescent="0.25">
      <c r="A1862" t="s">
        <v>4899</v>
      </c>
      <c r="B1862" t="s">
        <v>4900</v>
      </c>
      <c r="C1862" t="s">
        <v>5031</v>
      </c>
      <c r="D1862" t="s">
        <v>5032</v>
      </c>
      <c r="E1862" t="s">
        <v>5033</v>
      </c>
      <c r="F1862" t="s">
        <v>5</v>
      </c>
      <c r="G1862" t="s">
        <v>5</v>
      </c>
      <c r="H1862" t="s">
        <v>5</v>
      </c>
      <c r="I1862" t="s">
        <v>4603</v>
      </c>
      <c r="J1862" t="s">
        <v>90</v>
      </c>
      <c r="K1862" s="3">
        <f t="shared" si="58"/>
        <v>0</v>
      </c>
      <c r="L1862" s="3">
        <f>IF(ISERROR(VLOOKUP(J1862,Lookups!$A$2:$A$16,1,FALSE)),1,0)</f>
        <v>0</v>
      </c>
      <c r="M1862" s="3">
        <f>IF(ISERROR(VLOOKUP(D1862,Data!$A$2:$D$223100,2,FALSE)),0,1)</f>
        <v>1</v>
      </c>
      <c r="N1862" s="3">
        <f t="shared" si="59"/>
        <v>0</v>
      </c>
      <c r="O1862" s="3" t="str">
        <f>IF(ISERROR(VLOOKUP(D1862,Data!$A$2:$C$223100,3,FALSE)),"INACTIVE",VLOOKUP(D1862,Data!$A$2:$C$223100,3,FALSE))</f>
        <v>FC</v>
      </c>
    </row>
    <row r="1863" spans="1:15" x14ac:dyDescent="0.25">
      <c r="A1863" t="s">
        <v>4899</v>
      </c>
      <c r="B1863" t="s">
        <v>4900</v>
      </c>
      <c r="C1863" t="s">
        <v>5034</v>
      </c>
      <c r="D1863" t="s">
        <v>5035</v>
      </c>
      <c r="E1863" t="s">
        <v>5036</v>
      </c>
      <c r="F1863" t="s">
        <v>5</v>
      </c>
      <c r="G1863" t="s">
        <v>5</v>
      </c>
      <c r="H1863" t="s">
        <v>5</v>
      </c>
      <c r="I1863" t="s">
        <v>4603</v>
      </c>
      <c r="J1863" t="s">
        <v>96</v>
      </c>
      <c r="K1863" s="3">
        <f t="shared" si="58"/>
        <v>0</v>
      </c>
      <c r="L1863" s="3">
        <f>IF(ISERROR(VLOOKUP(J1863,Lookups!$A$2:$A$16,1,FALSE)),1,0)</f>
        <v>0</v>
      </c>
      <c r="M1863" s="3">
        <f>IF(ISERROR(VLOOKUP(D1863,Data!$A$2:$D$223100,2,FALSE)),0,1)</f>
        <v>1</v>
      </c>
      <c r="N1863" s="3">
        <f t="shared" si="59"/>
        <v>0</v>
      </c>
      <c r="O1863" s="3" t="str">
        <f>IF(ISERROR(VLOOKUP(D1863,Data!$A$2:$C$223100,3,FALSE)),"INACTIVE",VLOOKUP(D1863,Data!$A$2:$C$223100,3,FALSE))</f>
        <v>Current</v>
      </c>
    </row>
    <row r="1864" spans="1:15" x14ac:dyDescent="0.25">
      <c r="A1864" t="s">
        <v>4899</v>
      </c>
      <c r="B1864" t="s">
        <v>4900</v>
      </c>
      <c r="C1864" t="s">
        <v>5034</v>
      </c>
      <c r="D1864" t="s">
        <v>5035</v>
      </c>
      <c r="E1864" t="s">
        <v>5037</v>
      </c>
      <c r="F1864" t="s">
        <v>5</v>
      </c>
      <c r="G1864" t="s">
        <v>5</v>
      </c>
      <c r="H1864" t="s">
        <v>5</v>
      </c>
      <c r="I1864" t="s">
        <v>4603</v>
      </c>
      <c r="J1864" t="s">
        <v>96</v>
      </c>
      <c r="K1864" s="3">
        <f t="shared" si="58"/>
        <v>0</v>
      </c>
      <c r="L1864" s="3">
        <f>IF(ISERROR(VLOOKUP(J1864,Lookups!$A$2:$A$16,1,FALSE)),1,0)</f>
        <v>0</v>
      </c>
      <c r="M1864" s="3">
        <f>IF(ISERROR(VLOOKUP(D1864,Data!$A$2:$D$223100,2,FALSE)),0,1)</f>
        <v>1</v>
      </c>
      <c r="N1864" s="3">
        <f t="shared" si="59"/>
        <v>0</v>
      </c>
      <c r="O1864" s="3" t="str">
        <f>IF(ISERROR(VLOOKUP(D1864,Data!$A$2:$C$223100,3,FALSE)),"INACTIVE",VLOOKUP(D1864,Data!$A$2:$C$223100,3,FALSE))</f>
        <v>Current</v>
      </c>
    </row>
    <row r="1865" spans="1:15" x14ac:dyDescent="0.25">
      <c r="A1865" t="s">
        <v>4899</v>
      </c>
      <c r="B1865" t="s">
        <v>4900</v>
      </c>
      <c r="C1865" t="s">
        <v>5034</v>
      </c>
      <c r="D1865" t="s">
        <v>5035</v>
      </c>
      <c r="E1865" t="s">
        <v>5038</v>
      </c>
      <c r="F1865" t="s">
        <v>5</v>
      </c>
      <c r="G1865" t="s">
        <v>5</v>
      </c>
      <c r="H1865" t="s">
        <v>5</v>
      </c>
      <c r="I1865" t="s">
        <v>4603</v>
      </c>
      <c r="J1865" t="s">
        <v>96</v>
      </c>
      <c r="K1865" s="3">
        <f t="shared" si="58"/>
        <v>0</v>
      </c>
      <c r="L1865" s="3">
        <f>IF(ISERROR(VLOOKUP(J1865,Lookups!$A$2:$A$16,1,FALSE)),1,0)</f>
        <v>0</v>
      </c>
      <c r="M1865" s="3">
        <f>IF(ISERROR(VLOOKUP(D1865,Data!$A$2:$D$223100,2,FALSE)),0,1)</f>
        <v>1</v>
      </c>
      <c r="N1865" s="3">
        <f t="shared" si="59"/>
        <v>0</v>
      </c>
      <c r="O1865" s="3" t="str">
        <f>IF(ISERROR(VLOOKUP(D1865,Data!$A$2:$C$223100,3,FALSE)),"INACTIVE",VLOOKUP(D1865,Data!$A$2:$C$223100,3,FALSE))</f>
        <v>Current</v>
      </c>
    </row>
    <row r="1866" spans="1:15" x14ac:dyDescent="0.25">
      <c r="A1866" t="s">
        <v>4899</v>
      </c>
      <c r="B1866" t="s">
        <v>4900</v>
      </c>
      <c r="C1866" t="s">
        <v>5034</v>
      </c>
      <c r="D1866" t="s">
        <v>5035</v>
      </c>
      <c r="E1866" t="s">
        <v>5039</v>
      </c>
      <c r="F1866" t="s">
        <v>5</v>
      </c>
      <c r="G1866" t="s">
        <v>5</v>
      </c>
      <c r="H1866" t="s">
        <v>5</v>
      </c>
      <c r="I1866" t="s">
        <v>4603</v>
      </c>
      <c r="J1866" t="s">
        <v>96</v>
      </c>
      <c r="K1866" s="3">
        <f t="shared" si="58"/>
        <v>0</v>
      </c>
      <c r="L1866" s="3">
        <f>IF(ISERROR(VLOOKUP(J1866,Lookups!$A$2:$A$16,1,FALSE)),1,0)</f>
        <v>0</v>
      </c>
      <c r="M1866" s="3">
        <f>IF(ISERROR(VLOOKUP(D1866,Data!$A$2:$D$223100,2,FALSE)),0,1)</f>
        <v>1</v>
      </c>
      <c r="N1866" s="3">
        <f t="shared" si="59"/>
        <v>0</v>
      </c>
      <c r="O1866" s="3" t="str">
        <f>IF(ISERROR(VLOOKUP(D1866,Data!$A$2:$C$223100,3,FALSE)),"INACTIVE",VLOOKUP(D1866,Data!$A$2:$C$223100,3,FALSE))</f>
        <v>Current</v>
      </c>
    </row>
    <row r="1867" spans="1:15" x14ac:dyDescent="0.25">
      <c r="A1867" t="s">
        <v>4899</v>
      </c>
      <c r="B1867" t="s">
        <v>4900</v>
      </c>
      <c r="C1867" t="s">
        <v>5040</v>
      </c>
      <c r="D1867" t="s">
        <v>5041</v>
      </c>
      <c r="E1867" t="s">
        <v>5042</v>
      </c>
      <c r="F1867" t="s">
        <v>5</v>
      </c>
      <c r="G1867" t="s">
        <v>5</v>
      </c>
      <c r="H1867" t="s">
        <v>5</v>
      </c>
      <c r="I1867" t="s">
        <v>4603</v>
      </c>
      <c r="J1867" t="s">
        <v>90</v>
      </c>
      <c r="K1867" s="3">
        <f t="shared" si="58"/>
        <v>0</v>
      </c>
      <c r="L1867" s="3">
        <f>IF(ISERROR(VLOOKUP(J1867,Lookups!$A$2:$A$16,1,FALSE)),1,0)</f>
        <v>0</v>
      </c>
      <c r="M1867" s="3">
        <f>IF(ISERROR(VLOOKUP(D1867,Data!$A$2:$D$223100,2,FALSE)),0,1)</f>
        <v>1</v>
      </c>
      <c r="N1867" s="3">
        <f t="shared" si="59"/>
        <v>0</v>
      </c>
      <c r="O1867" s="3" t="str">
        <f>IF(ISERROR(VLOOKUP(D1867,Data!$A$2:$C$223100,3,FALSE)),"INACTIVE",VLOOKUP(D1867,Data!$A$2:$C$223100,3,FALSE))</f>
        <v>Current</v>
      </c>
    </row>
    <row r="1868" spans="1:15" x14ac:dyDescent="0.25">
      <c r="A1868" t="s">
        <v>4899</v>
      </c>
      <c r="B1868" t="s">
        <v>4900</v>
      </c>
      <c r="C1868" t="s">
        <v>5043</v>
      </c>
      <c r="D1868" t="s">
        <v>5044</v>
      </c>
      <c r="E1868" t="s">
        <v>5045</v>
      </c>
      <c r="F1868" t="s">
        <v>5</v>
      </c>
      <c r="G1868" t="s">
        <v>5</v>
      </c>
      <c r="H1868" t="s">
        <v>5</v>
      </c>
      <c r="I1868" t="s">
        <v>4603</v>
      </c>
      <c r="J1868" t="s">
        <v>90</v>
      </c>
      <c r="K1868" s="3">
        <f t="shared" si="58"/>
        <v>0</v>
      </c>
      <c r="L1868" s="3">
        <f>IF(ISERROR(VLOOKUP(J1868,Lookups!$A$2:$A$16,1,FALSE)),1,0)</f>
        <v>0</v>
      </c>
      <c r="M1868" s="3">
        <f>IF(ISERROR(VLOOKUP(D1868,Data!$A$2:$D$223100,2,FALSE)),0,1)</f>
        <v>1</v>
      </c>
      <c r="N1868" s="3">
        <f t="shared" si="59"/>
        <v>0</v>
      </c>
      <c r="O1868" s="3" t="str">
        <f>IF(ISERROR(VLOOKUP(D1868,Data!$A$2:$C$223100,3,FALSE)),"INACTIVE",VLOOKUP(D1868,Data!$A$2:$C$223100,3,FALSE))</f>
        <v>Current</v>
      </c>
    </row>
    <row r="1869" spans="1:15" x14ac:dyDescent="0.25">
      <c r="A1869" t="s">
        <v>4899</v>
      </c>
      <c r="B1869" t="s">
        <v>4900</v>
      </c>
      <c r="C1869" t="s">
        <v>5046</v>
      </c>
      <c r="D1869" t="s">
        <v>5047</v>
      </c>
      <c r="E1869" t="s">
        <v>5048</v>
      </c>
      <c r="F1869" t="s">
        <v>5</v>
      </c>
      <c r="G1869" t="s">
        <v>5</v>
      </c>
      <c r="H1869" t="s">
        <v>5</v>
      </c>
      <c r="I1869" t="s">
        <v>4603</v>
      </c>
      <c r="J1869" t="s">
        <v>90</v>
      </c>
      <c r="K1869" s="3">
        <f t="shared" si="58"/>
        <v>0</v>
      </c>
      <c r="L1869" s="3">
        <f>IF(ISERROR(VLOOKUP(J1869,Lookups!$A$2:$A$16,1,FALSE)),1,0)</f>
        <v>0</v>
      </c>
      <c r="M1869" s="3">
        <f>IF(ISERROR(VLOOKUP(D1869,Data!$A$2:$D$223100,2,FALSE)),0,1)</f>
        <v>1</v>
      </c>
      <c r="N1869" s="3">
        <f t="shared" si="59"/>
        <v>0</v>
      </c>
      <c r="O1869" s="3" t="str">
        <f>IF(ISERROR(VLOOKUP(D1869,Data!$A$2:$C$223100,3,FALSE)),"INACTIVE",VLOOKUP(D1869,Data!$A$2:$C$223100,3,FALSE))</f>
        <v>FBA</v>
      </c>
    </row>
    <row r="1870" spans="1:15" x14ac:dyDescent="0.25">
      <c r="A1870" t="s">
        <v>4899</v>
      </c>
      <c r="B1870" t="s">
        <v>4900</v>
      </c>
      <c r="C1870" t="s">
        <v>5049</v>
      </c>
      <c r="D1870" t="s">
        <v>5050</v>
      </c>
      <c r="E1870" t="s">
        <v>5051</v>
      </c>
      <c r="F1870" t="s">
        <v>5</v>
      </c>
      <c r="G1870" t="s">
        <v>5</v>
      </c>
      <c r="H1870" t="s">
        <v>5</v>
      </c>
      <c r="I1870" t="s">
        <v>4603</v>
      </c>
      <c r="J1870" t="s">
        <v>96</v>
      </c>
      <c r="K1870" s="3">
        <f t="shared" si="58"/>
        <v>0</v>
      </c>
      <c r="L1870" s="3">
        <f>IF(ISERROR(VLOOKUP(J1870,Lookups!$A$2:$A$16,1,FALSE)),1,0)</f>
        <v>0</v>
      </c>
      <c r="M1870" s="3">
        <f>IF(ISERROR(VLOOKUP(D1870,Data!$A$2:$D$223100,2,FALSE)),0,1)</f>
        <v>1</v>
      </c>
      <c r="N1870" s="3">
        <f t="shared" si="59"/>
        <v>0</v>
      </c>
      <c r="O1870" s="3" t="str">
        <f>IF(ISERROR(VLOOKUP(D1870,Data!$A$2:$C$223100,3,FALSE)),"INACTIVE",VLOOKUP(D1870,Data!$A$2:$C$223100,3,FALSE))</f>
        <v>90+</v>
      </c>
    </row>
    <row r="1871" spans="1:15" x14ac:dyDescent="0.25">
      <c r="A1871" t="s">
        <v>4899</v>
      </c>
      <c r="B1871" t="s">
        <v>4900</v>
      </c>
      <c r="C1871" t="s">
        <v>5049</v>
      </c>
      <c r="D1871" t="s">
        <v>5050</v>
      </c>
      <c r="E1871" t="s">
        <v>5052</v>
      </c>
      <c r="F1871" t="s">
        <v>5</v>
      </c>
      <c r="G1871" t="s">
        <v>5</v>
      </c>
      <c r="H1871" t="s">
        <v>5</v>
      </c>
      <c r="I1871" t="s">
        <v>4603</v>
      </c>
      <c r="J1871" t="s">
        <v>96</v>
      </c>
      <c r="K1871" s="3">
        <f t="shared" si="58"/>
        <v>0</v>
      </c>
      <c r="L1871" s="3">
        <f>IF(ISERROR(VLOOKUP(J1871,Lookups!$A$2:$A$16,1,FALSE)),1,0)</f>
        <v>0</v>
      </c>
      <c r="M1871" s="3">
        <f>IF(ISERROR(VLOOKUP(D1871,Data!$A$2:$D$223100,2,FALSE)),0,1)</f>
        <v>1</v>
      </c>
      <c r="N1871" s="3">
        <f t="shared" si="59"/>
        <v>0</v>
      </c>
      <c r="O1871" s="3" t="str">
        <f>IF(ISERROR(VLOOKUP(D1871,Data!$A$2:$C$223100,3,FALSE)),"INACTIVE",VLOOKUP(D1871,Data!$A$2:$C$223100,3,FALSE))</f>
        <v>90+</v>
      </c>
    </row>
    <row r="1872" spans="1:15" x14ac:dyDescent="0.25">
      <c r="A1872" t="s">
        <v>4899</v>
      </c>
      <c r="B1872" t="s">
        <v>4900</v>
      </c>
      <c r="C1872" t="s">
        <v>5049</v>
      </c>
      <c r="D1872" t="s">
        <v>5050</v>
      </c>
      <c r="E1872" t="s">
        <v>5053</v>
      </c>
      <c r="F1872" t="s">
        <v>5</v>
      </c>
      <c r="G1872" t="s">
        <v>5</v>
      </c>
      <c r="H1872" t="s">
        <v>5</v>
      </c>
      <c r="I1872" t="s">
        <v>4603</v>
      </c>
      <c r="J1872" t="s">
        <v>96</v>
      </c>
      <c r="K1872" s="3">
        <f t="shared" si="58"/>
        <v>0</v>
      </c>
      <c r="L1872" s="3">
        <f>IF(ISERROR(VLOOKUP(J1872,Lookups!$A$2:$A$16,1,FALSE)),1,0)</f>
        <v>0</v>
      </c>
      <c r="M1872" s="3">
        <f>IF(ISERROR(VLOOKUP(D1872,Data!$A$2:$D$223100,2,FALSE)),0,1)</f>
        <v>1</v>
      </c>
      <c r="N1872" s="3">
        <f t="shared" si="59"/>
        <v>0</v>
      </c>
      <c r="O1872" s="3" t="str">
        <f>IF(ISERROR(VLOOKUP(D1872,Data!$A$2:$C$223100,3,FALSE)),"INACTIVE",VLOOKUP(D1872,Data!$A$2:$C$223100,3,FALSE))</f>
        <v>90+</v>
      </c>
    </row>
    <row r="1873" spans="1:15" x14ac:dyDescent="0.25">
      <c r="A1873" t="s">
        <v>4899</v>
      </c>
      <c r="B1873" t="s">
        <v>4900</v>
      </c>
      <c r="C1873" t="s">
        <v>5054</v>
      </c>
      <c r="D1873" t="s">
        <v>5055</v>
      </c>
      <c r="E1873" t="s">
        <v>5056</v>
      </c>
      <c r="F1873" t="s">
        <v>5</v>
      </c>
      <c r="G1873" t="s">
        <v>5</v>
      </c>
      <c r="H1873" t="s">
        <v>5</v>
      </c>
      <c r="I1873" t="s">
        <v>4603</v>
      </c>
      <c r="J1873" t="s">
        <v>96</v>
      </c>
      <c r="K1873" s="3">
        <f t="shared" si="58"/>
        <v>0</v>
      </c>
      <c r="L1873" s="3">
        <f>IF(ISERROR(VLOOKUP(J1873,Lookups!$A$2:$A$16,1,FALSE)),1,0)</f>
        <v>0</v>
      </c>
      <c r="M1873" s="3">
        <f>IF(ISERROR(VLOOKUP(D1873,Data!$A$2:$D$223100,2,FALSE)),0,1)</f>
        <v>1</v>
      </c>
      <c r="N1873" s="3">
        <f t="shared" si="59"/>
        <v>0</v>
      </c>
      <c r="O1873" s="3" t="str">
        <f>IF(ISERROR(VLOOKUP(D1873,Data!$A$2:$C$223100,3,FALSE)),"INACTIVE",VLOOKUP(D1873,Data!$A$2:$C$223100,3,FALSE))</f>
        <v>FC</v>
      </c>
    </row>
    <row r="1874" spans="1:15" x14ac:dyDescent="0.25">
      <c r="A1874" t="s">
        <v>4899</v>
      </c>
      <c r="B1874" t="s">
        <v>4900</v>
      </c>
      <c r="C1874" t="s">
        <v>5054</v>
      </c>
      <c r="D1874" t="s">
        <v>5055</v>
      </c>
      <c r="E1874" t="s">
        <v>5057</v>
      </c>
      <c r="F1874" t="s">
        <v>5</v>
      </c>
      <c r="G1874" t="s">
        <v>5</v>
      </c>
      <c r="H1874" t="s">
        <v>5</v>
      </c>
      <c r="I1874" t="s">
        <v>4603</v>
      </c>
      <c r="J1874" t="s">
        <v>96</v>
      </c>
      <c r="K1874" s="3">
        <f t="shared" si="58"/>
        <v>0</v>
      </c>
      <c r="L1874" s="3">
        <f>IF(ISERROR(VLOOKUP(J1874,Lookups!$A$2:$A$16,1,FALSE)),1,0)</f>
        <v>0</v>
      </c>
      <c r="M1874" s="3">
        <f>IF(ISERROR(VLOOKUP(D1874,Data!$A$2:$D$223100,2,FALSE)),0,1)</f>
        <v>1</v>
      </c>
      <c r="N1874" s="3">
        <f t="shared" si="59"/>
        <v>0</v>
      </c>
      <c r="O1874" s="3" t="str">
        <f>IF(ISERROR(VLOOKUP(D1874,Data!$A$2:$C$223100,3,FALSE)),"INACTIVE",VLOOKUP(D1874,Data!$A$2:$C$223100,3,FALSE))</f>
        <v>FC</v>
      </c>
    </row>
    <row r="1875" spans="1:15" x14ac:dyDescent="0.25">
      <c r="A1875" t="s">
        <v>4899</v>
      </c>
      <c r="B1875" t="s">
        <v>4900</v>
      </c>
      <c r="C1875" t="s">
        <v>5054</v>
      </c>
      <c r="D1875" t="s">
        <v>5055</v>
      </c>
      <c r="E1875" t="s">
        <v>5058</v>
      </c>
      <c r="F1875" t="s">
        <v>5</v>
      </c>
      <c r="G1875" t="s">
        <v>5</v>
      </c>
      <c r="H1875" t="s">
        <v>5</v>
      </c>
      <c r="I1875" t="s">
        <v>4603</v>
      </c>
      <c r="J1875" t="s">
        <v>96</v>
      </c>
      <c r="K1875" s="3">
        <f t="shared" si="58"/>
        <v>0</v>
      </c>
      <c r="L1875" s="3">
        <f>IF(ISERROR(VLOOKUP(J1875,Lookups!$A$2:$A$16,1,FALSE)),1,0)</f>
        <v>0</v>
      </c>
      <c r="M1875" s="3">
        <f>IF(ISERROR(VLOOKUP(D1875,Data!$A$2:$D$223100,2,FALSE)),0,1)</f>
        <v>1</v>
      </c>
      <c r="N1875" s="3">
        <f t="shared" si="59"/>
        <v>0</v>
      </c>
      <c r="O1875" s="3" t="str">
        <f>IF(ISERROR(VLOOKUP(D1875,Data!$A$2:$C$223100,3,FALSE)),"INACTIVE",VLOOKUP(D1875,Data!$A$2:$C$223100,3,FALSE))</f>
        <v>FC</v>
      </c>
    </row>
    <row r="1876" spans="1:15" x14ac:dyDescent="0.25">
      <c r="A1876" t="s">
        <v>4899</v>
      </c>
      <c r="B1876" t="s">
        <v>4900</v>
      </c>
      <c r="C1876" t="s">
        <v>5054</v>
      </c>
      <c r="D1876" t="s">
        <v>5055</v>
      </c>
      <c r="E1876" t="s">
        <v>5059</v>
      </c>
      <c r="F1876" t="s">
        <v>5</v>
      </c>
      <c r="G1876" t="s">
        <v>5</v>
      </c>
      <c r="H1876" t="s">
        <v>5</v>
      </c>
      <c r="I1876" t="s">
        <v>4603</v>
      </c>
      <c r="J1876" t="s">
        <v>96</v>
      </c>
      <c r="K1876" s="3">
        <f t="shared" si="58"/>
        <v>0</v>
      </c>
      <c r="L1876" s="3">
        <f>IF(ISERROR(VLOOKUP(J1876,Lookups!$A$2:$A$16,1,FALSE)),1,0)</f>
        <v>0</v>
      </c>
      <c r="M1876" s="3">
        <f>IF(ISERROR(VLOOKUP(D1876,Data!$A$2:$D$223100,2,FALSE)),0,1)</f>
        <v>1</v>
      </c>
      <c r="N1876" s="3">
        <f t="shared" si="59"/>
        <v>0</v>
      </c>
      <c r="O1876" s="3" t="str">
        <f>IF(ISERROR(VLOOKUP(D1876,Data!$A$2:$C$223100,3,FALSE)),"INACTIVE",VLOOKUP(D1876,Data!$A$2:$C$223100,3,FALSE))</f>
        <v>FC</v>
      </c>
    </row>
    <row r="1877" spans="1:15" x14ac:dyDescent="0.25">
      <c r="A1877" t="s">
        <v>5191</v>
      </c>
      <c r="B1877" t="s">
        <v>5192</v>
      </c>
      <c r="C1877" t="s">
        <v>5193</v>
      </c>
      <c r="D1877" t="s">
        <v>5194</v>
      </c>
      <c r="E1877" t="s">
        <v>5195</v>
      </c>
      <c r="F1877" t="s">
        <v>5</v>
      </c>
      <c r="G1877" t="s">
        <v>5</v>
      </c>
      <c r="H1877" t="s">
        <v>5</v>
      </c>
      <c r="I1877" t="s">
        <v>4603</v>
      </c>
      <c r="J1877" t="s">
        <v>90</v>
      </c>
      <c r="K1877" s="3">
        <f t="shared" si="58"/>
        <v>0</v>
      </c>
      <c r="L1877" s="3">
        <f>IF(ISERROR(VLOOKUP(J1877,Lookups!$A$2:$A$16,1,FALSE)),1,0)</f>
        <v>0</v>
      </c>
      <c r="M1877" s="3">
        <f>IF(ISERROR(VLOOKUP(D1877,Data!$A$2:$D$223100,2,FALSE)),0,1)</f>
        <v>1</v>
      </c>
      <c r="N1877" s="3">
        <f t="shared" si="59"/>
        <v>0</v>
      </c>
      <c r="O1877" s="3" t="str">
        <f>IF(ISERROR(VLOOKUP(D1877,Data!$A$2:$C$223100,3,FALSE)),"INACTIVE",VLOOKUP(D1877,Data!$A$2:$C$223100,3,FALSE))</f>
        <v>FC</v>
      </c>
    </row>
    <row r="1878" spans="1:15" x14ac:dyDescent="0.25">
      <c r="A1878" t="s">
        <v>5191</v>
      </c>
      <c r="B1878" t="s">
        <v>5192</v>
      </c>
      <c r="C1878" t="s">
        <v>5193</v>
      </c>
      <c r="D1878" t="s">
        <v>5194</v>
      </c>
      <c r="E1878" t="s">
        <v>5196</v>
      </c>
      <c r="F1878" t="s">
        <v>5</v>
      </c>
      <c r="G1878" t="s">
        <v>5</v>
      </c>
      <c r="H1878" t="s">
        <v>5</v>
      </c>
      <c r="I1878" t="s">
        <v>4603</v>
      </c>
      <c r="J1878" t="s">
        <v>90</v>
      </c>
      <c r="K1878" s="3">
        <f t="shared" si="58"/>
        <v>0</v>
      </c>
      <c r="L1878" s="3">
        <f>IF(ISERROR(VLOOKUP(J1878,Lookups!$A$2:$A$16,1,FALSE)),1,0)</f>
        <v>0</v>
      </c>
      <c r="M1878" s="3">
        <f>IF(ISERROR(VLOOKUP(D1878,Data!$A$2:$D$223100,2,FALSE)),0,1)</f>
        <v>1</v>
      </c>
      <c r="N1878" s="3">
        <f t="shared" si="59"/>
        <v>0</v>
      </c>
      <c r="O1878" s="3" t="str">
        <f>IF(ISERROR(VLOOKUP(D1878,Data!$A$2:$C$223100,3,FALSE)),"INACTIVE",VLOOKUP(D1878,Data!$A$2:$C$223100,3,FALSE))</f>
        <v>FC</v>
      </c>
    </row>
    <row r="1879" spans="1:15" x14ac:dyDescent="0.25">
      <c r="A1879" t="s">
        <v>5191</v>
      </c>
      <c r="B1879" t="s">
        <v>5192</v>
      </c>
      <c r="C1879" t="s">
        <v>5197</v>
      </c>
      <c r="D1879" t="s">
        <v>1537</v>
      </c>
      <c r="E1879" t="s">
        <v>5198</v>
      </c>
      <c r="F1879" t="s">
        <v>5</v>
      </c>
      <c r="G1879" t="s">
        <v>5</v>
      </c>
      <c r="H1879" t="s">
        <v>5</v>
      </c>
      <c r="I1879" t="s">
        <v>4603</v>
      </c>
      <c r="J1879" t="s">
        <v>96</v>
      </c>
      <c r="K1879" s="3">
        <f t="shared" si="58"/>
        <v>0</v>
      </c>
      <c r="L1879" s="3">
        <f>IF(ISERROR(VLOOKUP(J1879,Lookups!$A$2:$A$16,1,FALSE)),1,0)</f>
        <v>0</v>
      </c>
      <c r="M1879" s="3">
        <f>IF(ISERROR(VLOOKUP(D1879,Data!$A$2:$D$223100,2,FALSE)),0,1)</f>
        <v>1</v>
      </c>
      <c r="N1879" s="3">
        <f t="shared" si="59"/>
        <v>0</v>
      </c>
      <c r="O1879" s="3" t="str">
        <f>IF(ISERROR(VLOOKUP(D1879,Data!$A$2:$C$223100,3,FALSE)),"INACTIVE",VLOOKUP(D1879,Data!$A$2:$C$223100,3,FALSE))</f>
        <v>FC</v>
      </c>
    </row>
    <row r="1880" spans="1:15" x14ac:dyDescent="0.25">
      <c r="A1880" t="s">
        <v>5191</v>
      </c>
      <c r="B1880" t="s">
        <v>5192</v>
      </c>
      <c r="C1880" t="s">
        <v>5197</v>
      </c>
      <c r="D1880" t="s">
        <v>1537</v>
      </c>
      <c r="E1880" t="s">
        <v>5199</v>
      </c>
      <c r="F1880" t="s">
        <v>5</v>
      </c>
      <c r="G1880" t="s">
        <v>5</v>
      </c>
      <c r="H1880" t="s">
        <v>5</v>
      </c>
      <c r="I1880" t="s">
        <v>4603</v>
      </c>
      <c r="J1880" t="s">
        <v>96</v>
      </c>
      <c r="K1880" s="3">
        <f t="shared" si="58"/>
        <v>0</v>
      </c>
      <c r="L1880" s="3">
        <f>IF(ISERROR(VLOOKUP(J1880,Lookups!$A$2:$A$16,1,FALSE)),1,0)</f>
        <v>0</v>
      </c>
      <c r="M1880" s="3">
        <f>IF(ISERROR(VLOOKUP(D1880,Data!$A$2:$D$223100,2,FALSE)),0,1)</f>
        <v>1</v>
      </c>
      <c r="N1880" s="3">
        <f t="shared" si="59"/>
        <v>0</v>
      </c>
      <c r="O1880" s="3" t="str">
        <f>IF(ISERROR(VLOOKUP(D1880,Data!$A$2:$C$223100,3,FALSE)),"INACTIVE",VLOOKUP(D1880,Data!$A$2:$C$223100,3,FALSE))</f>
        <v>FC</v>
      </c>
    </row>
    <row r="1881" spans="1:15" x14ac:dyDescent="0.25">
      <c r="A1881" t="s">
        <v>5285</v>
      </c>
      <c r="B1881" t="s">
        <v>5286</v>
      </c>
      <c r="C1881" t="s">
        <v>5287</v>
      </c>
      <c r="D1881" t="s">
        <v>5288</v>
      </c>
      <c r="E1881" t="s">
        <v>5289</v>
      </c>
      <c r="F1881" t="s">
        <v>5</v>
      </c>
      <c r="G1881" t="s">
        <v>5</v>
      </c>
      <c r="H1881" t="s">
        <v>5</v>
      </c>
      <c r="I1881" t="s">
        <v>4603</v>
      </c>
      <c r="J1881" t="s">
        <v>7</v>
      </c>
      <c r="K1881" s="3">
        <f t="shared" si="58"/>
        <v>0</v>
      </c>
      <c r="L1881" s="3">
        <f>IF(ISERROR(VLOOKUP(J1881,Lookups!$A$2:$A$16,1,FALSE)),1,0)</f>
        <v>1</v>
      </c>
      <c r="M1881" s="3">
        <f>IF(ISERROR(VLOOKUP(D1881,Data!$A$2:$D$223100,2,FALSE)),0,1)</f>
        <v>1</v>
      </c>
      <c r="N1881" s="3">
        <f t="shared" si="59"/>
        <v>1</v>
      </c>
      <c r="O1881" s="3" t="str">
        <f>IF(ISERROR(VLOOKUP(D1881,Data!$A$2:$C$223100,3,FALSE)),"INACTIVE",VLOOKUP(D1881,Data!$A$2:$C$223100,3,FALSE))</f>
        <v>BK13</v>
      </c>
    </row>
    <row r="1882" spans="1:15" x14ac:dyDescent="0.25">
      <c r="A1882" t="s">
        <v>5290</v>
      </c>
      <c r="B1882" t="s">
        <v>5291</v>
      </c>
      <c r="C1882" t="s">
        <v>5292</v>
      </c>
      <c r="D1882" t="s">
        <v>5293</v>
      </c>
      <c r="E1882" t="s">
        <v>5294</v>
      </c>
      <c r="F1882" t="s">
        <v>5</v>
      </c>
      <c r="G1882" t="s">
        <v>5</v>
      </c>
      <c r="H1882" t="s">
        <v>5</v>
      </c>
      <c r="I1882" t="s">
        <v>4603</v>
      </c>
      <c r="J1882" t="s">
        <v>7</v>
      </c>
      <c r="K1882" s="3">
        <f t="shared" si="58"/>
        <v>0</v>
      </c>
      <c r="L1882" s="3">
        <f>IF(ISERROR(VLOOKUP(J1882,Lookups!$A$2:$A$16,1,FALSE)),1,0)</f>
        <v>1</v>
      </c>
      <c r="M1882" s="3">
        <f>IF(ISERROR(VLOOKUP(D1882,Data!$A$2:$D$223100,2,FALSE)),0,1)</f>
        <v>1</v>
      </c>
      <c r="N1882" s="3">
        <f t="shared" si="59"/>
        <v>1</v>
      </c>
      <c r="O1882" s="3" t="str">
        <f>IF(ISERROR(VLOOKUP(D1882,Data!$A$2:$C$223100,3,FALSE)),"INACTIVE",VLOOKUP(D1882,Data!$A$2:$C$223100,3,FALSE))</f>
        <v>180+</v>
      </c>
    </row>
    <row r="1883" spans="1:15" x14ac:dyDescent="0.25">
      <c r="A1883" t="s">
        <v>5290</v>
      </c>
      <c r="B1883" t="s">
        <v>5291</v>
      </c>
      <c r="C1883" t="s">
        <v>5295</v>
      </c>
      <c r="D1883" t="s">
        <v>5296</v>
      </c>
      <c r="E1883" t="s">
        <v>5297</v>
      </c>
      <c r="F1883" t="s">
        <v>5</v>
      </c>
      <c r="G1883" t="s">
        <v>5</v>
      </c>
      <c r="H1883" t="s">
        <v>5</v>
      </c>
      <c r="I1883" t="s">
        <v>4603</v>
      </c>
      <c r="J1883" t="s">
        <v>90</v>
      </c>
      <c r="K1883" s="3">
        <f t="shared" si="58"/>
        <v>0</v>
      </c>
      <c r="L1883" s="3">
        <f>IF(ISERROR(VLOOKUP(J1883,Lookups!$A$2:$A$16,1,FALSE)),1,0)</f>
        <v>0</v>
      </c>
      <c r="M1883" s="3">
        <f>IF(ISERROR(VLOOKUP(D1883,Data!$A$2:$D$223100,2,FALSE)),0,1)</f>
        <v>1</v>
      </c>
      <c r="N1883" s="3">
        <f t="shared" si="59"/>
        <v>0</v>
      </c>
      <c r="O1883" s="3" t="str">
        <f>IF(ISERROR(VLOOKUP(D1883,Data!$A$2:$C$223100,3,FALSE)),"INACTIVE",VLOOKUP(D1883,Data!$A$2:$C$223100,3,FALSE))</f>
        <v>30+</v>
      </c>
    </row>
    <row r="1884" spans="1:15" x14ac:dyDescent="0.25">
      <c r="A1884" t="s">
        <v>5290</v>
      </c>
      <c r="B1884" t="s">
        <v>5291</v>
      </c>
      <c r="C1884" t="s">
        <v>5295</v>
      </c>
      <c r="D1884" t="s">
        <v>5296</v>
      </c>
      <c r="E1884" t="s">
        <v>5298</v>
      </c>
      <c r="F1884" t="s">
        <v>5</v>
      </c>
      <c r="G1884" t="s">
        <v>5</v>
      </c>
      <c r="H1884" t="s">
        <v>5</v>
      </c>
      <c r="I1884" t="s">
        <v>4603</v>
      </c>
      <c r="J1884" t="s">
        <v>90</v>
      </c>
      <c r="K1884" s="3">
        <f t="shared" si="58"/>
        <v>0</v>
      </c>
      <c r="L1884" s="3">
        <f>IF(ISERROR(VLOOKUP(J1884,Lookups!$A$2:$A$16,1,FALSE)),1,0)</f>
        <v>0</v>
      </c>
      <c r="M1884" s="3">
        <f>IF(ISERROR(VLOOKUP(D1884,Data!$A$2:$D$223100,2,FALSE)),0,1)</f>
        <v>1</v>
      </c>
      <c r="N1884" s="3">
        <f t="shared" si="59"/>
        <v>0</v>
      </c>
      <c r="O1884" s="3" t="str">
        <f>IF(ISERROR(VLOOKUP(D1884,Data!$A$2:$C$223100,3,FALSE)),"INACTIVE",VLOOKUP(D1884,Data!$A$2:$C$223100,3,FALSE))</f>
        <v>30+</v>
      </c>
    </row>
    <row r="1885" spans="1:15" x14ac:dyDescent="0.25">
      <c r="A1885" t="s">
        <v>5290</v>
      </c>
      <c r="B1885" t="s">
        <v>5291</v>
      </c>
      <c r="C1885" t="s">
        <v>5299</v>
      </c>
      <c r="D1885" t="s">
        <v>5300</v>
      </c>
      <c r="E1885" t="s">
        <v>5301</v>
      </c>
      <c r="F1885" t="s">
        <v>5</v>
      </c>
      <c r="G1885" t="s">
        <v>5</v>
      </c>
      <c r="H1885" t="s">
        <v>5</v>
      </c>
      <c r="I1885" t="s">
        <v>4603</v>
      </c>
      <c r="J1885" t="s">
        <v>7</v>
      </c>
      <c r="K1885" s="3">
        <f t="shared" si="58"/>
        <v>0</v>
      </c>
      <c r="L1885" s="3">
        <f>IF(ISERROR(VLOOKUP(J1885,Lookups!$A$2:$A$16,1,FALSE)),1,0)</f>
        <v>1</v>
      </c>
      <c r="M1885" s="3">
        <f>IF(ISERROR(VLOOKUP(D1885,Data!$A$2:$D$223100,2,FALSE)),0,1)</f>
        <v>1</v>
      </c>
      <c r="N1885" s="3">
        <f t="shared" si="59"/>
        <v>1</v>
      </c>
      <c r="O1885" s="3" t="str">
        <f>IF(ISERROR(VLOOKUP(D1885,Data!$A$2:$C$223100,3,FALSE)),"INACTIVE",VLOOKUP(D1885,Data!$A$2:$C$223100,3,FALSE))</f>
        <v>FBA</v>
      </c>
    </row>
    <row r="1886" spans="1:15" x14ac:dyDescent="0.25">
      <c r="A1886" t="s">
        <v>5290</v>
      </c>
      <c r="B1886" t="s">
        <v>5291</v>
      </c>
      <c r="C1886" t="s">
        <v>5302</v>
      </c>
      <c r="D1886" t="s">
        <v>5303</v>
      </c>
      <c r="E1886" t="s">
        <v>5304</v>
      </c>
      <c r="F1886" t="s">
        <v>5</v>
      </c>
      <c r="G1886" t="s">
        <v>5</v>
      </c>
      <c r="H1886" t="s">
        <v>5</v>
      </c>
      <c r="I1886" t="s">
        <v>4603</v>
      </c>
      <c r="J1886" t="s">
        <v>7</v>
      </c>
      <c r="K1886" s="3">
        <f t="shared" si="58"/>
        <v>0</v>
      </c>
      <c r="L1886" s="3">
        <f>IF(ISERROR(VLOOKUP(J1886,Lookups!$A$2:$A$16,1,FALSE)),1,0)</f>
        <v>1</v>
      </c>
      <c r="M1886" s="3">
        <f>IF(ISERROR(VLOOKUP(D1886,Data!$A$2:$D$223100,2,FALSE)),0,1)</f>
        <v>1</v>
      </c>
      <c r="N1886" s="3">
        <f t="shared" si="59"/>
        <v>1</v>
      </c>
      <c r="O1886" s="3" t="str">
        <f>IF(ISERROR(VLOOKUP(D1886,Data!$A$2:$C$223100,3,FALSE)),"INACTIVE",VLOOKUP(D1886,Data!$A$2:$C$223100,3,FALSE))</f>
        <v>60+</v>
      </c>
    </row>
    <row r="1887" spans="1:15" x14ac:dyDescent="0.25">
      <c r="A1887" t="s">
        <v>5290</v>
      </c>
      <c r="B1887" t="s">
        <v>5291</v>
      </c>
      <c r="C1887" t="s">
        <v>5305</v>
      </c>
      <c r="D1887" t="s">
        <v>5306</v>
      </c>
      <c r="E1887" t="s">
        <v>5307</v>
      </c>
      <c r="F1887" t="s">
        <v>5</v>
      </c>
      <c r="G1887" t="s">
        <v>5</v>
      </c>
      <c r="H1887" t="s">
        <v>5</v>
      </c>
      <c r="I1887" t="s">
        <v>4603</v>
      </c>
      <c r="J1887" t="s">
        <v>7</v>
      </c>
      <c r="K1887" s="3">
        <f t="shared" si="58"/>
        <v>0</v>
      </c>
      <c r="L1887" s="3">
        <f>IF(ISERROR(VLOOKUP(J1887,Lookups!$A$2:$A$16,1,FALSE)),1,0)</f>
        <v>1</v>
      </c>
      <c r="M1887" s="3">
        <f>IF(ISERROR(VLOOKUP(D1887,Data!$A$2:$D$223100,2,FALSE)),0,1)</f>
        <v>1</v>
      </c>
      <c r="N1887" s="3">
        <f t="shared" si="59"/>
        <v>1</v>
      </c>
      <c r="O1887" s="3" t="str">
        <f>IF(ISERROR(VLOOKUP(D1887,Data!$A$2:$C$223100,3,FALSE)),"INACTIVE",VLOOKUP(D1887,Data!$A$2:$C$223100,3,FALSE))</f>
        <v>60+</v>
      </c>
    </row>
    <row r="1888" spans="1:15" x14ac:dyDescent="0.25">
      <c r="A1888" t="s">
        <v>4674</v>
      </c>
      <c r="B1888" t="s">
        <v>4675</v>
      </c>
      <c r="C1888" t="s">
        <v>4676</v>
      </c>
      <c r="D1888" t="s">
        <v>4677</v>
      </c>
      <c r="E1888" t="s">
        <v>4678</v>
      </c>
      <c r="F1888" t="s">
        <v>4678</v>
      </c>
      <c r="G1888" t="s">
        <v>5</v>
      </c>
      <c r="H1888" t="s">
        <v>5</v>
      </c>
      <c r="I1888" t="s">
        <v>4679</v>
      </c>
      <c r="J1888" t="s">
        <v>96</v>
      </c>
      <c r="K1888" s="3">
        <f t="shared" si="58"/>
        <v>0</v>
      </c>
      <c r="L1888" s="3">
        <f>IF(ISERROR(VLOOKUP(J1888,Lookups!$A$2:$A$16,1,FALSE)),1,0)</f>
        <v>0</v>
      </c>
      <c r="M1888" s="3">
        <f>IF(ISERROR(VLOOKUP(D1888,Data!$A$2:$D$223100,2,FALSE)),0,1)</f>
        <v>1</v>
      </c>
      <c r="N1888" s="3">
        <f t="shared" si="59"/>
        <v>0</v>
      </c>
      <c r="O1888" s="3" t="str">
        <f>IF(ISERROR(VLOOKUP(D1888,Data!$A$2:$C$223100,3,FALSE)),"INACTIVE",VLOOKUP(D1888,Data!$A$2:$C$223100,3,FALSE))</f>
        <v>Demand Letter</v>
      </c>
    </row>
    <row r="1889" spans="1:15" x14ac:dyDescent="0.25">
      <c r="A1889" t="s">
        <v>4674</v>
      </c>
      <c r="B1889" t="s">
        <v>4675</v>
      </c>
      <c r="C1889" t="s">
        <v>4676</v>
      </c>
      <c r="D1889" t="s">
        <v>4677</v>
      </c>
      <c r="E1889" t="s">
        <v>4680</v>
      </c>
      <c r="F1889" t="s">
        <v>4680</v>
      </c>
      <c r="G1889" t="s">
        <v>5</v>
      </c>
      <c r="H1889" t="s">
        <v>5</v>
      </c>
      <c r="I1889" t="s">
        <v>4679</v>
      </c>
      <c r="J1889" t="s">
        <v>96</v>
      </c>
      <c r="K1889" s="3">
        <f t="shared" si="58"/>
        <v>0</v>
      </c>
      <c r="L1889" s="3">
        <f>IF(ISERROR(VLOOKUP(J1889,Lookups!$A$2:$A$16,1,FALSE)),1,0)</f>
        <v>0</v>
      </c>
      <c r="M1889" s="3">
        <f>IF(ISERROR(VLOOKUP(D1889,Data!$A$2:$D$223100,2,FALSE)),0,1)</f>
        <v>1</v>
      </c>
      <c r="N1889" s="3">
        <f t="shared" si="59"/>
        <v>0</v>
      </c>
      <c r="O1889" s="3" t="str">
        <f>IF(ISERROR(VLOOKUP(D1889,Data!$A$2:$C$223100,3,FALSE)),"INACTIVE",VLOOKUP(D1889,Data!$A$2:$C$223100,3,FALSE))</f>
        <v>Demand Letter</v>
      </c>
    </row>
    <row r="1890" spans="1:15" x14ac:dyDescent="0.25">
      <c r="A1890" t="s">
        <v>4674</v>
      </c>
      <c r="B1890" t="s">
        <v>4675</v>
      </c>
      <c r="C1890" t="s">
        <v>4676</v>
      </c>
      <c r="D1890" t="s">
        <v>4677</v>
      </c>
      <c r="E1890" t="s">
        <v>4681</v>
      </c>
      <c r="F1890" t="s">
        <v>5</v>
      </c>
      <c r="G1890" t="s">
        <v>5</v>
      </c>
      <c r="H1890" t="s">
        <v>5</v>
      </c>
      <c r="I1890" t="s">
        <v>4679</v>
      </c>
      <c r="J1890" t="s">
        <v>96</v>
      </c>
      <c r="K1890" s="3">
        <f t="shared" si="58"/>
        <v>0</v>
      </c>
      <c r="L1890" s="3">
        <f>IF(ISERROR(VLOOKUP(J1890,Lookups!$A$2:$A$16,1,FALSE)),1,0)</f>
        <v>0</v>
      </c>
      <c r="M1890" s="3">
        <f>IF(ISERROR(VLOOKUP(D1890,Data!$A$2:$D$223100,2,FALSE)),0,1)</f>
        <v>1</v>
      </c>
      <c r="N1890" s="3">
        <f t="shared" si="59"/>
        <v>0</v>
      </c>
      <c r="O1890" s="3" t="str">
        <f>IF(ISERROR(VLOOKUP(D1890,Data!$A$2:$C$223100,3,FALSE)),"INACTIVE",VLOOKUP(D1890,Data!$A$2:$C$223100,3,FALSE))</f>
        <v>Demand Letter</v>
      </c>
    </row>
    <row r="1891" spans="1:15" x14ac:dyDescent="0.25">
      <c r="A1891" t="s">
        <v>4674</v>
      </c>
      <c r="B1891" t="s">
        <v>4675</v>
      </c>
      <c r="C1891" t="s">
        <v>4676</v>
      </c>
      <c r="D1891" t="s">
        <v>4677</v>
      </c>
      <c r="E1891" t="s">
        <v>4682</v>
      </c>
      <c r="F1891" t="s">
        <v>4682</v>
      </c>
      <c r="G1891" t="s">
        <v>5</v>
      </c>
      <c r="H1891" t="s">
        <v>5</v>
      </c>
      <c r="I1891" t="s">
        <v>4679</v>
      </c>
      <c r="J1891" t="s">
        <v>96</v>
      </c>
      <c r="K1891" s="3">
        <f t="shared" si="58"/>
        <v>0</v>
      </c>
      <c r="L1891" s="3">
        <f>IF(ISERROR(VLOOKUP(J1891,Lookups!$A$2:$A$16,1,FALSE)),1,0)</f>
        <v>0</v>
      </c>
      <c r="M1891" s="3">
        <f>IF(ISERROR(VLOOKUP(D1891,Data!$A$2:$D$223100,2,FALSE)),0,1)</f>
        <v>1</v>
      </c>
      <c r="N1891" s="3">
        <f t="shared" si="59"/>
        <v>0</v>
      </c>
      <c r="O1891" s="3" t="str">
        <f>IF(ISERROR(VLOOKUP(D1891,Data!$A$2:$C$223100,3,FALSE)),"INACTIVE",VLOOKUP(D1891,Data!$A$2:$C$223100,3,FALSE))</f>
        <v>Demand Letter</v>
      </c>
    </row>
    <row r="1892" spans="1:15" x14ac:dyDescent="0.25">
      <c r="A1892" t="s">
        <v>4117</v>
      </c>
      <c r="B1892" t="s">
        <v>4683</v>
      </c>
      <c r="C1892" t="s">
        <v>4684</v>
      </c>
      <c r="D1892" t="s">
        <v>4685</v>
      </c>
      <c r="E1892" t="s">
        <v>4686</v>
      </c>
      <c r="F1892" t="s">
        <v>5</v>
      </c>
      <c r="G1892" t="s">
        <v>5</v>
      </c>
      <c r="H1892" t="s">
        <v>5</v>
      </c>
      <c r="I1892" t="s">
        <v>4679</v>
      </c>
      <c r="J1892" t="s">
        <v>7</v>
      </c>
      <c r="K1892" s="3">
        <f t="shared" si="58"/>
        <v>0</v>
      </c>
      <c r="L1892" s="3">
        <f>IF(ISERROR(VLOOKUP(J1892,Lookups!$A$2:$A$16,1,FALSE)),1,0)</f>
        <v>1</v>
      </c>
      <c r="M1892" s="3">
        <f>IF(ISERROR(VLOOKUP(D1892,Data!$A$2:$D$223100,2,FALSE)),0,1)</f>
        <v>1</v>
      </c>
      <c r="N1892" s="3">
        <f t="shared" si="59"/>
        <v>1</v>
      </c>
      <c r="O1892" s="3" t="str">
        <f>IF(ISERROR(VLOOKUP(D1892,Data!$A$2:$C$223100,3,FALSE)),"INACTIVE",VLOOKUP(D1892,Data!$A$2:$C$223100,3,FALSE))</f>
        <v>180+</v>
      </c>
    </row>
    <row r="1893" spans="1:15" x14ac:dyDescent="0.25">
      <c r="A1893" t="s">
        <v>4797</v>
      </c>
      <c r="B1893" t="s">
        <v>4798</v>
      </c>
      <c r="C1893" t="s">
        <v>4799</v>
      </c>
      <c r="D1893" t="s">
        <v>4800</v>
      </c>
      <c r="E1893" t="s">
        <v>4801</v>
      </c>
      <c r="F1893" t="s">
        <v>5</v>
      </c>
      <c r="G1893" t="s">
        <v>5</v>
      </c>
      <c r="H1893" t="s">
        <v>5</v>
      </c>
      <c r="I1893" t="s">
        <v>4679</v>
      </c>
      <c r="J1893" t="s">
        <v>90</v>
      </c>
      <c r="K1893" s="3">
        <f t="shared" si="58"/>
        <v>0</v>
      </c>
      <c r="L1893" s="3">
        <f>IF(ISERROR(VLOOKUP(J1893,Lookups!$A$2:$A$16,1,FALSE)),1,0)</f>
        <v>0</v>
      </c>
      <c r="M1893" s="3">
        <f>IF(ISERROR(VLOOKUP(D1893,Data!$A$2:$D$223100,2,FALSE)),0,1)</f>
        <v>1</v>
      </c>
      <c r="N1893" s="3">
        <f t="shared" si="59"/>
        <v>0</v>
      </c>
      <c r="O1893" s="3" t="str">
        <f>IF(ISERROR(VLOOKUP(D1893,Data!$A$2:$C$223100,3,FALSE)),"INACTIVE",VLOOKUP(D1893,Data!$A$2:$C$223100,3,FALSE))</f>
        <v>180+</v>
      </c>
    </row>
    <row r="1894" spans="1:15" x14ac:dyDescent="0.25">
      <c r="A1894" t="s">
        <v>4872</v>
      </c>
      <c r="B1894" t="s">
        <v>4873</v>
      </c>
      <c r="C1894" t="s">
        <v>4874</v>
      </c>
      <c r="D1894" t="s">
        <v>4875</v>
      </c>
      <c r="E1894" t="s">
        <v>4876</v>
      </c>
      <c r="F1894" t="s">
        <v>4876</v>
      </c>
      <c r="G1894" t="s">
        <v>5</v>
      </c>
      <c r="H1894" t="s">
        <v>5</v>
      </c>
      <c r="I1894" t="s">
        <v>4679</v>
      </c>
      <c r="J1894" t="s">
        <v>90</v>
      </c>
      <c r="K1894" s="3">
        <f t="shared" si="58"/>
        <v>0</v>
      </c>
      <c r="L1894" s="3">
        <f>IF(ISERROR(VLOOKUP(J1894,Lookups!$A$2:$A$16,1,FALSE)),1,0)</f>
        <v>0</v>
      </c>
      <c r="M1894" s="3">
        <f>IF(ISERROR(VLOOKUP(D1894,Data!$A$2:$D$223100,2,FALSE)),0,1)</f>
        <v>1</v>
      </c>
      <c r="N1894" s="3">
        <f t="shared" si="59"/>
        <v>0</v>
      </c>
      <c r="O1894" s="3" t="str">
        <f>IF(ISERROR(VLOOKUP(D1894,Data!$A$2:$C$223100,3,FALSE)),"INACTIVE",VLOOKUP(D1894,Data!$A$2:$C$223100,3,FALSE))</f>
        <v>60+</v>
      </c>
    </row>
    <row r="1895" spans="1:15" x14ac:dyDescent="0.25">
      <c r="A1895" t="s">
        <v>4872</v>
      </c>
      <c r="B1895" t="s">
        <v>4873</v>
      </c>
      <c r="C1895" t="s">
        <v>4877</v>
      </c>
      <c r="D1895" t="s">
        <v>4878</v>
      </c>
      <c r="E1895" t="s">
        <v>5</v>
      </c>
      <c r="F1895" t="s">
        <v>4879</v>
      </c>
      <c r="G1895" t="s">
        <v>5</v>
      </c>
      <c r="H1895" t="s">
        <v>5</v>
      </c>
      <c r="I1895" t="s">
        <v>4679</v>
      </c>
      <c r="J1895" t="s">
        <v>90</v>
      </c>
      <c r="K1895" s="3">
        <f t="shared" si="58"/>
        <v>0</v>
      </c>
      <c r="L1895" s="3">
        <f>IF(ISERROR(VLOOKUP(J1895,Lookups!$A$2:$A$16,1,FALSE)),1,0)</f>
        <v>0</v>
      </c>
      <c r="M1895" s="3">
        <f>IF(ISERROR(VLOOKUP(D1895,Data!$A$2:$D$223100,2,FALSE)),0,1)</f>
        <v>1</v>
      </c>
      <c r="N1895" s="3">
        <f t="shared" si="59"/>
        <v>0</v>
      </c>
      <c r="O1895" s="3" t="str">
        <f>IF(ISERROR(VLOOKUP(D1895,Data!$A$2:$C$223100,3,FALSE)),"INACTIVE",VLOOKUP(D1895,Data!$A$2:$C$223100,3,FALSE))</f>
        <v>Demand Letter</v>
      </c>
    </row>
    <row r="1896" spans="1:15" x14ac:dyDescent="0.25">
      <c r="A1896" t="s">
        <v>4880</v>
      </c>
      <c r="B1896" t="s">
        <v>4881</v>
      </c>
      <c r="C1896" t="s">
        <v>4882</v>
      </c>
      <c r="D1896" t="s">
        <v>4883</v>
      </c>
      <c r="E1896" t="s">
        <v>4884</v>
      </c>
      <c r="F1896" t="s">
        <v>5</v>
      </c>
      <c r="G1896" t="s">
        <v>5</v>
      </c>
      <c r="H1896" t="s">
        <v>5</v>
      </c>
      <c r="I1896" t="s">
        <v>4679</v>
      </c>
      <c r="J1896" t="s">
        <v>90</v>
      </c>
      <c r="K1896" s="3">
        <f t="shared" si="58"/>
        <v>0</v>
      </c>
      <c r="L1896" s="3">
        <f>IF(ISERROR(VLOOKUP(J1896,Lookups!$A$2:$A$16,1,FALSE)),1,0)</f>
        <v>0</v>
      </c>
      <c r="M1896" s="3">
        <f>IF(ISERROR(VLOOKUP(D1896,Data!$A$2:$D$223100,2,FALSE)),0,1)</f>
        <v>0</v>
      </c>
      <c r="N1896" s="3">
        <f t="shared" si="59"/>
        <v>0</v>
      </c>
      <c r="O1896" s="3" t="str">
        <f>IF(ISERROR(VLOOKUP(D1896,Data!$A$2:$C$223100,3,FALSE)),"INACTIVE",VLOOKUP(D1896,Data!$A$2:$C$223100,3,FALSE))</f>
        <v>INACTIVE</v>
      </c>
    </row>
    <row r="1897" spans="1:15" x14ac:dyDescent="0.25">
      <c r="A1897" t="s">
        <v>4880</v>
      </c>
      <c r="B1897" t="s">
        <v>4881</v>
      </c>
      <c r="C1897" t="s">
        <v>4885</v>
      </c>
      <c r="D1897" t="s">
        <v>4886</v>
      </c>
      <c r="E1897" t="s">
        <v>4887</v>
      </c>
      <c r="F1897" t="s">
        <v>5</v>
      </c>
      <c r="G1897" t="s">
        <v>5</v>
      </c>
      <c r="H1897" t="s">
        <v>5</v>
      </c>
      <c r="I1897" t="s">
        <v>4679</v>
      </c>
      <c r="J1897" t="s">
        <v>90</v>
      </c>
      <c r="K1897" s="3">
        <f t="shared" si="58"/>
        <v>0</v>
      </c>
      <c r="L1897" s="3">
        <f>IF(ISERROR(VLOOKUP(J1897,Lookups!$A$2:$A$16,1,FALSE)),1,0)</f>
        <v>0</v>
      </c>
      <c r="M1897" s="3">
        <f>IF(ISERROR(VLOOKUP(D1897,Data!$A$2:$D$223100,2,FALSE)),0,1)</f>
        <v>0</v>
      </c>
      <c r="N1897" s="3">
        <f t="shared" si="59"/>
        <v>0</v>
      </c>
      <c r="O1897" s="3" t="str">
        <f>IF(ISERROR(VLOOKUP(D1897,Data!$A$2:$C$223100,3,FALSE)),"INACTIVE",VLOOKUP(D1897,Data!$A$2:$C$223100,3,FALSE))</f>
        <v>INACTIVE</v>
      </c>
    </row>
    <row r="1898" spans="1:15" x14ac:dyDescent="0.25">
      <c r="A1898" t="s">
        <v>5185</v>
      </c>
      <c r="B1898" t="s">
        <v>5186</v>
      </c>
      <c r="C1898" t="s">
        <v>5187</v>
      </c>
      <c r="D1898" t="s">
        <v>5188</v>
      </c>
      <c r="E1898" t="s">
        <v>5189</v>
      </c>
      <c r="F1898" t="s">
        <v>5</v>
      </c>
      <c r="G1898" t="s">
        <v>5</v>
      </c>
      <c r="H1898" t="s">
        <v>5</v>
      </c>
      <c r="I1898" t="s">
        <v>4679</v>
      </c>
      <c r="J1898" t="s">
        <v>90</v>
      </c>
      <c r="K1898" s="3">
        <f t="shared" si="58"/>
        <v>0</v>
      </c>
      <c r="L1898" s="3">
        <f>IF(ISERROR(VLOOKUP(J1898,Lookups!$A$2:$A$16,1,FALSE)),1,0)</f>
        <v>0</v>
      </c>
      <c r="M1898" s="3">
        <f>IF(ISERROR(VLOOKUP(D1898,Data!$A$2:$D$223100,2,FALSE)),0,1)</f>
        <v>1</v>
      </c>
      <c r="N1898" s="3">
        <f t="shared" si="59"/>
        <v>0</v>
      </c>
      <c r="O1898" s="3" t="str">
        <f>IF(ISERROR(VLOOKUP(D1898,Data!$A$2:$C$223100,3,FALSE)),"INACTIVE",VLOOKUP(D1898,Data!$A$2:$C$223100,3,FALSE))</f>
        <v>180+</v>
      </c>
    </row>
    <row r="1899" spans="1:15" x14ac:dyDescent="0.25">
      <c r="A1899" t="s">
        <v>5185</v>
      </c>
      <c r="B1899" t="s">
        <v>5186</v>
      </c>
      <c r="C1899" t="s">
        <v>5187</v>
      </c>
      <c r="D1899" t="s">
        <v>5188</v>
      </c>
      <c r="E1899" t="s">
        <v>5190</v>
      </c>
      <c r="F1899" t="s">
        <v>5</v>
      </c>
      <c r="G1899" t="s">
        <v>5</v>
      </c>
      <c r="H1899" t="s">
        <v>5</v>
      </c>
      <c r="I1899" t="s">
        <v>4679</v>
      </c>
      <c r="J1899" t="s">
        <v>90</v>
      </c>
      <c r="K1899" s="3">
        <f t="shared" si="58"/>
        <v>0</v>
      </c>
      <c r="L1899" s="3">
        <f>IF(ISERROR(VLOOKUP(J1899,Lookups!$A$2:$A$16,1,FALSE)),1,0)</f>
        <v>0</v>
      </c>
      <c r="M1899" s="3">
        <f>IF(ISERROR(VLOOKUP(D1899,Data!$A$2:$D$223100,2,FALSE)),0,1)</f>
        <v>1</v>
      </c>
      <c r="N1899" s="3">
        <f t="shared" si="59"/>
        <v>0</v>
      </c>
      <c r="O1899" s="3" t="str">
        <f>IF(ISERROR(VLOOKUP(D1899,Data!$A$2:$C$223100,3,FALSE)),"INACTIVE",VLOOKUP(D1899,Data!$A$2:$C$223100,3,FALSE))</f>
        <v>180+</v>
      </c>
    </row>
    <row r="1900" spans="1:15" x14ac:dyDescent="0.25">
      <c r="A1900" t="s">
        <v>5066</v>
      </c>
      <c r="B1900" t="s">
        <v>5067</v>
      </c>
      <c r="C1900" t="s">
        <v>5068</v>
      </c>
      <c r="D1900" t="s">
        <v>5069</v>
      </c>
      <c r="E1900" t="s">
        <v>5070</v>
      </c>
      <c r="F1900" t="s">
        <v>5</v>
      </c>
      <c r="G1900" t="s">
        <v>5</v>
      </c>
      <c r="H1900" t="s">
        <v>5</v>
      </c>
      <c r="I1900" t="s">
        <v>5071</v>
      </c>
      <c r="J1900" t="s">
        <v>96</v>
      </c>
      <c r="K1900" s="3">
        <f t="shared" si="58"/>
        <v>0</v>
      </c>
      <c r="L1900" s="3">
        <f>IF(ISERROR(VLOOKUP(J1900,Lookups!$A$2:$A$16,1,FALSE)),1,0)</f>
        <v>0</v>
      </c>
      <c r="M1900" s="3">
        <f>IF(ISERROR(VLOOKUP(D1900,Data!$A$2:$D$223100,2,FALSE)),0,1)</f>
        <v>1</v>
      </c>
      <c r="N1900" s="3">
        <f t="shared" si="59"/>
        <v>0</v>
      </c>
      <c r="O1900" s="3" t="str">
        <f>IF(ISERROR(VLOOKUP(D1900,Data!$A$2:$C$223100,3,FALSE)),"INACTIVE",VLOOKUP(D1900,Data!$A$2:$C$223100,3,FALSE))</f>
        <v>Current</v>
      </c>
    </row>
    <row r="1901" spans="1:15" x14ac:dyDescent="0.25">
      <c r="A1901" t="s">
        <v>5350</v>
      </c>
      <c r="B1901" t="s">
        <v>5351</v>
      </c>
      <c r="C1901" t="s">
        <v>5352</v>
      </c>
      <c r="D1901" t="s">
        <v>5353</v>
      </c>
      <c r="E1901" t="s">
        <v>5354</v>
      </c>
      <c r="F1901" t="s">
        <v>5</v>
      </c>
      <c r="G1901" t="s">
        <v>5</v>
      </c>
      <c r="H1901" t="s">
        <v>5</v>
      </c>
      <c r="I1901" t="s">
        <v>5071</v>
      </c>
      <c r="J1901" t="s">
        <v>90</v>
      </c>
      <c r="K1901" s="3">
        <f t="shared" si="58"/>
        <v>0</v>
      </c>
      <c r="L1901" s="3">
        <f>IF(ISERROR(VLOOKUP(J1901,Lookups!$A$2:$A$16,1,FALSE)),1,0)</f>
        <v>0</v>
      </c>
      <c r="M1901" s="3">
        <f>IF(ISERROR(VLOOKUP(D1901,Data!$A$2:$D$223100,2,FALSE)),0,1)</f>
        <v>0</v>
      </c>
      <c r="N1901" s="3">
        <f t="shared" si="59"/>
        <v>0</v>
      </c>
      <c r="O1901" s="3" t="str">
        <f>IF(ISERROR(VLOOKUP(D1901,Data!$A$2:$C$223100,3,FALSE)),"INACTIVE",VLOOKUP(D1901,Data!$A$2:$C$223100,3,FALSE))</f>
        <v>INACTIVE</v>
      </c>
    </row>
    <row r="1902" spans="1:15" x14ac:dyDescent="0.25">
      <c r="A1902" t="s">
        <v>5350</v>
      </c>
      <c r="B1902" t="s">
        <v>5351</v>
      </c>
      <c r="C1902" t="s">
        <v>5355</v>
      </c>
      <c r="D1902" t="s">
        <v>5356</v>
      </c>
      <c r="E1902" t="s">
        <v>5357</v>
      </c>
      <c r="F1902" t="s">
        <v>5</v>
      </c>
      <c r="G1902" t="s">
        <v>5</v>
      </c>
      <c r="H1902" t="s">
        <v>5</v>
      </c>
      <c r="I1902" t="s">
        <v>5071</v>
      </c>
      <c r="J1902" t="s">
        <v>90</v>
      </c>
      <c r="K1902" s="3">
        <f t="shared" si="58"/>
        <v>0</v>
      </c>
      <c r="L1902" s="3">
        <f>IF(ISERROR(VLOOKUP(J1902,Lookups!$A$2:$A$16,1,FALSE)),1,0)</f>
        <v>0</v>
      </c>
      <c r="M1902" s="3">
        <f>IF(ISERROR(VLOOKUP(D1902,Data!$A$2:$D$223100,2,FALSE)),0,1)</f>
        <v>1</v>
      </c>
      <c r="N1902" s="3">
        <f t="shared" si="59"/>
        <v>0</v>
      </c>
      <c r="O1902" s="3" t="str">
        <f>IF(ISERROR(VLOOKUP(D1902,Data!$A$2:$C$223100,3,FALSE)),"INACTIVE",VLOOKUP(D1902,Data!$A$2:$C$223100,3,FALSE))</f>
        <v>180+</v>
      </c>
    </row>
    <row r="1903" spans="1:15" x14ac:dyDescent="0.25">
      <c r="A1903" t="s">
        <v>5350</v>
      </c>
      <c r="B1903" t="s">
        <v>5351</v>
      </c>
      <c r="C1903" t="s">
        <v>5358</v>
      </c>
      <c r="D1903" t="s">
        <v>5359</v>
      </c>
      <c r="E1903" t="s">
        <v>5360</v>
      </c>
      <c r="F1903" t="s">
        <v>5</v>
      </c>
      <c r="G1903" t="s">
        <v>5</v>
      </c>
      <c r="H1903" t="s">
        <v>5</v>
      </c>
      <c r="I1903" t="s">
        <v>5071</v>
      </c>
      <c r="J1903" t="s">
        <v>90</v>
      </c>
      <c r="K1903" s="3">
        <f t="shared" si="58"/>
        <v>0</v>
      </c>
      <c r="L1903" s="3">
        <f>IF(ISERROR(VLOOKUP(J1903,Lookups!$A$2:$A$16,1,FALSE)),1,0)</f>
        <v>0</v>
      </c>
      <c r="M1903" s="3">
        <f>IF(ISERROR(VLOOKUP(D1903,Data!$A$2:$D$223100,2,FALSE)),0,1)</f>
        <v>0</v>
      </c>
      <c r="N1903" s="3">
        <f t="shared" si="59"/>
        <v>0</v>
      </c>
      <c r="O1903" s="3" t="str">
        <f>IF(ISERROR(VLOOKUP(D1903,Data!$A$2:$C$223100,3,FALSE)),"INACTIVE",VLOOKUP(D1903,Data!$A$2:$C$223100,3,FALSE))</f>
        <v>INACTIVE</v>
      </c>
    </row>
    <row r="1904" spans="1:15" x14ac:dyDescent="0.25">
      <c r="A1904" t="s">
        <v>4758</v>
      </c>
      <c r="B1904" t="s">
        <v>4759</v>
      </c>
      <c r="C1904" t="s">
        <v>4760</v>
      </c>
      <c r="D1904" t="s">
        <v>4761</v>
      </c>
      <c r="E1904" t="s">
        <v>4762</v>
      </c>
      <c r="F1904" t="s">
        <v>5</v>
      </c>
      <c r="G1904" t="s">
        <v>5</v>
      </c>
      <c r="H1904" t="s">
        <v>5</v>
      </c>
      <c r="I1904" t="s">
        <v>4763</v>
      </c>
      <c r="J1904" t="s">
        <v>7</v>
      </c>
      <c r="K1904" s="3">
        <f t="shared" si="58"/>
        <v>0</v>
      </c>
      <c r="L1904" s="3">
        <f>IF(ISERROR(VLOOKUP(J1904,Lookups!$A$2:$A$16,1,FALSE)),1,0)</f>
        <v>1</v>
      </c>
      <c r="M1904" s="3">
        <f>IF(ISERROR(VLOOKUP(D1904,Data!$A$2:$D$223100,2,FALSE)),0,1)</f>
        <v>1</v>
      </c>
      <c r="N1904" s="3">
        <f t="shared" si="59"/>
        <v>1</v>
      </c>
      <c r="O1904" s="3" t="str">
        <f>IF(ISERROR(VLOOKUP(D1904,Data!$A$2:$C$223100,3,FALSE)),"INACTIVE",VLOOKUP(D1904,Data!$A$2:$C$223100,3,FALSE))</f>
        <v>Current</v>
      </c>
    </row>
    <row r="1905" spans="1:15" x14ac:dyDescent="0.25">
      <c r="A1905" t="s">
        <v>4758</v>
      </c>
      <c r="B1905" t="s">
        <v>4759</v>
      </c>
      <c r="C1905" t="s">
        <v>4764</v>
      </c>
      <c r="D1905" t="s">
        <v>4765</v>
      </c>
      <c r="E1905" t="s">
        <v>4766</v>
      </c>
      <c r="F1905" t="s">
        <v>5</v>
      </c>
      <c r="G1905" t="s">
        <v>5</v>
      </c>
      <c r="H1905" t="s">
        <v>5</v>
      </c>
      <c r="I1905" t="s">
        <v>4763</v>
      </c>
      <c r="J1905" t="s">
        <v>7</v>
      </c>
      <c r="K1905" s="3">
        <f t="shared" si="58"/>
        <v>0</v>
      </c>
      <c r="L1905" s="3">
        <f>IF(ISERROR(VLOOKUP(J1905,Lookups!$A$2:$A$16,1,FALSE)),1,0)</f>
        <v>1</v>
      </c>
      <c r="M1905" s="3">
        <f>IF(ISERROR(VLOOKUP(D1905,Data!$A$2:$D$223100,2,FALSE)),0,1)</f>
        <v>1</v>
      </c>
      <c r="N1905" s="3">
        <f t="shared" si="59"/>
        <v>1</v>
      </c>
      <c r="O1905" s="3" t="str">
        <f>IF(ISERROR(VLOOKUP(D1905,Data!$A$2:$C$223100,3,FALSE)),"INACTIVE",VLOOKUP(D1905,Data!$A$2:$C$223100,3,FALSE))</f>
        <v>Current</v>
      </c>
    </row>
    <row r="1906" spans="1:15" x14ac:dyDescent="0.25">
      <c r="A1906" t="s">
        <v>4832</v>
      </c>
      <c r="B1906" t="s">
        <v>4833</v>
      </c>
      <c r="C1906" t="s">
        <v>4676</v>
      </c>
      <c r="D1906" t="s">
        <v>4677</v>
      </c>
      <c r="E1906" t="s">
        <v>4834</v>
      </c>
      <c r="F1906" t="s">
        <v>4834</v>
      </c>
      <c r="G1906" t="s">
        <v>5</v>
      </c>
      <c r="H1906" t="s">
        <v>5</v>
      </c>
      <c r="I1906" t="s">
        <v>4763</v>
      </c>
      <c r="J1906" t="s">
        <v>7</v>
      </c>
      <c r="K1906" s="3">
        <f t="shared" si="58"/>
        <v>0</v>
      </c>
      <c r="L1906" s="3">
        <f>IF(ISERROR(VLOOKUP(J1906,Lookups!$A$2:$A$16,1,FALSE)),1,0)</f>
        <v>1</v>
      </c>
      <c r="M1906" s="3">
        <f>IF(ISERROR(VLOOKUP(D1906,Data!$A$2:$D$223100,2,FALSE)),0,1)</f>
        <v>1</v>
      </c>
      <c r="N1906" s="3">
        <f t="shared" si="59"/>
        <v>1</v>
      </c>
      <c r="O1906" s="3" t="str">
        <f>IF(ISERROR(VLOOKUP(D1906,Data!$A$2:$C$223100,3,FALSE)),"INACTIVE",VLOOKUP(D1906,Data!$A$2:$C$223100,3,FALSE))</f>
        <v>Demand Letter</v>
      </c>
    </row>
    <row r="1907" spans="1:15" x14ac:dyDescent="0.25">
      <c r="A1907" t="s">
        <v>4832</v>
      </c>
      <c r="B1907" t="s">
        <v>4833</v>
      </c>
      <c r="C1907" t="s">
        <v>4835</v>
      </c>
      <c r="D1907" t="s">
        <v>4677</v>
      </c>
      <c r="E1907" t="s">
        <v>4836</v>
      </c>
      <c r="F1907" t="s">
        <v>5</v>
      </c>
      <c r="G1907" t="s">
        <v>5</v>
      </c>
      <c r="H1907" t="s">
        <v>5</v>
      </c>
      <c r="I1907" t="s">
        <v>4763</v>
      </c>
      <c r="J1907" t="s">
        <v>7</v>
      </c>
      <c r="K1907" s="3">
        <f t="shared" si="58"/>
        <v>0</v>
      </c>
      <c r="L1907" s="3">
        <f>IF(ISERROR(VLOOKUP(J1907,Lookups!$A$2:$A$16,1,FALSE)),1,0)</f>
        <v>1</v>
      </c>
      <c r="M1907" s="3">
        <f>IF(ISERROR(VLOOKUP(D1907,Data!$A$2:$D$223100,2,FALSE)),0,1)</f>
        <v>1</v>
      </c>
      <c r="N1907" s="3">
        <f t="shared" si="59"/>
        <v>1</v>
      </c>
      <c r="O1907" s="3" t="str">
        <f>IF(ISERROR(VLOOKUP(D1907,Data!$A$2:$C$223100,3,FALSE)),"INACTIVE",VLOOKUP(D1907,Data!$A$2:$C$223100,3,FALSE))</f>
        <v>Demand Letter</v>
      </c>
    </row>
    <row r="1908" spans="1:15" x14ac:dyDescent="0.25">
      <c r="A1908" t="s">
        <v>4888</v>
      </c>
      <c r="B1908" t="s">
        <v>4889</v>
      </c>
      <c r="C1908" t="s">
        <v>4890</v>
      </c>
      <c r="D1908" t="s">
        <v>4891</v>
      </c>
      <c r="E1908" t="s">
        <v>4892</v>
      </c>
      <c r="F1908" t="s">
        <v>5</v>
      </c>
      <c r="G1908" t="s">
        <v>5</v>
      </c>
      <c r="H1908" t="s">
        <v>5</v>
      </c>
      <c r="I1908" t="s">
        <v>4763</v>
      </c>
      <c r="J1908" t="s">
        <v>90</v>
      </c>
      <c r="K1908" s="3">
        <f t="shared" si="58"/>
        <v>0</v>
      </c>
      <c r="L1908" s="3">
        <f>IF(ISERROR(VLOOKUP(J1908,Lookups!$A$2:$A$16,1,FALSE)),1,0)</f>
        <v>0</v>
      </c>
      <c r="M1908" s="3">
        <f>IF(ISERROR(VLOOKUP(D1908,Data!$A$2:$D$223100,2,FALSE)),0,1)</f>
        <v>1</v>
      </c>
      <c r="N1908" s="3">
        <f t="shared" si="59"/>
        <v>0</v>
      </c>
      <c r="O1908" s="3" t="str">
        <f>IF(ISERROR(VLOOKUP(D1908,Data!$A$2:$C$223100,3,FALSE)),"INACTIVE",VLOOKUP(D1908,Data!$A$2:$C$223100,3,FALSE))</f>
        <v>FC</v>
      </c>
    </row>
    <row r="1909" spans="1:15" x14ac:dyDescent="0.25">
      <c r="A1909" t="s">
        <v>4888</v>
      </c>
      <c r="B1909" t="s">
        <v>4889</v>
      </c>
      <c r="C1909" t="s">
        <v>4893</v>
      </c>
      <c r="D1909" t="s">
        <v>4894</v>
      </c>
      <c r="E1909" t="s">
        <v>4895</v>
      </c>
      <c r="F1909" t="s">
        <v>5</v>
      </c>
      <c r="G1909" t="s">
        <v>5</v>
      </c>
      <c r="H1909" t="s">
        <v>5</v>
      </c>
      <c r="I1909" t="s">
        <v>4763</v>
      </c>
      <c r="J1909" t="s">
        <v>90</v>
      </c>
      <c r="K1909" s="3">
        <f t="shared" si="58"/>
        <v>0</v>
      </c>
      <c r="L1909" s="3">
        <f>IF(ISERROR(VLOOKUP(J1909,Lookups!$A$2:$A$16,1,FALSE)),1,0)</f>
        <v>0</v>
      </c>
      <c r="M1909" s="3">
        <f>IF(ISERROR(VLOOKUP(D1909,Data!$A$2:$D$223100,2,FALSE)),0,1)</f>
        <v>1</v>
      </c>
      <c r="N1909" s="3">
        <f t="shared" si="59"/>
        <v>0</v>
      </c>
      <c r="O1909" s="3" t="str">
        <f>IF(ISERROR(VLOOKUP(D1909,Data!$A$2:$C$223100,3,FALSE)),"INACTIVE",VLOOKUP(D1909,Data!$A$2:$C$223100,3,FALSE))</f>
        <v>180+</v>
      </c>
    </row>
    <row r="1910" spans="1:15" x14ac:dyDescent="0.25">
      <c r="A1910" t="s">
        <v>4888</v>
      </c>
      <c r="B1910" t="s">
        <v>4889</v>
      </c>
      <c r="C1910" t="s">
        <v>4896</v>
      </c>
      <c r="D1910" t="s">
        <v>4897</v>
      </c>
      <c r="E1910" t="s">
        <v>4898</v>
      </c>
      <c r="F1910" t="s">
        <v>5</v>
      </c>
      <c r="G1910" t="s">
        <v>5</v>
      </c>
      <c r="H1910" t="s">
        <v>5</v>
      </c>
      <c r="I1910" t="s">
        <v>4763</v>
      </c>
      <c r="J1910" t="s">
        <v>90</v>
      </c>
      <c r="K1910" s="3">
        <f t="shared" si="58"/>
        <v>0</v>
      </c>
      <c r="L1910" s="3">
        <f>IF(ISERROR(VLOOKUP(J1910,Lookups!$A$2:$A$16,1,FALSE)),1,0)</f>
        <v>0</v>
      </c>
      <c r="M1910" s="3">
        <f>IF(ISERROR(VLOOKUP(D1910,Data!$A$2:$D$223100,2,FALSE)),0,1)</f>
        <v>1</v>
      </c>
      <c r="N1910" s="3">
        <f t="shared" si="59"/>
        <v>0</v>
      </c>
      <c r="O1910" s="3" t="str">
        <f>IF(ISERROR(VLOOKUP(D1910,Data!$A$2:$C$223100,3,FALSE)),"INACTIVE",VLOOKUP(D1910,Data!$A$2:$C$223100,3,FALSE))</f>
        <v>FC</v>
      </c>
    </row>
    <row r="1911" spans="1:15" x14ac:dyDescent="0.25">
      <c r="A1911" t="s">
        <v>3922</v>
      </c>
      <c r="B1911" t="s">
        <v>4782</v>
      </c>
      <c r="C1911" t="s">
        <v>4783</v>
      </c>
      <c r="D1911" t="s">
        <v>4784</v>
      </c>
      <c r="E1911" t="s">
        <v>4785</v>
      </c>
      <c r="F1911" t="s">
        <v>5</v>
      </c>
      <c r="G1911" t="s">
        <v>5</v>
      </c>
      <c r="H1911" t="s">
        <v>5</v>
      </c>
      <c r="I1911" t="s">
        <v>4786</v>
      </c>
      <c r="J1911" t="s">
        <v>90</v>
      </c>
      <c r="K1911" s="3">
        <f t="shared" si="58"/>
        <v>0</v>
      </c>
      <c r="L1911" s="3">
        <f>IF(ISERROR(VLOOKUP(J1911,Lookups!$A$2:$A$16,1,FALSE)),1,0)</f>
        <v>0</v>
      </c>
      <c r="M1911" s="3">
        <f>IF(ISERROR(VLOOKUP(D1911,Data!$A$2:$D$223100,2,FALSE)),0,1)</f>
        <v>1</v>
      </c>
      <c r="N1911" s="3">
        <f t="shared" si="59"/>
        <v>0</v>
      </c>
      <c r="O1911" s="3" t="str">
        <f>IF(ISERROR(VLOOKUP(D1911,Data!$A$2:$C$223100,3,FALSE)),"INACTIVE",VLOOKUP(D1911,Data!$A$2:$C$223100,3,FALSE))</f>
        <v>Current</v>
      </c>
    </row>
    <row r="1912" spans="1:15" x14ac:dyDescent="0.25">
      <c r="A1912" t="s">
        <v>3922</v>
      </c>
      <c r="B1912" t="s">
        <v>4782</v>
      </c>
      <c r="C1912" t="s">
        <v>4783</v>
      </c>
      <c r="D1912" t="s">
        <v>4784</v>
      </c>
      <c r="E1912" t="s">
        <v>4787</v>
      </c>
      <c r="F1912" t="s">
        <v>5</v>
      </c>
      <c r="G1912" t="s">
        <v>5</v>
      </c>
      <c r="H1912" t="s">
        <v>5</v>
      </c>
      <c r="I1912" t="s">
        <v>4786</v>
      </c>
      <c r="J1912" t="s">
        <v>90</v>
      </c>
      <c r="K1912" s="3">
        <f t="shared" si="58"/>
        <v>0</v>
      </c>
      <c r="L1912" s="3">
        <f>IF(ISERROR(VLOOKUP(J1912,Lookups!$A$2:$A$16,1,FALSE)),1,0)</f>
        <v>0</v>
      </c>
      <c r="M1912" s="3">
        <f>IF(ISERROR(VLOOKUP(D1912,Data!$A$2:$D$223100,2,FALSE)),0,1)</f>
        <v>1</v>
      </c>
      <c r="N1912" s="3">
        <f t="shared" si="59"/>
        <v>0</v>
      </c>
      <c r="O1912" s="3" t="str">
        <f>IF(ISERROR(VLOOKUP(D1912,Data!$A$2:$C$223100,3,FALSE)),"INACTIVE",VLOOKUP(D1912,Data!$A$2:$C$223100,3,FALSE))</f>
        <v>Current</v>
      </c>
    </row>
    <row r="1913" spans="1:15" x14ac:dyDescent="0.25">
      <c r="A1913" t="s">
        <v>3922</v>
      </c>
      <c r="B1913" t="s">
        <v>4782</v>
      </c>
      <c r="C1913" t="s">
        <v>4788</v>
      </c>
      <c r="D1913" t="s">
        <v>4789</v>
      </c>
      <c r="E1913" t="s">
        <v>4790</v>
      </c>
      <c r="F1913" t="s">
        <v>5</v>
      </c>
      <c r="G1913" t="s">
        <v>5</v>
      </c>
      <c r="H1913" t="s">
        <v>5</v>
      </c>
      <c r="I1913" t="s">
        <v>4786</v>
      </c>
      <c r="J1913" t="s">
        <v>90</v>
      </c>
      <c r="K1913" s="3">
        <f t="shared" si="58"/>
        <v>0</v>
      </c>
      <c r="L1913" s="3">
        <f>IF(ISERROR(VLOOKUP(J1913,Lookups!$A$2:$A$16,1,FALSE)),1,0)</f>
        <v>0</v>
      </c>
      <c r="M1913" s="3">
        <f>IF(ISERROR(VLOOKUP(D1913,Data!$A$2:$D$223100,2,FALSE)),0,1)</f>
        <v>1</v>
      </c>
      <c r="N1913" s="3">
        <f t="shared" si="59"/>
        <v>0</v>
      </c>
      <c r="O1913" s="3" t="str">
        <f>IF(ISERROR(VLOOKUP(D1913,Data!$A$2:$C$223100,3,FALSE)),"INACTIVE",VLOOKUP(D1913,Data!$A$2:$C$223100,3,FALSE))</f>
        <v>Current</v>
      </c>
    </row>
    <row r="1914" spans="1:15" x14ac:dyDescent="0.25">
      <c r="A1914" t="s">
        <v>3922</v>
      </c>
      <c r="B1914" t="s">
        <v>4782</v>
      </c>
      <c r="C1914" t="s">
        <v>4788</v>
      </c>
      <c r="D1914" t="s">
        <v>4789</v>
      </c>
      <c r="E1914" t="s">
        <v>4791</v>
      </c>
      <c r="F1914" t="s">
        <v>5</v>
      </c>
      <c r="G1914" t="s">
        <v>5</v>
      </c>
      <c r="H1914" t="s">
        <v>5</v>
      </c>
      <c r="I1914" t="s">
        <v>4786</v>
      </c>
      <c r="J1914" t="s">
        <v>90</v>
      </c>
      <c r="K1914" s="3">
        <f t="shared" si="58"/>
        <v>0</v>
      </c>
      <c r="L1914" s="3">
        <f>IF(ISERROR(VLOOKUP(J1914,Lookups!$A$2:$A$16,1,FALSE)),1,0)</f>
        <v>0</v>
      </c>
      <c r="M1914" s="3">
        <f>IF(ISERROR(VLOOKUP(D1914,Data!$A$2:$D$223100,2,FALSE)),0,1)</f>
        <v>1</v>
      </c>
      <c r="N1914" s="3">
        <f t="shared" si="59"/>
        <v>0</v>
      </c>
      <c r="O1914" s="3" t="str">
        <f>IF(ISERROR(VLOOKUP(D1914,Data!$A$2:$C$223100,3,FALSE)),"INACTIVE",VLOOKUP(D1914,Data!$A$2:$C$223100,3,FALSE))</f>
        <v>Current</v>
      </c>
    </row>
    <row r="1915" spans="1:15" x14ac:dyDescent="0.25">
      <c r="A1915" t="s">
        <v>5275</v>
      </c>
      <c r="B1915" t="s">
        <v>5276</v>
      </c>
      <c r="C1915" t="s">
        <v>5277</v>
      </c>
      <c r="D1915" t="s">
        <v>5278</v>
      </c>
      <c r="E1915" t="s">
        <v>5279</v>
      </c>
      <c r="F1915" t="s">
        <v>5</v>
      </c>
      <c r="G1915" t="s">
        <v>5</v>
      </c>
      <c r="H1915" t="s">
        <v>5</v>
      </c>
      <c r="I1915" t="s">
        <v>4786</v>
      </c>
      <c r="J1915" t="s">
        <v>7</v>
      </c>
      <c r="K1915" s="3">
        <f t="shared" si="58"/>
        <v>0</v>
      </c>
      <c r="L1915" s="3">
        <f>IF(ISERROR(VLOOKUP(J1915,Lookups!$A$2:$A$16,1,FALSE)),1,0)</f>
        <v>1</v>
      </c>
      <c r="M1915" s="3">
        <f>IF(ISERROR(VLOOKUP(D1915,Data!$A$2:$D$223100,2,FALSE)),0,1)</f>
        <v>1</v>
      </c>
      <c r="N1915" s="3">
        <f t="shared" si="59"/>
        <v>1</v>
      </c>
      <c r="O1915" s="3" t="str">
        <f>IF(ISERROR(VLOOKUP(D1915,Data!$A$2:$C$223100,3,FALSE)),"INACTIVE",VLOOKUP(D1915,Data!$A$2:$C$223100,3,FALSE))</f>
        <v>150+</v>
      </c>
    </row>
    <row r="1916" spans="1:15" x14ac:dyDescent="0.25">
      <c r="A1916" t="s">
        <v>4572</v>
      </c>
      <c r="B1916" t="s">
        <v>4573</v>
      </c>
      <c r="C1916" t="s">
        <v>4574</v>
      </c>
      <c r="D1916" t="s">
        <v>4575</v>
      </c>
      <c r="E1916" t="s">
        <v>4576</v>
      </c>
      <c r="F1916" t="s">
        <v>5</v>
      </c>
      <c r="G1916" t="s">
        <v>5</v>
      </c>
      <c r="H1916" t="s">
        <v>5</v>
      </c>
      <c r="I1916" t="s">
        <v>4577</v>
      </c>
      <c r="J1916" t="s">
        <v>7</v>
      </c>
      <c r="K1916" s="3">
        <f t="shared" si="58"/>
        <v>0</v>
      </c>
      <c r="L1916" s="3">
        <f>IF(ISERROR(VLOOKUP(J1916,Lookups!$A$2:$A$16,1,FALSE)),1,0)</f>
        <v>1</v>
      </c>
      <c r="M1916" s="3">
        <f>IF(ISERROR(VLOOKUP(D1916,Data!$A$2:$D$223100,2,FALSE)),0,1)</f>
        <v>1</v>
      </c>
      <c r="N1916" s="3">
        <f t="shared" si="59"/>
        <v>1</v>
      </c>
      <c r="O1916" s="3" t="str">
        <f>IF(ISERROR(VLOOKUP(D1916,Data!$A$2:$C$223100,3,FALSE)),"INACTIVE",VLOOKUP(D1916,Data!$A$2:$C$223100,3,FALSE))</f>
        <v>60+</v>
      </c>
    </row>
    <row r="1917" spans="1:15" x14ac:dyDescent="0.25">
      <c r="A1917" t="s">
        <v>4572</v>
      </c>
      <c r="B1917" t="s">
        <v>4573</v>
      </c>
      <c r="C1917" t="s">
        <v>4578</v>
      </c>
      <c r="D1917" t="s">
        <v>4579</v>
      </c>
      <c r="E1917" t="s">
        <v>4580</v>
      </c>
      <c r="F1917" t="s">
        <v>5</v>
      </c>
      <c r="G1917" t="s">
        <v>5</v>
      </c>
      <c r="H1917" t="s">
        <v>5</v>
      </c>
      <c r="I1917" t="s">
        <v>4577</v>
      </c>
      <c r="J1917" t="s">
        <v>7</v>
      </c>
      <c r="K1917" s="3">
        <f t="shared" si="58"/>
        <v>0</v>
      </c>
      <c r="L1917" s="3">
        <f>IF(ISERROR(VLOOKUP(J1917,Lookups!$A$2:$A$16,1,FALSE)),1,0)</f>
        <v>1</v>
      </c>
      <c r="M1917" s="3">
        <f>IF(ISERROR(VLOOKUP(D1917,Data!$A$2:$D$223100,2,FALSE)),0,1)</f>
        <v>0</v>
      </c>
      <c r="N1917" s="3">
        <f t="shared" si="59"/>
        <v>0</v>
      </c>
      <c r="O1917" s="3" t="str">
        <f>IF(ISERROR(VLOOKUP(D1917,Data!$A$2:$C$223100,3,FALSE)),"INACTIVE",VLOOKUP(D1917,Data!$A$2:$C$223100,3,FALSE))</f>
        <v>INACTIVE</v>
      </c>
    </row>
    <row r="1918" spans="1:15" x14ac:dyDescent="0.25">
      <c r="A1918" t="s">
        <v>4734</v>
      </c>
      <c r="B1918" t="s">
        <v>4735</v>
      </c>
      <c r="C1918" t="s">
        <v>4736</v>
      </c>
      <c r="D1918" t="s">
        <v>4737</v>
      </c>
      <c r="E1918" t="s">
        <v>4738</v>
      </c>
      <c r="F1918" t="s">
        <v>5</v>
      </c>
      <c r="G1918" t="s">
        <v>5</v>
      </c>
      <c r="H1918" t="s">
        <v>5</v>
      </c>
      <c r="I1918" t="s">
        <v>4577</v>
      </c>
      <c r="J1918" t="s">
        <v>7</v>
      </c>
      <c r="K1918" s="3">
        <f t="shared" si="58"/>
        <v>0</v>
      </c>
      <c r="L1918" s="3">
        <f>IF(ISERROR(VLOOKUP(J1918,Lookups!$A$2:$A$16,1,FALSE)),1,0)</f>
        <v>1</v>
      </c>
      <c r="M1918" s="3">
        <f>IF(ISERROR(VLOOKUP(D1918,Data!$A$2:$D$223100,2,FALSE)),0,1)</f>
        <v>1</v>
      </c>
      <c r="N1918" s="3">
        <f t="shared" si="59"/>
        <v>1</v>
      </c>
      <c r="O1918" s="3" t="str">
        <f>IF(ISERROR(VLOOKUP(D1918,Data!$A$2:$C$223100,3,FALSE)),"INACTIVE",VLOOKUP(D1918,Data!$A$2:$C$223100,3,FALSE))</f>
        <v>Current</v>
      </c>
    </row>
    <row r="1919" spans="1:15" x14ac:dyDescent="0.25">
      <c r="A1919" t="s">
        <v>4753</v>
      </c>
      <c r="B1919" t="s">
        <v>4754</v>
      </c>
      <c r="C1919" t="s">
        <v>4755</v>
      </c>
      <c r="D1919" t="s">
        <v>4756</v>
      </c>
      <c r="E1919" t="s">
        <v>4757</v>
      </c>
      <c r="F1919" t="s">
        <v>5</v>
      </c>
      <c r="G1919" t="s">
        <v>5</v>
      </c>
      <c r="H1919" t="s">
        <v>5</v>
      </c>
      <c r="I1919" t="s">
        <v>4577</v>
      </c>
      <c r="J1919" t="s">
        <v>7</v>
      </c>
      <c r="K1919" s="3">
        <f t="shared" si="58"/>
        <v>0</v>
      </c>
      <c r="L1919" s="3">
        <f>IF(ISERROR(VLOOKUP(J1919,Lookups!$A$2:$A$16,1,FALSE)),1,0)</f>
        <v>1</v>
      </c>
      <c r="M1919" s="3">
        <f>IF(ISERROR(VLOOKUP(D1919,Data!$A$2:$D$223100,2,FALSE)),0,1)</f>
        <v>1</v>
      </c>
      <c r="N1919" s="3">
        <f t="shared" si="59"/>
        <v>1</v>
      </c>
      <c r="O1919" s="3" t="str">
        <f>IF(ISERROR(VLOOKUP(D1919,Data!$A$2:$C$223100,3,FALSE)),"INACTIVE",VLOOKUP(D1919,Data!$A$2:$C$223100,3,FALSE))</f>
        <v>FC</v>
      </c>
    </row>
    <row r="1920" spans="1:15" x14ac:dyDescent="0.25">
      <c r="A1920" t="s">
        <v>4818</v>
      </c>
      <c r="B1920" t="s">
        <v>4819</v>
      </c>
      <c r="C1920" t="s">
        <v>4820</v>
      </c>
      <c r="D1920" t="s">
        <v>4821</v>
      </c>
      <c r="E1920" t="s">
        <v>4822</v>
      </c>
      <c r="F1920" t="s">
        <v>5</v>
      </c>
      <c r="G1920" t="s">
        <v>5</v>
      </c>
      <c r="H1920" t="s">
        <v>5</v>
      </c>
      <c r="I1920" t="s">
        <v>4577</v>
      </c>
      <c r="J1920" t="s">
        <v>7</v>
      </c>
      <c r="K1920" s="3">
        <f t="shared" si="58"/>
        <v>0</v>
      </c>
      <c r="L1920" s="3">
        <f>IF(ISERROR(VLOOKUP(J1920,Lookups!$A$2:$A$16,1,FALSE)),1,0)</f>
        <v>1</v>
      </c>
      <c r="M1920" s="3">
        <f>IF(ISERROR(VLOOKUP(D1920,Data!$A$2:$D$223100,2,FALSE)),0,1)</f>
        <v>1</v>
      </c>
      <c r="N1920" s="3">
        <f t="shared" si="59"/>
        <v>1</v>
      </c>
      <c r="O1920" s="3" t="str">
        <f>IF(ISERROR(VLOOKUP(D1920,Data!$A$2:$C$223100,3,FALSE)),"INACTIVE",VLOOKUP(D1920,Data!$A$2:$C$223100,3,FALSE))</f>
        <v>Demand Letter</v>
      </c>
    </row>
    <row r="1921" spans="1:15" x14ac:dyDescent="0.25">
      <c r="A1921" t="s">
        <v>4862</v>
      </c>
      <c r="B1921" t="s">
        <v>4863</v>
      </c>
      <c r="C1921" t="s">
        <v>4864</v>
      </c>
      <c r="D1921" t="s">
        <v>4865</v>
      </c>
      <c r="E1921" t="s">
        <v>2517</v>
      </c>
      <c r="F1921" t="s">
        <v>4866</v>
      </c>
      <c r="G1921" t="s">
        <v>5</v>
      </c>
      <c r="H1921" t="s">
        <v>5</v>
      </c>
      <c r="I1921" t="s">
        <v>4577</v>
      </c>
      <c r="J1921" t="s">
        <v>7</v>
      </c>
      <c r="K1921" s="3">
        <f t="shared" si="58"/>
        <v>0</v>
      </c>
      <c r="L1921" s="3">
        <f>IF(ISERROR(VLOOKUP(J1921,Lookups!$A$2:$A$16,1,FALSE)),1,0)</f>
        <v>1</v>
      </c>
      <c r="M1921" s="3">
        <f>IF(ISERROR(VLOOKUP(D1921,Data!$A$2:$D$223100,2,FALSE)),0,1)</f>
        <v>1</v>
      </c>
      <c r="N1921" s="3">
        <f t="shared" si="59"/>
        <v>1</v>
      </c>
      <c r="O1921" s="3" t="str">
        <f>IF(ISERROR(VLOOKUP(D1921,Data!$A$2:$C$223100,3,FALSE)),"INACTIVE",VLOOKUP(D1921,Data!$A$2:$C$223100,3,FALSE))</f>
        <v>30+</v>
      </c>
    </row>
    <row r="1922" spans="1:15" x14ac:dyDescent="0.25">
      <c r="A1922" t="s">
        <v>5072</v>
      </c>
      <c r="B1922" t="s">
        <v>5073</v>
      </c>
      <c r="C1922" t="s">
        <v>5074</v>
      </c>
      <c r="D1922" t="s">
        <v>5075</v>
      </c>
      <c r="E1922" t="s">
        <v>5076</v>
      </c>
      <c r="F1922" t="s">
        <v>5</v>
      </c>
      <c r="G1922" t="s">
        <v>5</v>
      </c>
      <c r="H1922" t="s">
        <v>5</v>
      </c>
      <c r="I1922" t="s">
        <v>4577</v>
      </c>
      <c r="J1922" t="s">
        <v>96</v>
      </c>
      <c r="K1922" s="3">
        <f t="shared" si="58"/>
        <v>0</v>
      </c>
      <c r="L1922" s="3">
        <f>IF(ISERROR(VLOOKUP(J1922,Lookups!$A$2:$A$16,1,FALSE)),1,0)</f>
        <v>0</v>
      </c>
      <c r="M1922" s="3">
        <f>IF(ISERROR(VLOOKUP(D1922,Data!$A$2:$D$223100,2,FALSE)),0,1)</f>
        <v>1</v>
      </c>
      <c r="N1922" s="3">
        <f t="shared" si="59"/>
        <v>0</v>
      </c>
      <c r="O1922" s="3" t="str">
        <f>IF(ISERROR(VLOOKUP(D1922,Data!$A$2:$C$223100,3,FALSE)),"INACTIVE",VLOOKUP(D1922,Data!$A$2:$C$223100,3,FALSE))</f>
        <v>90+</v>
      </c>
    </row>
    <row r="1923" spans="1:15" x14ac:dyDescent="0.25">
      <c r="A1923" t="s">
        <v>5072</v>
      </c>
      <c r="B1923" t="s">
        <v>5073</v>
      </c>
      <c r="C1923" t="s">
        <v>5074</v>
      </c>
      <c r="D1923" t="s">
        <v>5075</v>
      </c>
      <c r="E1923" t="s">
        <v>5077</v>
      </c>
      <c r="F1923" t="s">
        <v>5</v>
      </c>
      <c r="G1923" t="s">
        <v>5</v>
      </c>
      <c r="H1923" t="s">
        <v>5</v>
      </c>
      <c r="I1923" t="s">
        <v>4577</v>
      </c>
      <c r="J1923" t="s">
        <v>96</v>
      </c>
      <c r="K1923" s="3">
        <f t="shared" ref="K1923:K1986" si="60">IF(ISERROR(FIND("LIEN",A1923,1)),0,1)</f>
        <v>0</v>
      </c>
      <c r="L1923" s="3">
        <f>IF(ISERROR(VLOOKUP(J1923,Lookups!$A$2:$A$16,1,FALSE)),1,0)</f>
        <v>0</v>
      </c>
      <c r="M1923" s="3">
        <f>IF(ISERROR(VLOOKUP(D1923,Data!$A$2:$D$223100,2,FALSE)),0,1)</f>
        <v>1</v>
      </c>
      <c r="N1923" s="3">
        <f t="shared" ref="N1923:N1986" si="61">IF(M1923=0,0,IF(SUM(K1923:L1923)&gt;0,1,0))</f>
        <v>0</v>
      </c>
      <c r="O1923" s="3" t="str">
        <f>IF(ISERROR(VLOOKUP(D1923,Data!$A$2:$C$223100,3,FALSE)),"INACTIVE",VLOOKUP(D1923,Data!$A$2:$C$223100,3,FALSE))</f>
        <v>90+</v>
      </c>
    </row>
    <row r="1924" spans="1:15" x14ac:dyDescent="0.25">
      <c r="A1924" t="s">
        <v>4635</v>
      </c>
      <c r="B1924" t="s">
        <v>4636</v>
      </c>
      <c r="C1924" t="s">
        <v>4637</v>
      </c>
      <c r="D1924" t="s">
        <v>4638</v>
      </c>
      <c r="E1924" t="s">
        <v>4639</v>
      </c>
      <c r="F1924" t="s">
        <v>5</v>
      </c>
      <c r="G1924" t="s">
        <v>5</v>
      </c>
      <c r="H1924" t="s">
        <v>5</v>
      </c>
      <c r="I1924" t="s">
        <v>4640</v>
      </c>
      <c r="J1924" t="s">
        <v>7</v>
      </c>
      <c r="K1924" s="3">
        <f t="shared" si="60"/>
        <v>0</v>
      </c>
      <c r="L1924" s="3">
        <f>IF(ISERROR(VLOOKUP(J1924,Lookups!$A$2:$A$16,1,FALSE)),1,0)</f>
        <v>1</v>
      </c>
      <c r="M1924" s="3">
        <f>IF(ISERROR(VLOOKUP(D1924,Data!$A$2:$D$223100,2,FALSE)),0,1)</f>
        <v>1</v>
      </c>
      <c r="N1924" s="3">
        <f t="shared" si="61"/>
        <v>1</v>
      </c>
      <c r="O1924" s="3" t="str">
        <f>IF(ISERROR(VLOOKUP(D1924,Data!$A$2:$C$223100,3,FALSE)),"INACTIVE",VLOOKUP(D1924,Data!$A$2:$C$223100,3,FALSE))</f>
        <v>FBA</v>
      </c>
    </row>
    <row r="1925" spans="1:15" x14ac:dyDescent="0.25">
      <c r="A1925" t="s">
        <v>4655</v>
      </c>
      <c r="B1925" t="s">
        <v>4656</v>
      </c>
      <c r="C1925" t="s">
        <v>4657</v>
      </c>
      <c r="D1925" t="s">
        <v>4658</v>
      </c>
      <c r="E1925" t="s">
        <v>4659</v>
      </c>
      <c r="F1925" t="s">
        <v>5</v>
      </c>
      <c r="G1925" t="s">
        <v>5</v>
      </c>
      <c r="H1925" t="s">
        <v>5</v>
      </c>
      <c r="I1925" t="s">
        <v>4660</v>
      </c>
      <c r="J1925" t="s">
        <v>7</v>
      </c>
      <c r="K1925" s="3">
        <f t="shared" si="60"/>
        <v>0</v>
      </c>
      <c r="L1925" s="3">
        <f>IF(ISERROR(VLOOKUP(J1925,Lookups!$A$2:$A$16,1,FALSE)),1,0)</f>
        <v>1</v>
      </c>
      <c r="M1925" s="3">
        <f>IF(ISERROR(VLOOKUP(D1925,Data!$A$2:$D$223100,2,FALSE)),0,1)</f>
        <v>1</v>
      </c>
      <c r="N1925" s="3">
        <f t="shared" si="61"/>
        <v>1</v>
      </c>
      <c r="O1925" s="3" t="str">
        <f>IF(ISERROR(VLOOKUP(D1925,Data!$A$2:$C$223100,3,FALSE)),"INACTIVE",VLOOKUP(D1925,Data!$A$2:$C$223100,3,FALSE))</f>
        <v>Current</v>
      </c>
    </row>
    <row r="1926" spans="1:15" x14ac:dyDescent="0.25">
      <c r="A1926" t="s">
        <v>4666</v>
      </c>
      <c r="B1926" t="s">
        <v>4667</v>
      </c>
      <c r="C1926" t="s">
        <v>4668</v>
      </c>
      <c r="D1926" t="s">
        <v>4669</v>
      </c>
      <c r="E1926" t="s">
        <v>4670</v>
      </c>
      <c r="F1926" t="s">
        <v>5</v>
      </c>
      <c r="G1926" t="s">
        <v>5</v>
      </c>
      <c r="H1926" t="s">
        <v>5</v>
      </c>
      <c r="I1926" t="s">
        <v>4660</v>
      </c>
      <c r="J1926" t="s">
        <v>96</v>
      </c>
      <c r="K1926" s="3">
        <f t="shared" si="60"/>
        <v>0</v>
      </c>
      <c r="L1926" s="3">
        <f>IF(ISERROR(VLOOKUP(J1926,Lookups!$A$2:$A$16,1,FALSE)),1,0)</f>
        <v>0</v>
      </c>
      <c r="M1926" s="3">
        <f>IF(ISERROR(VLOOKUP(D1926,Data!$A$2:$D$223100,2,FALSE)),0,1)</f>
        <v>1</v>
      </c>
      <c r="N1926" s="3">
        <f t="shared" si="61"/>
        <v>0</v>
      </c>
      <c r="O1926" s="3" t="str">
        <f>IF(ISERROR(VLOOKUP(D1926,Data!$A$2:$C$223100,3,FALSE)),"INACTIVE",VLOOKUP(D1926,Data!$A$2:$C$223100,3,FALSE))</f>
        <v>Current</v>
      </c>
    </row>
    <row r="1927" spans="1:15" x14ac:dyDescent="0.25">
      <c r="A1927" t="s">
        <v>4666</v>
      </c>
      <c r="B1927" t="s">
        <v>4667</v>
      </c>
      <c r="C1927" t="s">
        <v>4671</v>
      </c>
      <c r="D1927" t="s">
        <v>4672</v>
      </c>
      <c r="E1927" t="s">
        <v>4673</v>
      </c>
      <c r="F1927" t="s">
        <v>5</v>
      </c>
      <c r="G1927" t="s">
        <v>5</v>
      </c>
      <c r="H1927" t="s">
        <v>5</v>
      </c>
      <c r="I1927" t="s">
        <v>4660</v>
      </c>
      <c r="J1927" t="s">
        <v>7</v>
      </c>
      <c r="K1927" s="3">
        <f t="shared" si="60"/>
        <v>0</v>
      </c>
      <c r="L1927" s="3">
        <f>IF(ISERROR(VLOOKUP(J1927,Lookups!$A$2:$A$16,1,FALSE)),1,0)</f>
        <v>1</v>
      </c>
      <c r="M1927" s="3">
        <f>IF(ISERROR(VLOOKUP(D1927,Data!$A$2:$D$223100,2,FALSE)),0,1)</f>
        <v>1</v>
      </c>
      <c r="N1927" s="3">
        <f t="shared" si="61"/>
        <v>1</v>
      </c>
      <c r="O1927" s="3" t="str">
        <f>IF(ISERROR(VLOOKUP(D1927,Data!$A$2:$C$223100,3,FALSE)),"INACTIVE",VLOOKUP(D1927,Data!$A$2:$C$223100,3,FALSE))</f>
        <v>Current</v>
      </c>
    </row>
    <row r="1928" spans="1:15" x14ac:dyDescent="0.25">
      <c r="A1928" t="s">
        <v>4772</v>
      </c>
      <c r="B1928" t="s">
        <v>4773</v>
      </c>
      <c r="C1928" t="s">
        <v>4774</v>
      </c>
      <c r="D1928" t="s">
        <v>4775</v>
      </c>
      <c r="E1928" t="s">
        <v>4776</v>
      </c>
      <c r="F1928" t="s">
        <v>5</v>
      </c>
      <c r="G1928" t="s">
        <v>5</v>
      </c>
      <c r="H1928" t="s">
        <v>5</v>
      </c>
      <c r="I1928" t="s">
        <v>4660</v>
      </c>
      <c r="J1928" t="s">
        <v>96</v>
      </c>
      <c r="K1928" s="3">
        <f t="shared" si="60"/>
        <v>0</v>
      </c>
      <c r="L1928" s="3">
        <f>IF(ISERROR(VLOOKUP(J1928,Lookups!$A$2:$A$16,1,FALSE)),1,0)</f>
        <v>0</v>
      </c>
      <c r="M1928" s="3">
        <f>IF(ISERROR(VLOOKUP(D1928,Data!$A$2:$D$223100,2,FALSE)),0,1)</f>
        <v>1</v>
      </c>
      <c r="N1928" s="3">
        <f t="shared" si="61"/>
        <v>0</v>
      </c>
      <c r="O1928" s="3" t="str">
        <f>IF(ISERROR(VLOOKUP(D1928,Data!$A$2:$C$223100,3,FALSE)),"INACTIVE",VLOOKUP(D1928,Data!$A$2:$C$223100,3,FALSE))</f>
        <v>60+</v>
      </c>
    </row>
    <row r="1929" spans="1:15" x14ac:dyDescent="0.25">
      <c r="A1929" t="s">
        <v>4772</v>
      </c>
      <c r="B1929" t="s">
        <v>4773</v>
      </c>
      <c r="C1929" t="s">
        <v>4774</v>
      </c>
      <c r="D1929" t="s">
        <v>4775</v>
      </c>
      <c r="E1929" t="s">
        <v>4777</v>
      </c>
      <c r="F1929" t="s">
        <v>5</v>
      </c>
      <c r="G1929" t="s">
        <v>5</v>
      </c>
      <c r="H1929" t="s">
        <v>5</v>
      </c>
      <c r="I1929" t="s">
        <v>4660</v>
      </c>
      <c r="J1929" t="s">
        <v>96</v>
      </c>
      <c r="K1929" s="3">
        <f t="shared" si="60"/>
        <v>0</v>
      </c>
      <c r="L1929" s="3">
        <f>IF(ISERROR(VLOOKUP(J1929,Lookups!$A$2:$A$16,1,FALSE)),1,0)</f>
        <v>0</v>
      </c>
      <c r="M1929" s="3">
        <f>IF(ISERROR(VLOOKUP(D1929,Data!$A$2:$D$223100,2,FALSE)),0,1)</f>
        <v>1</v>
      </c>
      <c r="N1929" s="3">
        <f t="shared" si="61"/>
        <v>0</v>
      </c>
      <c r="O1929" s="3" t="str">
        <f>IF(ISERROR(VLOOKUP(D1929,Data!$A$2:$C$223100,3,FALSE)),"INACTIVE",VLOOKUP(D1929,Data!$A$2:$C$223100,3,FALSE))</f>
        <v>60+</v>
      </c>
    </row>
    <row r="1930" spans="1:15" x14ac:dyDescent="0.25">
      <c r="A1930" t="s">
        <v>4772</v>
      </c>
      <c r="B1930" t="s">
        <v>4773</v>
      </c>
      <c r="C1930" t="s">
        <v>4774</v>
      </c>
      <c r="D1930" t="s">
        <v>4775</v>
      </c>
      <c r="E1930" t="s">
        <v>4778</v>
      </c>
      <c r="F1930" t="s">
        <v>5</v>
      </c>
      <c r="G1930" t="s">
        <v>5</v>
      </c>
      <c r="H1930" t="s">
        <v>5</v>
      </c>
      <c r="I1930" t="s">
        <v>4660</v>
      </c>
      <c r="J1930" t="s">
        <v>96</v>
      </c>
      <c r="K1930" s="3">
        <f t="shared" si="60"/>
        <v>0</v>
      </c>
      <c r="L1930" s="3">
        <f>IF(ISERROR(VLOOKUP(J1930,Lookups!$A$2:$A$16,1,FALSE)),1,0)</f>
        <v>0</v>
      </c>
      <c r="M1930" s="3">
        <f>IF(ISERROR(VLOOKUP(D1930,Data!$A$2:$D$223100,2,FALSE)),0,1)</f>
        <v>1</v>
      </c>
      <c r="N1930" s="3">
        <f t="shared" si="61"/>
        <v>0</v>
      </c>
      <c r="O1930" s="3" t="str">
        <f>IF(ISERROR(VLOOKUP(D1930,Data!$A$2:$C$223100,3,FALSE)),"INACTIVE",VLOOKUP(D1930,Data!$A$2:$C$223100,3,FALSE))</f>
        <v>60+</v>
      </c>
    </row>
    <row r="1931" spans="1:15" x14ac:dyDescent="0.25">
      <c r="A1931" t="s">
        <v>4772</v>
      </c>
      <c r="B1931" t="s">
        <v>4773</v>
      </c>
      <c r="C1931" t="s">
        <v>4774</v>
      </c>
      <c r="D1931" t="s">
        <v>4775</v>
      </c>
      <c r="E1931" t="s">
        <v>4779</v>
      </c>
      <c r="F1931" t="s">
        <v>5</v>
      </c>
      <c r="G1931" t="s">
        <v>5</v>
      </c>
      <c r="H1931" t="s">
        <v>5</v>
      </c>
      <c r="I1931" t="s">
        <v>4660</v>
      </c>
      <c r="J1931" t="s">
        <v>96</v>
      </c>
      <c r="K1931" s="3">
        <f t="shared" si="60"/>
        <v>0</v>
      </c>
      <c r="L1931" s="3">
        <f>IF(ISERROR(VLOOKUP(J1931,Lookups!$A$2:$A$16,1,FALSE)),1,0)</f>
        <v>0</v>
      </c>
      <c r="M1931" s="3">
        <f>IF(ISERROR(VLOOKUP(D1931,Data!$A$2:$D$223100,2,FALSE)),0,1)</f>
        <v>1</v>
      </c>
      <c r="N1931" s="3">
        <f t="shared" si="61"/>
        <v>0</v>
      </c>
      <c r="O1931" s="3" t="str">
        <f>IF(ISERROR(VLOOKUP(D1931,Data!$A$2:$C$223100,3,FALSE)),"INACTIVE",VLOOKUP(D1931,Data!$A$2:$C$223100,3,FALSE))</f>
        <v>60+</v>
      </c>
    </row>
    <row r="1932" spans="1:15" x14ac:dyDescent="0.25">
      <c r="A1932" t="s">
        <v>4772</v>
      </c>
      <c r="B1932" t="s">
        <v>4773</v>
      </c>
      <c r="C1932" t="s">
        <v>4774</v>
      </c>
      <c r="D1932" t="s">
        <v>4775</v>
      </c>
      <c r="E1932" t="s">
        <v>4780</v>
      </c>
      <c r="F1932" t="s">
        <v>5</v>
      </c>
      <c r="G1932" t="s">
        <v>5</v>
      </c>
      <c r="H1932" t="s">
        <v>5</v>
      </c>
      <c r="I1932" t="s">
        <v>4660</v>
      </c>
      <c r="J1932" t="s">
        <v>96</v>
      </c>
      <c r="K1932" s="3">
        <f t="shared" si="60"/>
        <v>0</v>
      </c>
      <c r="L1932" s="3">
        <f>IF(ISERROR(VLOOKUP(J1932,Lookups!$A$2:$A$16,1,FALSE)),1,0)</f>
        <v>0</v>
      </c>
      <c r="M1932" s="3">
        <f>IF(ISERROR(VLOOKUP(D1932,Data!$A$2:$D$223100,2,FALSE)),0,1)</f>
        <v>1</v>
      </c>
      <c r="N1932" s="3">
        <f t="shared" si="61"/>
        <v>0</v>
      </c>
      <c r="O1932" s="3" t="str">
        <f>IF(ISERROR(VLOOKUP(D1932,Data!$A$2:$C$223100,3,FALSE)),"INACTIVE",VLOOKUP(D1932,Data!$A$2:$C$223100,3,FALSE))</f>
        <v>60+</v>
      </c>
    </row>
    <row r="1933" spans="1:15" x14ac:dyDescent="0.25">
      <c r="A1933" t="s">
        <v>4772</v>
      </c>
      <c r="B1933" t="s">
        <v>4773</v>
      </c>
      <c r="C1933" t="s">
        <v>4774</v>
      </c>
      <c r="D1933" t="s">
        <v>4775</v>
      </c>
      <c r="E1933" t="s">
        <v>4781</v>
      </c>
      <c r="F1933" t="s">
        <v>5</v>
      </c>
      <c r="G1933" t="s">
        <v>5</v>
      </c>
      <c r="H1933" t="s">
        <v>5</v>
      </c>
      <c r="I1933" t="s">
        <v>4660</v>
      </c>
      <c r="J1933" t="s">
        <v>96</v>
      </c>
      <c r="K1933" s="3">
        <f t="shared" si="60"/>
        <v>0</v>
      </c>
      <c r="L1933" s="3">
        <f>IF(ISERROR(VLOOKUP(J1933,Lookups!$A$2:$A$16,1,FALSE)),1,0)</f>
        <v>0</v>
      </c>
      <c r="M1933" s="3">
        <f>IF(ISERROR(VLOOKUP(D1933,Data!$A$2:$D$223100,2,FALSE)),0,1)</f>
        <v>1</v>
      </c>
      <c r="N1933" s="3">
        <f t="shared" si="61"/>
        <v>0</v>
      </c>
      <c r="O1933" s="3" t="str">
        <f>IF(ISERROR(VLOOKUP(D1933,Data!$A$2:$C$223100,3,FALSE)),"INACTIVE",VLOOKUP(D1933,Data!$A$2:$C$223100,3,FALSE))</f>
        <v>60+</v>
      </c>
    </row>
    <row r="1934" spans="1:15" x14ac:dyDescent="0.25">
      <c r="A1934" t="s">
        <v>4249</v>
      </c>
      <c r="B1934" t="s">
        <v>4250</v>
      </c>
      <c r="C1934" t="s">
        <v>4251</v>
      </c>
      <c r="D1934" t="s">
        <v>4252</v>
      </c>
      <c r="E1934" t="s">
        <v>4253</v>
      </c>
      <c r="F1934" t="s">
        <v>5</v>
      </c>
      <c r="G1934" t="s">
        <v>5</v>
      </c>
      <c r="H1934" t="s">
        <v>5</v>
      </c>
      <c r="I1934" t="s">
        <v>4254</v>
      </c>
      <c r="J1934" t="s">
        <v>7</v>
      </c>
      <c r="K1934" s="3">
        <f t="shared" si="60"/>
        <v>0</v>
      </c>
      <c r="L1934" s="3">
        <f>IF(ISERROR(VLOOKUP(J1934,Lookups!$A$2:$A$16,1,FALSE)),1,0)</f>
        <v>1</v>
      </c>
      <c r="M1934" s="3">
        <f>IF(ISERROR(VLOOKUP(D1934,Data!$A$2:$D$223100,2,FALSE)),0,1)</f>
        <v>0</v>
      </c>
      <c r="N1934" s="3">
        <f t="shared" si="61"/>
        <v>0</v>
      </c>
      <c r="O1934" s="3" t="str">
        <f>IF(ISERROR(VLOOKUP(D1934,Data!$A$2:$C$223100,3,FALSE)),"INACTIVE",VLOOKUP(D1934,Data!$A$2:$C$223100,3,FALSE))</f>
        <v>INACTIVE</v>
      </c>
    </row>
    <row r="1935" spans="1:15" x14ac:dyDescent="0.25">
      <c r="A1935" t="s">
        <v>4249</v>
      </c>
      <c r="B1935" t="s">
        <v>4250</v>
      </c>
      <c r="C1935" t="s">
        <v>4255</v>
      </c>
      <c r="D1935" t="s">
        <v>4256</v>
      </c>
      <c r="E1935" t="s">
        <v>4257</v>
      </c>
      <c r="F1935" t="s">
        <v>5</v>
      </c>
      <c r="G1935" t="s">
        <v>5</v>
      </c>
      <c r="H1935" t="s">
        <v>5</v>
      </c>
      <c r="I1935" t="s">
        <v>4254</v>
      </c>
      <c r="J1935" t="s">
        <v>7</v>
      </c>
      <c r="K1935" s="3">
        <f t="shared" si="60"/>
        <v>0</v>
      </c>
      <c r="L1935" s="3">
        <f>IF(ISERROR(VLOOKUP(J1935,Lookups!$A$2:$A$16,1,FALSE)),1,0)</f>
        <v>1</v>
      </c>
      <c r="M1935" s="3">
        <f>IF(ISERROR(VLOOKUP(D1935,Data!$A$2:$D$223100,2,FALSE)),0,1)</f>
        <v>1</v>
      </c>
      <c r="N1935" s="3">
        <f t="shared" si="61"/>
        <v>1</v>
      </c>
      <c r="O1935" s="3" t="str">
        <f>IF(ISERROR(VLOOKUP(D1935,Data!$A$2:$C$223100,3,FALSE)),"INACTIVE",VLOOKUP(D1935,Data!$A$2:$C$223100,3,FALSE))</f>
        <v>30+</v>
      </c>
    </row>
    <row r="1936" spans="1:15" x14ac:dyDescent="0.25">
      <c r="A1936" t="s">
        <v>4249</v>
      </c>
      <c r="B1936" t="s">
        <v>4250</v>
      </c>
      <c r="C1936" t="s">
        <v>4258</v>
      </c>
      <c r="D1936" t="s">
        <v>4259</v>
      </c>
      <c r="E1936" t="s">
        <v>4260</v>
      </c>
      <c r="F1936" t="s">
        <v>5</v>
      </c>
      <c r="G1936" t="s">
        <v>5</v>
      </c>
      <c r="H1936" t="s">
        <v>5</v>
      </c>
      <c r="I1936" t="s">
        <v>4254</v>
      </c>
      <c r="J1936" t="s">
        <v>90</v>
      </c>
      <c r="K1936" s="3">
        <f t="shared" si="60"/>
        <v>0</v>
      </c>
      <c r="L1936" s="3">
        <f>IF(ISERROR(VLOOKUP(J1936,Lookups!$A$2:$A$16,1,FALSE)),1,0)</f>
        <v>0</v>
      </c>
      <c r="M1936" s="3">
        <f>IF(ISERROR(VLOOKUP(D1936,Data!$A$2:$D$223100,2,FALSE)),0,1)</f>
        <v>1</v>
      </c>
      <c r="N1936" s="3">
        <f t="shared" si="61"/>
        <v>0</v>
      </c>
      <c r="O1936" s="3" t="str">
        <f>IF(ISERROR(VLOOKUP(D1936,Data!$A$2:$C$223100,3,FALSE)),"INACTIVE",VLOOKUP(D1936,Data!$A$2:$C$223100,3,FALSE))</f>
        <v>FC</v>
      </c>
    </row>
    <row r="1937" spans="1:15" x14ac:dyDescent="0.25">
      <c r="A1937" t="s">
        <v>4249</v>
      </c>
      <c r="B1937" t="s">
        <v>4250</v>
      </c>
      <c r="C1937" t="s">
        <v>4258</v>
      </c>
      <c r="D1937" t="s">
        <v>4259</v>
      </c>
      <c r="E1937" t="s">
        <v>4261</v>
      </c>
      <c r="F1937" t="s">
        <v>5</v>
      </c>
      <c r="G1937" t="s">
        <v>5</v>
      </c>
      <c r="H1937" t="s">
        <v>5</v>
      </c>
      <c r="I1937" t="s">
        <v>4254</v>
      </c>
      <c r="J1937" t="s">
        <v>90</v>
      </c>
      <c r="K1937" s="3">
        <f t="shared" si="60"/>
        <v>0</v>
      </c>
      <c r="L1937" s="3">
        <f>IF(ISERROR(VLOOKUP(J1937,Lookups!$A$2:$A$16,1,FALSE)),1,0)</f>
        <v>0</v>
      </c>
      <c r="M1937" s="3">
        <f>IF(ISERROR(VLOOKUP(D1937,Data!$A$2:$D$223100,2,FALSE)),0,1)</f>
        <v>1</v>
      </c>
      <c r="N1937" s="3">
        <f t="shared" si="61"/>
        <v>0</v>
      </c>
      <c r="O1937" s="3" t="str">
        <f>IF(ISERROR(VLOOKUP(D1937,Data!$A$2:$C$223100,3,FALSE)),"INACTIVE",VLOOKUP(D1937,Data!$A$2:$C$223100,3,FALSE))</f>
        <v>FC</v>
      </c>
    </row>
    <row r="1938" spans="1:15" x14ac:dyDescent="0.25">
      <c r="A1938" t="s">
        <v>4249</v>
      </c>
      <c r="B1938" t="s">
        <v>4250</v>
      </c>
      <c r="C1938" t="s">
        <v>4262</v>
      </c>
      <c r="D1938" t="s">
        <v>4263</v>
      </c>
      <c r="E1938" t="s">
        <v>4264</v>
      </c>
      <c r="F1938" t="s">
        <v>5</v>
      </c>
      <c r="G1938" t="s">
        <v>5</v>
      </c>
      <c r="H1938" t="s">
        <v>5</v>
      </c>
      <c r="I1938" t="s">
        <v>4254</v>
      </c>
      <c r="J1938" t="s">
        <v>90</v>
      </c>
      <c r="K1938" s="3">
        <f t="shared" si="60"/>
        <v>0</v>
      </c>
      <c r="L1938" s="3">
        <f>IF(ISERROR(VLOOKUP(J1938,Lookups!$A$2:$A$16,1,FALSE)),1,0)</f>
        <v>0</v>
      </c>
      <c r="M1938" s="3">
        <f>IF(ISERROR(VLOOKUP(D1938,Data!$A$2:$D$223100,2,FALSE)),0,1)</f>
        <v>1</v>
      </c>
      <c r="N1938" s="3">
        <f t="shared" si="61"/>
        <v>0</v>
      </c>
      <c r="O1938" s="3" t="str">
        <f>IF(ISERROR(VLOOKUP(D1938,Data!$A$2:$C$223100,3,FALSE)),"INACTIVE",VLOOKUP(D1938,Data!$A$2:$C$223100,3,FALSE))</f>
        <v>FBA</v>
      </c>
    </row>
    <row r="1939" spans="1:15" x14ac:dyDescent="0.25">
      <c r="A1939" t="s">
        <v>4249</v>
      </c>
      <c r="B1939" t="s">
        <v>4250</v>
      </c>
      <c r="C1939" t="s">
        <v>4262</v>
      </c>
      <c r="D1939" t="s">
        <v>4263</v>
      </c>
      <c r="E1939" t="s">
        <v>4265</v>
      </c>
      <c r="F1939" t="s">
        <v>5</v>
      </c>
      <c r="G1939" t="s">
        <v>5</v>
      </c>
      <c r="H1939" t="s">
        <v>5</v>
      </c>
      <c r="I1939" t="s">
        <v>4254</v>
      </c>
      <c r="J1939" t="s">
        <v>90</v>
      </c>
      <c r="K1939" s="3">
        <f t="shared" si="60"/>
        <v>0</v>
      </c>
      <c r="L1939" s="3">
        <f>IF(ISERROR(VLOOKUP(J1939,Lookups!$A$2:$A$16,1,FALSE)),1,0)</f>
        <v>0</v>
      </c>
      <c r="M1939" s="3">
        <f>IF(ISERROR(VLOOKUP(D1939,Data!$A$2:$D$223100,2,FALSE)),0,1)</f>
        <v>1</v>
      </c>
      <c r="N1939" s="3">
        <f t="shared" si="61"/>
        <v>0</v>
      </c>
      <c r="O1939" s="3" t="str">
        <f>IF(ISERROR(VLOOKUP(D1939,Data!$A$2:$C$223100,3,FALSE)),"INACTIVE",VLOOKUP(D1939,Data!$A$2:$C$223100,3,FALSE))</f>
        <v>FBA</v>
      </c>
    </row>
    <row r="1940" spans="1:15" x14ac:dyDescent="0.25">
      <c r="A1940" t="s">
        <v>4249</v>
      </c>
      <c r="B1940" t="s">
        <v>4250</v>
      </c>
      <c r="C1940" t="s">
        <v>4266</v>
      </c>
      <c r="D1940" t="s">
        <v>4267</v>
      </c>
      <c r="E1940" t="s">
        <v>4268</v>
      </c>
      <c r="F1940" t="s">
        <v>5</v>
      </c>
      <c r="G1940" t="s">
        <v>5</v>
      </c>
      <c r="H1940" t="s">
        <v>5</v>
      </c>
      <c r="I1940" t="s">
        <v>4254</v>
      </c>
      <c r="J1940" t="s">
        <v>7</v>
      </c>
      <c r="K1940" s="3">
        <f t="shared" si="60"/>
        <v>0</v>
      </c>
      <c r="L1940" s="3">
        <f>IF(ISERROR(VLOOKUP(J1940,Lookups!$A$2:$A$16,1,FALSE)),1,0)</f>
        <v>1</v>
      </c>
      <c r="M1940" s="3">
        <f>IF(ISERROR(VLOOKUP(D1940,Data!$A$2:$D$223100,2,FALSE)),0,1)</f>
        <v>1</v>
      </c>
      <c r="N1940" s="3">
        <f t="shared" si="61"/>
        <v>1</v>
      </c>
      <c r="O1940" s="3" t="str">
        <f>IF(ISERROR(VLOOKUP(D1940,Data!$A$2:$C$223100,3,FALSE)),"INACTIVE",VLOOKUP(D1940,Data!$A$2:$C$223100,3,FALSE))</f>
        <v>BK13</v>
      </c>
    </row>
    <row r="1941" spans="1:15" x14ac:dyDescent="0.25">
      <c r="A1941" t="s">
        <v>4249</v>
      </c>
      <c r="B1941" t="s">
        <v>4250</v>
      </c>
      <c r="C1941" t="s">
        <v>4269</v>
      </c>
      <c r="D1941" t="s">
        <v>4270</v>
      </c>
      <c r="E1941" t="s">
        <v>4271</v>
      </c>
      <c r="F1941" t="s">
        <v>5</v>
      </c>
      <c r="G1941" t="s">
        <v>5</v>
      </c>
      <c r="H1941" t="s">
        <v>5</v>
      </c>
      <c r="I1941" t="s">
        <v>4254</v>
      </c>
      <c r="J1941" t="s">
        <v>7</v>
      </c>
      <c r="K1941" s="3">
        <f t="shared" si="60"/>
        <v>0</v>
      </c>
      <c r="L1941" s="3">
        <f>IF(ISERROR(VLOOKUP(J1941,Lookups!$A$2:$A$16,1,FALSE)),1,0)</f>
        <v>1</v>
      </c>
      <c r="M1941" s="3">
        <f>IF(ISERROR(VLOOKUP(D1941,Data!$A$2:$D$223100,2,FALSE)),0,1)</f>
        <v>1</v>
      </c>
      <c r="N1941" s="3">
        <f t="shared" si="61"/>
        <v>1</v>
      </c>
      <c r="O1941" s="3" t="str">
        <f>IF(ISERROR(VLOOKUP(D1941,Data!$A$2:$C$223100,3,FALSE)),"INACTIVE",VLOOKUP(D1941,Data!$A$2:$C$223100,3,FALSE))</f>
        <v>FC</v>
      </c>
    </row>
    <row r="1942" spans="1:15" x14ac:dyDescent="0.25">
      <c r="A1942" t="s">
        <v>4249</v>
      </c>
      <c r="B1942" t="s">
        <v>4250</v>
      </c>
      <c r="C1942" t="s">
        <v>4272</v>
      </c>
      <c r="D1942" t="s">
        <v>4273</v>
      </c>
      <c r="E1942" t="s">
        <v>4274</v>
      </c>
      <c r="F1942" t="s">
        <v>5</v>
      </c>
      <c r="G1942" t="s">
        <v>5</v>
      </c>
      <c r="H1942" t="s">
        <v>5</v>
      </c>
      <c r="I1942" t="s">
        <v>4254</v>
      </c>
      <c r="J1942" t="s">
        <v>90</v>
      </c>
      <c r="K1942" s="3">
        <f t="shared" si="60"/>
        <v>0</v>
      </c>
      <c r="L1942" s="3">
        <f>IF(ISERROR(VLOOKUP(J1942,Lookups!$A$2:$A$16,1,FALSE)),1,0)</f>
        <v>0</v>
      </c>
      <c r="M1942" s="3">
        <f>IF(ISERROR(VLOOKUP(D1942,Data!$A$2:$D$223100,2,FALSE)),0,1)</f>
        <v>1</v>
      </c>
      <c r="N1942" s="3">
        <f t="shared" si="61"/>
        <v>0</v>
      </c>
      <c r="O1942" s="3" t="str">
        <f>IF(ISERROR(VLOOKUP(D1942,Data!$A$2:$C$223100,3,FALSE)),"INACTIVE",VLOOKUP(D1942,Data!$A$2:$C$223100,3,FALSE))</f>
        <v>Current</v>
      </c>
    </row>
    <row r="1943" spans="1:15" x14ac:dyDescent="0.25">
      <c r="A1943" t="s">
        <v>4249</v>
      </c>
      <c r="B1943" t="s">
        <v>4250</v>
      </c>
      <c r="C1943" t="s">
        <v>4275</v>
      </c>
      <c r="D1943" t="s">
        <v>4276</v>
      </c>
      <c r="E1943" t="s">
        <v>4277</v>
      </c>
      <c r="F1943" t="s">
        <v>5</v>
      </c>
      <c r="G1943" t="s">
        <v>5</v>
      </c>
      <c r="H1943" t="s">
        <v>5</v>
      </c>
      <c r="I1943" t="s">
        <v>4254</v>
      </c>
      <c r="J1943" t="s">
        <v>7</v>
      </c>
      <c r="K1943" s="3">
        <f t="shared" si="60"/>
        <v>0</v>
      </c>
      <c r="L1943" s="3">
        <f>IF(ISERROR(VLOOKUP(J1943,Lookups!$A$2:$A$16,1,FALSE)),1,0)</f>
        <v>1</v>
      </c>
      <c r="M1943" s="3">
        <f>IF(ISERROR(VLOOKUP(D1943,Data!$A$2:$D$223100,2,FALSE)),0,1)</f>
        <v>1</v>
      </c>
      <c r="N1943" s="3">
        <f t="shared" si="61"/>
        <v>1</v>
      </c>
      <c r="O1943" s="3" t="str">
        <f>IF(ISERROR(VLOOKUP(D1943,Data!$A$2:$C$223100,3,FALSE)),"INACTIVE",VLOOKUP(D1943,Data!$A$2:$C$223100,3,FALSE))</f>
        <v>FC</v>
      </c>
    </row>
    <row r="1944" spans="1:15" x14ac:dyDescent="0.25">
      <c r="A1944" t="s">
        <v>4249</v>
      </c>
      <c r="B1944" t="s">
        <v>4250</v>
      </c>
      <c r="C1944" t="s">
        <v>4278</v>
      </c>
      <c r="D1944" t="s">
        <v>4279</v>
      </c>
      <c r="E1944" t="s">
        <v>4280</v>
      </c>
      <c r="F1944" t="s">
        <v>5</v>
      </c>
      <c r="G1944" t="s">
        <v>5</v>
      </c>
      <c r="H1944" t="s">
        <v>5</v>
      </c>
      <c r="I1944" t="s">
        <v>4254</v>
      </c>
      <c r="J1944" t="s">
        <v>7</v>
      </c>
      <c r="K1944" s="3">
        <f t="shared" si="60"/>
        <v>0</v>
      </c>
      <c r="L1944" s="3">
        <f>IF(ISERROR(VLOOKUP(J1944,Lookups!$A$2:$A$16,1,FALSE)),1,0)</f>
        <v>1</v>
      </c>
      <c r="M1944" s="3">
        <f>IF(ISERROR(VLOOKUP(D1944,Data!$A$2:$D$223100,2,FALSE)),0,1)</f>
        <v>1</v>
      </c>
      <c r="N1944" s="3">
        <f t="shared" si="61"/>
        <v>1</v>
      </c>
      <c r="O1944" s="3" t="str">
        <f>IF(ISERROR(VLOOKUP(D1944,Data!$A$2:$C$223100,3,FALSE)),"INACTIVE",VLOOKUP(D1944,Data!$A$2:$C$223100,3,FALSE))</f>
        <v>FC</v>
      </c>
    </row>
    <row r="1945" spans="1:15" x14ac:dyDescent="0.25">
      <c r="A1945" t="s">
        <v>4249</v>
      </c>
      <c r="B1945" t="s">
        <v>4250</v>
      </c>
      <c r="C1945" t="s">
        <v>4281</v>
      </c>
      <c r="D1945" t="s">
        <v>4282</v>
      </c>
      <c r="E1945" t="s">
        <v>4283</v>
      </c>
      <c r="F1945" t="s">
        <v>5</v>
      </c>
      <c r="G1945" t="s">
        <v>5</v>
      </c>
      <c r="H1945" t="s">
        <v>5</v>
      </c>
      <c r="I1945" t="s">
        <v>4254</v>
      </c>
      <c r="J1945" t="s">
        <v>90</v>
      </c>
      <c r="K1945" s="3">
        <f t="shared" si="60"/>
        <v>0</v>
      </c>
      <c r="L1945" s="3">
        <f>IF(ISERROR(VLOOKUP(J1945,Lookups!$A$2:$A$16,1,FALSE)),1,0)</f>
        <v>0</v>
      </c>
      <c r="M1945" s="3">
        <f>IF(ISERROR(VLOOKUP(D1945,Data!$A$2:$D$223100,2,FALSE)),0,1)</f>
        <v>0</v>
      </c>
      <c r="N1945" s="3">
        <f t="shared" si="61"/>
        <v>0</v>
      </c>
      <c r="O1945" s="3" t="str">
        <f>IF(ISERROR(VLOOKUP(D1945,Data!$A$2:$C$223100,3,FALSE)),"INACTIVE",VLOOKUP(D1945,Data!$A$2:$C$223100,3,FALSE))</f>
        <v>INACTIVE</v>
      </c>
    </row>
    <row r="1946" spans="1:15" x14ac:dyDescent="0.25">
      <c r="A1946" t="s">
        <v>4249</v>
      </c>
      <c r="B1946" t="s">
        <v>4250</v>
      </c>
      <c r="C1946" t="s">
        <v>4281</v>
      </c>
      <c r="D1946" t="s">
        <v>4282</v>
      </c>
      <c r="E1946" t="s">
        <v>4284</v>
      </c>
      <c r="F1946" t="s">
        <v>5</v>
      </c>
      <c r="G1946" t="s">
        <v>5</v>
      </c>
      <c r="H1946" t="s">
        <v>5</v>
      </c>
      <c r="I1946" t="s">
        <v>4254</v>
      </c>
      <c r="J1946" t="s">
        <v>90</v>
      </c>
      <c r="K1946" s="3">
        <f t="shared" si="60"/>
        <v>0</v>
      </c>
      <c r="L1946" s="3">
        <f>IF(ISERROR(VLOOKUP(J1946,Lookups!$A$2:$A$16,1,FALSE)),1,0)</f>
        <v>0</v>
      </c>
      <c r="M1946" s="3">
        <f>IF(ISERROR(VLOOKUP(D1946,Data!$A$2:$D$223100,2,FALSE)),0,1)</f>
        <v>0</v>
      </c>
      <c r="N1946" s="3">
        <f t="shared" si="61"/>
        <v>0</v>
      </c>
      <c r="O1946" s="3" t="str">
        <f>IF(ISERROR(VLOOKUP(D1946,Data!$A$2:$C$223100,3,FALSE)),"INACTIVE",VLOOKUP(D1946,Data!$A$2:$C$223100,3,FALSE))</f>
        <v>INACTIVE</v>
      </c>
    </row>
    <row r="1947" spans="1:15" x14ac:dyDescent="0.25">
      <c r="A1947" t="s">
        <v>4249</v>
      </c>
      <c r="B1947" t="s">
        <v>4250</v>
      </c>
      <c r="C1947" t="s">
        <v>4285</v>
      </c>
      <c r="D1947" t="s">
        <v>4286</v>
      </c>
      <c r="E1947" t="s">
        <v>4287</v>
      </c>
      <c r="F1947" t="s">
        <v>5</v>
      </c>
      <c r="G1947" t="s">
        <v>5</v>
      </c>
      <c r="H1947" t="s">
        <v>5</v>
      </c>
      <c r="I1947" t="s">
        <v>4254</v>
      </c>
      <c r="J1947" t="s">
        <v>7</v>
      </c>
      <c r="K1947" s="3">
        <f t="shared" si="60"/>
        <v>0</v>
      </c>
      <c r="L1947" s="3">
        <f>IF(ISERROR(VLOOKUP(J1947,Lookups!$A$2:$A$16,1,FALSE)),1,0)</f>
        <v>1</v>
      </c>
      <c r="M1947" s="3">
        <f>IF(ISERROR(VLOOKUP(D1947,Data!$A$2:$D$223100,2,FALSE)),0,1)</f>
        <v>1</v>
      </c>
      <c r="N1947" s="3">
        <f t="shared" si="61"/>
        <v>1</v>
      </c>
      <c r="O1947" s="3" t="str">
        <f>IF(ISERROR(VLOOKUP(D1947,Data!$A$2:$C$223100,3,FALSE)),"INACTIVE",VLOOKUP(D1947,Data!$A$2:$C$223100,3,FALSE))</f>
        <v>Demand Letter</v>
      </c>
    </row>
    <row r="1948" spans="1:15" x14ac:dyDescent="0.25">
      <c r="A1948" t="s">
        <v>4249</v>
      </c>
      <c r="B1948" t="s">
        <v>4250</v>
      </c>
      <c r="C1948" t="s">
        <v>4288</v>
      </c>
      <c r="D1948" t="s">
        <v>4289</v>
      </c>
      <c r="E1948" t="s">
        <v>4290</v>
      </c>
      <c r="F1948" t="s">
        <v>5</v>
      </c>
      <c r="G1948" t="s">
        <v>5</v>
      </c>
      <c r="H1948" t="s">
        <v>5</v>
      </c>
      <c r="I1948" t="s">
        <v>4254</v>
      </c>
      <c r="J1948" t="s">
        <v>7</v>
      </c>
      <c r="K1948" s="3">
        <f t="shared" si="60"/>
        <v>0</v>
      </c>
      <c r="L1948" s="3">
        <f>IF(ISERROR(VLOOKUP(J1948,Lookups!$A$2:$A$16,1,FALSE)),1,0)</f>
        <v>1</v>
      </c>
      <c r="M1948" s="3">
        <f>IF(ISERROR(VLOOKUP(D1948,Data!$A$2:$D$223100,2,FALSE)),0,1)</f>
        <v>1</v>
      </c>
      <c r="N1948" s="3">
        <f t="shared" si="61"/>
        <v>1</v>
      </c>
      <c r="O1948" s="3" t="str">
        <f>IF(ISERROR(VLOOKUP(D1948,Data!$A$2:$C$223100,3,FALSE)),"INACTIVE",VLOOKUP(D1948,Data!$A$2:$C$223100,3,FALSE))</f>
        <v>180+</v>
      </c>
    </row>
    <row r="1949" spans="1:15" x14ac:dyDescent="0.25">
      <c r="A1949" t="s">
        <v>4249</v>
      </c>
      <c r="B1949" t="s">
        <v>4250</v>
      </c>
      <c r="C1949" t="s">
        <v>4291</v>
      </c>
      <c r="D1949" t="s">
        <v>4292</v>
      </c>
      <c r="E1949" t="s">
        <v>4293</v>
      </c>
      <c r="F1949" t="s">
        <v>5</v>
      </c>
      <c r="G1949" t="s">
        <v>5</v>
      </c>
      <c r="H1949" t="s">
        <v>5</v>
      </c>
      <c r="I1949" t="s">
        <v>4254</v>
      </c>
      <c r="J1949" t="s">
        <v>7</v>
      </c>
      <c r="K1949" s="3">
        <f t="shared" si="60"/>
        <v>0</v>
      </c>
      <c r="L1949" s="3">
        <f>IF(ISERROR(VLOOKUP(J1949,Lookups!$A$2:$A$16,1,FALSE)),1,0)</f>
        <v>1</v>
      </c>
      <c r="M1949" s="3">
        <f>IF(ISERROR(VLOOKUP(D1949,Data!$A$2:$D$223100,2,FALSE)),0,1)</f>
        <v>1</v>
      </c>
      <c r="N1949" s="3">
        <f t="shared" si="61"/>
        <v>1</v>
      </c>
      <c r="O1949" s="3" t="str">
        <f>IF(ISERROR(VLOOKUP(D1949,Data!$A$2:$C$223100,3,FALSE)),"INACTIVE",VLOOKUP(D1949,Data!$A$2:$C$223100,3,FALSE))</f>
        <v>90+</v>
      </c>
    </row>
    <row r="1950" spans="1:15" x14ac:dyDescent="0.25">
      <c r="A1950" t="s">
        <v>4249</v>
      </c>
      <c r="B1950" t="s">
        <v>4250</v>
      </c>
      <c r="C1950" t="s">
        <v>4294</v>
      </c>
      <c r="D1950" t="s">
        <v>4295</v>
      </c>
      <c r="E1950" t="s">
        <v>4296</v>
      </c>
      <c r="F1950" t="s">
        <v>5</v>
      </c>
      <c r="G1950" t="s">
        <v>5</v>
      </c>
      <c r="H1950" t="s">
        <v>5</v>
      </c>
      <c r="I1950" t="s">
        <v>4254</v>
      </c>
      <c r="J1950" t="s">
        <v>7</v>
      </c>
      <c r="K1950" s="3">
        <f t="shared" si="60"/>
        <v>0</v>
      </c>
      <c r="L1950" s="3">
        <f>IF(ISERROR(VLOOKUP(J1950,Lookups!$A$2:$A$16,1,FALSE)),1,0)</f>
        <v>1</v>
      </c>
      <c r="M1950" s="3">
        <f>IF(ISERROR(VLOOKUP(D1950,Data!$A$2:$D$223100,2,FALSE)),0,1)</f>
        <v>1</v>
      </c>
      <c r="N1950" s="3">
        <f t="shared" si="61"/>
        <v>1</v>
      </c>
      <c r="O1950" s="3" t="str">
        <f>IF(ISERROR(VLOOKUP(D1950,Data!$A$2:$C$223100,3,FALSE)),"INACTIVE",VLOOKUP(D1950,Data!$A$2:$C$223100,3,FALSE))</f>
        <v>30+</v>
      </c>
    </row>
    <row r="1951" spans="1:15" x14ac:dyDescent="0.25">
      <c r="A1951" t="s">
        <v>4249</v>
      </c>
      <c r="B1951" t="s">
        <v>4250</v>
      </c>
      <c r="C1951" t="s">
        <v>4297</v>
      </c>
      <c r="D1951" t="s">
        <v>4298</v>
      </c>
      <c r="E1951" t="s">
        <v>4299</v>
      </c>
      <c r="F1951" t="s">
        <v>5</v>
      </c>
      <c r="G1951" t="s">
        <v>5</v>
      </c>
      <c r="H1951" t="s">
        <v>5</v>
      </c>
      <c r="I1951" t="s">
        <v>4254</v>
      </c>
      <c r="J1951" t="s">
        <v>7</v>
      </c>
      <c r="K1951" s="3">
        <f t="shared" si="60"/>
        <v>0</v>
      </c>
      <c r="L1951" s="3">
        <f>IF(ISERROR(VLOOKUP(J1951,Lookups!$A$2:$A$16,1,FALSE)),1,0)</f>
        <v>1</v>
      </c>
      <c r="M1951" s="3">
        <f>IF(ISERROR(VLOOKUP(D1951,Data!$A$2:$D$223100,2,FALSE)),0,1)</f>
        <v>1</v>
      </c>
      <c r="N1951" s="3">
        <f t="shared" si="61"/>
        <v>1</v>
      </c>
      <c r="O1951" s="3" t="str">
        <f>IF(ISERROR(VLOOKUP(D1951,Data!$A$2:$C$223100,3,FALSE)),"INACTIVE",VLOOKUP(D1951,Data!$A$2:$C$223100,3,FALSE))</f>
        <v>FC</v>
      </c>
    </row>
    <row r="1952" spans="1:15" x14ac:dyDescent="0.25">
      <c r="A1952" t="s">
        <v>4249</v>
      </c>
      <c r="B1952" t="s">
        <v>4250</v>
      </c>
      <c r="C1952" t="s">
        <v>4300</v>
      </c>
      <c r="D1952" t="s">
        <v>4301</v>
      </c>
      <c r="E1952" t="s">
        <v>4302</v>
      </c>
      <c r="F1952" t="s">
        <v>5</v>
      </c>
      <c r="G1952" t="s">
        <v>5</v>
      </c>
      <c r="H1952" t="s">
        <v>5</v>
      </c>
      <c r="I1952" t="s">
        <v>4254</v>
      </c>
      <c r="J1952" t="s">
        <v>7</v>
      </c>
      <c r="K1952" s="3">
        <f t="shared" si="60"/>
        <v>0</v>
      </c>
      <c r="L1952" s="3">
        <f>IF(ISERROR(VLOOKUP(J1952,Lookups!$A$2:$A$16,1,FALSE)),1,0)</f>
        <v>1</v>
      </c>
      <c r="M1952" s="3">
        <f>IF(ISERROR(VLOOKUP(D1952,Data!$A$2:$D$223100,2,FALSE)),0,1)</f>
        <v>1</v>
      </c>
      <c r="N1952" s="3">
        <f t="shared" si="61"/>
        <v>1</v>
      </c>
      <c r="O1952" s="3" t="str">
        <f>IF(ISERROR(VLOOKUP(D1952,Data!$A$2:$C$223100,3,FALSE)),"INACTIVE",VLOOKUP(D1952,Data!$A$2:$C$223100,3,FALSE))</f>
        <v>FC</v>
      </c>
    </row>
    <row r="1953" spans="1:15" x14ac:dyDescent="0.25">
      <c r="A1953" t="s">
        <v>4359</v>
      </c>
      <c r="B1953" t="s">
        <v>4360</v>
      </c>
      <c r="C1953" t="s">
        <v>4361</v>
      </c>
      <c r="D1953" t="s">
        <v>4362</v>
      </c>
      <c r="E1953" t="s">
        <v>4363</v>
      </c>
      <c r="F1953" t="s">
        <v>5</v>
      </c>
      <c r="G1953" t="s">
        <v>5</v>
      </c>
      <c r="H1953" t="s">
        <v>5</v>
      </c>
      <c r="I1953" t="s">
        <v>4254</v>
      </c>
      <c r="J1953" t="s">
        <v>7</v>
      </c>
      <c r="K1953" s="3">
        <f t="shared" si="60"/>
        <v>0</v>
      </c>
      <c r="L1953" s="3">
        <f>IF(ISERROR(VLOOKUP(J1953,Lookups!$A$2:$A$16,1,FALSE)),1,0)</f>
        <v>1</v>
      </c>
      <c r="M1953" s="3">
        <f>IF(ISERROR(VLOOKUP(D1953,Data!$A$2:$D$223100,2,FALSE)),0,1)</f>
        <v>1</v>
      </c>
      <c r="N1953" s="3">
        <f t="shared" si="61"/>
        <v>1</v>
      </c>
      <c r="O1953" s="3" t="str">
        <f>IF(ISERROR(VLOOKUP(D1953,Data!$A$2:$C$223100,3,FALSE)),"INACTIVE",VLOOKUP(D1953,Data!$A$2:$C$223100,3,FALSE))</f>
        <v>Current</v>
      </c>
    </row>
    <row r="1954" spans="1:15" x14ac:dyDescent="0.25">
      <c r="A1954" t="s">
        <v>4359</v>
      </c>
      <c r="B1954" t="s">
        <v>4360</v>
      </c>
      <c r="C1954" t="s">
        <v>4364</v>
      </c>
      <c r="D1954" t="s">
        <v>4365</v>
      </c>
      <c r="E1954" t="s">
        <v>4366</v>
      </c>
      <c r="F1954" t="s">
        <v>5</v>
      </c>
      <c r="G1954" t="s">
        <v>5</v>
      </c>
      <c r="H1954" t="s">
        <v>5</v>
      </c>
      <c r="I1954" t="s">
        <v>4254</v>
      </c>
      <c r="J1954" t="s">
        <v>7</v>
      </c>
      <c r="K1954" s="3">
        <f t="shared" si="60"/>
        <v>0</v>
      </c>
      <c r="L1954" s="3">
        <f>IF(ISERROR(VLOOKUP(J1954,Lookups!$A$2:$A$16,1,FALSE)),1,0)</f>
        <v>1</v>
      </c>
      <c r="M1954" s="3">
        <f>IF(ISERROR(VLOOKUP(D1954,Data!$A$2:$D$223100,2,FALSE)),0,1)</f>
        <v>1</v>
      </c>
      <c r="N1954" s="3">
        <f t="shared" si="61"/>
        <v>1</v>
      </c>
      <c r="O1954" s="3" t="str">
        <f>IF(ISERROR(VLOOKUP(D1954,Data!$A$2:$C$223100,3,FALSE)),"INACTIVE",VLOOKUP(D1954,Data!$A$2:$C$223100,3,FALSE))</f>
        <v>Current</v>
      </c>
    </row>
    <row r="1955" spans="1:15" x14ac:dyDescent="0.25">
      <c r="A1955" t="s">
        <v>4359</v>
      </c>
      <c r="B1955" t="s">
        <v>4360</v>
      </c>
      <c r="C1955" t="s">
        <v>4367</v>
      </c>
      <c r="D1955" t="s">
        <v>4368</v>
      </c>
      <c r="E1955" t="s">
        <v>4369</v>
      </c>
      <c r="F1955" t="s">
        <v>5</v>
      </c>
      <c r="G1955" t="s">
        <v>5</v>
      </c>
      <c r="H1955" t="s">
        <v>5</v>
      </c>
      <c r="I1955" t="s">
        <v>4254</v>
      </c>
      <c r="J1955" t="s">
        <v>7</v>
      </c>
      <c r="K1955" s="3">
        <f t="shared" si="60"/>
        <v>0</v>
      </c>
      <c r="L1955" s="3">
        <f>IF(ISERROR(VLOOKUP(J1955,Lookups!$A$2:$A$16,1,FALSE)),1,0)</f>
        <v>1</v>
      </c>
      <c r="M1955" s="3">
        <f>IF(ISERROR(VLOOKUP(D1955,Data!$A$2:$D$223100,2,FALSE)),0,1)</f>
        <v>1</v>
      </c>
      <c r="N1955" s="3">
        <f t="shared" si="61"/>
        <v>1</v>
      </c>
      <c r="O1955" s="3" t="str">
        <f>IF(ISERROR(VLOOKUP(D1955,Data!$A$2:$C$223100,3,FALSE)),"INACTIVE",VLOOKUP(D1955,Data!$A$2:$C$223100,3,FALSE))</f>
        <v>Current</v>
      </c>
    </row>
    <row r="1956" spans="1:15" x14ac:dyDescent="0.25">
      <c r="A1956" t="s">
        <v>4359</v>
      </c>
      <c r="B1956" t="s">
        <v>4360</v>
      </c>
      <c r="C1956" t="s">
        <v>4370</v>
      </c>
      <c r="D1956" t="s">
        <v>4371</v>
      </c>
      <c r="E1956" t="s">
        <v>4372</v>
      </c>
      <c r="F1956" t="s">
        <v>5</v>
      </c>
      <c r="G1956" t="s">
        <v>5</v>
      </c>
      <c r="H1956" t="s">
        <v>5</v>
      </c>
      <c r="I1956" t="s">
        <v>4254</v>
      </c>
      <c r="J1956" t="s">
        <v>90</v>
      </c>
      <c r="K1956" s="3">
        <f t="shared" si="60"/>
        <v>0</v>
      </c>
      <c r="L1956" s="3">
        <f>IF(ISERROR(VLOOKUP(J1956,Lookups!$A$2:$A$16,1,FALSE)),1,0)</f>
        <v>0</v>
      </c>
      <c r="M1956" s="3">
        <f>IF(ISERROR(VLOOKUP(D1956,Data!$A$2:$D$223100,2,FALSE)),0,1)</f>
        <v>1</v>
      </c>
      <c r="N1956" s="3">
        <f t="shared" si="61"/>
        <v>0</v>
      </c>
      <c r="O1956" s="3" t="str">
        <f>IF(ISERROR(VLOOKUP(D1956,Data!$A$2:$C$223100,3,FALSE)),"INACTIVE",VLOOKUP(D1956,Data!$A$2:$C$223100,3,FALSE))</f>
        <v>FBA</v>
      </c>
    </row>
    <row r="1957" spans="1:15" x14ac:dyDescent="0.25">
      <c r="A1957" t="s">
        <v>4359</v>
      </c>
      <c r="B1957" t="s">
        <v>4360</v>
      </c>
      <c r="C1957" t="s">
        <v>4370</v>
      </c>
      <c r="D1957" t="s">
        <v>4371</v>
      </c>
      <c r="E1957" t="s">
        <v>4373</v>
      </c>
      <c r="F1957" t="s">
        <v>5</v>
      </c>
      <c r="G1957" t="s">
        <v>5</v>
      </c>
      <c r="H1957" t="s">
        <v>5</v>
      </c>
      <c r="I1957" t="s">
        <v>4254</v>
      </c>
      <c r="J1957" t="s">
        <v>90</v>
      </c>
      <c r="K1957" s="3">
        <f t="shared" si="60"/>
        <v>0</v>
      </c>
      <c r="L1957" s="3">
        <f>IF(ISERROR(VLOOKUP(J1957,Lookups!$A$2:$A$16,1,FALSE)),1,0)</f>
        <v>0</v>
      </c>
      <c r="M1957" s="3">
        <f>IF(ISERROR(VLOOKUP(D1957,Data!$A$2:$D$223100,2,FALSE)),0,1)</f>
        <v>1</v>
      </c>
      <c r="N1957" s="3">
        <f t="shared" si="61"/>
        <v>0</v>
      </c>
      <c r="O1957" s="3" t="str">
        <f>IF(ISERROR(VLOOKUP(D1957,Data!$A$2:$C$223100,3,FALSE)),"INACTIVE",VLOOKUP(D1957,Data!$A$2:$C$223100,3,FALSE))</f>
        <v>FBA</v>
      </c>
    </row>
    <row r="1958" spans="1:15" x14ac:dyDescent="0.25">
      <c r="A1958" t="s">
        <v>4359</v>
      </c>
      <c r="B1958" t="s">
        <v>4360</v>
      </c>
      <c r="C1958" t="s">
        <v>4374</v>
      </c>
      <c r="D1958" t="s">
        <v>4375</v>
      </c>
      <c r="E1958" t="s">
        <v>4376</v>
      </c>
      <c r="F1958" t="s">
        <v>5</v>
      </c>
      <c r="G1958" t="s">
        <v>5</v>
      </c>
      <c r="H1958" t="s">
        <v>5</v>
      </c>
      <c r="I1958" t="s">
        <v>4254</v>
      </c>
      <c r="J1958" t="s">
        <v>7</v>
      </c>
      <c r="K1958" s="3">
        <f t="shared" si="60"/>
        <v>0</v>
      </c>
      <c r="L1958" s="3">
        <f>IF(ISERROR(VLOOKUP(J1958,Lookups!$A$2:$A$16,1,FALSE)),1,0)</f>
        <v>1</v>
      </c>
      <c r="M1958" s="3">
        <f>IF(ISERROR(VLOOKUP(D1958,Data!$A$2:$D$223100,2,FALSE)),0,1)</f>
        <v>1</v>
      </c>
      <c r="N1958" s="3">
        <f t="shared" si="61"/>
        <v>1</v>
      </c>
      <c r="O1958" s="3" t="str">
        <f>IF(ISERROR(VLOOKUP(D1958,Data!$A$2:$C$223100,3,FALSE)),"INACTIVE",VLOOKUP(D1958,Data!$A$2:$C$223100,3,FALSE))</f>
        <v>Current</v>
      </c>
    </row>
    <row r="1959" spans="1:15" x14ac:dyDescent="0.25">
      <c r="A1959" t="s">
        <v>4359</v>
      </c>
      <c r="B1959" t="s">
        <v>4360</v>
      </c>
      <c r="C1959" t="s">
        <v>4377</v>
      </c>
      <c r="D1959" t="s">
        <v>4378</v>
      </c>
      <c r="E1959" t="s">
        <v>4379</v>
      </c>
      <c r="F1959" t="s">
        <v>5</v>
      </c>
      <c r="G1959" t="s">
        <v>5</v>
      </c>
      <c r="H1959" t="s">
        <v>5</v>
      </c>
      <c r="I1959" t="s">
        <v>4254</v>
      </c>
      <c r="J1959" t="s">
        <v>90</v>
      </c>
      <c r="K1959" s="3">
        <f t="shared" si="60"/>
        <v>0</v>
      </c>
      <c r="L1959" s="3">
        <f>IF(ISERROR(VLOOKUP(J1959,Lookups!$A$2:$A$16,1,FALSE)),1,0)</f>
        <v>0</v>
      </c>
      <c r="M1959" s="3">
        <f>IF(ISERROR(VLOOKUP(D1959,Data!$A$2:$D$223100,2,FALSE)),0,1)</f>
        <v>1</v>
      </c>
      <c r="N1959" s="3">
        <f t="shared" si="61"/>
        <v>0</v>
      </c>
      <c r="O1959" s="3" t="str">
        <f>IF(ISERROR(VLOOKUP(D1959,Data!$A$2:$C$223100,3,FALSE)),"INACTIVE",VLOOKUP(D1959,Data!$A$2:$C$223100,3,FALSE))</f>
        <v>60+</v>
      </c>
    </row>
    <row r="1960" spans="1:15" x14ac:dyDescent="0.25">
      <c r="A1960" t="s">
        <v>4359</v>
      </c>
      <c r="B1960" t="s">
        <v>4360</v>
      </c>
      <c r="C1960" t="s">
        <v>4377</v>
      </c>
      <c r="D1960" t="s">
        <v>4378</v>
      </c>
      <c r="E1960" t="s">
        <v>4380</v>
      </c>
      <c r="F1960" t="s">
        <v>5</v>
      </c>
      <c r="G1960" t="s">
        <v>5</v>
      </c>
      <c r="H1960" t="s">
        <v>5</v>
      </c>
      <c r="I1960" t="s">
        <v>4254</v>
      </c>
      <c r="J1960" t="s">
        <v>90</v>
      </c>
      <c r="K1960" s="3">
        <f t="shared" si="60"/>
        <v>0</v>
      </c>
      <c r="L1960" s="3">
        <f>IF(ISERROR(VLOOKUP(J1960,Lookups!$A$2:$A$16,1,FALSE)),1,0)</f>
        <v>0</v>
      </c>
      <c r="M1960" s="3">
        <f>IF(ISERROR(VLOOKUP(D1960,Data!$A$2:$D$223100,2,FALSE)),0,1)</f>
        <v>1</v>
      </c>
      <c r="N1960" s="3">
        <f t="shared" si="61"/>
        <v>0</v>
      </c>
      <c r="O1960" s="3" t="str">
        <f>IF(ISERROR(VLOOKUP(D1960,Data!$A$2:$C$223100,3,FALSE)),"INACTIVE",VLOOKUP(D1960,Data!$A$2:$C$223100,3,FALSE))</f>
        <v>60+</v>
      </c>
    </row>
    <row r="1961" spans="1:15" x14ac:dyDescent="0.25">
      <c r="A1961" t="s">
        <v>4359</v>
      </c>
      <c r="B1961" t="s">
        <v>4360</v>
      </c>
      <c r="C1961" t="s">
        <v>4381</v>
      </c>
      <c r="D1961" t="s">
        <v>4382</v>
      </c>
      <c r="E1961" t="s">
        <v>4383</v>
      </c>
      <c r="F1961" t="s">
        <v>5</v>
      </c>
      <c r="G1961" t="s">
        <v>5</v>
      </c>
      <c r="H1961" t="s">
        <v>5</v>
      </c>
      <c r="I1961" t="s">
        <v>4254</v>
      </c>
      <c r="J1961" t="s">
        <v>96</v>
      </c>
      <c r="K1961" s="3">
        <f t="shared" si="60"/>
        <v>0</v>
      </c>
      <c r="L1961" s="3">
        <f>IF(ISERROR(VLOOKUP(J1961,Lookups!$A$2:$A$16,1,FALSE)),1,0)</f>
        <v>0</v>
      </c>
      <c r="M1961" s="3">
        <f>IF(ISERROR(VLOOKUP(D1961,Data!$A$2:$D$223100,2,FALSE)),0,1)</f>
        <v>1</v>
      </c>
      <c r="N1961" s="3">
        <f t="shared" si="61"/>
        <v>0</v>
      </c>
      <c r="O1961" s="3" t="str">
        <f>IF(ISERROR(VLOOKUP(D1961,Data!$A$2:$C$223100,3,FALSE)),"INACTIVE",VLOOKUP(D1961,Data!$A$2:$C$223100,3,FALSE))</f>
        <v>FC</v>
      </c>
    </row>
    <row r="1962" spans="1:15" x14ac:dyDescent="0.25">
      <c r="A1962" t="s">
        <v>4359</v>
      </c>
      <c r="B1962" t="s">
        <v>4360</v>
      </c>
      <c r="C1962" t="s">
        <v>4381</v>
      </c>
      <c r="D1962" t="s">
        <v>4382</v>
      </c>
      <c r="E1962" t="s">
        <v>4384</v>
      </c>
      <c r="F1962" t="s">
        <v>5</v>
      </c>
      <c r="G1962" t="s">
        <v>5</v>
      </c>
      <c r="H1962" t="s">
        <v>5</v>
      </c>
      <c r="I1962" t="s">
        <v>4254</v>
      </c>
      <c r="J1962" t="s">
        <v>96</v>
      </c>
      <c r="K1962" s="3">
        <f t="shared" si="60"/>
        <v>0</v>
      </c>
      <c r="L1962" s="3">
        <f>IF(ISERROR(VLOOKUP(J1962,Lookups!$A$2:$A$16,1,FALSE)),1,0)</f>
        <v>0</v>
      </c>
      <c r="M1962" s="3">
        <f>IF(ISERROR(VLOOKUP(D1962,Data!$A$2:$D$223100,2,FALSE)),0,1)</f>
        <v>1</v>
      </c>
      <c r="N1962" s="3">
        <f t="shared" si="61"/>
        <v>0</v>
      </c>
      <c r="O1962" s="3" t="str">
        <f>IF(ISERROR(VLOOKUP(D1962,Data!$A$2:$C$223100,3,FALSE)),"INACTIVE",VLOOKUP(D1962,Data!$A$2:$C$223100,3,FALSE))</f>
        <v>FC</v>
      </c>
    </row>
    <row r="1963" spans="1:15" x14ac:dyDescent="0.25">
      <c r="A1963" t="s">
        <v>4359</v>
      </c>
      <c r="B1963" t="s">
        <v>4360</v>
      </c>
      <c r="C1963" t="s">
        <v>4381</v>
      </c>
      <c r="D1963" t="s">
        <v>4382</v>
      </c>
      <c r="E1963" t="s">
        <v>4385</v>
      </c>
      <c r="F1963" t="s">
        <v>5</v>
      </c>
      <c r="G1963" t="s">
        <v>5</v>
      </c>
      <c r="H1963" t="s">
        <v>5</v>
      </c>
      <c r="I1963" t="s">
        <v>4254</v>
      </c>
      <c r="J1963" t="s">
        <v>96</v>
      </c>
      <c r="K1963" s="3">
        <f t="shared" si="60"/>
        <v>0</v>
      </c>
      <c r="L1963" s="3">
        <f>IF(ISERROR(VLOOKUP(J1963,Lookups!$A$2:$A$16,1,FALSE)),1,0)</f>
        <v>0</v>
      </c>
      <c r="M1963" s="3">
        <f>IF(ISERROR(VLOOKUP(D1963,Data!$A$2:$D$223100,2,FALSE)),0,1)</f>
        <v>1</v>
      </c>
      <c r="N1963" s="3">
        <f t="shared" si="61"/>
        <v>0</v>
      </c>
      <c r="O1963" s="3" t="str">
        <f>IF(ISERROR(VLOOKUP(D1963,Data!$A$2:$C$223100,3,FALSE)),"INACTIVE",VLOOKUP(D1963,Data!$A$2:$C$223100,3,FALSE))</f>
        <v>FC</v>
      </c>
    </row>
    <row r="1964" spans="1:15" x14ac:dyDescent="0.25">
      <c r="A1964" t="s">
        <v>4359</v>
      </c>
      <c r="B1964" t="s">
        <v>4360</v>
      </c>
      <c r="C1964" t="s">
        <v>4381</v>
      </c>
      <c r="D1964" t="s">
        <v>4382</v>
      </c>
      <c r="E1964" t="s">
        <v>4386</v>
      </c>
      <c r="F1964" t="s">
        <v>5</v>
      </c>
      <c r="G1964" t="s">
        <v>5</v>
      </c>
      <c r="H1964" t="s">
        <v>5</v>
      </c>
      <c r="I1964" t="s">
        <v>4254</v>
      </c>
      <c r="J1964" t="s">
        <v>96</v>
      </c>
      <c r="K1964" s="3">
        <f t="shared" si="60"/>
        <v>0</v>
      </c>
      <c r="L1964" s="3">
        <f>IF(ISERROR(VLOOKUP(J1964,Lookups!$A$2:$A$16,1,FALSE)),1,0)</f>
        <v>0</v>
      </c>
      <c r="M1964" s="3">
        <f>IF(ISERROR(VLOOKUP(D1964,Data!$A$2:$D$223100,2,FALSE)),0,1)</f>
        <v>1</v>
      </c>
      <c r="N1964" s="3">
        <f t="shared" si="61"/>
        <v>0</v>
      </c>
      <c r="O1964" s="3" t="str">
        <f>IF(ISERROR(VLOOKUP(D1964,Data!$A$2:$C$223100,3,FALSE)),"INACTIVE",VLOOKUP(D1964,Data!$A$2:$C$223100,3,FALSE))</f>
        <v>FC</v>
      </c>
    </row>
    <row r="1965" spans="1:15" x14ac:dyDescent="0.25">
      <c r="A1965" t="s">
        <v>4359</v>
      </c>
      <c r="B1965" t="s">
        <v>4360</v>
      </c>
      <c r="C1965" t="s">
        <v>4381</v>
      </c>
      <c r="D1965" t="s">
        <v>4382</v>
      </c>
      <c r="E1965" t="s">
        <v>4387</v>
      </c>
      <c r="F1965" t="s">
        <v>5</v>
      </c>
      <c r="G1965" t="s">
        <v>5</v>
      </c>
      <c r="H1965" t="s">
        <v>5</v>
      </c>
      <c r="I1965" t="s">
        <v>4254</v>
      </c>
      <c r="J1965" t="s">
        <v>96</v>
      </c>
      <c r="K1965" s="3">
        <f t="shared" si="60"/>
        <v>0</v>
      </c>
      <c r="L1965" s="3">
        <f>IF(ISERROR(VLOOKUP(J1965,Lookups!$A$2:$A$16,1,FALSE)),1,0)</f>
        <v>0</v>
      </c>
      <c r="M1965" s="3">
        <f>IF(ISERROR(VLOOKUP(D1965,Data!$A$2:$D$223100,2,FALSE)),0,1)</f>
        <v>1</v>
      </c>
      <c r="N1965" s="3">
        <f t="shared" si="61"/>
        <v>0</v>
      </c>
      <c r="O1965" s="3" t="str">
        <f>IF(ISERROR(VLOOKUP(D1965,Data!$A$2:$C$223100,3,FALSE)),"INACTIVE",VLOOKUP(D1965,Data!$A$2:$C$223100,3,FALSE))</f>
        <v>FC</v>
      </c>
    </row>
    <row r="1966" spans="1:15" x14ac:dyDescent="0.25">
      <c r="A1966" t="s">
        <v>4359</v>
      </c>
      <c r="B1966" t="s">
        <v>4360</v>
      </c>
      <c r="C1966" t="s">
        <v>4381</v>
      </c>
      <c r="D1966" t="s">
        <v>4382</v>
      </c>
      <c r="E1966" t="s">
        <v>4388</v>
      </c>
      <c r="F1966" t="s">
        <v>5</v>
      </c>
      <c r="G1966" t="s">
        <v>5</v>
      </c>
      <c r="H1966" t="s">
        <v>5</v>
      </c>
      <c r="I1966" t="s">
        <v>4254</v>
      </c>
      <c r="J1966" t="s">
        <v>96</v>
      </c>
      <c r="K1966" s="3">
        <f t="shared" si="60"/>
        <v>0</v>
      </c>
      <c r="L1966" s="3">
        <f>IF(ISERROR(VLOOKUP(J1966,Lookups!$A$2:$A$16,1,FALSE)),1,0)</f>
        <v>0</v>
      </c>
      <c r="M1966" s="3">
        <f>IF(ISERROR(VLOOKUP(D1966,Data!$A$2:$D$223100,2,FALSE)),0,1)</f>
        <v>1</v>
      </c>
      <c r="N1966" s="3">
        <f t="shared" si="61"/>
        <v>0</v>
      </c>
      <c r="O1966" s="3" t="str">
        <f>IF(ISERROR(VLOOKUP(D1966,Data!$A$2:$C$223100,3,FALSE)),"INACTIVE",VLOOKUP(D1966,Data!$A$2:$C$223100,3,FALSE))</f>
        <v>FC</v>
      </c>
    </row>
    <row r="1967" spans="1:15" x14ac:dyDescent="0.25">
      <c r="A1967" t="s">
        <v>4359</v>
      </c>
      <c r="B1967" t="s">
        <v>4360</v>
      </c>
      <c r="C1967" t="s">
        <v>4389</v>
      </c>
      <c r="D1967" t="s">
        <v>4390</v>
      </c>
      <c r="E1967" t="s">
        <v>4391</v>
      </c>
      <c r="F1967" t="s">
        <v>5</v>
      </c>
      <c r="G1967" t="s">
        <v>5</v>
      </c>
      <c r="H1967" t="s">
        <v>5</v>
      </c>
      <c r="I1967" t="s">
        <v>4254</v>
      </c>
      <c r="J1967" t="s">
        <v>7</v>
      </c>
      <c r="K1967" s="3">
        <f t="shared" si="60"/>
        <v>0</v>
      </c>
      <c r="L1967" s="3">
        <f>IF(ISERROR(VLOOKUP(J1967,Lookups!$A$2:$A$16,1,FALSE)),1,0)</f>
        <v>1</v>
      </c>
      <c r="M1967" s="3">
        <f>IF(ISERROR(VLOOKUP(D1967,Data!$A$2:$D$223100,2,FALSE)),0,1)</f>
        <v>1</v>
      </c>
      <c r="N1967" s="3">
        <f t="shared" si="61"/>
        <v>1</v>
      </c>
      <c r="O1967" s="3" t="str">
        <f>IF(ISERROR(VLOOKUP(D1967,Data!$A$2:$C$223100,3,FALSE)),"INACTIVE",VLOOKUP(D1967,Data!$A$2:$C$223100,3,FALSE))</f>
        <v>60+</v>
      </c>
    </row>
    <row r="1968" spans="1:15" x14ac:dyDescent="0.25">
      <c r="A1968" t="s">
        <v>4359</v>
      </c>
      <c r="B1968" t="s">
        <v>4360</v>
      </c>
      <c r="C1968" t="s">
        <v>4392</v>
      </c>
      <c r="D1968" t="s">
        <v>4393</v>
      </c>
      <c r="E1968" t="s">
        <v>4394</v>
      </c>
      <c r="F1968" t="s">
        <v>5</v>
      </c>
      <c r="G1968" t="s">
        <v>5</v>
      </c>
      <c r="H1968" t="s">
        <v>5</v>
      </c>
      <c r="I1968" t="s">
        <v>4254</v>
      </c>
      <c r="J1968" t="s">
        <v>96</v>
      </c>
      <c r="K1968" s="3">
        <f t="shared" si="60"/>
        <v>0</v>
      </c>
      <c r="L1968" s="3">
        <f>IF(ISERROR(VLOOKUP(J1968,Lookups!$A$2:$A$16,1,FALSE)),1,0)</f>
        <v>0</v>
      </c>
      <c r="M1968" s="3">
        <f>IF(ISERROR(VLOOKUP(D1968,Data!$A$2:$D$223100,2,FALSE)),0,1)</f>
        <v>1</v>
      </c>
      <c r="N1968" s="3">
        <f t="shared" si="61"/>
        <v>0</v>
      </c>
      <c r="O1968" s="3" t="str">
        <f>IF(ISERROR(VLOOKUP(D1968,Data!$A$2:$C$223100,3,FALSE)),"INACTIVE",VLOOKUP(D1968,Data!$A$2:$C$223100,3,FALSE))</f>
        <v>Current</v>
      </c>
    </row>
    <row r="1969" spans="1:15" x14ac:dyDescent="0.25">
      <c r="A1969" t="s">
        <v>4359</v>
      </c>
      <c r="B1969" t="s">
        <v>4360</v>
      </c>
      <c r="C1969" t="s">
        <v>4392</v>
      </c>
      <c r="D1969" t="s">
        <v>4393</v>
      </c>
      <c r="E1969" t="s">
        <v>4395</v>
      </c>
      <c r="F1969" t="s">
        <v>5</v>
      </c>
      <c r="G1969" t="s">
        <v>5</v>
      </c>
      <c r="H1969" t="s">
        <v>5</v>
      </c>
      <c r="I1969" t="s">
        <v>4254</v>
      </c>
      <c r="J1969" t="s">
        <v>96</v>
      </c>
      <c r="K1969" s="3">
        <f t="shared" si="60"/>
        <v>0</v>
      </c>
      <c r="L1969" s="3">
        <f>IF(ISERROR(VLOOKUP(J1969,Lookups!$A$2:$A$16,1,FALSE)),1,0)</f>
        <v>0</v>
      </c>
      <c r="M1969" s="3">
        <f>IF(ISERROR(VLOOKUP(D1969,Data!$A$2:$D$223100,2,FALSE)),0,1)</f>
        <v>1</v>
      </c>
      <c r="N1969" s="3">
        <f t="shared" si="61"/>
        <v>0</v>
      </c>
      <c r="O1969" s="3" t="str">
        <f>IF(ISERROR(VLOOKUP(D1969,Data!$A$2:$C$223100,3,FALSE)),"INACTIVE",VLOOKUP(D1969,Data!$A$2:$C$223100,3,FALSE))</f>
        <v>Current</v>
      </c>
    </row>
    <row r="1970" spans="1:15" x14ac:dyDescent="0.25">
      <c r="A1970" t="s">
        <v>4359</v>
      </c>
      <c r="B1970" t="s">
        <v>4360</v>
      </c>
      <c r="C1970" t="s">
        <v>4392</v>
      </c>
      <c r="D1970" t="s">
        <v>4393</v>
      </c>
      <c r="E1970" t="s">
        <v>4385</v>
      </c>
      <c r="F1970" t="s">
        <v>5</v>
      </c>
      <c r="G1970" t="s">
        <v>5</v>
      </c>
      <c r="H1970" t="s">
        <v>5</v>
      </c>
      <c r="I1970" t="s">
        <v>4254</v>
      </c>
      <c r="J1970" t="s">
        <v>96</v>
      </c>
      <c r="K1970" s="3">
        <f t="shared" si="60"/>
        <v>0</v>
      </c>
      <c r="L1970" s="3">
        <f>IF(ISERROR(VLOOKUP(J1970,Lookups!$A$2:$A$16,1,FALSE)),1,0)</f>
        <v>0</v>
      </c>
      <c r="M1970" s="3">
        <f>IF(ISERROR(VLOOKUP(D1970,Data!$A$2:$D$223100,2,FALSE)),0,1)</f>
        <v>1</v>
      </c>
      <c r="N1970" s="3">
        <f t="shared" si="61"/>
        <v>0</v>
      </c>
      <c r="O1970" s="3" t="str">
        <f>IF(ISERROR(VLOOKUP(D1970,Data!$A$2:$C$223100,3,FALSE)),"INACTIVE",VLOOKUP(D1970,Data!$A$2:$C$223100,3,FALSE))</f>
        <v>Current</v>
      </c>
    </row>
    <row r="1971" spans="1:15" x14ac:dyDescent="0.25">
      <c r="A1971" t="s">
        <v>4359</v>
      </c>
      <c r="B1971" t="s">
        <v>4360</v>
      </c>
      <c r="C1971" t="s">
        <v>4392</v>
      </c>
      <c r="D1971" t="s">
        <v>4393</v>
      </c>
      <c r="E1971" t="s">
        <v>4391</v>
      </c>
      <c r="F1971" t="s">
        <v>5</v>
      </c>
      <c r="G1971" t="s">
        <v>5</v>
      </c>
      <c r="H1971" t="s">
        <v>5</v>
      </c>
      <c r="I1971" t="s">
        <v>4254</v>
      </c>
      <c r="J1971" t="s">
        <v>96</v>
      </c>
      <c r="K1971" s="3">
        <f t="shared" si="60"/>
        <v>0</v>
      </c>
      <c r="L1971" s="3">
        <f>IF(ISERROR(VLOOKUP(J1971,Lookups!$A$2:$A$16,1,FALSE)),1,0)</f>
        <v>0</v>
      </c>
      <c r="M1971" s="3">
        <f>IF(ISERROR(VLOOKUP(D1971,Data!$A$2:$D$223100,2,FALSE)),0,1)</f>
        <v>1</v>
      </c>
      <c r="N1971" s="3">
        <f t="shared" si="61"/>
        <v>0</v>
      </c>
      <c r="O1971" s="3" t="str">
        <f>IF(ISERROR(VLOOKUP(D1971,Data!$A$2:$C$223100,3,FALSE)),"INACTIVE",VLOOKUP(D1971,Data!$A$2:$C$223100,3,FALSE))</f>
        <v>Current</v>
      </c>
    </row>
    <row r="1972" spans="1:15" x14ac:dyDescent="0.25">
      <c r="A1972" t="s">
        <v>4359</v>
      </c>
      <c r="B1972" t="s">
        <v>4360</v>
      </c>
      <c r="C1972" t="s">
        <v>4392</v>
      </c>
      <c r="D1972" t="s">
        <v>4393</v>
      </c>
      <c r="E1972" t="s">
        <v>4396</v>
      </c>
      <c r="F1972" t="s">
        <v>5</v>
      </c>
      <c r="G1972" t="s">
        <v>5</v>
      </c>
      <c r="H1972" t="s">
        <v>5</v>
      </c>
      <c r="I1972" t="s">
        <v>4254</v>
      </c>
      <c r="J1972" t="s">
        <v>96</v>
      </c>
      <c r="K1972" s="3">
        <f t="shared" si="60"/>
        <v>0</v>
      </c>
      <c r="L1972" s="3">
        <f>IF(ISERROR(VLOOKUP(J1972,Lookups!$A$2:$A$16,1,FALSE)),1,0)</f>
        <v>0</v>
      </c>
      <c r="M1972" s="3">
        <f>IF(ISERROR(VLOOKUP(D1972,Data!$A$2:$D$223100,2,FALSE)),0,1)</f>
        <v>1</v>
      </c>
      <c r="N1972" s="3">
        <f t="shared" si="61"/>
        <v>0</v>
      </c>
      <c r="O1972" s="3" t="str">
        <f>IF(ISERROR(VLOOKUP(D1972,Data!$A$2:$C$223100,3,FALSE)),"INACTIVE",VLOOKUP(D1972,Data!$A$2:$C$223100,3,FALSE))</f>
        <v>Current</v>
      </c>
    </row>
    <row r="1973" spans="1:15" x14ac:dyDescent="0.25">
      <c r="A1973" t="s">
        <v>4359</v>
      </c>
      <c r="B1973" t="s">
        <v>4360</v>
      </c>
      <c r="C1973" t="s">
        <v>4397</v>
      </c>
      <c r="D1973" t="s">
        <v>4398</v>
      </c>
      <c r="E1973" t="s">
        <v>4380</v>
      </c>
      <c r="F1973" t="s">
        <v>5</v>
      </c>
      <c r="G1973" t="s">
        <v>5</v>
      </c>
      <c r="H1973" t="s">
        <v>5</v>
      </c>
      <c r="I1973" t="s">
        <v>4254</v>
      </c>
      <c r="J1973" t="s">
        <v>7</v>
      </c>
      <c r="K1973" s="3">
        <f t="shared" si="60"/>
        <v>0</v>
      </c>
      <c r="L1973" s="3">
        <f>IF(ISERROR(VLOOKUP(J1973,Lookups!$A$2:$A$16,1,FALSE)),1,0)</f>
        <v>1</v>
      </c>
      <c r="M1973" s="3">
        <f>IF(ISERROR(VLOOKUP(D1973,Data!$A$2:$D$223100,2,FALSE)),0,1)</f>
        <v>1</v>
      </c>
      <c r="N1973" s="3">
        <f t="shared" si="61"/>
        <v>1</v>
      </c>
      <c r="O1973" s="3" t="str">
        <f>IF(ISERROR(VLOOKUP(D1973,Data!$A$2:$C$223100,3,FALSE)),"INACTIVE",VLOOKUP(D1973,Data!$A$2:$C$223100,3,FALSE))</f>
        <v>Current</v>
      </c>
    </row>
    <row r="1974" spans="1:15" x14ac:dyDescent="0.25">
      <c r="A1974" t="s">
        <v>4359</v>
      </c>
      <c r="B1974" t="s">
        <v>4360</v>
      </c>
      <c r="C1974" t="s">
        <v>4399</v>
      </c>
      <c r="D1974" t="s">
        <v>4400</v>
      </c>
      <c r="E1974" t="s">
        <v>4401</v>
      </c>
      <c r="F1974" t="s">
        <v>5</v>
      </c>
      <c r="G1974" t="s">
        <v>5</v>
      </c>
      <c r="H1974" t="s">
        <v>5</v>
      </c>
      <c r="I1974" t="s">
        <v>4254</v>
      </c>
      <c r="J1974" t="s">
        <v>7</v>
      </c>
      <c r="K1974" s="3">
        <f t="shared" si="60"/>
        <v>0</v>
      </c>
      <c r="L1974" s="3">
        <f>IF(ISERROR(VLOOKUP(J1974,Lookups!$A$2:$A$16,1,FALSE)),1,0)</f>
        <v>1</v>
      </c>
      <c r="M1974" s="3">
        <f>IF(ISERROR(VLOOKUP(D1974,Data!$A$2:$D$223100,2,FALSE)),0,1)</f>
        <v>1</v>
      </c>
      <c r="N1974" s="3">
        <f t="shared" si="61"/>
        <v>1</v>
      </c>
      <c r="O1974" s="3" t="str">
        <f>IF(ISERROR(VLOOKUP(D1974,Data!$A$2:$C$223100,3,FALSE)),"INACTIVE",VLOOKUP(D1974,Data!$A$2:$C$223100,3,FALSE))</f>
        <v>FBA</v>
      </c>
    </row>
    <row r="1975" spans="1:15" x14ac:dyDescent="0.25">
      <c r="A1975" t="s">
        <v>4359</v>
      </c>
      <c r="B1975" t="s">
        <v>4360</v>
      </c>
      <c r="C1975" t="s">
        <v>4402</v>
      </c>
      <c r="D1975" t="s">
        <v>4403</v>
      </c>
      <c r="E1975" t="s">
        <v>4380</v>
      </c>
      <c r="F1975" t="s">
        <v>5</v>
      </c>
      <c r="G1975" t="s">
        <v>5</v>
      </c>
      <c r="H1975" t="s">
        <v>5</v>
      </c>
      <c r="I1975" t="s">
        <v>4254</v>
      </c>
      <c r="J1975" t="s">
        <v>90</v>
      </c>
      <c r="K1975" s="3">
        <f t="shared" si="60"/>
        <v>0</v>
      </c>
      <c r="L1975" s="3">
        <f>IF(ISERROR(VLOOKUP(J1975,Lookups!$A$2:$A$16,1,FALSE)),1,0)</f>
        <v>0</v>
      </c>
      <c r="M1975" s="3">
        <f>IF(ISERROR(VLOOKUP(D1975,Data!$A$2:$D$223100,2,FALSE)),0,1)</f>
        <v>1</v>
      </c>
      <c r="N1975" s="3">
        <f t="shared" si="61"/>
        <v>0</v>
      </c>
      <c r="O1975" s="3" t="str">
        <f>IF(ISERROR(VLOOKUP(D1975,Data!$A$2:$C$223100,3,FALSE)),"INACTIVE",VLOOKUP(D1975,Data!$A$2:$C$223100,3,FALSE))</f>
        <v>Current</v>
      </c>
    </row>
    <row r="1976" spans="1:15" x14ac:dyDescent="0.25">
      <c r="A1976" t="s">
        <v>4359</v>
      </c>
      <c r="B1976" t="s">
        <v>4360</v>
      </c>
      <c r="C1976" t="s">
        <v>4402</v>
      </c>
      <c r="D1976" t="s">
        <v>4403</v>
      </c>
      <c r="E1976" t="s">
        <v>4404</v>
      </c>
      <c r="F1976" t="s">
        <v>5</v>
      </c>
      <c r="G1976" t="s">
        <v>5</v>
      </c>
      <c r="H1976" t="s">
        <v>5</v>
      </c>
      <c r="I1976" t="s">
        <v>4254</v>
      </c>
      <c r="J1976" t="s">
        <v>90</v>
      </c>
      <c r="K1976" s="3">
        <f t="shared" si="60"/>
        <v>0</v>
      </c>
      <c r="L1976" s="3">
        <f>IF(ISERROR(VLOOKUP(J1976,Lookups!$A$2:$A$16,1,FALSE)),1,0)</f>
        <v>0</v>
      </c>
      <c r="M1976" s="3">
        <f>IF(ISERROR(VLOOKUP(D1976,Data!$A$2:$D$223100,2,FALSE)),0,1)</f>
        <v>1</v>
      </c>
      <c r="N1976" s="3">
        <f t="shared" si="61"/>
        <v>0</v>
      </c>
      <c r="O1976" s="3" t="str">
        <f>IF(ISERROR(VLOOKUP(D1976,Data!$A$2:$C$223100,3,FALSE)),"INACTIVE",VLOOKUP(D1976,Data!$A$2:$C$223100,3,FALSE))</f>
        <v>Current</v>
      </c>
    </row>
    <row r="1977" spans="1:15" x14ac:dyDescent="0.25">
      <c r="A1977" t="s">
        <v>4359</v>
      </c>
      <c r="B1977" t="s">
        <v>4360</v>
      </c>
      <c r="C1977" t="s">
        <v>4405</v>
      </c>
      <c r="D1977" t="s">
        <v>4406</v>
      </c>
      <c r="E1977" t="s">
        <v>4407</v>
      </c>
      <c r="F1977" t="s">
        <v>5</v>
      </c>
      <c r="G1977" t="s">
        <v>5</v>
      </c>
      <c r="H1977" t="s">
        <v>5</v>
      </c>
      <c r="I1977" t="s">
        <v>4254</v>
      </c>
      <c r="J1977" t="s">
        <v>7</v>
      </c>
      <c r="K1977" s="3">
        <f t="shared" si="60"/>
        <v>0</v>
      </c>
      <c r="L1977" s="3">
        <f>IF(ISERROR(VLOOKUP(J1977,Lookups!$A$2:$A$16,1,FALSE)),1,0)</f>
        <v>1</v>
      </c>
      <c r="M1977" s="3">
        <f>IF(ISERROR(VLOOKUP(D1977,Data!$A$2:$D$223100,2,FALSE)),0,1)</f>
        <v>1</v>
      </c>
      <c r="N1977" s="3">
        <f t="shared" si="61"/>
        <v>1</v>
      </c>
      <c r="O1977" s="3" t="str">
        <f>IF(ISERROR(VLOOKUP(D1977,Data!$A$2:$C$223100,3,FALSE)),"INACTIVE",VLOOKUP(D1977,Data!$A$2:$C$223100,3,FALSE))</f>
        <v>Current</v>
      </c>
    </row>
    <row r="1978" spans="1:15" x14ac:dyDescent="0.25">
      <c r="A1978" t="s">
        <v>4359</v>
      </c>
      <c r="B1978" t="s">
        <v>4360</v>
      </c>
      <c r="C1978" t="s">
        <v>4408</v>
      </c>
      <c r="D1978" t="s">
        <v>4409</v>
      </c>
      <c r="E1978" t="s">
        <v>4388</v>
      </c>
      <c r="F1978" t="s">
        <v>5</v>
      </c>
      <c r="G1978" t="s">
        <v>5</v>
      </c>
      <c r="H1978" t="s">
        <v>5</v>
      </c>
      <c r="I1978" t="s">
        <v>4254</v>
      </c>
      <c r="J1978" t="s">
        <v>7</v>
      </c>
      <c r="K1978" s="3">
        <f t="shared" si="60"/>
        <v>0</v>
      </c>
      <c r="L1978" s="3">
        <f>IF(ISERROR(VLOOKUP(J1978,Lookups!$A$2:$A$16,1,FALSE)),1,0)</f>
        <v>1</v>
      </c>
      <c r="M1978" s="3">
        <f>IF(ISERROR(VLOOKUP(D1978,Data!$A$2:$D$223100,2,FALSE)),0,1)</f>
        <v>1</v>
      </c>
      <c r="N1978" s="3">
        <f t="shared" si="61"/>
        <v>1</v>
      </c>
      <c r="O1978" s="3" t="str">
        <f>IF(ISERROR(VLOOKUP(D1978,Data!$A$2:$C$223100,3,FALSE)),"INACTIVE",VLOOKUP(D1978,Data!$A$2:$C$223100,3,FALSE))</f>
        <v>FBA</v>
      </c>
    </row>
    <row r="1979" spans="1:15" x14ac:dyDescent="0.25">
      <c r="A1979" t="s">
        <v>4359</v>
      </c>
      <c r="B1979" t="s">
        <v>4360</v>
      </c>
      <c r="C1979" t="s">
        <v>4410</v>
      </c>
      <c r="D1979" t="s">
        <v>4411</v>
      </c>
      <c r="E1979" t="s">
        <v>4412</v>
      </c>
      <c r="F1979" t="s">
        <v>5</v>
      </c>
      <c r="G1979" t="s">
        <v>5</v>
      </c>
      <c r="H1979" t="s">
        <v>5</v>
      </c>
      <c r="I1979" t="s">
        <v>4254</v>
      </c>
      <c r="J1979" t="s">
        <v>96</v>
      </c>
      <c r="K1979" s="3">
        <f t="shared" si="60"/>
        <v>0</v>
      </c>
      <c r="L1979" s="3">
        <f>IF(ISERROR(VLOOKUP(J1979,Lookups!$A$2:$A$16,1,FALSE)),1,0)</f>
        <v>0</v>
      </c>
      <c r="M1979" s="3">
        <f>IF(ISERROR(VLOOKUP(D1979,Data!$A$2:$D$223100,2,FALSE)),0,1)</f>
        <v>1</v>
      </c>
      <c r="N1979" s="3">
        <f t="shared" si="61"/>
        <v>0</v>
      </c>
      <c r="O1979" s="3" t="str">
        <f>IF(ISERROR(VLOOKUP(D1979,Data!$A$2:$C$223100,3,FALSE)),"INACTIVE",VLOOKUP(D1979,Data!$A$2:$C$223100,3,FALSE))</f>
        <v>PP</v>
      </c>
    </row>
    <row r="1980" spans="1:15" x14ac:dyDescent="0.25">
      <c r="A1980" t="s">
        <v>4359</v>
      </c>
      <c r="B1980" t="s">
        <v>4360</v>
      </c>
      <c r="C1980" t="s">
        <v>4410</v>
      </c>
      <c r="D1980" t="s">
        <v>4411</v>
      </c>
      <c r="E1980" t="s">
        <v>4384</v>
      </c>
      <c r="F1980" t="s">
        <v>5</v>
      </c>
      <c r="G1980" t="s">
        <v>5</v>
      </c>
      <c r="H1980" t="s">
        <v>5</v>
      </c>
      <c r="I1980" t="s">
        <v>4254</v>
      </c>
      <c r="J1980" t="s">
        <v>96</v>
      </c>
      <c r="K1980" s="3">
        <f t="shared" si="60"/>
        <v>0</v>
      </c>
      <c r="L1980" s="3">
        <f>IF(ISERROR(VLOOKUP(J1980,Lookups!$A$2:$A$16,1,FALSE)),1,0)</f>
        <v>0</v>
      </c>
      <c r="M1980" s="3">
        <f>IF(ISERROR(VLOOKUP(D1980,Data!$A$2:$D$223100,2,FALSE)),0,1)</f>
        <v>1</v>
      </c>
      <c r="N1980" s="3">
        <f t="shared" si="61"/>
        <v>0</v>
      </c>
      <c r="O1980" s="3" t="str">
        <f>IF(ISERROR(VLOOKUP(D1980,Data!$A$2:$C$223100,3,FALSE)),"INACTIVE",VLOOKUP(D1980,Data!$A$2:$C$223100,3,FALSE))</f>
        <v>PP</v>
      </c>
    </row>
    <row r="1981" spans="1:15" x14ac:dyDescent="0.25">
      <c r="A1981" t="s">
        <v>4359</v>
      </c>
      <c r="B1981" t="s">
        <v>4360</v>
      </c>
      <c r="C1981" t="s">
        <v>4410</v>
      </c>
      <c r="D1981" t="s">
        <v>4411</v>
      </c>
      <c r="E1981" t="s">
        <v>4413</v>
      </c>
      <c r="F1981" t="s">
        <v>5</v>
      </c>
      <c r="G1981" t="s">
        <v>5</v>
      </c>
      <c r="H1981" t="s">
        <v>5</v>
      </c>
      <c r="I1981" t="s">
        <v>4254</v>
      </c>
      <c r="J1981" t="s">
        <v>96</v>
      </c>
      <c r="K1981" s="3">
        <f t="shared" si="60"/>
        <v>0</v>
      </c>
      <c r="L1981" s="3">
        <f>IF(ISERROR(VLOOKUP(J1981,Lookups!$A$2:$A$16,1,FALSE)),1,0)</f>
        <v>0</v>
      </c>
      <c r="M1981" s="3">
        <f>IF(ISERROR(VLOOKUP(D1981,Data!$A$2:$D$223100,2,FALSE)),0,1)</f>
        <v>1</v>
      </c>
      <c r="N1981" s="3">
        <f t="shared" si="61"/>
        <v>0</v>
      </c>
      <c r="O1981" s="3" t="str">
        <f>IF(ISERROR(VLOOKUP(D1981,Data!$A$2:$C$223100,3,FALSE)),"INACTIVE",VLOOKUP(D1981,Data!$A$2:$C$223100,3,FALSE))</f>
        <v>PP</v>
      </c>
    </row>
    <row r="1982" spans="1:15" x14ac:dyDescent="0.25">
      <c r="A1982" t="s">
        <v>4359</v>
      </c>
      <c r="B1982" t="s">
        <v>4360</v>
      </c>
      <c r="C1982" t="s">
        <v>4410</v>
      </c>
      <c r="D1982" t="s">
        <v>4411</v>
      </c>
      <c r="E1982" t="s">
        <v>4414</v>
      </c>
      <c r="F1982" t="s">
        <v>5</v>
      </c>
      <c r="G1982" t="s">
        <v>5</v>
      </c>
      <c r="H1982" t="s">
        <v>5</v>
      </c>
      <c r="I1982" t="s">
        <v>4254</v>
      </c>
      <c r="J1982" t="s">
        <v>96</v>
      </c>
      <c r="K1982" s="3">
        <f t="shared" si="60"/>
        <v>0</v>
      </c>
      <c r="L1982" s="3">
        <f>IF(ISERROR(VLOOKUP(J1982,Lookups!$A$2:$A$16,1,FALSE)),1,0)</f>
        <v>0</v>
      </c>
      <c r="M1982" s="3">
        <f>IF(ISERROR(VLOOKUP(D1982,Data!$A$2:$D$223100,2,FALSE)),0,1)</f>
        <v>1</v>
      </c>
      <c r="N1982" s="3">
        <f t="shared" si="61"/>
        <v>0</v>
      </c>
      <c r="O1982" s="3" t="str">
        <f>IF(ISERROR(VLOOKUP(D1982,Data!$A$2:$C$223100,3,FALSE)),"INACTIVE",VLOOKUP(D1982,Data!$A$2:$C$223100,3,FALSE))</f>
        <v>PP</v>
      </c>
    </row>
    <row r="1983" spans="1:15" x14ac:dyDescent="0.25">
      <c r="A1983" t="s">
        <v>4359</v>
      </c>
      <c r="B1983" t="s">
        <v>4360</v>
      </c>
      <c r="C1983" t="s">
        <v>4410</v>
      </c>
      <c r="D1983" t="s">
        <v>4411</v>
      </c>
      <c r="E1983" t="s">
        <v>4415</v>
      </c>
      <c r="F1983" t="s">
        <v>5</v>
      </c>
      <c r="G1983" t="s">
        <v>5</v>
      </c>
      <c r="H1983" t="s">
        <v>5</v>
      </c>
      <c r="I1983" t="s">
        <v>4254</v>
      </c>
      <c r="J1983" t="s">
        <v>96</v>
      </c>
      <c r="K1983" s="3">
        <f t="shared" si="60"/>
        <v>0</v>
      </c>
      <c r="L1983" s="3">
        <f>IF(ISERROR(VLOOKUP(J1983,Lookups!$A$2:$A$16,1,FALSE)),1,0)</f>
        <v>0</v>
      </c>
      <c r="M1983" s="3">
        <f>IF(ISERROR(VLOOKUP(D1983,Data!$A$2:$D$223100,2,FALSE)),0,1)</f>
        <v>1</v>
      </c>
      <c r="N1983" s="3">
        <f t="shared" si="61"/>
        <v>0</v>
      </c>
      <c r="O1983" s="3" t="str">
        <f>IF(ISERROR(VLOOKUP(D1983,Data!$A$2:$C$223100,3,FALSE)),"INACTIVE",VLOOKUP(D1983,Data!$A$2:$C$223100,3,FALSE))</f>
        <v>PP</v>
      </c>
    </row>
    <row r="1984" spans="1:15" x14ac:dyDescent="0.25">
      <c r="A1984" t="s">
        <v>4359</v>
      </c>
      <c r="B1984" t="s">
        <v>4360</v>
      </c>
      <c r="C1984" t="s">
        <v>4410</v>
      </c>
      <c r="D1984" t="s">
        <v>4411</v>
      </c>
      <c r="E1984" t="s">
        <v>4413</v>
      </c>
      <c r="F1984" t="s">
        <v>5</v>
      </c>
      <c r="G1984" t="s">
        <v>5</v>
      </c>
      <c r="H1984" t="s">
        <v>5</v>
      </c>
      <c r="I1984" t="s">
        <v>4254</v>
      </c>
      <c r="J1984" t="s">
        <v>96</v>
      </c>
      <c r="K1984" s="3">
        <f t="shared" si="60"/>
        <v>0</v>
      </c>
      <c r="L1984" s="3">
        <f>IF(ISERROR(VLOOKUP(J1984,Lookups!$A$2:$A$16,1,FALSE)),1,0)</f>
        <v>0</v>
      </c>
      <c r="M1984" s="3">
        <f>IF(ISERROR(VLOOKUP(D1984,Data!$A$2:$D$223100,2,FALSE)),0,1)</f>
        <v>1</v>
      </c>
      <c r="N1984" s="3">
        <f t="shared" si="61"/>
        <v>0</v>
      </c>
      <c r="O1984" s="3" t="str">
        <f>IF(ISERROR(VLOOKUP(D1984,Data!$A$2:$C$223100,3,FALSE)),"INACTIVE",VLOOKUP(D1984,Data!$A$2:$C$223100,3,FALSE))</f>
        <v>PP</v>
      </c>
    </row>
    <row r="1985" spans="1:15" x14ac:dyDescent="0.25">
      <c r="A1985" t="s">
        <v>4359</v>
      </c>
      <c r="B1985" t="s">
        <v>4360</v>
      </c>
      <c r="C1985" t="s">
        <v>4410</v>
      </c>
      <c r="D1985" t="s">
        <v>4411</v>
      </c>
      <c r="E1985" t="s">
        <v>4416</v>
      </c>
      <c r="F1985" t="s">
        <v>5</v>
      </c>
      <c r="G1985" t="s">
        <v>5</v>
      </c>
      <c r="H1985" t="s">
        <v>5</v>
      </c>
      <c r="I1985" t="s">
        <v>4254</v>
      </c>
      <c r="J1985" t="s">
        <v>96</v>
      </c>
      <c r="K1985" s="3">
        <f t="shared" si="60"/>
        <v>0</v>
      </c>
      <c r="L1985" s="3">
        <f>IF(ISERROR(VLOOKUP(J1985,Lookups!$A$2:$A$16,1,FALSE)),1,0)</f>
        <v>0</v>
      </c>
      <c r="M1985" s="3">
        <f>IF(ISERROR(VLOOKUP(D1985,Data!$A$2:$D$223100,2,FALSE)),0,1)</f>
        <v>1</v>
      </c>
      <c r="N1985" s="3">
        <f t="shared" si="61"/>
        <v>0</v>
      </c>
      <c r="O1985" s="3" t="str">
        <f>IF(ISERROR(VLOOKUP(D1985,Data!$A$2:$C$223100,3,FALSE)),"INACTIVE",VLOOKUP(D1985,Data!$A$2:$C$223100,3,FALSE))</f>
        <v>PP</v>
      </c>
    </row>
    <row r="1986" spans="1:15" x14ac:dyDescent="0.25">
      <c r="A1986" t="s">
        <v>4359</v>
      </c>
      <c r="B1986" t="s">
        <v>4360</v>
      </c>
      <c r="C1986" t="s">
        <v>4410</v>
      </c>
      <c r="D1986" t="s">
        <v>4411</v>
      </c>
      <c r="E1986" t="s">
        <v>4416</v>
      </c>
      <c r="F1986" t="s">
        <v>5</v>
      </c>
      <c r="G1986" t="s">
        <v>5</v>
      </c>
      <c r="H1986" t="s">
        <v>5</v>
      </c>
      <c r="I1986" t="s">
        <v>4254</v>
      </c>
      <c r="J1986" t="s">
        <v>96</v>
      </c>
      <c r="K1986" s="3">
        <f t="shared" si="60"/>
        <v>0</v>
      </c>
      <c r="L1986" s="3">
        <f>IF(ISERROR(VLOOKUP(J1986,Lookups!$A$2:$A$16,1,FALSE)),1,0)</f>
        <v>0</v>
      </c>
      <c r="M1986" s="3">
        <f>IF(ISERROR(VLOOKUP(D1986,Data!$A$2:$D$223100,2,FALSE)),0,1)</f>
        <v>1</v>
      </c>
      <c r="N1986" s="3">
        <f t="shared" si="61"/>
        <v>0</v>
      </c>
      <c r="O1986" s="3" t="str">
        <f>IF(ISERROR(VLOOKUP(D1986,Data!$A$2:$C$223100,3,FALSE)),"INACTIVE",VLOOKUP(D1986,Data!$A$2:$C$223100,3,FALSE))</f>
        <v>PP</v>
      </c>
    </row>
    <row r="1987" spans="1:15" x14ac:dyDescent="0.25">
      <c r="A1987" t="s">
        <v>4359</v>
      </c>
      <c r="B1987" t="s">
        <v>4360</v>
      </c>
      <c r="C1987" t="s">
        <v>4417</v>
      </c>
      <c r="D1987" t="s">
        <v>4418</v>
      </c>
      <c r="E1987" t="s">
        <v>4419</v>
      </c>
      <c r="F1987" t="s">
        <v>5</v>
      </c>
      <c r="G1987" t="s">
        <v>5</v>
      </c>
      <c r="H1987" t="s">
        <v>5</v>
      </c>
      <c r="I1987" t="s">
        <v>4254</v>
      </c>
      <c r="J1987" t="s">
        <v>7</v>
      </c>
      <c r="K1987" s="3">
        <f t="shared" ref="K1987:K2050" si="62">IF(ISERROR(FIND("LIEN",A1987,1)),0,1)</f>
        <v>0</v>
      </c>
      <c r="L1987" s="3">
        <f>IF(ISERROR(VLOOKUP(J1987,Lookups!$A$2:$A$16,1,FALSE)),1,0)</f>
        <v>1</v>
      </c>
      <c r="M1987" s="3">
        <f>IF(ISERROR(VLOOKUP(D1987,Data!$A$2:$D$223100,2,FALSE)),0,1)</f>
        <v>1</v>
      </c>
      <c r="N1987" s="3">
        <f t="shared" ref="N1987:N2050" si="63">IF(M1987=0,0,IF(SUM(K1987:L1987)&gt;0,1,0))</f>
        <v>1</v>
      </c>
      <c r="O1987" s="3" t="str">
        <f>IF(ISERROR(VLOOKUP(D1987,Data!$A$2:$C$223100,3,FALSE)),"INACTIVE",VLOOKUP(D1987,Data!$A$2:$C$223100,3,FALSE))</f>
        <v>60+</v>
      </c>
    </row>
    <row r="1988" spans="1:15" x14ac:dyDescent="0.25">
      <c r="A1988" t="s">
        <v>4359</v>
      </c>
      <c r="B1988" t="s">
        <v>4360</v>
      </c>
      <c r="C1988" t="s">
        <v>4420</v>
      </c>
      <c r="D1988" t="s">
        <v>4421</v>
      </c>
      <c r="E1988" t="s">
        <v>4422</v>
      </c>
      <c r="F1988" t="s">
        <v>5</v>
      </c>
      <c r="G1988" t="s">
        <v>5</v>
      </c>
      <c r="H1988" t="s">
        <v>5</v>
      </c>
      <c r="I1988" t="s">
        <v>4254</v>
      </c>
      <c r="J1988" t="s">
        <v>90</v>
      </c>
      <c r="K1988" s="3">
        <f t="shared" si="62"/>
        <v>0</v>
      </c>
      <c r="L1988" s="3">
        <f>IF(ISERROR(VLOOKUP(J1988,Lookups!$A$2:$A$16,1,FALSE)),1,0)</f>
        <v>0</v>
      </c>
      <c r="M1988" s="3">
        <f>IF(ISERROR(VLOOKUP(D1988,Data!$A$2:$D$223100,2,FALSE)),0,1)</f>
        <v>1</v>
      </c>
      <c r="N1988" s="3">
        <f t="shared" si="63"/>
        <v>0</v>
      </c>
      <c r="O1988" s="3" t="str">
        <f>IF(ISERROR(VLOOKUP(D1988,Data!$A$2:$C$223100,3,FALSE)),"INACTIVE",VLOOKUP(D1988,Data!$A$2:$C$223100,3,FALSE))</f>
        <v>Current</v>
      </c>
    </row>
    <row r="1989" spans="1:15" x14ac:dyDescent="0.25">
      <c r="A1989" t="s">
        <v>4359</v>
      </c>
      <c r="B1989" t="s">
        <v>4360</v>
      </c>
      <c r="C1989" t="s">
        <v>4420</v>
      </c>
      <c r="D1989" t="s">
        <v>4421</v>
      </c>
      <c r="E1989" t="s">
        <v>4423</v>
      </c>
      <c r="F1989" t="s">
        <v>5</v>
      </c>
      <c r="G1989" t="s">
        <v>5</v>
      </c>
      <c r="H1989" t="s">
        <v>5</v>
      </c>
      <c r="I1989" t="s">
        <v>4254</v>
      </c>
      <c r="J1989" t="s">
        <v>90</v>
      </c>
      <c r="K1989" s="3">
        <f t="shared" si="62"/>
        <v>0</v>
      </c>
      <c r="L1989" s="3">
        <f>IF(ISERROR(VLOOKUP(J1989,Lookups!$A$2:$A$16,1,FALSE)),1,0)</f>
        <v>0</v>
      </c>
      <c r="M1989" s="3">
        <f>IF(ISERROR(VLOOKUP(D1989,Data!$A$2:$D$223100,2,FALSE)),0,1)</f>
        <v>1</v>
      </c>
      <c r="N1989" s="3">
        <f t="shared" si="63"/>
        <v>0</v>
      </c>
      <c r="O1989" s="3" t="str">
        <f>IF(ISERROR(VLOOKUP(D1989,Data!$A$2:$C$223100,3,FALSE)),"INACTIVE",VLOOKUP(D1989,Data!$A$2:$C$223100,3,FALSE))</f>
        <v>Current</v>
      </c>
    </row>
    <row r="1990" spans="1:15" x14ac:dyDescent="0.25">
      <c r="A1990" t="s">
        <v>4359</v>
      </c>
      <c r="B1990" t="s">
        <v>4360</v>
      </c>
      <c r="C1990" t="s">
        <v>4424</v>
      </c>
      <c r="D1990" t="s">
        <v>4425</v>
      </c>
      <c r="E1990" t="s">
        <v>4426</v>
      </c>
      <c r="F1990" t="s">
        <v>5</v>
      </c>
      <c r="G1990" t="s">
        <v>5</v>
      </c>
      <c r="H1990" t="s">
        <v>5</v>
      </c>
      <c r="I1990" t="s">
        <v>4254</v>
      </c>
      <c r="J1990" t="s">
        <v>7</v>
      </c>
      <c r="K1990" s="3">
        <f t="shared" si="62"/>
        <v>0</v>
      </c>
      <c r="L1990" s="3">
        <f>IF(ISERROR(VLOOKUP(J1990,Lookups!$A$2:$A$16,1,FALSE)),1,0)</f>
        <v>1</v>
      </c>
      <c r="M1990" s="3">
        <f>IF(ISERROR(VLOOKUP(D1990,Data!$A$2:$D$223100,2,FALSE)),0,1)</f>
        <v>1</v>
      </c>
      <c r="N1990" s="3">
        <f t="shared" si="63"/>
        <v>1</v>
      </c>
      <c r="O1990" s="3" t="str">
        <f>IF(ISERROR(VLOOKUP(D1990,Data!$A$2:$C$223100,3,FALSE)),"INACTIVE",VLOOKUP(D1990,Data!$A$2:$C$223100,3,FALSE))</f>
        <v>Current</v>
      </c>
    </row>
    <row r="1991" spans="1:15" x14ac:dyDescent="0.25">
      <c r="A1991" t="s">
        <v>4359</v>
      </c>
      <c r="B1991" t="s">
        <v>4360</v>
      </c>
      <c r="C1991" t="s">
        <v>4427</v>
      </c>
      <c r="D1991" t="s">
        <v>4428</v>
      </c>
      <c r="E1991" t="s">
        <v>4429</v>
      </c>
      <c r="F1991" t="s">
        <v>5</v>
      </c>
      <c r="G1991" t="s">
        <v>5</v>
      </c>
      <c r="H1991" t="s">
        <v>5</v>
      </c>
      <c r="I1991" t="s">
        <v>4254</v>
      </c>
      <c r="J1991" t="s">
        <v>90</v>
      </c>
      <c r="K1991" s="3">
        <f t="shared" si="62"/>
        <v>0</v>
      </c>
      <c r="L1991" s="3">
        <f>IF(ISERROR(VLOOKUP(J1991,Lookups!$A$2:$A$16,1,FALSE)),1,0)</f>
        <v>0</v>
      </c>
      <c r="M1991" s="3">
        <f>IF(ISERROR(VLOOKUP(D1991,Data!$A$2:$D$223100,2,FALSE)),0,1)</f>
        <v>1</v>
      </c>
      <c r="N1991" s="3">
        <f t="shared" si="63"/>
        <v>0</v>
      </c>
      <c r="O1991" s="3" t="str">
        <f>IF(ISERROR(VLOOKUP(D1991,Data!$A$2:$C$223100,3,FALSE)),"INACTIVE",VLOOKUP(D1991,Data!$A$2:$C$223100,3,FALSE))</f>
        <v>FC</v>
      </c>
    </row>
    <row r="1992" spans="1:15" x14ac:dyDescent="0.25">
      <c r="A1992" t="s">
        <v>4359</v>
      </c>
      <c r="B1992" t="s">
        <v>4360</v>
      </c>
      <c r="C1992" t="s">
        <v>4427</v>
      </c>
      <c r="D1992" t="s">
        <v>4428</v>
      </c>
      <c r="E1992" t="s">
        <v>4430</v>
      </c>
      <c r="F1992" t="s">
        <v>5</v>
      </c>
      <c r="G1992" t="s">
        <v>5</v>
      </c>
      <c r="H1992" t="s">
        <v>5</v>
      </c>
      <c r="I1992" t="s">
        <v>4254</v>
      </c>
      <c r="J1992" t="s">
        <v>90</v>
      </c>
      <c r="K1992" s="3">
        <f t="shared" si="62"/>
        <v>0</v>
      </c>
      <c r="L1992" s="3">
        <f>IF(ISERROR(VLOOKUP(J1992,Lookups!$A$2:$A$16,1,FALSE)),1,0)</f>
        <v>0</v>
      </c>
      <c r="M1992" s="3">
        <f>IF(ISERROR(VLOOKUP(D1992,Data!$A$2:$D$223100,2,FALSE)),0,1)</f>
        <v>1</v>
      </c>
      <c r="N1992" s="3">
        <f t="shared" si="63"/>
        <v>0</v>
      </c>
      <c r="O1992" s="3" t="str">
        <f>IF(ISERROR(VLOOKUP(D1992,Data!$A$2:$C$223100,3,FALSE)),"INACTIVE",VLOOKUP(D1992,Data!$A$2:$C$223100,3,FALSE))</f>
        <v>FC</v>
      </c>
    </row>
    <row r="1993" spans="1:15" x14ac:dyDescent="0.25">
      <c r="A1993" t="s">
        <v>4359</v>
      </c>
      <c r="B1993" t="s">
        <v>4360</v>
      </c>
      <c r="C1993" t="s">
        <v>4431</v>
      </c>
      <c r="D1993" t="s">
        <v>4432</v>
      </c>
      <c r="E1993" t="s">
        <v>1105</v>
      </c>
      <c r="F1993" t="s">
        <v>5</v>
      </c>
      <c r="G1993" t="s">
        <v>5</v>
      </c>
      <c r="H1993" t="s">
        <v>5</v>
      </c>
      <c r="I1993" t="s">
        <v>4254</v>
      </c>
      <c r="J1993" t="s">
        <v>7</v>
      </c>
      <c r="K1993" s="3">
        <f t="shared" si="62"/>
        <v>0</v>
      </c>
      <c r="L1993" s="3">
        <f>IF(ISERROR(VLOOKUP(J1993,Lookups!$A$2:$A$16,1,FALSE)),1,0)</f>
        <v>1</v>
      </c>
      <c r="M1993" s="3">
        <f>IF(ISERROR(VLOOKUP(D1993,Data!$A$2:$D$223100,2,FALSE)),0,1)</f>
        <v>0</v>
      </c>
      <c r="N1993" s="3">
        <f t="shared" si="63"/>
        <v>0</v>
      </c>
      <c r="O1993" s="3" t="str">
        <f>IF(ISERROR(VLOOKUP(D1993,Data!$A$2:$C$223100,3,FALSE)),"INACTIVE",VLOOKUP(D1993,Data!$A$2:$C$223100,3,FALSE))</f>
        <v>INACTIVE</v>
      </c>
    </row>
    <row r="1994" spans="1:15" x14ac:dyDescent="0.25">
      <c r="A1994" t="s">
        <v>4359</v>
      </c>
      <c r="B1994" t="s">
        <v>4360</v>
      </c>
      <c r="C1994" t="s">
        <v>4433</v>
      </c>
      <c r="D1994" t="s">
        <v>4434</v>
      </c>
      <c r="E1994" t="s">
        <v>4435</v>
      </c>
      <c r="F1994" t="s">
        <v>5</v>
      </c>
      <c r="G1994" t="s">
        <v>5</v>
      </c>
      <c r="H1994" t="s">
        <v>5</v>
      </c>
      <c r="I1994" t="s">
        <v>4254</v>
      </c>
      <c r="J1994" t="s">
        <v>96</v>
      </c>
      <c r="K1994" s="3">
        <f t="shared" si="62"/>
        <v>0</v>
      </c>
      <c r="L1994" s="3">
        <f>IF(ISERROR(VLOOKUP(J1994,Lookups!$A$2:$A$16,1,FALSE)),1,0)</f>
        <v>0</v>
      </c>
      <c r="M1994" s="3">
        <f>IF(ISERROR(VLOOKUP(D1994,Data!$A$2:$D$223100,2,FALSE)),0,1)</f>
        <v>1</v>
      </c>
      <c r="N1994" s="3">
        <f t="shared" si="63"/>
        <v>0</v>
      </c>
      <c r="O1994" s="3" t="str">
        <f>IF(ISERROR(VLOOKUP(D1994,Data!$A$2:$C$223100,3,FALSE)),"INACTIVE",VLOOKUP(D1994,Data!$A$2:$C$223100,3,FALSE))</f>
        <v>FC</v>
      </c>
    </row>
    <row r="1995" spans="1:15" x14ac:dyDescent="0.25">
      <c r="A1995" t="s">
        <v>4359</v>
      </c>
      <c r="B1995" t="s">
        <v>4360</v>
      </c>
      <c r="C1995" t="s">
        <v>4433</v>
      </c>
      <c r="D1995" t="s">
        <v>4434</v>
      </c>
      <c r="E1995" t="s">
        <v>4436</v>
      </c>
      <c r="F1995" t="s">
        <v>5</v>
      </c>
      <c r="G1995" t="s">
        <v>5</v>
      </c>
      <c r="H1995" t="s">
        <v>5</v>
      </c>
      <c r="I1995" t="s">
        <v>4254</v>
      </c>
      <c r="J1995" t="s">
        <v>96</v>
      </c>
      <c r="K1995" s="3">
        <f t="shared" si="62"/>
        <v>0</v>
      </c>
      <c r="L1995" s="3">
        <f>IF(ISERROR(VLOOKUP(J1995,Lookups!$A$2:$A$16,1,FALSE)),1,0)</f>
        <v>0</v>
      </c>
      <c r="M1995" s="3">
        <f>IF(ISERROR(VLOOKUP(D1995,Data!$A$2:$D$223100,2,FALSE)),0,1)</f>
        <v>1</v>
      </c>
      <c r="N1995" s="3">
        <f t="shared" si="63"/>
        <v>0</v>
      </c>
      <c r="O1995" s="3" t="str">
        <f>IF(ISERROR(VLOOKUP(D1995,Data!$A$2:$C$223100,3,FALSE)),"INACTIVE",VLOOKUP(D1995,Data!$A$2:$C$223100,3,FALSE))</f>
        <v>FC</v>
      </c>
    </row>
    <row r="1996" spans="1:15" x14ac:dyDescent="0.25">
      <c r="A1996" t="s">
        <v>4359</v>
      </c>
      <c r="B1996" t="s">
        <v>4360</v>
      </c>
      <c r="C1996" t="s">
        <v>4433</v>
      </c>
      <c r="D1996" t="s">
        <v>4434</v>
      </c>
      <c r="E1996" t="s">
        <v>4437</v>
      </c>
      <c r="F1996" t="s">
        <v>5</v>
      </c>
      <c r="G1996" t="s">
        <v>5</v>
      </c>
      <c r="H1996" t="s">
        <v>5</v>
      </c>
      <c r="I1996" t="s">
        <v>4254</v>
      </c>
      <c r="J1996" t="s">
        <v>96</v>
      </c>
      <c r="K1996" s="3">
        <f t="shared" si="62"/>
        <v>0</v>
      </c>
      <c r="L1996" s="3">
        <f>IF(ISERROR(VLOOKUP(J1996,Lookups!$A$2:$A$16,1,FALSE)),1,0)</f>
        <v>0</v>
      </c>
      <c r="M1996" s="3">
        <f>IF(ISERROR(VLOOKUP(D1996,Data!$A$2:$D$223100,2,FALSE)),0,1)</f>
        <v>1</v>
      </c>
      <c r="N1996" s="3">
        <f t="shared" si="63"/>
        <v>0</v>
      </c>
      <c r="O1996" s="3" t="str">
        <f>IF(ISERROR(VLOOKUP(D1996,Data!$A$2:$C$223100,3,FALSE)),"INACTIVE",VLOOKUP(D1996,Data!$A$2:$C$223100,3,FALSE))</f>
        <v>FC</v>
      </c>
    </row>
    <row r="1997" spans="1:15" x14ac:dyDescent="0.25">
      <c r="A1997" t="s">
        <v>4359</v>
      </c>
      <c r="B1997" t="s">
        <v>4360</v>
      </c>
      <c r="C1997" t="s">
        <v>4438</v>
      </c>
      <c r="D1997" t="s">
        <v>4439</v>
      </c>
      <c r="E1997" t="s">
        <v>4440</v>
      </c>
      <c r="F1997" t="s">
        <v>5</v>
      </c>
      <c r="G1997" t="s">
        <v>5</v>
      </c>
      <c r="H1997" t="s">
        <v>5</v>
      </c>
      <c r="I1997" t="s">
        <v>4254</v>
      </c>
      <c r="J1997" t="s">
        <v>7</v>
      </c>
      <c r="K1997" s="3">
        <f t="shared" si="62"/>
        <v>0</v>
      </c>
      <c r="L1997" s="3">
        <f>IF(ISERROR(VLOOKUP(J1997,Lookups!$A$2:$A$16,1,FALSE)),1,0)</f>
        <v>1</v>
      </c>
      <c r="M1997" s="3">
        <f>IF(ISERROR(VLOOKUP(D1997,Data!$A$2:$D$223100,2,FALSE)),0,1)</f>
        <v>1</v>
      </c>
      <c r="N1997" s="3">
        <f t="shared" si="63"/>
        <v>1</v>
      </c>
      <c r="O1997" s="3" t="str">
        <f>IF(ISERROR(VLOOKUP(D1997,Data!$A$2:$C$223100,3,FALSE)),"INACTIVE",VLOOKUP(D1997,Data!$A$2:$C$223100,3,FALSE))</f>
        <v>90+</v>
      </c>
    </row>
    <row r="1998" spans="1:15" x14ac:dyDescent="0.25">
      <c r="A1998" t="s">
        <v>4359</v>
      </c>
      <c r="B1998" t="s">
        <v>4360</v>
      </c>
      <c r="C1998" t="s">
        <v>4441</v>
      </c>
      <c r="D1998" t="s">
        <v>4442</v>
      </c>
      <c r="E1998" t="s">
        <v>4443</v>
      </c>
      <c r="F1998" t="s">
        <v>5</v>
      </c>
      <c r="G1998" t="s">
        <v>5</v>
      </c>
      <c r="H1998" t="s">
        <v>5</v>
      </c>
      <c r="I1998" t="s">
        <v>4254</v>
      </c>
      <c r="J1998" t="s">
        <v>96</v>
      </c>
      <c r="K1998" s="3">
        <f t="shared" si="62"/>
        <v>0</v>
      </c>
      <c r="L1998" s="3">
        <f>IF(ISERROR(VLOOKUP(J1998,Lookups!$A$2:$A$16,1,FALSE)),1,0)</f>
        <v>0</v>
      </c>
      <c r="M1998" s="3">
        <f>IF(ISERROR(VLOOKUP(D1998,Data!$A$2:$D$223100,2,FALSE)),0,1)</f>
        <v>1</v>
      </c>
      <c r="N1998" s="3">
        <f t="shared" si="63"/>
        <v>0</v>
      </c>
      <c r="O1998" s="3" t="str">
        <f>IF(ISERROR(VLOOKUP(D1998,Data!$A$2:$C$223100,3,FALSE)),"INACTIVE",VLOOKUP(D1998,Data!$A$2:$C$223100,3,FALSE))</f>
        <v>180+</v>
      </c>
    </row>
    <row r="1999" spans="1:15" x14ac:dyDescent="0.25">
      <c r="A1999" t="s">
        <v>4359</v>
      </c>
      <c r="B1999" t="s">
        <v>4360</v>
      </c>
      <c r="C1999" t="s">
        <v>4441</v>
      </c>
      <c r="D1999" t="s">
        <v>4442</v>
      </c>
      <c r="E1999" t="s">
        <v>4444</v>
      </c>
      <c r="F1999" t="s">
        <v>5</v>
      </c>
      <c r="G1999" t="s">
        <v>5</v>
      </c>
      <c r="H1999" t="s">
        <v>5</v>
      </c>
      <c r="I1999" t="s">
        <v>4254</v>
      </c>
      <c r="J1999" t="s">
        <v>96</v>
      </c>
      <c r="K1999" s="3">
        <f t="shared" si="62"/>
        <v>0</v>
      </c>
      <c r="L1999" s="3">
        <f>IF(ISERROR(VLOOKUP(J1999,Lookups!$A$2:$A$16,1,FALSE)),1,0)</f>
        <v>0</v>
      </c>
      <c r="M1999" s="3">
        <f>IF(ISERROR(VLOOKUP(D1999,Data!$A$2:$D$223100,2,FALSE)),0,1)</f>
        <v>1</v>
      </c>
      <c r="N1999" s="3">
        <f t="shared" si="63"/>
        <v>0</v>
      </c>
      <c r="O1999" s="3" t="str">
        <f>IF(ISERROR(VLOOKUP(D1999,Data!$A$2:$C$223100,3,FALSE)),"INACTIVE",VLOOKUP(D1999,Data!$A$2:$C$223100,3,FALSE))</f>
        <v>180+</v>
      </c>
    </row>
    <row r="2000" spans="1:15" x14ac:dyDescent="0.25">
      <c r="A2000" t="s">
        <v>4359</v>
      </c>
      <c r="B2000" t="s">
        <v>4360</v>
      </c>
      <c r="C2000" t="s">
        <v>4441</v>
      </c>
      <c r="D2000" t="s">
        <v>4442</v>
      </c>
      <c r="E2000" t="s">
        <v>4445</v>
      </c>
      <c r="F2000" t="s">
        <v>5</v>
      </c>
      <c r="G2000" t="s">
        <v>5</v>
      </c>
      <c r="H2000" t="s">
        <v>5</v>
      </c>
      <c r="I2000" t="s">
        <v>4254</v>
      </c>
      <c r="J2000" t="s">
        <v>96</v>
      </c>
      <c r="K2000" s="3">
        <f t="shared" si="62"/>
        <v>0</v>
      </c>
      <c r="L2000" s="3">
        <f>IF(ISERROR(VLOOKUP(J2000,Lookups!$A$2:$A$16,1,FALSE)),1,0)</f>
        <v>0</v>
      </c>
      <c r="M2000" s="3">
        <f>IF(ISERROR(VLOOKUP(D2000,Data!$A$2:$D$223100,2,FALSE)),0,1)</f>
        <v>1</v>
      </c>
      <c r="N2000" s="3">
        <f t="shared" si="63"/>
        <v>0</v>
      </c>
      <c r="O2000" s="3" t="str">
        <f>IF(ISERROR(VLOOKUP(D2000,Data!$A$2:$C$223100,3,FALSE)),"INACTIVE",VLOOKUP(D2000,Data!$A$2:$C$223100,3,FALSE))</f>
        <v>180+</v>
      </c>
    </row>
    <row r="2001" spans="1:15" x14ac:dyDescent="0.25">
      <c r="A2001" t="s">
        <v>4359</v>
      </c>
      <c r="B2001" t="s">
        <v>4360</v>
      </c>
      <c r="C2001" t="s">
        <v>4446</v>
      </c>
      <c r="D2001" t="s">
        <v>4447</v>
      </c>
      <c r="E2001" t="s">
        <v>4448</v>
      </c>
      <c r="F2001" t="s">
        <v>5</v>
      </c>
      <c r="G2001" t="s">
        <v>5</v>
      </c>
      <c r="H2001" t="s">
        <v>5</v>
      </c>
      <c r="I2001" t="s">
        <v>4254</v>
      </c>
      <c r="J2001" t="s">
        <v>96</v>
      </c>
      <c r="K2001" s="3">
        <f t="shared" si="62"/>
        <v>0</v>
      </c>
      <c r="L2001" s="3">
        <f>IF(ISERROR(VLOOKUP(J2001,Lookups!$A$2:$A$16,1,FALSE)),1,0)</f>
        <v>0</v>
      </c>
      <c r="M2001" s="3">
        <f>IF(ISERROR(VLOOKUP(D2001,Data!$A$2:$D$223100,2,FALSE)),0,1)</f>
        <v>1</v>
      </c>
      <c r="N2001" s="3">
        <f t="shared" si="63"/>
        <v>0</v>
      </c>
      <c r="O2001" s="3" t="str">
        <f>IF(ISERROR(VLOOKUP(D2001,Data!$A$2:$C$223100,3,FALSE)),"INACTIVE",VLOOKUP(D2001,Data!$A$2:$C$223100,3,FALSE))</f>
        <v>120+</v>
      </c>
    </row>
    <row r="2002" spans="1:15" x14ac:dyDescent="0.25">
      <c r="A2002" t="s">
        <v>4359</v>
      </c>
      <c r="B2002" t="s">
        <v>4360</v>
      </c>
      <c r="C2002" t="s">
        <v>4446</v>
      </c>
      <c r="D2002" t="s">
        <v>4447</v>
      </c>
      <c r="E2002" t="s">
        <v>4383</v>
      </c>
      <c r="F2002" t="s">
        <v>5</v>
      </c>
      <c r="G2002" t="s">
        <v>5</v>
      </c>
      <c r="H2002" t="s">
        <v>5</v>
      </c>
      <c r="I2002" t="s">
        <v>4254</v>
      </c>
      <c r="J2002" t="s">
        <v>96</v>
      </c>
      <c r="K2002" s="3">
        <f t="shared" si="62"/>
        <v>0</v>
      </c>
      <c r="L2002" s="3">
        <f>IF(ISERROR(VLOOKUP(J2002,Lookups!$A$2:$A$16,1,FALSE)),1,0)</f>
        <v>0</v>
      </c>
      <c r="M2002" s="3">
        <f>IF(ISERROR(VLOOKUP(D2002,Data!$A$2:$D$223100,2,FALSE)),0,1)</f>
        <v>1</v>
      </c>
      <c r="N2002" s="3">
        <f t="shared" si="63"/>
        <v>0</v>
      </c>
      <c r="O2002" s="3" t="str">
        <f>IF(ISERROR(VLOOKUP(D2002,Data!$A$2:$C$223100,3,FALSE)),"INACTIVE",VLOOKUP(D2002,Data!$A$2:$C$223100,3,FALSE))</f>
        <v>120+</v>
      </c>
    </row>
    <row r="2003" spans="1:15" x14ac:dyDescent="0.25">
      <c r="A2003" t="s">
        <v>4359</v>
      </c>
      <c r="B2003" t="s">
        <v>4360</v>
      </c>
      <c r="C2003" t="s">
        <v>4446</v>
      </c>
      <c r="D2003" t="s">
        <v>4447</v>
      </c>
      <c r="E2003" t="s">
        <v>4449</v>
      </c>
      <c r="F2003" t="s">
        <v>5</v>
      </c>
      <c r="G2003" t="s">
        <v>5</v>
      </c>
      <c r="H2003" t="s">
        <v>5</v>
      </c>
      <c r="I2003" t="s">
        <v>4254</v>
      </c>
      <c r="J2003" t="s">
        <v>96</v>
      </c>
      <c r="K2003" s="3">
        <f t="shared" si="62"/>
        <v>0</v>
      </c>
      <c r="L2003" s="3">
        <f>IF(ISERROR(VLOOKUP(J2003,Lookups!$A$2:$A$16,1,FALSE)),1,0)</f>
        <v>0</v>
      </c>
      <c r="M2003" s="3">
        <f>IF(ISERROR(VLOOKUP(D2003,Data!$A$2:$D$223100,2,FALSE)),0,1)</f>
        <v>1</v>
      </c>
      <c r="N2003" s="3">
        <f t="shared" si="63"/>
        <v>0</v>
      </c>
      <c r="O2003" s="3" t="str">
        <f>IF(ISERROR(VLOOKUP(D2003,Data!$A$2:$C$223100,3,FALSE)),"INACTIVE",VLOOKUP(D2003,Data!$A$2:$C$223100,3,FALSE))</f>
        <v>120+</v>
      </c>
    </row>
    <row r="2004" spans="1:15" x14ac:dyDescent="0.25">
      <c r="A2004" t="s">
        <v>4359</v>
      </c>
      <c r="B2004" t="s">
        <v>4360</v>
      </c>
      <c r="C2004" t="s">
        <v>4446</v>
      </c>
      <c r="D2004" t="s">
        <v>4447</v>
      </c>
      <c r="E2004" t="s">
        <v>4413</v>
      </c>
      <c r="F2004" t="s">
        <v>5</v>
      </c>
      <c r="G2004" t="s">
        <v>5</v>
      </c>
      <c r="H2004" t="s">
        <v>5</v>
      </c>
      <c r="I2004" t="s">
        <v>4254</v>
      </c>
      <c r="J2004" t="s">
        <v>96</v>
      </c>
      <c r="K2004" s="3">
        <f t="shared" si="62"/>
        <v>0</v>
      </c>
      <c r="L2004" s="3">
        <f>IF(ISERROR(VLOOKUP(J2004,Lookups!$A$2:$A$16,1,FALSE)),1,0)</f>
        <v>0</v>
      </c>
      <c r="M2004" s="3">
        <f>IF(ISERROR(VLOOKUP(D2004,Data!$A$2:$D$223100,2,FALSE)),0,1)</f>
        <v>1</v>
      </c>
      <c r="N2004" s="3">
        <f t="shared" si="63"/>
        <v>0</v>
      </c>
      <c r="O2004" s="3" t="str">
        <f>IF(ISERROR(VLOOKUP(D2004,Data!$A$2:$C$223100,3,FALSE)),"INACTIVE",VLOOKUP(D2004,Data!$A$2:$C$223100,3,FALSE))</f>
        <v>120+</v>
      </c>
    </row>
    <row r="2005" spans="1:15" x14ac:dyDescent="0.25">
      <c r="A2005" t="s">
        <v>4359</v>
      </c>
      <c r="B2005" t="s">
        <v>4360</v>
      </c>
      <c r="C2005" t="s">
        <v>4446</v>
      </c>
      <c r="D2005" t="s">
        <v>4447</v>
      </c>
      <c r="E2005" t="s">
        <v>4380</v>
      </c>
      <c r="F2005" t="s">
        <v>5</v>
      </c>
      <c r="G2005" t="s">
        <v>5</v>
      </c>
      <c r="H2005" t="s">
        <v>5</v>
      </c>
      <c r="I2005" t="s">
        <v>4254</v>
      </c>
      <c r="J2005" t="s">
        <v>96</v>
      </c>
      <c r="K2005" s="3">
        <f t="shared" si="62"/>
        <v>0</v>
      </c>
      <c r="L2005" s="3">
        <f>IF(ISERROR(VLOOKUP(J2005,Lookups!$A$2:$A$16,1,FALSE)),1,0)</f>
        <v>0</v>
      </c>
      <c r="M2005" s="3">
        <f>IF(ISERROR(VLOOKUP(D2005,Data!$A$2:$D$223100,2,FALSE)),0,1)</f>
        <v>1</v>
      </c>
      <c r="N2005" s="3">
        <f t="shared" si="63"/>
        <v>0</v>
      </c>
      <c r="O2005" s="3" t="str">
        <f>IF(ISERROR(VLOOKUP(D2005,Data!$A$2:$C$223100,3,FALSE)),"INACTIVE",VLOOKUP(D2005,Data!$A$2:$C$223100,3,FALSE))</f>
        <v>120+</v>
      </c>
    </row>
    <row r="2006" spans="1:15" x14ac:dyDescent="0.25">
      <c r="A2006" t="s">
        <v>4359</v>
      </c>
      <c r="B2006" t="s">
        <v>4360</v>
      </c>
      <c r="C2006" t="s">
        <v>4446</v>
      </c>
      <c r="D2006" t="s">
        <v>4447</v>
      </c>
      <c r="E2006" t="s">
        <v>4450</v>
      </c>
      <c r="F2006" t="s">
        <v>5</v>
      </c>
      <c r="G2006" t="s">
        <v>5</v>
      </c>
      <c r="H2006" t="s">
        <v>5</v>
      </c>
      <c r="I2006" t="s">
        <v>4254</v>
      </c>
      <c r="J2006" t="s">
        <v>96</v>
      </c>
      <c r="K2006" s="3">
        <f t="shared" si="62"/>
        <v>0</v>
      </c>
      <c r="L2006" s="3">
        <f>IF(ISERROR(VLOOKUP(J2006,Lookups!$A$2:$A$16,1,FALSE)),1,0)</f>
        <v>0</v>
      </c>
      <c r="M2006" s="3">
        <f>IF(ISERROR(VLOOKUP(D2006,Data!$A$2:$D$223100,2,FALSE)),0,1)</f>
        <v>1</v>
      </c>
      <c r="N2006" s="3">
        <f t="shared" si="63"/>
        <v>0</v>
      </c>
      <c r="O2006" s="3" t="str">
        <f>IF(ISERROR(VLOOKUP(D2006,Data!$A$2:$C$223100,3,FALSE)),"INACTIVE",VLOOKUP(D2006,Data!$A$2:$C$223100,3,FALSE))</f>
        <v>120+</v>
      </c>
    </row>
    <row r="2007" spans="1:15" x14ac:dyDescent="0.25">
      <c r="A2007" t="s">
        <v>4359</v>
      </c>
      <c r="B2007" t="s">
        <v>4360</v>
      </c>
      <c r="C2007" t="s">
        <v>4451</v>
      </c>
      <c r="D2007" t="s">
        <v>4452</v>
      </c>
      <c r="E2007" t="s">
        <v>4453</v>
      </c>
      <c r="F2007" t="s">
        <v>5</v>
      </c>
      <c r="G2007" t="s">
        <v>5</v>
      </c>
      <c r="H2007" t="s">
        <v>5</v>
      </c>
      <c r="I2007" t="s">
        <v>4254</v>
      </c>
      <c r="J2007" t="s">
        <v>96</v>
      </c>
      <c r="K2007" s="3">
        <f t="shared" si="62"/>
        <v>0</v>
      </c>
      <c r="L2007" s="3">
        <f>IF(ISERROR(VLOOKUP(J2007,Lookups!$A$2:$A$16,1,FALSE)),1,0)</f>
        <v>0</v>
      </c>
      <c r="M2007" s="3">
        <f>IF(ISERROR(VLOOKUP(D2007,Data!$A$2:$D$223100,2,FALSE)),0,1)</f>
        <v>1</v>
      </c>
      <c r="N2007" s="3">
        <f t="shared" si="63"/>
        <v>0</v>
      </c>
      <c r="O2007" s="3" t="str">
        <f>IF(ISERROR(VLOOKUP(D2007,Data!$A$2:$C$223100,3,FALSE)),"INACTIVE",VLOOKUP(D2007,Data!$A$2:$C$223100,3,FALSE))</f>
        <v>30+</v>
      </c>
    </row>
    <row r="2008" spans="1:15" x14ac:dyDescent="0.25">
      <c r="A2008" t="s">
        <v>4359</v>
      </c>
      <c r="B2008" t="s">
        <v>4360</v>
      </c>
      <c r="C2008" t="s">
        <v>4451</v>
      </c>
      <c r="D2008" t="s">
        <v>4452</v>
      </c>
      <c r="E2008" t="s">
        <v>4384</v>
      </c>
      <c r="F2008" t="s">
        <v>5</v>
      </c>
      <c r="G2008" t="s">
        <v>5</v>
      </c>
      <c r="H2008" t="s">
        <v>5</v>
      </c>
      <c r="I2008" t="s">
        <v>4254</v>
      </c>
      <c r="J2008" t="s">
        <v>96</v>
      </c>
      <c r="K2008" s="3">
        <f t="shared" si="62"/>
        <v>0</v>
      </c>
      <c r="L2008" s="3">
        <f>IF(ISERROR(VLOOKUP(J2008,Lookups!$A$2:$A$16,1,FALSE)),1,0)</f>
        <v>0</v>
      </c>
      <c r="M2008" s="3">
        <f>IF(ISERROR(VLOOKUP(D2008,Data!$A$2:$D$223100,2,FALSE)),0,1)</f>
        <v>1</v>
      </c>
      <c r="N2008" s="3">
        <f t="shared" si="63"/>
        <v>0</v>
      </c>
      <c r="O2008" s="3" t="str">
        <f>IF(ISERROR(VLOOKUP(D2008,Data!$A$2:$C$223100,3,FALSE)),"INACTIVE",VLOOKUP(D2008,Data!$A$2:$C$223100,3,FALSE))</f>
        <v>30+</v>
      </c>
    </row>
    <row r="2009" spans="1:15" x14ac:dyDescent="0.25">
      <c r="A2009" t="s">
        <v>4359</v>
      </c>
      <c r="B2009" t="s">
        <v>4360</v>
      </c>
      <c r="C2009" t="s">
        <v>4451</v>
      </c>
      <c r="D2009" t="s">
        <v>4452</v>
      </c>
      <c r="E2009" t="s">
        <v>4386</v>
      </c>
      <c r="F2009" t="s">
        <v>5</v>
      </c>
      <c r="G2009" t="s">
        <v>5</v>
      </c>
      <c r="H2009" t="s">
        <v>5</v>
      </c>
      <c r="I2009" t="s">
        <v>4254</v>
      </c>
      <c r="J2009" t="s">
        <v>96</v>
      </c>
      <c r="K2009" s="3">
        <f t="shared" si="62"/>
        <v>0</v>
      </c>
      <c r="L2009" s="3">
        <f>IF(ISERROR(VLOOKUP(J2009,Lookups!$A$2:$A$16,1,FALSE)),1,0)</f>
        <v>0</v>
      </c>
      <c r="M2009" s="3">
        <f>IF(ISERROR(VLOOKUP(D2009,Data!$A$2:$D$223100,2,FALSE)),0,1)</f>
        <v>1</v>
      </c>
      <c r="N2009" s="3">
        <f t="shared" si="63"/>
        <v>0</v>
      </c>
      <c r="O2009" s="3" t="str">
        <f>IF(ISERROR(VLOOKUP(D2009,Data!$A$2:$C$223100,3,FALSE)),"INACTIVE",VLOOKUP(D2009,Data!$A$2:$C$223100,3,FALSE))</f>
        <v>30+</v>
      </c>
    </row>
    <row r="2010" spans="1:15" x14ac:dyDescent="0.25">
      <c r="A2010" t="s">
        <v>4359</v>
      </c>
      <c r="B2010" t="s">
        <v>4360</v>
      </c>
      <c r="C2010" t="s">
        <v>4451</v>
      </c>
      <c r="D2010" t="s">
        <v>4452</v>
      </c>
      <c r="E2010" t="s">
        <v>4385</v>
      </c>
      <c r="F2010" t="s">
        <v>5</v>
      </c>
      <c r="G2010" t="s">
        <v>5</v>
      </c>
      <c r="H2010" t="s">
        <v>5</v>
      </c>
      <c r="I2010" t="s">
        <v>4254</v>
      </c>
      <c r="J2010" t="s">
        <v>96</v>
      </c>
      <c r="K2010" s="3">
        <f t="shared" si="62"/>
        <v>0</v>
      </c>
      <c r="L2010" s="3">
        <f>IF(ISERROR(VLOOKUP(J2010,Lookups!$A$2:$A$16,1,FALSE)),1,0)</f>
        <v>0</v>
      </c>
      <c r="M2010" s="3">
        <f>IF(ISERROR(VLOOKUP(D2010,Data!$A$2:$D$223100,2,FALSE)),0,1)</f>
        <v>1</v>
      </c>
      <c r="N2010" s="3">
        <f t="shared" si="63"/>
        <v>0</v>
      </c>
      <c r="O2010" s="3" t="str">
        <f>IF(ISERROR(VLOOKUP(D2010,Data!$A$2:$C$223100,3,FALSE)),"INACTIVE",VLOOKUP(D2010,Data!$A$2:$C$223100,3,FALSE))</f>
        <v>30+</v>
      </c>
    </row>
    <row r="2011" spans="1:15" x14ac:dyDescent="0.25">
      <c r="A2011" t="s">
        <v>4359</v>
      </c>
      <c r="B2011" t="s">
        <v>4360</v>
      </c>
      <c r="C2011" t="s">
        <v>4451</v>
      </c>
      <c r="D2011" t="s">
        <v>4452</v>
      </c>
      <c r="E2011" t="s">
        <v>4454</v>
      </c>
      <c r="F2011" t="s">
        <v>5</v>
      </c>
      <c r="G2011" t="s">
        <v>5</v>
      </c>
      <c r="H2011" t="s">
        <v>5</v>
      </c>
      <c r="I2011" t="s">
        <v>4254</v>
      </c>
      <c r="J2011" t="s">
        <v>96</v>
      </c>
      <c r="K2011" s="3">
        <f t="shared" si="62"/>
        <v>0</v>
      </c>
      <c r="L2011" s="3">
        <f>IF(ISERROR(VLOOKUP(J2011,Lookups!$A$2:$A$16,1,FALSE)),1,0)</f>
        <v>0</v>
      </c>
      <c r="M2011" s="3">
        <f>IF(ISERROR(VLOOKUP(D2011,Data!$A$2:$D$223100,2,FALSE)),0,1)</f>
        <v>1</v>
      </c>
      <c r="N2011" s="3">
        <f t="shared" si="63"/>
        <v>0</v>
      </c>
      <c r="O2011" s="3" t="str">
        <f>IF(ISERROR(VLOOKUP(D2011,Data!$A$2:$C$223100,3,FALSE)),"INACTIVE",VLOOKUP(D2011,Data!$A$2:$C$223100,3,FALSE))</f>
        <v>30+</v>
      </c>
    </row>
    <row r="2012" spans="1:15" x14ac:dyDescent="0.25">
      <c r="A2012" t="s">
        <v>4359</v>
      </c>
      <c r="B2012" t="s">
        <v>4360</v>
      </c>
      <c r="C2012" t="s">
        <v>4451</v>
      </c>
      <c r="D2012" t="s">
        <v>4452</v>
      </c>
      <c r="E2012" t="s">
        <v>4455</v>
      </c>
      <c r="F2012" t="s">
        <v>5</v>
      </c>
      <c r="G2012" t="s">
        <v>5</v>
      </c>
      <c r="H2012" t="s">
        <v>5</v>
      </c>
      <c r="I2012" t="s">
        <v>4254</v>
      </c>
      <c r="J2012" t="s">
        <v>96</v>
      </c>
      <c r="K2012" s="3">
        <f t="shared" si="62"/>
        <v>0</v>
      </c>
      <c r="L2012" s="3">
        <f>IF(ISERROR(VLOOKUP(J2012,Lookups!$A$2:$A$16,1,FALSE)),1,0)</f>
        <v>0</v>
      </c>
      <c r="M2012" s="3">
        <f>IF(ISERROR(VLOOKUP(D2012,Data!$A$2:$D$223100,2,FALSE)),0,1)</f>
        <v>1</v>
      </c>
      <c r="N2012" s="3">
        <f t="shared" si="63"/>
        <v>0</v>
      </c>
      <c r="O2012" s="3" t="str">
        <f>IF(ISERROR(VLOOKUP(D2012,Data!$A$2:$C$223100,3,FALSE)),"INACTIVE",VLOOKUP(D2012,Data!$A$2:$C$223100,3,FALSE))</f>
        <v>30+</v>
      </c>
    </row>
    <row r="2013" spans="1:15" x14ac:dyDescent="0.25">
      <c r="A2013" t="s">
        <v>4359</v>
      </c>
      <c r="B2013" t="s">
        <v>4360</v>
      </c>
      <c r="C2013" t="s">
        <v>4451</v>
      </c>
      <c r="D2013" t="s">
        <v>4452</v>
      </c>
      <c r="E2013" t="s">
        <v>4456</v>
      </c>
      <c r="F2013" t="s">
        <v>5</v>
      </c>
      <c r="G2013" t="s">
        <v>5</v>
      </c>
      <c r="H2013" t="s">
        <v>5</v>
      </c>
      <c r="I2013" t="s">
        <v>4254</v>
      </c>
      <c r="J2013" t="s">
        <v>96</v>
      </c>
      <c r="K2013" s="3">
        <f t="shared" si="62"/>
        <v>0</v>
      </c>
      <c r="L2013" s="3">
        <f>IF(ISERROR(VLOOKUP(J2013,Lookups!$A$2:$A$16,1,FALSE)),1,0)</f>
        <v>0</v>
      </c>
      <c r="M2013" s="3">
        <f>IF(ISERROR(VLOOKUP(D2013,Data!$A$2:$D$223100,2,FALSE)),0,1)</f>
        <v>1</v>
      </c>
      <c r="N2013" s="3">
        <f t="shared" si="63"/>
        <v>0</v>
      </c>
      <c r="O2013" s="3" t="str">
        <f>IF(ISERROR(VLOOKUP(D2013,Data!$A$2:$C$223100,3,FALSE)),"INACTIVE",VLOOKUP(D2013,Data!$A$2:$C$223100,3,FALSE))</f>
        <v>30+</v>
      </c>
    </row>
    <row r="2014" spans="1:15" x14ac:dyDescent="0.25">
      <c r="A2014" t="s">
        <v>4359</v>
      </c>
      <c r="B2014" t="s">
        <v>4360</v>
      </c>
      <c r="C2014" t="s">
        <v>4457</v>
      </c>
      <c r="D2014" t="s">
        <v>4458</v>
      </c>
      <c r="E2014" t="s">
        <v>4459</v>
      </c>
      <c r="F2014" t="s">
        <v>5</v>
      </c>
      <c r="G2014" t="s">
        <v>5</v>
      </c>
      <c r="H2014" t="s">
        <v>5</v>
      </c>
      <c r="I2014" t="s">
        <v>4254</v>
      </c>
      <c r="J2014" t="s">
        <v>96</v>
      </c>
      <c r="K2014" s="3">
        <f t="shared" si="62"/>
        <v>0</v>
      </c>
      <c r="L2014" s="3">
        <f>IF(ISERROR(VLOOKUP(J2014,Lookups!$A$2:$A$16,1,FALSE)),1,0)</f>
        <v>0</v>
      </c>
      <c r="M2014" s="3">
        <f>IF(ISERROR(VLOOKUP(D2014,Data!$A$2:$D$223100,2,FALSE)),0,1)</f>
        <v>1</v>
      </c>
      <c r="N2014" s="3">
        <f t="shared" si="63"/>
        <v>0</v>
      </c>
      <c r="O2014" s="3" t="str">
        <f>IF(ISERROR(VLOOKUP(D2014,Data!$A$2:$C$223100,3,FALSE)),"INACTIVE",VLOOKUP(D2014,Data!$A$2:$C$223100,3,FALSE))</f>
        <v>FC</v>
      </c>
    </row>
    <row r="2015" spans="1:15" x14ac:dyDescent="0.25">
      <c r="A2015" t="s">
        <v>4359</v>
      </c>
      <c r="B2015" t="s">
        <v>4360</v>
      </c>
      <c r="C2015" t="s">
        <v>4457</v>
      </c>
      <c r="D2015" t="s">
        <v>4458</v>
      </c>
      <c r="E2015" t="s">
        <v>4413</v>
      </c>
      <c r="F2015" t="s">
        <v>5</v>
      </c>
      <c r="G2015" t="s">
        <v>5</v>
      </c>
      <c r="H2015" t="s">
        <v>5</v>
      </c>
      <c r="I2015" t="s">
        <v>4254</v>
      </c>
      <c r="J2015" t="s">
        <v>96</v>
      </c>
      <c r="K2015" s="3">
        <f t="shared" si="62"/>
        <v>0</v>
      </c>
      <c r="L2015" s="3">
        <f>IF(ISERROR(VLOOKUP(J2015,Lookups!$A$2:$A$16,1,FALSE)),1,0)</f>
        <v>0</v>
      </c>
      <c r="M2015" s="3">
        <f>IF(ISERROR(VLOOKUP(D2015,Data!$A$2:$D$223100,2,FALSE)),0,1)</f>
        <v>1</v>
      </c>
      <c r="N2015" s="3">
        <f t="shared" si="63"/>
        <v>0</v>
      </c>
      <c r="O2015" s="3" t="str">
        <f>IF(ISERROR(VLOOKUP(D2015,Data!$A$2:$C$223100,3,FALSE)),"INACTIVE",VLOOKUP(D2015,Data!$A$2:$C$223100,3,FALSE))</f>
        <v>FC</v>
      </c>
    </row>
    <row r="2016" spans="1:15" x14ac:dyDescent="0.25">
      <c r="A2016" t="s">
        <v>4359</v>
      </c>
      <c r="B2016" t="s">
        <v>4360</v>
      </c>
      <c r="C2016" t="s">
        <v>4457</v>
      </c>
      <c r="D2016" t="s">
        <v>4458</v>
      </c>
      <c r="E2016" t="s">
        <v>4413</v>
      </c>
      <c r="F2016" t="s">
        <v>5</v>
      </c>
      <c r="G2016" t="s">
        <v>5</v>
      </c>
      <c r="H2016" t="s">
        <v>5</v>
      </c>
      <c r="I2016" t="s">
        <v>4254</v>
      </c>
      <c r="J2016" t="s">
        <v>96</v>
      </c>
      <c r="K2016" s="3">
        <f t="shared" si="62"/>
        <v>0</v>
      </c>
      <c r="L2016" s="3">
        <f>IF(ISERROR(VLOOKUP(J2016,Lookups!$A$2:$A$16,1,FALSE)),1,0)</f>
        <v>0</v>
      </c>
      <c r="M2016" s="3">
        <f>IF(ISERROR(VLOOKUP(D2016,Data!$A$2:$D$223100,2,FALSE)),0,1)</f>
        <v>1</v>
      </c>
      <c r="N2016" s="3">
        <f t="shared" si="63"/>
        <v>0</v>
      </c>
      <c r="O2016" s="3" t="str">
        <f>IF(ISERROR(VLOOKUP(D2016,Data!$A$2:$C$223100,3,FALSE)),"INACTIVE",VLOOKUP(D2016,Data!$A$2:$C$223100,3,FALSE))</f>
        <v>FC</v>
      </c>
    </row>
    <row r="2017" spans="1:15" x14ac:dyDescent="0.25">
      <c r="A2017" t="s">
        <v>4359</v>
      </c>
      <c r="B2017" t="s">
        <v>4360</v>
      </c>
      <c r="C2017" t="s">
        <v>4457</v>
      </c>
      <c r="D2017" t="s">
        <v>4458</v>
      </c>
      <c r="E2017" t="s">
        <v>4384</v>
      </c>
      <c r="F2017" t="s">
        <v>5</v>
      </c>
      <c r="G2017" t="s">
        <v>5</v>
      </c>
      <c r="H2017" t="s">
        <v>5</v>
      </c>
      <c r="I2017" t="s">
        <v>4254</v>
      </c>
      <c r="J2017" t="s">
        <v>96</v>
      </c>
      <c r="K2017" s="3">
        <f t="shared" si="62"/>
        <v>0</v>
      </c>
      <c r="L2017" s="3">
        <f>IF(ISERROR(VLOOKUP(J2017,Lookups!$A$2:$A$16,1,FALSE)),1,0)</f>
        <v>0</v>
      </c>
      <c r="M2017" s="3">
        <f>IF(ISERROR(VLOOKUP(D2017,Data!$A$2:$D$223100,2,FALSE)),0,1)</f>
        <v>1</v>
      </c>
      <c r="N2017" s="3">
        <f t="shared" si="63"/>
        <v>0</v>
      </c>
      <c r="O2017" s="3" t="str">
        <f>IF(ISERROR(VLOOKUP(D2017,Data!$A$2:$C$223100,3,FALSE)),"INACTIVE",VLOOKUP(D2017,Data!$A$2:$C$223100,3,FALSE))</f>
        <v>FC</v>
      </c>
    </row>
    <row r="2018" spans="1:15" x14ac:dyDescent="0.25">
      <c r="A2018" t="s">
        <v>4359</v>
      </c>
      <c r="B2018" t="s">
        <v>4360</v>
      </c>
      <c r="C2018" t="s">
        <v>4457</v>
      </c>
      <c r="D2018" t="s">
        <v>4458</v>
      </c>
      <c r="E2018" t="s">
        <v>4415</v>
      </c>
      <c r="F2018" t="s">
        <v>5</v>
      </c>
      <c r="G2018" t="s">
        <v>5</v>
      </c>
      <c r="H2018" t="s">
        <v>5</v>
      </c>
      <c r="I2018" t="s">
        <v>4254</v>
      </c>
      <c r="J2018" t="s">
        <v>96</v>
      </c>
      <c r="K2018" s="3">
        <f t="shared" si="62"/>
        <v>0</v>
      </c>
      <c r="L2018" s="3">
        <f>IF(ISERROR(VLOOKUP(J2018,Lookups!$A$2:$A$16,1,FALSE)),1,0)</f>
        <v>0</v>
      </c>
      <c r="M2018" s="3">
        <f>IF(ISERROR(VLOOKUP(D2018,Data!$A$2:$D$223100,2,FALSE)),0,1)</f>
        <v>1</v>
      </c>
      <c r="N2018" s="3">
        <f t="shared" si="63"/>
        <v>0</v>
      </c>
      <c r="O2018" s="3" t="str">
        <f>IF(ISERROR(VLOOKUP(D2018,Data!$A$2:$C$223100,3,FALSE)),"INACTIVE",VLOOKUP(D2018,Data!$A$2:$C$223100,3,FALSE))</f>
        <v>FC</v>
      </c>
    </row>
    <row r="2019" spans="1:15" x14ac:dyDescent="0.25">
      <c r="A2019" t="s">
        <v>4359</v>
      </c>
      <c r="B2019" t="s">
        <v>4360</v>
      </c>
      <c r="C2019" t="s">
        <v>4457</v>
      </c>
      <c r="D2019" t="s">
        <v>4458</v>
      </c>
      <c r="E2019" t="s">
        <v>4460</v>
      </c>
      <c r="F2019" t="s">
        <v>5</v>
      </c>
      <c r="G2019" t="s">
        <v>5</v>
      </c>
      <c r="H2019" t="s">
        <v>5</v>
      </c>
      <c r="I2019" t="s">
        <v>4254</v>
      </c>
      <c r="J2019" t="s">
        <v>96</v>
      </c>
      <c r="K2019" s="3">
        <f t="shared" si="62"/>
        <v>0</v>
      </c>
      <c r="L2019" s="3">
        <f>IF(ISERROR(VLOOKUP(J2019,Lookups!$A$2:$A$16,1,FALSE)),1,0)</f>
        <v>0</v>
      </c>
      <c r="M2019" s="3">
        <f>IF(ISERROR(VLOOKUP(D2019,Data!$A$2:$D$223100,2,FALSE)),0,1)</f>
        <v>1</v>
      </c>
      <c r="N2019" s="3">
        <f t="shared" si="63"/>
        <v>0</v>
      </c>
      <c r="O2019" s="3" t="str">
        <f>IF(ISERROR(VLOOKUP(D2019,Data!$A$2:$C$223100,3,FALSE)),"INACTIVE",VLOOKUP(D2019,Data!$A$2:$C$223100,3,FALSE))</f>
        <v>FC</v>
      </c>
    </row>
    <row r="2020" spans="1:15" x14ac:dyDescent="0.25">
      <c r="A2020" t="s">
        <v>4359</v>
      </c>
      <c r="B2020" t="s">
        <v>4360</v>
      </c>
      <c r="C2020" t="s">
        <v>4457</v>
      </c>
      <c r="D2020" t="s">
        <v>4458</v>
      </c>
      <c r="E2020" t="s">
        <v>4373</v>
      </c>
      <c r="F2020" t="s">
        <v>5</v>
      </c>
      <c r="G2020" t="s">
        <v>5</v>
      </c>
      <c r="H2020" t="s">
        <v>5</v>
      </c>
      <c r="I2020" t="s">
        <v>4254</v>
      </c>
      <c r="J2020" t="s">
        <v>96</v>
      </c>
      <c r="K2020" s="3">
        <f t="shared" si="62"/>
        <v>0</v>
      </c>
      <c r="L2020" s="3">
        <f>IF(ISERROR(VLOOKUP(J2020,Lookups!$A$2:$A$16,1,FALSE)),1,0)</f>
        <v>0</v>
      </c>
      <c r="M2020" s="3">
        <f>IF(ISERROR(VLOOKUP(D2020,Data!$A$2:$D$223100,2,FALSE)),0,1)</f>
        <v>1</v>
      </c>
      <c r="N2020" s="3">
        <f t="shared" si="63"/>
        <v>0</v>
      </c>
      <c r="O2020" s="3" t="str">
        <f>IF(ISERROR(VLOOKUP(D2020,Data!$A$2:$C$223100,3,FALSE)),"INACTIVE",VLOOKUP(D2020,Data!$A$2:$C$223100,3,FALSE))</f>
        <v>FC</v>
      </c>
    </row>
    <row r="2021" spans="1:15" x14ac:dyDescent="0.25">
      <c r="A2021" t="s">
        <v>4359</v>
      </c>
      <c r="B2021" t="s">
        <v>4360</v>
      </c>
      <c r="C2021" t="s">
        <v>4461</v>
      </c>
      <c r="D2021" t="s">
        <v>4462</v>
      </c>
      <c r="E2021" t="s">
        <v>4463</v>
      </c>
      <c r="F2021" t="s">
        <v>5</v>
      </c>
      <c r="G2021" t="s">
        <v>5</v>
      </c>
      <c r="H2021" t="s">
        <v>5</v>
      </c>
      <c r="I2021" t="s">
        <v>4254</v>
      </c>
      <c r="J2021" t="s">
        <v>90</v>
      </c>
      <c r="K2021" s="3">
        <f t="shared" si="62"/>
        <v>0</v>
      </c>
      <c r="L2021" s="3">
        <f>IF(ISERROR(VLOOKUP(J2021,Lookups!$A$2:$A$16,1,FALSE)),1,0)</f>
        <v>0</v>
      </c>
      <c r="M2021" s="3">
        <f>IF(ISERROR(VLOOKUP(D2021,Data!$A$2:$D$223100,2,FALSE)),0,1)</f>
        <v>1</v>
      </c>
      <c r="N2021" s="3">
        <f t="shared" si="63"/>
        <v>0</v>
      </c>
      <c r="O2021" s="3" t="str">
        <f>IF(ISERROR(VLOOKUP(D2021,Data!$A$2:$C$223100,3,FALSE)),"INACTIVE",VLOOKUP(D2021,Data!$A$2:$C$223100,3,FALSE))</f>
        <v>Current</v>
      </c>
    </row>
    <row r="2022" spans="1:15" x14ac:dyDescent="0.25">
      <c r="A2022" t="s">
        <v>4359</v>
      </c>
      <c r="B2022" t="s">
        <v>4360</v>
      </c>
      <c r="C2022" t="s">
        <v>4461</v>
      </c>
      <c r="D2022" t="s">
        <v>4462</v>
      </c>
      <c r="E2022" t="s">
        <v>4440</v>
      </c>
      <c r="F2022" t="s">
        <v>5</v>
      </c>
      <c r="G2022" t="s">
        <v>5</v>
      </c>
      <c r="H2022" t="s">
        <v>5</v>
      </c>
      <c r="I2022" t="s">
        <v>4254</v>
      </c>
      <c r="J2022" t="s">
        <v>90</v>
      </c>
      <c r="K2022" s="3">
        <f t="shared" si="62"/>
        <v>0</v>
      </c>
      <c r="L2022" s="3">
        <f>IF(ISERROR(VLOOKUP(J2022,Lookups!$A$2:$A$16,1,FALSE)),1,0)</f>
        <v>0</v>
      </c>
      <c r="M2022" s="3">
        <f>IF(ISERROR(VLOOKUP(D2022,Data!$A$2:$D$223100,2,FALSE)),0,1)</f>
        <v>1</v>
      </c>
      <c r="N2022" s="3">
        <f t="shared" si="63"/>
        <v>0</v>
      </c>
      <c r="O2022" s="3" t="str">
        <f>IF(ISERROR(VLOOKUP(D2022,Data!$A$2:$C$223100,3,FALSE)),"INACTIVE",VLOOKUP(D2022,Data!$A$2:$C$223100,3,FALSE))</f>
        <v>Current</v>
      </c>
    </row>
    <row r="2023" spans="1:15" x14ac:dyDescent="0.25">
      <c r="A2023" t="s">
        <v>4359</v>
      </c>
      <c r="B2023" t="s">
        <v>4360</v>
      </c>
      <c r="C2023" t="s">
        <v>4464</v>
      </c>
      <c r="D2023" t="s">
        <v>4465</v>
      </c>
      <c r="E2023" t="s">
        <v>4466</v>
      </c>
      <c r="F2023" t="s">
        <v>5</v>
      </c>
      <c r="G2023" t="s">
        <v>5</v>
      </c>
      <c r="H2023" t="s">
        <v>5</v>
      </c>
      <c r="I2023" t="s">
        <v>4254</v>
      </c>
      <c r="J2023" t="s">
        <v>96</v>
      </c>
      <c r="K2023" s="3">
        <f t="shared" si="62"/>
        <v>0</v>
      </c>
      <c r="L2023" s="3">
        <f>IF(ISERROR(VLOOKUP(J2023,Lookups!$A$2:$A$16,1,FALSE)),1,0)</f>
        <v>0</v>
      </c>
      <c r="M2023" s="3">
        <f>IF(ISERROR(VLOOKUP(D2023,Data!$A$2:$D$223100,2,FALSE)),0,1)</f>
        <v>1</v>
      </c>
      <c r="N2023" s="3">
        <f t="shared" si="63"/>
        <v>0</v>
      </c>
      <c r="O2023" s="3" t="str">
        <f>IF(ISERROR(VLOOKUP(D2023,Data!$A$2:$C$223100,3,FALSE)),"INACTIVE",VLOOKUP(D2023,Data!$A$2:$C$223100,3,FALSE))</f>
        <v>30+</v>
      </c>
    </row>
    <row r="2024" spans="1:15" x14ac:dyDescent="0.25">
      <c r="A2024" t="s">
        <v>4359</v>
      </c>
      <c r="B2024" t="s">
        <v>4360</v>
      </c>
      <c r="C2024" t="s">
        <v>4464</v>
      </c>
      <c r="D2024" t="s">
        <v>4465</v>
      </c>
      <c r="E2024" t="s">
        <v>4467</v>
      </c>
      <c r="F2024" t="s">
        <v>5</v>
      </c>
      <c r="G2024" t="s">
        <v>5</v>
      </c>
      <c r="H2024" t="s">
        <v>5</v>
      </c>
      <c r="I2024" t="s">
        <v>4254</v>
      </c>
      <c r="J2024" t="s">
        <v>96</v>
      </c>
      <c r="K2024" s="3">
        <f t="shared" si="62"/>
        <v>0</v>
      </c>
      <c r="L2024" s="3">
        <f>IF(ISERROR(VLOOKUP(J2024,Lookups!$A$2:$A$16,1,FALSE)),1,0)</f>
        <v>0</v>
      </c>
      <c r="M2024" s="3">
        <f>IF(ISERROR(VLOOKUP(D2024,Data!$A$2:$D$223100,2,FALSE)),0,1)</f>
        <v>1</v>
      </c>
      <c r="N2024" s="3">
        <f t="shared" si="63"/>
        <v>0</v>
      </c>
      <c r="O2024" s="3" t="str">
        <f>IF(ISERROR(VLOOKUP(D2024,Data!$A$2:$C$223100,3,FALSE)),"INACTIVE",VLOOKUP(D2024,Data!$A$2:$C$223100,3,FALSE))</f>
        <v>30+</v>
      </c>
    </row>
    <row r="2025" spans="1:15" x14ac:dyDescent="0.25">
      <c r="A2025" t="s">
        <v>4359</v>
      </c>
      <c r="B2025" t="s">
        <v>4360</v>
      </c>
      <c r="C2025" t="s">
        <v>4464</v>
      </c>
      <c r="D2025" t="s">
        <v>4465</v>
      </c>
      <c r="E2025" t="s">
        <v>4437</v>
      </c>
      <c r="F2025" t="s">
        <v>5</v>
      </c>
      <c r="G2025" t="s">
        <v>5</v>
      </c>
      <c r="H2025" t="s">
        <v>5</v>
      </c>
      <c r="I2025" t="s">
        <v>4254</v>
      </c>
      <c r="J2025" t="s">
        <v>96</v>
      </c>
      <c r="K2025" s="3">
        <f t="shared" si="62"/>
        <v>0</v>
      </c>
      <c r="L2025" s="3">
        <f>IF(ISERROR(VLOOKUP(J2025,Lookups!$A$2:$A$16,1,FALSE)),1,0)</f>
        <v>0</v>
      </c>
      <c r="M2025" s="3">
        <f>IF(ISERROR(VLOOKUP(D2025,Data!$A$2:$D$223100,2,FALSE)),0,1)</f>
        <v>1</v>
      </c>
      <c r="N2025" s="3">
        <f t="shared" si="63"/>
        <v>0</v>
      </c>
      <c r="O2025" s="3" t="str">
        <f>IF(ISERROR(VLOOKUP(D2025,Data!$A$2:$C$223100,3,FALSE)),"INACTIVE",VLOOKUP(D2025,Data!$A$2:$C$223100,3,FALSE))</f>
        <v>30+</v>
      </c>
    </row>
    <row r="2026" spans="1:15" x14ac:dyDescent="0.25">
      <c r="A2026" t="s">
        <v>4792</v>
      </c>
      <c r="B2026" t="s">
        <v>4793</v>
      </c>
      <c r="C2026" t="s">
        <v>4794</v>
      </c>
      <c r="D2026" t="s">
        <v>4795</v>
      </c>
      <c r="E2026" t="s">
        <v>4796</v>
      </c>
      <c r="F2026" t="s">
        <v>5</v>
      </c>
      <c r="G2026" t="s">
        <v>5</v>
      </c>
      <c r="H2026" t="s">
        <v>5</v>
      </c>
      <c r="I2026" t="s">
        <v>4254</v>
      </c>
      <c r="J2026" t="s">
        <v>90</v>
      </c>
      <c r="K2026" s="3">
        <f t="shared" si="62"/>
        <v>0</v>
      </c>
      <c r="L2026" s="3">
        <f>IF(ISERROR(VLOOKUP(J2026,Lookups!$A$2:$A$16,1,FALSE)),1,0)</f>
        <v>0</v>
      </c>
      <c r="M2026" s="3">
        <f>IF(ISERROR(VLOOKUP(D2026,Data!$A$2:$D$223100,2,FALSE)),0,1)</f>
        <v>1</v>
      </c>
      <c r="N2026" s="3">
        <f t="shared" si="63"/>
        <v>0</v>
      </c>
      <c r="O2026" s="3" t="str">
        <f>IF(ISERROR(VLOOKUP(D2026,Data!$A$2:$C$223100,3,FALSE)),"INACTIVE",VLOOKUP(D2026,Data!$A$2:$C$223100,3,FALSE))</f>
        <v>30+</v>
      </c>
    </row>
    <row r="2027" spans="1:15" x14ac:dyDescent="0.25">
      <c r="A2027" t="s">
        <v>4558</v>
      </c>
      <c r="B2027" t="s">
        <v>4559</v>
      </c>
      <c r="C2027" t="s">
        <v>4560</v>
      </c>
      <c r="D2027" t="s">
        <v>4561</v>
      </c>
      <c r="E2027" t="s">
        <v>4562</v>
      </c>
      <c r="F2027" t="s">
        <v>5</v>
      </c>
      <c r="G2027" t="s">
        <v>5</v>
      </c>
      <c r="H2027" t="s">
        <v>5</v>
      </c>
      <c r="I2027" t="s">
        <v>4563</v>
      </c>
      <c r="J2027" t="s">
        <v>7</v>
      </c>
      <c r="K2027" s="3">
        <f t="shared" si="62"/>
        <v>0</v>
      </c>
      <c r="L2027" s="3">
        <f>IF(ISERROR(VLOOKUP(J2027,Lookups!$A$2:$A$16,1,FALSE)),1,0)</f>
        <v>1</v>
      </c>
      <c r="M2027" s="3">
        <f>IF(ISERROR(VLOOKUP(D2027,Data!$A$2:$D$223100,2,FALSE)),0,1)</f>
        <v>1</v>
      </c>
      <c r="N2027" s="3">
        <f t="shared" si="63"/>
        <v>1</v>
      </c>
      <c r="O2027" s="3" t="str">
        <f>IF(ISERROR(VLOOKUP(D2027,Data!$A$2:$C$223100,3,FALSE)),"INACTIVE",VLOOKUP(D2027,Data!$A$2:$C$223100,3,FALSE))</f>
        <v>Demand Letter</v>
      </c>
    </row>
    <row r="2028" spans="1:15" x14ac:dyDescent="0.25">
      <c r="A2028" t="s">
        <v>4564</v>
      </c>
      <c r="B2028" t="s">
        <v>4565</v>
      </c>
      <c r="C2028" t="s">
        <v>4566</v>
      </c>
      <c r="D2028" t="s">
        <v>4567</v>
      </c>
      <c r="E2028" t="s">
        <v>4568</v>
      </c>
      <c r="F2028" t="s">
        <v>4568</v>
      </c>
      <c r="G2028" t="s">
        <v>5</v>
      </c>
      <c r="H2028" t="s">
        <v>5</v>
      </c>
      <c r="I2028" t="s">
        <v>4563</v>
      </c>
      <c r="J2028" t="s">
        <v>7</v>
      </c>
      <c r="K2028" s="3">
        <f t="shared" si="62"/>
        <v>0</v>
      </c>
      <c r="L2028" s="3">
        <f>IF(ISERROR(VLOOKUP(J2028,Lookups!$A$2:$A$16,1,FALSE)),1,0)</f>
        <v>1</v>
      </c>
      <c r="M2028" s="3">
        <f>IF(ISERROR(VLOOKUP(D2028,Data!$A$2:$D$223100,2,FALSE)),0,1)</f>
        <v>1</v>
      </c>
      <c r="N2028" s="3">
        <f t="shared" si="63"/>
        <v>1</v>
      </c>
      <c r="O2028" s="3" t="str">
        <f>IF(ISERROR(VLOOKUP(D2028,Data!$A$2:$C$223100,3,FALSE)),"INACTIVE",VLOOKUP(D2028,Data!$A$2:$C$223100,3,FALSE))</f>
        <v>Current</v>
      </c>
    </row>
    <row r="2029" spans="1:15" x14ac:dyDescent="0.25">
      <c r="A2029" t="s">
        <v>4564</v>
      </c>
      <c r="B2029" t="s">
        <v>4565</v>
      </c>
      <c r="C2029" t="s">
        <v>4569</v>
      </c>
      <c r="D2029" t="s">
        <v>4570</v>
      </c>
      <c r="E2029" t="s">
        <v>5</v>
      </c>
      <c r="F2029" t="s">
        <v>4571</v>
      </c>
      <c r="G2029" t="s">
        <v>5</v>
      </c>
      <c r="H2029" t="s">
        <v>5</v>
      </c>
      <c r="I2029" t="s">
        <v>4563</v>
      </c>
      <c r="J2029" t="s">
        <v>7</v>
      </c>
      <c r="K2029" s="3">
        <f t="shared" si="62"/>
        <v>0</v>
      </c>
      <c r="L2029" s="3">
        <f>IF(ISERROR(VLOOKUP(J2029,Lookups!$A$2:$A$16,1,FALSE)),1,0)</f>
        <v>1</v>
      </c>
      <c r="M2029" s="3">
        <f>IF(ISERROR(VLOOKUP(D2029,Data!$A$2:$D$223100,2,FALSE)),0,1)</f>
        <v>1</v>
      </c>
      <c r="N2029" s="3">
        <f t="shared" si="63"/>
        <v>1</v>
      </c>
      <c r="O2029" s="3" t="str">
        <f>IF(ISERROR(VLOOKUP(D2029,Data!$A$2:$C$223100,3,FALSE)),"INACTIVE",VLOOKUP(D2029,Data!$A$2:$C$223100,3,FALSE))</f>
        <v>60+</v>
      </c>
    </row>
    <row r="2030" spans="1:15" x14ac:dyDescent="0.25">
      <c r="A2030" t="s">
        <v>4616</v>
      </c>
      <c r="B2030" t="s">
        <v>4617</v>
      </c>
      <c r="C2030" t="s">
        <v>4618</v>
      </c>
      <c r="D2030" t="s">
        <v>4619</v>
      </c>
      <c r="E2030" t="s">
        <v>4620</v>
      </c>
      <c r="F2030" t="s">
        <v>5</v>
      </c>
      <c r="G2030" t="s">
        <v>5</v>
      </c>
      <c r="H2030" t="s">
        <v>5</v>
      </c>
      <c r="I2030" t="s">
        <v>4563</v>
      </c>
      <c r="J2030" t="s">
        <v>7</v>
      </c>
      <c r="K2030" s="3">
        <f t="shared" si="62"/>
        <v>0</v>
      </c>
      <c r="L2030" s="3">
        <f>IF(ISERROR(VLOOKUP(J2030,Lookups!$A$2:$A$16,1,FALSE)),1,0)</f>
        <v>1</v>
      </c>
      <c r="M2030" s="3">
        <f>IF(ISERROR(VLOOKUP(D2030,Data!$A$2:$D$223100,2,FALSE)),0,1)</f>
        <v>1</v>
      </c>
      <c r="N2030" s="3">
        <f t="shared" si="63"/>
        <v>1</v>
      </c>
      <c r="O2030" s="3" t="str">
        <f>IF(ISERROR(VLOOKUP(D2030,Data!$A$2:$C$223100,3,FALSE)),"INACTIVE",VLOOKUP(D2030,Data!$A$2:$C$223100,3,FALSE))</f>
        <v>Current</v>
      </c>
    </row>
    <row r="2031" spans="1:15" x14ac:dyDescent="0.25">
      <c r="A2031" t="s">
        <v>4616</v>
      </c>
      <c r="B2031" t="s">
        <v>4617</v>
      </c>
      <c r="C2031" t="s">
        <v>4621</v>
      </c>
      <c r="D2031" t="s">
        <v>4622</v>
      </c>
      <c r="E2031" t="s">
        <v>4623</v>
      </c>
      <c r="F2031" t="s">
        <v>5</v>
      </c>
      <c r="G2031" t="s">
        <v>5</v>
      </c>
      <c r="H2031" t="s">
        <v>5</v>
      </c>
      <c r="I2031" t="s">
        <v>4563</v>
      </c>
      <c r="J2031" t="s">
        <v>7</v>
      </c>
      <c r="K2031" s="3">
        <f t="shared" si="62"/>
        <v>0</v>
      </c>
      <c r="L2031" s="3">
        <f>IF(ISERROR(VLOOKUP(J2031,Lookups!$A$2:$A$16,1,FALSE)),1,0)</f>
        <v>1</v>
      </c>
      <c r="M2031" s="3">
        <f>IF(ISERROR(VLOOKUP(D2031,Data!$A$2:$D$223100,2,FALSE)),0,1)</f>
        <v>1</v>
      </c>
      <c r="N2031" s="3">
        <f t="shared" si="63"/>
        <v>1</v>
      </c>
      <c r="O2031" s="3" t="str">
        <f>IF(ISERROR(VLOOKUP(D2031,Data!$A$2:$C$223100,3,FALSE)),"INACTIVE",VLOOKUP(D2031,Data!$A$2:$C$223100,3,FALSE))</f>
        <v>60+</v>
      </c>
    </row>
    <row r="2032" spans="1:15" x14ac:dyDescent="0.25">
      <c r="A2032" t="s">
        <v>4624</v>
      </c>
      <c r="B2032" t="s">
        <v>4625</v>
      </c>
      <c r="C2032" t="s">
        <v>4626</v>
      </c>
      <c r="D2032" t="s">
        <v>4627</v>
      </c>
      <c r="E2032" t="s">
        <v>4628</v>
      </c>
      <c r="F2032" t="s">
        <v>5</v>
      </c>
      <c r="G2032" t="s">
        <v>5</v>
      </c>
      <c r="H2032" t="s">
        <v>5</v>
      </c>
      <c r="I2032" t="s">
        <v>4563</v>
      </c>
      <c r="J2032" t="s">
        <v>7</v>
      </c>
      <c r="K2032" s="3">
        <f t="shared" si="62"/>
        <v>0</v>
      </c>
      <c r="L2032" s="3">
        <f>IF(ISERROR(VLOOKUP(J2032,Lookups!$A$2:$A$16,1,FALSE)),1,0)</f>
        <v>1</v>
      </c>
      <c r="M2032" s="3">
        <f>IF(ISERROR(VLOOKUP(D2032,Data!$A$2:$D$223100,2,FALSE)),0,1)</f>
        <v>1</v>
      </c>
      <c r="N2032" s="3">
        <f t="shared" si="63"/>
        <v>1</v>
      </c>
      <c r="O2032" s="3" t="str">
        <f>IF(ISERROR(VLOOKUP(D2032,Data!$A$2:$C$223100,3,FALSE)),"INACTIVE",VLOOKUP(D2032,Data!$A$2:$C$223100,3,FALSE))</f>
        <v>Current</v>
      </c>
    </row>
    <row r="2033" spans="1:15" x14ac:dyDescent="0.25">
      <c r="A2033" t="s">
        <v>4624</v>
      </c>
      <c r="B2033" t="s">
        <v>4625</v>
      </c>
      <c r="C2033" t="s">
        <v>4629</v>
      </c>
      <c r="D2033" t="s">
        <v>4630</v>
      </c>
      <c r="E2033" t="s">
        <v>4631</v>
      </c>
      <c r="F2033" t="s">
        <v>5</v>
      </c>
      <c r="G2033" t="s">
        <v>5</v>
      </c>
      <c r="H2033" t="s">
        <v>5</v>
      </c>
      <c r="I2033" t="s">
        <v>4563</v>
      </c>
      <c r="J2033" t="s">
        <v>7</v>
      </c>
      <c r="K2033" s="3">
        <f t="shared" si="62"/>
        <v>0</v>
      </c>
      <c r="L2033" s="3">
        <f>IF(ISERROR(VLOOKUP(J2033,Lookups!$A$2:$A$16,1,FALSE)),1,0)</f>
        <v>1</v>
      </c>
      <c r="M2033" s="3">
        <f>IF(ISERROR(VLOOKUP(D2033,Data!$A$2:$D$223100,2,FALSE)),0,1)</f>
        <v>1</v>
      </c>
      <c r="N2033" s="3">
        <f t="shared" si="63"/>
        <v>1</v>
      </c>
      <c r="O2033" s="3" t="str">
        <f>IF(ISERROR(VLOOKUP(D2033,Data!$A$2:$C$223100,3,FALSE)),"INACTIVE",VLOOKUP(D2033,Data!$A$2:$C$223100,3,FALSE))</f>
        <v>Current</v>
      </c>
    </row>
    <row r="2034" spans="1:15" x14ac:dyDescent="0.25">
      <c r="A2034" t="s">
        <v>4624</v>
      </c>
      <c r="B2034" t="s">
        <v>4625</v>
      </c>
      <c r="C2034" t="s">
        <v>4632</v>
      </c>
      <c r="D2034" t="s">
        <v>4633</v>
      </c>
      <c r="E2034" t="s">
        <v>4634</v>
      </c>
      <c r="F2034" t="s">
        <v>5</v>
      </c>
      <c r="G2034" t="s">
        <v>5</v>
      </c>
      <c r="H2034" t="s">
        <v>5</v>
      </c>
      <c r="I2034" t="s">
        <v>4563</v>
      </c>
      <c r="J2034" t="s">
        <v>7</v>
      </c>
      <c r="K2034" s="3">
        <f t="shared" si="62"/>
        <v>0</v>
      </c>
      <c r="L2034" s="3">
        <f>IF(ISERROR(VLOOKUP(J2034,Lookups!$A$2:$A$16,1,FALSE)),1,0)</f>
        <v>1</v>
      </c>
      <c r="M2034" s="3">
        <f>IF(ISERROR(VLOOKUP(D2034,Data!$A$2:$D$223100,2,FALSE)),0,1)</f>
        <v>1</v>
      </c>
      <c r="N2034" s="3">
        <f t="shared" si="63"/>
        <v>1</v>
      </c>
      <c r="O2034" s="3" t="str">
        <f>IF(ISERROR(VLOOKUP(D2034,Data!$A$2:$C$223100,3,FALSE)),"INACTIVE",VLOOKUP(D2034,Data!$A$2:$C$223100,3,FALSE))</f>
        <v>30+</v>
      </c>
    </row>
    <row r="2035" spans="1:15" x14ac:dyDescent="0.25">
      <c r="A2035" t="s">
        <v>4589</v>
      </c>
      <c r="B2035" t="s">
        <v>4590</v>
      </c>
      <c r="C2035" t="s">
        <v>4591</v>
      </c>
      <c r="D2035" t="s">
        <v>4592</v>
      </c>
      <c r="E2035" t="s">
        <v>4593</v>
      </c>
      <c r="F2035" t="s">
        <v>5</v>
      </c>
      <c r="G2035" t="s">
        <v>5</v>
      </c>
      <c r="H2035" t="s">
        <v>5</v>
      </c>
      <c r="I2035" t="s">
        <v>4594</v>
      </c>
      <c r="J2035" t="s">
        <v>7</v>
      </c>
      <c r="K2035" s="3">
        <f t="shared" si="62"/>
        <v>0</v>
      </c>
      <c r="L2035" s="3">
        <f>IF(ISERROR(VLOOKUP(J2035,Lookups!$A$2:$A$16,1,FALSE)),1,0)</f>
        <v>1</v>
      </c>
      <c r="M2035" s="3">
        <f>IF(ISERROR(VLOOKUP(D2035,Data!$A$2:$D$223100,2,FALSE)),0,1)</f>
        <v>1</v>
      </c>
      <c r="N2035" s="3">
        <f t="shared" si="63"/>
        <v>1</v>
      </c>
      <c r="O2035" s="3" t="str">
        <f>IF(ISERROR(VLOOKUP(D2035,Data!$A$2:$C$223100,3,FALSE)),"INACTIVE",VLOOKUP(D2035,Data!$A$2:$C$223100,3,FALSE))</f>
        <v>Current</v>
      </c>
    </row>
    <row r="2036" spans="1:15" x14ac:dyDescent="0.25">
      <c r="A2036" t="s">
        <v>4589</v>
      </c>
      <c r="B2036" t="s">
        <v>4590</v>
      </c>
      <c r="C2036" t="s">
        <v>4595</v>
      </c>
      <c r="D2036" t="s">
        <v>4596</v>
      </c>
      <c r="E2036" t="s">
        <v>4597</v>
      </c>
      <c r="F2036" t="s">
        <v>5</v>
      </c>
      <c r="G2036" t="s">
        <v>5</v>
      </c>
      <c r="H2036" t="s">
        <v>5</v>
      </c>
      <c r="I2036" t="s">
        <v>4594</v>
      </c>
      <c r="J2036" t="s">
        <v>7</v>
      </c>
      <c r="K2036" s="3">
        <f t="shared" si="62"/>
        <v>0</v>
      </c>
      <c r="L2036" s="3">
        <f>IF(ISERROR(VLOOKUP(J2036,Lookups!$A$2:$A$16,1,FALSE)),1,0)</f>
        <v>1</v>
      </c>
      <c r="M2036" s="3">
        <f>IF(ISERROR(VLOOKUP(D2036,Data!$A$2:$D$223100,2,FALSE)),0,1)</f>
        <v>1</v>
      </c>
      <c r="N2036" s="3">
        <f t="shared" si="63"/>
        <v>1</v>
      </c>
      <c r="O2036" s="3" t="str">
        <f>IF(ISERROR(VLOOKUP(D2036,Data!$A$2:$C$223100,3,FALSE)),"INACTIVE",VLOOKUP(D2036,Data!$A$2:$C$223100,3,FALSE))</f>
        <v>Current</v>
      </c>
    </row>
    <row r="2037" spans="1:15" x14ac:dyDescent="0.25">
      <c r="A2037" t="s">
        <v>4661</v>
      </c>
      <c r="B2037" t="s">
        <v>4662</v>
      </c>
      <c r="C2037" t="s">
        <v>4663</v>
      </c>
      <c r="D2037" t="s">
        <v>4664</v>
      </c>
      <c r="E2037" t="s">
        <v>4665</v>
      </c>
      <c r="F2037" t="s">
        <v>5</v>
      </c>
      <c r="G2037" t="s">
        <v>5</v>
      </c>
      <c r="H2037" t="s">
        <v>5</v>
      </c>
      <c r="I2037" t="s">
        <v>4594</v>
      </c>
      <c r="J2037" t="s">
        <v>7</v>
      </c>
      <c r="K2037" s="3">
        <f t="shared" si="62"/>
        <v>0</v>
      </c>
      <c r="L2037" s="3">
        <f>IF(ISERROR(VLOOKUP(J2037,Lookups!$A$2:$A$16,1,FALSE)),1,0)</f>
        <v>1</v>
      </c>
      <c r="M2037" s="3">
        <f>IF(ISERROR(VLOOKUP(D2037,Data!$A$2:$D$223100,2,FALSE)),0,1)</f>
        <v>1</v>
      </c>
      <c r="N2037" s="3">
        <f t="shared" si="63"/>
        <v>1</v>
      </c>
      <c r="O2037" s="3" t="str">
        <f>IF(ISERROR(VLOOKUP(D2037,Data!$A$2:$C$223100,3,FALSE)),"INACTIVE",VLOOKUP(D2037,Data!$A$2:$C$223100,3,FALSE))</f>
        <v>Current</v>
      </c>
    </row>
    <row r="2038" spans="1:15" x14ac:dyDescent="0.25">
      <c r="A2038" t="s">
        <v>4720</v>
      </c>
      <c r="B2038" t="s">
        <v>4721</v>
      </c>
      <c r="C2038" t="s">
        <v>4722</v>
      </c>
      <c r="D2038" t="s">
        <v>4723</v>
      </c>
      <c r="E2038" t="s">
        <v>4724</v>
      </c>
      <c r="F2038" t="s">
        <v>5</v>
      </c>
      <c r="G2038" t="s">
        <v>5</v>
      </c>
      <c r="H2038" t="s">
        <v>5</v>
      </c>
      <c r="I2038" t="s">
        <v>4594</v>
      </c>
      <c r="J2038" t="s">
        <v>7</v>
      </c>
      <c r="K2038" s="3">
        <f t="shared" si="62"/>
        <v>0</v>
      </c>
      <c r="L2038" s="3">
        <f>IF(ISERROR(VLOOKUP(J2038,Lookups!$A$2:$A$16,1,FALSE)),1,0)</f>
        <v>1</v>
      </c>
      <c r="M2038" s="3">
        <f>IF(ISERROR(VLOOKUP(D2038,Data!$A$2:$D$223100,2,FALSE)),0,1)</f>
        <v>1</v>
      </c>
      <c r="N2038" s="3">
        <f t="shared" si="63"/>
        <v>1</v>
      </c>
      <c r="O2038" s="3" t="str">
        <f>IF(ISERROR(VLOOKUP(D2038,Data!$A$2:$C$223100,3,FALSE)),"INACTIVE",VLOOKUP(D2038,Data!$A$2:$C$223100,3,FALSE))</f>
        <v>180+</v>
      </c>
    </row>
    <row r="2039" spans="1:15" x14ac:dyDescent="0.25">
      <c r="A2039" t="s">
        <v>4729</v>
      </c>
      <c r="B2039" t="s">
        <v>4730</v>
      </c>
      <c r="C2039" t="s">
        <v>4731</v>
      </c>
      <c r="D2039" t="s">
        <v>4732</v>
      </c>
      <c r="E2039" t="s">
        <v>4733</v>
      </c>
      <c r="F2039" t="s">
        <v>5</v>
      </c>
      <c r="G2039" t="s">
        <v>5</v>
      </c>
      <c r="H2039" t="s">
        <v>5</v>
      </c>
      <c r="I2039" t="s">
        <v>4594</v>
      </c>
      <c r="J2039" t="s">
        <v>90</v>
      </c>
      <c r="K2039" s="3">
        <f t="shared" si="62"/>
        <v>0</v>
      </c>
      <c r="L2039" s="3">
        <f>IF(ISERROR(VLOOKUP(J2039,Lookups!$A$2:$A$16,1,FALSE)),1,0)</f>
        <v>0</v>
      </c>
      <c r="M2039" s="3">
        <f>IF(ISERROR(VLOOKUP(D2039,Data!$A$2:$D$223100,2,FALSE)),0,1)</f>
        <v>1</v>
      </c>
      <c r="N2039" s="3">
        <f t="shared" si="63"/>
        <v>0</v>
      </c>
      <c r="O2039" s="3" t="str">
        <f>IF(ISERROR(VLOOKUP(D2039,Data!$A$2:$C$223100,3,FALSE)),"INACTIVE",VLOOKUP(D2039,Data!$A$2:$C$223100,3,FALSE))</f>
        <v>BK13</v>
      </c>
    </row>
    <row r="2040" spans="1:15" x14ac:dyDescent="0.25">
      <c r="A2040" t="s">
        <v>4348</v>
      </c>
      <c r="B2040" t="s">
        <v>4349</v>
      </c>
      <c r="C2040" t="s">
        <v>4350</v>
      </c>
      <c r="D2040" t="s">
        <v>4351</v>
      </c>
      <c r="E2040" t="s">
        <v>4352</v>
      </c>
      <c r="F2040" t="s">
        <v>5</v>
      </c>
      <c r="G2040" t="s">
        <v>5</v>
      </c>
      <c r="H2040" t="s">
        <v>5</v>
      </c>
      <c r="I2040" t="s">
        <v>4353</v>
      </c>
      <c r="J2040" t="s">
        <v>90</v>
      </c>
      <c r="K2040" s="3">
        <f t="shared" si="62"/>
        <v>0</v>
      </c>
      <c r="L2040" s="3">
        <f>IF(ISERROR(VLOOKUP(J2040,Lookups!$A$2:$A$16,1,FALSE)),1,0)</f>
        <v>0</v>
      </c>
      <c r="M2040" s="3">
        <f>IF(ISERROR(VLOOKUP(D2040,Data!$A$2:$D$223100,2,FALSE)),0,1)</f>
        <v>0</v>
      </c>
      <c r="N2040" s="3">
        <f t="shared" si="63"/>
        <v>0</v>
      </c>
      <c r="O2040" s="3" t="str">
        <f>IF(ISERROR(VLOOKUP(D2040,Data!$A$2:$C$223100,3,FALSE)),"INACTIVE",VLOOKUP(D2040,Data!$A$2:$C$223100,3,FALSE))</f>
        <v>INACTIVE</v>
      </c>
    </row>
    <row r="2041" spans="1:15" x14ac:dyDescent="0.25">
      <c r="A2041" t="s">
        <v>4497</v>
      </c>
      <c r="B2041" t="s">
        <v>4498</v>
      </c>
      <c r="C2041" t="s">
        <v>4499</v>
      </c>
      <c r="D2041" t="s">
        <v>4500</v>
      </c>
      <c r="E2041" t="s">
        <v>4501</v>
      </c>
      <c r="F2041" t="s">
        <v>5</v>
      </c>
      <c r="G2041" t="s">
        <v>5</v>
      </c>
      <c r="H2041" t="s">
        <v>5</v>
      </c>
      <c r="I2041" t="s">
        <v>4353</v>
      </c>
      <c r="J2041" t="s">
        <v>90</v>
      </c>
      <c r="K2041" s="3">
        <f t="shared" si="62"/>
        <v>0</v>
      </c>
      <c r="L2041" s="3">
        <f>IF(ISERROR(VLOOKUP(J2041,Lookups!$A$2:$A$16,1,FALSE)),1,0)</f>
        <v>0</v>
      </c>
      <c r="M2041" s="3">
        <f>IF(ISERROR(VLOOKUP(D2041,Data!$A$2:$D$223100,2,FALSE)),0,1)</f>
        <v>1</v>
      </c>
      <c r="N2041" s="3">
        <f t="shared" si="63"/>
        <v>0</v>
      </c>
      <c r="O2041" s="3" t="str">
        <f>IF(ISERROR(VLOOKUP(D2041,Data!$A$2:$C$223100,3,FALSE)),"INACTIVE",VLOOKUP(D2041,Data!$A$2:$C$223100,3,FALSE))</f>
        <v>Current</v>
      </c>
    </row>
    <row r="2042" spans="1:15" x14ac:dyDescent="0.25">
      <c r="A2042" t="s">
        <v>4497</v>
      </c>
      <c r="B2042" t="s">
        <v>4498</v>
      </c>
      <c r="C2042" t="s">
        <v>4502</v>
      </c>
      <c r="D2042" t="s">
        <v>4503</v>
      </c>
      <c r="E2042" t="s">
        <v>4504</v>
      </c>
      <c r="F2042" t="s">
        <v>5</v>
      </c>
      <c r="G2042" t="s">
        <v>5</v>
      </c>
      <c r="H2042" t="s">
        <v>5</v>
      </c>
      <c r="I2042" t="s">
        <v>4353</v>
      </c>
      <c r="J2042" t="s">
        <v>90</v>
      </c>
      <c r="K2042" s="3">
        <f t="shared" si="62"/>
        <v>0</v>
      </c>
      <c r="L2042" s="3">
        <f>IF(ISERROR(VLOOKUP(J2042,Lookups!$A$2:$A$16,1,FALSE)),1,0)</f>
        <v>0</v>
      </c>
      <c r="M2042" s="3">
        <f>IF(ISERROR(VLOOKUP(D2042,Data!$A$2:$D$223100,2,FALSE)),0,1)</f>
        <v>1</v>
      </c>
      <c r="N2042" s="3">
        <f t="shared" si="63"/>
        <v>0</v>
      </c>
      <c r="O2042" s="3" t="str">
        <f>IF(ISERROR(VLOOKUP(D2042,Data!$A$2:$C$223100,3,FALSE)),"INACTIVE",VLOOKUP(D2042,Data!$A$2:$C$223100,3,FALSE))</f>
        <v>FC</v>
      </c>
    </row>
    <row r="2043" spans="1:15" x14ac:dyDescent="0.25">
      <c r="A2043" t="s">
        <v>4497</v>
      </c>
      <c r="B2043" t="s">
        <v>4498</v>
      </c>
      <c r="C2043" t="s">
        <v>4505</v>
      </c>
      <c r="D2043" t="s">
        <v>4506</v>
      </c>
      <c r="E2043" t="s">
        <v>4507</v>
      </c>
      <c r="F2043" t="s">
        <v>5</v>
      </c>
      <c r="G2043" t="s">
        <v>5</v>
      </c>
      <c r="H2043" t="s">
        <v>5</v>
      </c>
      <c r="I2043" t="s">
        <v>4353</v>
      </c>
      <c r="J2043" t="s">
        <v>90</v>
      </c>
      <c r="K2043" s="3">
        <f t="shared" si="62"/>
        <v>0</v>
      </c>
      <c r="L2043" s="3">
        <f>IF(ISERROR(VLOOKUP(J2043,Lookups!$A$2:$A$16,1,FALSE)),1,0)</f>
        <v>0</v>
      </c>
      <c r="M2043" s="3">
        <f>IF(ISERROR(VLOOKUP(D2043,Data!$A$2:$D$223100,2,FALSE)),0,1)</f>
        <v>1</v>
      </c>
      <c r="N2043" s="3">
        <f t="shared" si="63"/>
        <v>0</v>
      </c>
      <c r="O2043" s="3" t="str">
        <f>IF(ISERROR(VLOOKUP(D2043,Data!$A$2:$C$223100,3,FALSE)),"INACTIVE",VLOOKUP(D2043,Data!$A$2:$C$223100,3,FALSE))</f>
        <v>180+</v>
      </c>
    </row>
    <row r="2044" spans="1:15" x14ac:dyDescent="0.25">
      <c r="A2044" t="s">
        <v>4497</v>
      </c>
      <c r="B2044" t="s">
        <v>4498</v>
      </c>
      <c r="C2044" t="s">
        <v>4508</v>
      </c>
      <c r="D2044" t="s">
        <v>4509</v>
      </c>
      <c r="E2044" t="s">
        <v>4510</v>
      </c>
      <c r="F2044" t="s">
        <v>5</v>
      </c>
      <c r="G2044" t="s">
        <v>5</v>
      </c>
      <c r="H2044" t="s">
        <v>5</v>
      </c>
      <c r="I2044" t="s">
        <v>4353</v>
      </c>
      <c r="J2044" t="s">
        <v>90</v>
      </c>
      <c r="K2044" s="3">
        <f t="shared" si="62"/>
        <v>0</v>
      </c>
      <c r="L2044" s="3">
        <f>IF(ISERROR(VLOOKUP(J2044,Lookups!$A$2:$A$16,1,FALSE)),1,0)</f>
        <v>0</v>
      </c>
      <c r="M2044" s="3">
        <f>IF(ISERROR(VLOOKUP(D2044,Data!$A$2:$D$223100,2,FALSE)),0,1)</f>
        <v>1</v>
      </c>
      <c r="N2044" s="3">
        <f t="shared" si="63"/>
        <v>0</v>
      </c>
      <c r="O2044" s="3" t="str">
        <f>IF(ISERROR(VLOOKUP(D2044,Data!$A$2:$C$223100,3,FALSE)),"INACTIVE",VLOOKUP(D2044,Data!$A$2:$C$223100,3,FALSE))</f>
        <v>Current</v>
      </c>
    </row>
    <row r="2045" spans="1:15" x14ac:dyDescent="0.25">
      <c r="A2045" t="s">
        <v>4497</v>
      </c>
      <c r="B2045" t="s">
        <v>4498</v>
      </c>
      <c r="C2045" t="s">
        <v>4511</v>
      </c>
      <c r="D2045" t="s">
        <v>4512</v>
      </c>
      <c r="E2045" t="s">
        <v>4513</v>
      </c>
      <c r="F2045" t="s">
        <v>5</v>
      </c>
      <c r="G2045" t="s">
        <v>5</v>
      </c>
      <c r="H2045" t="s">
        <v>5</v>
      </c>
      <c r="I2045" t="s">
        <v>4353</v>
      </c>
      <c r="J2045" t="s">
        <v>90</v>
      </c>
      <c r="K2045" s="3">
        <f t="shared" si="62"/>
        <v>0</v>
      </c>
      <c r="L2045" s="3">
        <f>IF(ISERROR(VLOOKUP(J2045,Lookups!$A$2:$A$16,1,FALSE)),1,0)</f>
        <v>0</v>
      </c>
      <c r="M2045" s="3">
        <f>IF(ISERROR(VLOOKUP(D2045,Data!$A$2:$D$223100,2,FALSE)),0,1)</f>
        <v>1</v>
      </c>
      <c r="N2045" s="3">
        <f t="shared" si="63"/>
        <v>0</v>
      </c>
      <c r="O2045" s="3" t="str">
        <f>IF(ISERROR(VLOOKUP(D2045,Data!$A$2:$C$223100,3,FALSE)),"INACTIVE",VLOOKUP(D2045,Data!$A$2:$C$223100,3,FALSE))</f>
        <v>FC</v>
      </c>
    </row>
    <row r="2046" spans="1:15" x14ac:dyDescent="0.25">
      <c r="A2046" t="s">
        <v>4520</v>
      </c>
      <c r="B2046" t="s">
        <v>4521</v>
      </c>
      <c r="C2046" t="s">
        <v>4522</v>
      </c>
      <c r="D2046" t="s">
        <v>4523</v>
      </c>
      <c r="E2046" t="s">
        <v>4524</v>
      </c>
      <c r="F2046" t="s">
        <v>5</v>
      </c>
      <c r="G2046" t="s">
        <v>5</v>
      </c>
      <c r="H2046" t="s">
        <v>5</v>
      </c>
      <c r="I2046" t="s">
        <v>4353</v>
      </c>
      <c r="J2046" t="s">
        <v>90</v>
      </c>
      <c r="K2046" s="3">
        <f t="shared" si="62"/>
        <v>0</v>
      </c>
      <c r="L2046" s="3">
        <f>IF(ISERROR(VLOOKUP(J2046,Lookups!$A$2:$A$16,1,FALSE)),1,0)</f>
        <v>0</v>
      </c>
      <c r="M2046" s="3">
        <f>IF(ISERROR(VLOOKUP(D2046,Data!$A$2:$D$223100,2,FALSE)),0,1)</f>
        <v>1</v>
      </c>
      <c r="N2046" s="3">
        <f t="shared" si="63"/>
        <v>0</v>
      </c>
      <c r="O2046" s="3" t="str">
        <f>IF(ISERROR(VLOOKUP(D2046,Data!$A$2:$C$223100,3,FALSE)),"INACTIVE",VLOOKUP(D2046,Data!$A$2:$C$223100,3,FALSE))</f>
        <v>Current</v>
      </c>
    </row>
    <row r="2047" spans="1:15" x14ac:dyDescent="0.25">
      <c r="A2047" t="s">
        <v>4702</v>
      </c>
      <c r="B2047" t="s">
        <v>4703</v>
      </c>
      <c r="C2047" t="s">
        <v>4704</v>
      </c>
      <c r="D2047" t="s">
        <v>4705</v>
      </c>
      <c r="E2047" t="s">
        <v>4706</v>
      </c>
      <c r="F2047" t="s">
        <v>5</v>
      </c>
      <c r="G2047" t="s">
        <v>5</v>
      </c>
      <c r="H2047" t="s">
        <v>5</v>
      </c>
      <c r="I2047" t="s">
        <v>4353</v>
      </c>
      <c r="J2047" t="s">
        <v>90</v>
      </c>
      <c r="K2047" s="3">
        <f t="shared" si="62"/>
        <v>0</v>
      </c>
      <c r="L2047" s="3">
        <f>IF(ISERROR(VLOOKUP(J2047,Lookups!$A$2:$A$16,1,FALSE)),1,0)</f>
        <v>0</v>
      </c>
      <c r="M2047" s="3">
        <f>IF(ISERROR(VLOOKUP(D2047,Data!$A$2:$D$223100,2,FALSE)),0,1)</f>
        <v>1</v>
      </c>
      <c r="N2047" s="3">
        <f t="shared" si="63"/>
        <v>0</v>
      </c>
      <c r="O2047" s="3" t="str">
        <f>IF(ISERROR(VLOOKUP(D2047,Data!$A$2:$C$223100,3,FALSE)),"INACTIVE",VLOOKUP(D2047,Data!$A$2:$C$223100,3,FALSE))</f>
        <v>180+</v>
      </c>
    </row>
    <row r="2048" spans="1:15" x14ac:dyDescent="0.25">
      <c r="A2048" t="s">
        <v>4702</v>
      </c>
      <c r="B2048" t="s">
        <v>4703</v>
      </c>
      <c r="C2048" t="s">
        <v>4704</v>
      </c>
      <c r="D2048" t="s">
        <v>4705</v>
      </c>
      <c r="E2048" t="s">
        <v>4707</v>
      </c>
      <c r="F2048" t="s">
        <v>5</v>
      </c>
      <c r="G2048" t="s">
        <v>5</v>
      </c>
      <c r="H2048" t="s">
        <v>5</v>
      </c>
      <c r="I2048" t="s">
        <v>4353</v>
      </c>
      <c r="J2048" t="s">
        <v>90</v>
      </c>
      <c r="K2048" s="3">
        <f t="shared" si="62"/>
        <v>0</v>
      </c>
      <c r="L2048" s="3">
        <f>IF(ISERROR(VLOOKUP(J2048,Lookups!$A$2:$A$16,1,FALSE)),1,0)</f>
        <v>0</v>
      </c>
      <c r="M2048" s="3">
        <f>IF(ISERROR(VLOOKUP(D2048,Data!$A$2:$D$223100,2,FALSE)),0,1)</f>
        <v>1</v>
      </c>
      <c r="N2048" s="3">
        <f t="shared" si="63"/>
        <v>0</v>
      </c>
      <c r="O2048" s="3" t="str">
        <f>IF(ISERROR(VLOOKUP(D2048,Data!$A$2:$C$223100,3,FALSE)),"INACTIVE",VLOOKUP(D2048,Data!$A$2:$C$223100,3,FALSE))</f>
        <v>180+</v>
      </c>
    </row>
    <row r="2049" spans="1:15" x14ac:dyDescent="0.25">
      <c r="A2049" t="s">
        <v>4708</v>
      </c>
      <c r="B2049" t="s">
        <v>4709</v>
      </c>
      <c r="C2049" t="s">
        <v>4710</v>
      </c>
      <c r="D2049" t="s">
        <v>4711</v>
      </c>
      <c r="E2049" t="s">
        <v>4712</v>
      </c>
      <c r="F2049" t="s">
        <v>5</v>
      </c>
      <c r="G2049" t="s">
        <v>5</v>
      </c>
      <c r="H2049" t="s">
        <v>5</v>
      </c>
      <c r="I2049" t="s">
        <v>4353</v>
      </c>
      <c r="J2049" t="s">
        <v>7</v>
      </c>
      <c r="K2049" s="3">
        <f t="shared" si="62"/>
        <v>0</v>
      </c>
      <c r="L2049" s="3">
        <f>IF(ISERROR(VLOOKUP(J2049,Lookups!$A$2:$A$16,1,FALSE)),1,0)</f>
        <v>1</v>
      </c>
      <c r="M2049" s="3">
        <f>IF(ISERROR(VLOOKUP(D2049,Data!$A$2:$D$223100,2,FALSE)),0,1)</f>
        <v>1</v>
      </c>
      <c r="N2049" s="3">
        <f t="shared" si="63"/>
        <v>1</v>
      </c>
      <c r="O2049" s="3" t="str">
        <f>IF(ISERROR(VLOOKUP(D2049,Data!$A$2:$C$223100,3,FALSE)),"INACTIVE",VLOOKUP(D2049,Data!$A$2:$C$223100,3,FALSE))</f>
        <v>60+</v>
      </c>
    </row>
    <row r="2050" spans="1:15" x14ac:dyDescent="0.25">
      <c r="A2050" t="s">
        <v>4708</v>
      </c>
      <c r="B2050" t="s">
        <v>4709</v>
      </c>
      <c r="C2050" t="s">
        <v>4713</v>
      </c>
      <c r="D2050" t="s">
        <v>4714</v>
      </c>
      <c r="E2050" t="s">
        <v>4715</v>
      </c>
      <c r="F2050" t="s">
        <v>5</v>
      </c>
      <c r="G2050" t="s">
        <v>5</v>
      </c>
      <c r="H2050" t="s">
        <v>5</v>
      </c>
      <c r="I2050" t="s">
        <v>4353</v>
      </c>
      <c r="J2050" t="s">
        <v>7</v>
      </c>
      <c r="K2050" s="3">
        <f t="shared" si="62"/>
        <v>0</v>
      </c>
      <c r="L2050" s="3">
        <f>IF(ISERROR(VLOOKUP(J2050,Lookups!$A$2:$A$16,1,FALSE)),1,0)</f>
        <v>1</v>
      </c>
      <c r="M2050" s="3">
        <f>IF(ISERROR(VLOOKUP(D2050,Data!$A$2:$D$223100,2,FALSE)),0,1)</f>
        <v>1</v>
      </c>
      <c r="N2050" s="3">
        <f t="shared" si="63"/>
        <v>1</v>
      </c>
      <c r="O2050" s="3" t="str">
        <f>IF(ISERROR(VLOOKUP(D2050,Data!$A$2:$C$223100,3,FALSE)),"INACTIVE",VLOOKUP(D2050,Data!$A$2:$C$223100,3,FALSE))</f>
        <v>180+</v>
      </c>
    </row>
    <row r="2051" spans="1:15" x14ac:dyDescent="0.25">
      <c r="A2051" t="s">
        <v>4708</v>
      </c>
      <c r="B2051" t="s">
        <v>4709</v>
      </c>
      <c r="C2051" t="s">
        <v>4716</v>
      </c>
      <c r="D2051" t="s">
        <v>4717</v>
      </c>
      <c r="E2051" t="s">
        <v>4718</v>
      </c>
      <c r="F2051" t="s">
        <v>5</v>
      </c>
      <c r="G2051" t="s">
        <v>5</v>
      </c>
      <c r="H2051" t="s">
        <v>5</v>
      </c>
      <c r="I2051" t="s">
        <v>4353</v>
      </c>
      <c r="J2051" t="s">
        <v>90</v>
      </c>
      <c r="K2051" s="3">
        <f t="shared" ref="K2051:K2114" si="64">IF(ISERROR(FIND("LIEN",A2051,1)),0,1)</f>
        <v>0</v>
      </c>
      <c r="L2051" s="3">
        <f>IF(ISERROR(VLOOKUP(J2051,Lookups!$A$2:$A$16,1,FALSE)),1,0)</f>
        <v>0</v>
      </c>
      <c r="M2051" s="3">
        <f>IF(ISERROR(VLOOKUP(D2051,Data!$A$2:$D$223100,2,FALSE)),0,1)</f>
        <v>1</v>
      </c>
      <c r="N2051" s="3">
        <f t="shared" ref="N2051:N2114" si="65">IF(M2051=0,0,IF(SUM(K2051:L2051)&gt;0,1,0))</f>
        <v>0</v>
      </c>
      <c r="O2051" s="3" t="str">
        <f>IF(ISERROR(VLOOKUP(D2051,Data!$A$2:$C$223100,3,FALSE)),"INACTIVE",VLOOKUP(D2051,Data!$A$2:$C$223100,3,FALSE))</f>
        <v>120+</v>
      </c>
    </row>
    <row r="2052" spans="1:15" x14ac:dyDescent="0.25">
      <c r="A2052" t="s">
        <v>4708</v>
      </c>
      <c r="B2052" t="s">
        <v>4709</v>
      </c>
      <c r="C2052" t="s">
        <v>4716</v>
      </c>
      <c r="D2052" t="s">
        <v>4717</v>
      </c>
      <c r="E2052" t="s">
        <v>4719</v>
      </c>
      <c r="F2052" t="s">
        <v>5</v>
      </c>
      <c r="G2052" t="s">
        <v>5</v>
      </c>
      <c r="H2052" t="s">
        <v>5</v>
      </c>
      <c r="I2052" t="s">
        <v>4353</v>
      </c>
      <c r="J2052" t="s">
        <v>90</v>
      </c>
      <c r="K2052" s="3">
        <f t="shared" si="64"/>
        <v>0</v>
      </c>
      <c r="L2052" s="3">
        <f>IF(ISERROR(VLOOKUP(J2052,Lookups!$A$2:$A$16,1,FALSE)),1,0)</f>
        <v>0</v>
      </c>
      <c r="M2052" s="3">
        <f>IF(ISERROR(VLOOKUP(D2052,Data!$A$2:$D$223100,2,FALSE)),0,1)</f>
        <v>1</v>
      </c>
      <c r="N2052" s="3">
        <f t="shared" si="65"/>
        <v>0</v>
      </c>
      <c r="O2052" s="3" t="str">
        <f>IF(ISERROR(VLOOKUP(D2052,Data!$A$2:$C$223100,3,FALSE)),"INACTIVE",VLOOKUP(D2052,Data!$A$2:$C$223100,3,FALSE))</f>
        <v>120+</v>
      </c>
    </row>
    <row r="2053" spans="1:15" x14ac:dyDescent="0.25">
      <c r="A2053" t="s">
        <v>4081</v>
      </c>
      <c r="B2053" t="s">
        <v>4082</v>
      </c>
      <c r="C2053" t="s">
        <v>4083</v>
      </c>
      <c r="D2053" t="s">
        <v>4084</v>
      </c>
      <c r="E2053" t="s">
        <v>4085</v>
      </c>
      <c r="F2053" t="s">
        <v>5</v>
      </c>
      <c r="G2053" t="s">
        <v>5</v>
      </c>
      <c r="H2053" t="s">
        <v>5</v>
      </c>
      <c r="I2053" t="s">
        <v>4086</v>
      </c>
      <c r="J2053" t="s">
        <v>7</v>
      </c>
      <c r="K2053" s="3">
        <f t="shared" si="64"/>
        <v>0</v>
      </c>
      <c r="L2053" s="3">
        <f>IF(ISERROR(VLOOKUP(J2053,Lookups!$A$2:$A$16,1,FALSE)),1,0)</f>
        <v>1</v>
      </c>
      <c r="M2053" s="3">
        <f>IF(ISERROR(VLOOKUP(D2053,Data!$A$2:$D$223100,2,FALSE)),0,1)</f>
        <v>1</v>
      </c>
      <c r="N2053" s="3">
        <f t="shared" si="65"/>
        <v>1</v>
      </c>
      <c r="O2053" s="3" t="str">
        <f>IF(ISERROR(VLOOKUP(D2053,Data!$A$2:$C$223100,3,FALSE)),"INACTIVE",VLOOKUP(D2053,Data!$A$2:$C$223100,3,FALSE))</f>
        <v>120+</v>
      </c>
    </row>
    <row r="2054" spans="1:15" x14ac:dyDescent="0.25">
      <c r="A2054" t="s">
        <v>4081</v>
      </c>
      <c r="B2054" t="s">
        <v>4082</v>
      </c>
      <c r="C2054" t="s">
        <v>4087</v>
      </c>
      <c r="D2054" t="s">
        <v>4088</v>
      </c>
      <c r="E2054" t="s">
        <v>4089</v>
      </c>
      <c r="F2054" t="s">
        <v>5</v>
      </c>
      <c r="G2054" t="s">
        <v>5</v>
      </c>
      <c r="H2054" t="s">
        <v>5</v>
      </c>
      <c r="I2054" t="s">
        <v>4086</v>
      </c>
      <c r="J2054" t="s">
        <v>7</v>
      </c>
      <c r="K2054" s="3">
        <f t="shared" si="64"/>
        <v>0</v>
      </c>
      <c r="L2054" s="3">
        <f>IF(ISERROR(VLOOKUP(J2054,Lookups!$A$2:$A$16,1,FALSE)),1,0)</f>
        <v>1</v>
      </c>
      <c r="M2054" s="3">
        <f>IF(ISERROR(VLOOKUP(D2054,Data!$A$2:$D$223100,2,FALSE)),0,1)</f>
        <v>1</v>
      </c>
      <c r="N2054" s="3">
        <f t="shared" si="65"/>
        <v>1</v>
      </c>
      <c r="O2054" s="3" t="str">
        <f>IF(ISERROR(VLOOKUP(D2054,Data!$A$2:$C$223100,3,FALSE)),"INACTIVE",VLOOKUP(D2054,Data!$A$2:$C$223100,3,FALSE))</f>
        <v>FBA</v>
      </c>
    </row>
    <row r="2055" spans="1:15" x14ac:dyDescent="0.25">
      <c r="A2055" t="s">
        <v>4081</v>
      </c>
      <c r="B2055" t="s">
        <v>4082</v>
      </c>
      <c r="C2055" t="s">
        <v>4090</v>
      </c>
      <c r="D2055" t="s">
        <v>4091</v>
      </c>
      <c r="E2055" t="s">
        <v>4092</v>
      </c>
      <c r="F2055" t="s">
        <v>5</v>
      </c>
      <c r="G2055" t="s">
        <v>5</v>
      </c>
      <c r="H2055" t="s">
        <v>5</v>
      </c>
      <c r="I2055" t="s">
        <v>4086</v>
      </c>
      <c r="J2055" t="s">
        <v>7</v>
      </c>
      <c r="K2055" s="3">
        <f t="shared" si="64"/>
        <v>0</v>
      </c>
      <c r="L2055" s="3">
        <f>IF(ISERROR(VLOOKUP(J2055,Lookups!$A$2:$A$16,1,FALSE)),1,0)</f>
        <v>1</v>
      </c>
      <c r="M2055" s="3">
        <f>IF(ISERROR(VLOOKUP(D2055,Data!$A$2:$D$223100,2,FALSE)),0,1)</f>
        <v>1</v>
      </c>
      <c r="N2055" s="3">
        <f t="shared" si="65"/>
        <v>1</v>
      </c>
      <c r="O2055" s="3" t="str">
        <f>IF(ISERROR(VLOOKUP(D2055,Data!$A$2:$C$223100,3,FALSE)),"INACTIVE",VLOOKUP(D2055,Data!$A$2:$C$223100,3,FALSE))</f>
        <v>60+</v>
      </c>
    </row>
    <row r="2056" spans="1:15" x14ac:dyDescent="0.25">
      <c r="A2056" t="s">
        <v>4081</v>
      </c>
      <c r="B2056" t="s">
        <v>4082</v>
      </c>
      <c r="C2056" t="s">
        <v>4093</v>
      </c>
      <c r="D2056" t="s">
        <v>4094</v>
      </c>
      <c r="E2056" t="s">
        <v>4095</v>
      </c>
      <c r="F2056" t="s">
        <v>5</v>
      </c>
      <c r="G2056" t="s">
        <v>5</v>
      </c>
      <c r="H2056" t="s">
        <v>5</v>
      </c>
      <c r="I2056" t="s">
        <v>4086</v>
      </c>
      <c r="J2056" t="s">
        <v>96</v>
      </c>
      <c r="K2056" s="3">
        <f t="shared" si="64"/>
        <v>0</v>
      </c>
      <c r="L2056" s="3">
        <f>IF(ISERROR(VLOOKUP(J2056,Lookups!$A$2:$A$16,1,FALSE)),1,0)</f>
        <v>0</v>
      </c>
      <c r="M2056" s="3">
        <f>IF(ISERROR(VLOOKUP(D2056,Data!$A$2:$D$223100,2,FALSE)),0,1)</f>
        <v>1</v>
      </c>
      <c r="N2056" s="3">
        <f t="shared" si="65"/>
        <v>0</v>
      </c>
      <c r="O2056" s="3" t="str">
        <f>IF(ISERROR(VLOOKUP(D2056,Data!$A$2:$C$223100,3,FALSE)),"INACTIVE",VLOOKUP(D2056,Data!$A$2:$C$223100,3,FALSE))</f>
        <v>FC</v>
      </c>
    </row>
    <row r="2057" spans="1:15" x14ac:dyDescent="0.25">
      <c r="A2057" t="s">
        <v>4081</v>
      </c>
      <c r="B2057" t="s">
        <v>4082</v>
      </c>
      <c r="C2057" t="s">
        <v>4093</v>
      </c>
      <c r="D2057" t="s">
        <v>4094</v>
      </c>
      <c r="E2057" t="s">
        <v>4096</v>
      </c>
      <c r="F2057" t="s">
        <v>5</v>
      </c>
      <c r="G2057" t="s">
        <v>5</v>
      </c>
      <c r="H2057" t="s">
        <v>5</v>
      </c>
      <c r="I2057" t="s">
        <v>4086</v>
      </c>
      <c r="J2057" t="s">
        <v>96</v>
      </c>
      <c r="K2057" s="3">
        <f t="shared" si="64"/>
        <v>0</v>
      </c>
      <c r="L2057" s="3">
        <f>IF(ISERROR(VLOOKUP(J2057,Lookups!$A$2:$A$16,1,FALSE)),1,0)</f>
        <v>0</v>
      </c>
      <c r="M2057" s="3">
        <f>IF(ISERROR(VLOOKUP(D2057,Data!$A$2:$D$223100,2,FALSE)),0,1)</f>
        <v>1</v>
      </c>
      <c r="N2057" s="3">
        <f t="shared" si="65"/>
        <v>0</v>
      </c>
      <c r="O2057" s="3" t="str">
        <f>IF(ISERROR(VLOOKUP(D2057,Data!$A$2:$C$223100,3,FALSE)),"INACTIVE",VLOOKUP(D2057,Data!$A$2:$C$223100,3,FALSE))</f>
        <v>FC</v>
      </c>
    </row>
    <row r="2058" spans="1:15" x14ac:dyDescent="0.25">
      <c r="A2058" t="s">
        <v>4081</v>
      </c>
      <c r="B2058" t="s">
        <v>4082</v>
      </c>
      <c r="C2058" t="s">
        <v>4097</v>
      </c>
      <c r="D2058" t="s">
        <v>4098</v>
      </c>
      <c r="E2058" t="s">
        <v>4099</v>
      </c>
      <c r="F2058" t="s">
        <v>5</v>
      </c>
      <c r="G2058" t="s">
        <v>5</v>
      </c>
      <c r="H2058" t="s">
        <v>5</v>
      </c>
      <c r="I2058" t="s">
        <v>4086</v>
      </c>
      <c r="J2058" t="s">
        <v>7</v>
      </c>
      <c r="K2058" s="3">
        <f t="shared" si="64"/>
        <v>0</v>
      </c>
      <c r="L2058" s="3">
        <f>IF(ISERROR(VLOOKUP(J2058,Lookups!$A$2:$A$16,1,FALSE)),1,0)</f>
        <v>1</v>
      </c>
      <c r="M2058" s="3">
        <f>IF(ISERROR(VLOOKUP(D2058,Data!$A$2:$D$223100,2,FALSE)),0,1)</f>
        <v>1</v>
      </c>
      <c r="N2058" s="3">
        <f t="shared" si="65"/>
        <v>1</v>
      </c>
      <c r="O2058" s="3" t="str">
        <f>IF(ISERROR(VLOOKUP(D2058,Data!$A$2:$C$223100,3,FALSE)),"INACTIVE",VLOOKUP(D2058,Data!$A$2:$C$223100,3,FALSE))</f>
        <v>Current</v>
      </c>
    </row>
    <row r="2059" spans="1:15" x14ac:dyDescent="0.25">
      <c r="A2059" t="s">
        <v>4081</v>
      </c>
      <c r="B2059" t="s">
        <v>4082</v>
      </c>
      <c r="C2059" t="s">
        <v>4100</v>
      </c>
      <c r="D2059" t="s">
        <v>4101</v>
      </c>
      <c r="E2059" t="s">
        <v>4102</v>
      </c>
      <c r="F2059" t="s">
        <v>5</v>
      </c>
      <c r="G2059" t="s">
        <v>5</v>
      </c>
      <c r="H2059" t="s">
        <v>5</v>
      </c>
      <c r="I2059" t="s">
        <v>4086</v>
      </c>
      <c r="J2059" t="s">
        <v>7</v>
      </c>
      <c r="K2059" s="3">
        <f t="shared" si="64"/>
        <v>0</v>
      </c>
      <c r="L2059" s="3">
        <f>IF(ISERROR(VLOOKUP(J2059,Lookups!$A$2:$A$16,1,FALSE)),1,0)</f>
        <v>1</v>
      </c>
      <c r="M2059" s="3">
        <f>IF(ISERROR(VLOOKUP(D2059,Data!$A$2:$D$223100,2,FALSE)),0,1)</f>
        <v>1</v>
      </c>
      <c r="N2059" s="3">
        <f t="shared" si="65"/>
        <v>1</v>
      </c>
      <c r="O2059" s="3" t="str">
        <f>IF(ISERROR(VLOOKUP(D2059,Data!$A$2:$C$223100,3,FALSE)),"INACTIVE",VLOOKUP(D2059,Data!$A$2:$C$223100,3,FALSE))</f>
        <v>180+</v>
      </c>
    </row>
    <row r="2060" spans="1:15" x14ac:dyDescent="0.25">
      <c r="A2060" t="s">
        <v>4081</v>
      </c>
      <c r="B2060" t="s">
        <v>4082</v>
      </c>
      <c r="C2060" t="s">
        <v>4103</v>
      </c>
      <c r="D2060" t="s">
        <v>4104</v>
      </c>
      <c r="E2060" t="s">
        <v>4105</v>
      </c>
      <c r="F2060" t="s">
        <v>5</v>
      </c>
      <c r="G2060" t="s">
        <v>5</v>
      </c>
      <c r="H2060" t="s">
        <v>5</v>
      </c>
      <c r="I2060" t="s">
        <v>4086</v>
      </c>
      <c r="J2060" t="s">
        <v>96</v>
      </c>
      <c r="K2060" s="3">
        <f t="shared" si="64"/>
        <v>0</v>
      </c>
      <c r="L2060" s="3">
        <f>IF(ISERROR(VLOOKUP(J2060,Lookups!$A$2:$A$16,1,FALSE)),1,0)</f>
        <v>0</v>
      </c>
      <c r="M2060" s="3">
        <f>IF(ISERROR(VLOOKUP(D2060,Data!$A$2:$D$223100,2,FALSE)),0,1)</f>
        <v>1</v>
      </c>
      <c r="N2060" s="3">
        <f t="shared" si="65"/>
        <v>0</v>
      </c>
      <c r="O2060" s="3" t="str">
        <f>IF(ISERROR(VLOOKUP(D2060,Data!$A$2:$C$223100,3,FALSE)),"INACTIVE",VLOOKUP(D2060,Data!$A$2:$C$223100,3,FALSE))</f>
        <v>Demand Letter</v>
      </c>
    </row>
    <row r="2061" spans="1:15" x14ac:dyDescent="0.25">
      <c r="A2061" t="s">
        <v>4081</v>
      </c>
      <c r="B2061" t="s">
        <v>4082</v>
      </c>
      <c r="C2061" t="s">
        <v>4103</v>
      </c>
      <c r="D2061" t="s">
        <v>4104</v>
      </c>
      <c r="E2061" t="s">
        <v>4106</v>
      </c>
      <c r="F2061" t="s">
        <v>5</v>
      </c>
      <c r="G2061" t="s">
        <v>5</v>
      </c>
      <c r="H2061" t="s">
        <v>5</v>
      </c>
      <c r="I2061" t="s">
        <v>4086</v>
      </c>
      <c r="J2061" t="s">
        <v>96</v>
      </c>
      <c r="K2061" s="3">
        <f t="shared" si="64"/>
        <v>0</v>
      </c>
      <c r="L2061" s="3">
        <f>IF(ISERROR(VLOOKUP(J2061,Lookups!$A$2:$A$16,1,FALSE)),1,0)</f>
        <v>0</v>
      </c>
      <c r="M2061" s="3">
        <f>IF(ISERROR(VLOOKUP(D2061,Data!$A$2:$D$223100,2,FALSE)),0,1)</f>
        <v>1</v>
      </c>
      <c r="N2061" s="3">
        <f t="shared" si="65"/>
        <v>0</v>
      </c>
      <c r="O2061" s="3" t="str">
        <f>IF(ISERROR(VLOOKUP(D2061,Data!$A$2:$C$223100,3,FALSE)),"INACTIVE",VLOOKUP(D2061,Data!$A$2:$C$223100,3,FALSE))</f>
        <v>Demand Letter</v>
      </c>
    </row>
    <row r="2062" spans="1:15" x14ac:dyDescent="0.25">
      <c r="A2062" t="s">
        <v>4081</v>
      </c>
      <c r="B2062" t="s">
        <v>4082</v>
      </c>
      <c r="C2062" t="s">
        <v>4103</v>
      </c>
      <c r="D2062" t="s">
        <v>4104</v>
      </c>
      <c r="E2062" t="s">
        <v>4107</v>
      </c>
      <c r="F2062" t="s">
        <v>5</v>
      </c>
      <c r="G2062" t="s">
        <v>5</v>
      </c>
      <c r="H2062" t="s">
        <v>5</v>
      </c>
      <c r="I2062" t="s">
        <v>4086</v>
      </c>
      <c r="J2062" t="s">
        <v>96</v>
      </c>
      <c r="K2062" s="3">
        <f t="shared" si="64"/>
        <v>0</v>
      </c>
      <c r="L2062" s="3">
        <f>IF(ISERROR(VLOOKUP(J2062,Lookups!$A$2:$A$16,1,FALSE)),1,0)</f>
        <v>0</v>
      </c>
      <c r="M2062" s="3">
        <f>IF(ISERROR(VLOOKUP(D2062,Data!$A$2:$D$223100,2,FALSE)),0,1)</f>
        <v>1</v>
      </c>
      <c r="N2062" s="3">
        <f t="shared" si="65"/>
        <v>0</v>
      </c>
      <c r="O2062" s="3" t="str">
        <f>IF(ISERROR(VLOOKUP(D2062,Data!$A$2:$C$223100,3,FALSE)),"INACTIVE",VLOOKUP(D2062,Data!$A$2:$C$223100,3,FALSE))</f>
        <v>Demand Letter</v>
      </c>
    </row>
    <row r="2063" spans="1:15" x14ac:dyDescent="0.25">
      <c r="A2063" t="s">
        <v>4674</v>
      </c>
      <c r="B2063" t="s">
        <v>4725</v>
      </c>
      <c r="C2063" t="s">
        <v>4726</v>
      </c>
      <c r="D2063" t="s">
        <v>4727</v>
      </c>
      <c r="E2063" t="s">
        <v>4728</v>
      </c>
      <c r="F2063" t="s">
        <v>5</v>
      </c>
      <c r="G2063" t="s">
        <v>5</v>
      </c>
      <c r="H2063" t="s">
        <v>5</v>
      </c>
      <c r="I2063" t="s">
        <v>4086</v>
      </c>
      <c r="J2063" t="s">
        <v>14</v>
      </c>
      <c r="K2063" s="3">
        <f t="shared" si="64"/>
        <v>0</v>
      </c>
      <c r="L2063" s="3">
        <f>IF(ISERROR(VLOOKUP(J2063,Lookups!$A$2:$A$16,1,FALSE)),1,0)</f>
        <v>1</v>
      </c>
      <c r="M2063" s="3">
        <f>IF(ISERROR(VLOOKUP(D2063,Data!$A$2:$D$223100,2,FALSE)),0,1)</f>
        <v>1</v>
      </c>
      <c r="N2063" s="3">
        <f t="shared" si="65"/>
        <v>1</v>
      </c>
      <c r="O2063" s="3" t="str">
        <f>IF(ISERROR(VLOOKUP(D2063,Data!$A$2:$C$223100,3,FALSE)),"INACTIVE",VLOOKUP(D2063,Data!$A$2:$C$223100,3,FALSE))</f>
        <v>30+</v>
      </c>
    </row>
    <row r="2064" spans="1:15" x14ac:dyDescent="0.25">
      <c r="A2064" t="s">
        <v>4075</v>
      </c>
      <c r="B2064" t="s">
        <v>4076</v>
      </c>
      <c r="C2064" t="s">
        <v>4077</v>
      </c>
      <c r="D2064" t="s">
        <v>4078</v>
      </c>
      <c r="E2064" t="s">
        <v>4079</v>
      </c>
      <c r="F2064" t="s">
        <v>5</v>
      </c>
      <c r="G2064" t="s">
        <v>5</v>
      </c>
      <c r="H2064" t="s">
        <v>5</v>
      </c>
      <c r="I2064" t="s">
        <v>4080</v>
      </c>
      <c r="J2064" t="s">
        <v>7</v>
      </c>
      <c r="K2064" s="3">
        <f t="shared" si="64"/>
        <v>0</v>
      </c>
      <c r="L2064" s="3">
        <f>IF(ISERROR(VLOOKUP(J2064,Lookups!$A$2:$A$16,1,FALSE)),1,0)</f>
        <v>1</v>
      </c>
      <c r="M2064" s="3">
        <f>IF(ISERROR(VLOOKUP(D2064,Data!$A$2:$D$223100,2,FALSE)),0,1)</f>
        <v>1</v>
      </c>
      <c r="N2064" s="3">
        <f t="shared" si="65"/>
        <v>1</v>
      </c>
      <c r="O2064" s="3" t="str">
        <f>IF(ISERROR(VLOOKUP(D2064,Data!$A$2:$C$223100,3,FALSE)),"INACTIVE",VLOOKUP(D2064,Data!$A$2:$C$223100,3,FALSE))</f>
        <v>120+</v>
      </c>
    </row>
    <row r="2065" spans="1:15" x14ac:dyDescent="0.25">
      <c r="A2065" t="s">
        <v>4117</v>
      </c>
      <c r="B2065" t="s">
        <v>4118</v>
      </c>
      <c r="C2065" t="s">
        <v>4119</v>
      </c>
      <c r="D2065" t="s">
        <v>4120</v>
      </c>
      <c r="E2065" t="s">
        <v>4121</v>
      </c>
      <c r="F2065" t="s">
        <v>5</v>
      </c>
      <c r="G2065" t="s">
        <v>5</v>
      </c>
      <c r="H2065" t="s">
        <v>5</v>
      </c>
      <c r="I2065" t="s">
        <v>4080</v>
      </c>
      <c r="J2065" t="s">
        <v>96</v>
      </c>
      <c r="K2065" s="3">
        <f t="shared" si="64"/>
        <v>0</v>
      </c>
      <c r="L2065" s="3">
        <f>IF(ISERROR(VLOOKUP(J2065,Lookups!$A$2:$A$16,1,FALSE)),1,0)</f>
        <v>0</v>
      </c>
      <c r="M2065" s="3">
        <f>IF(ISERROR(VLOOKUP(D2065,Data!$A$2:$D$223100,2,FALSE)),0,1)</f>
        <v>1</v>
      </c>
      <c r="N2065" s="3">
        <f t="shared" si="65"/>
        <v>0</v>
      </c>
      <c r="O2065" s="3" t="str">
        <f>IF(ISERROR(VLOOKUP(D2065,Data!$A$2:$C$223100,3,FALSE)),"INACTIVE",VLOOKUP(D2065,Data!$A$2:$C$223100,3,FALSE))</f>
        <v>FC</v>
      </c>
    </row>
    <row r="2066" spans="1:15" x14ac:dyDescent="0.25">
      <c r="A2066" t="s">
        <v>4117</v>
      </c>
      <c r="B2066" t="s">
        <v>4118</v>
      </c>
      <c r="C2066" t="s">
        <v>4119</v>
      </c>
      <c r="D2066" t="s">
        <v>4120</v>
      </c>
      <c r="E2066" t="s">
        <v>4122</v>
      </c>
      <c r="F2066" t="s">
        <v>5</v>
      </c>
      <c r="G2066" t="s">
        <v>5</v>
      </c>
      <c r="H2066" t="s">
        <v>5</v>
      </c>
      <c r="I2066" t="s">
        <v>4080</v>
      </c>
      <c r="J2066" t="s">
        <v>96</v>
      </c>
      <c r="K2066" s="3">
        <f t="shared" si="64"/>
        <v>0</v>
      </c>
      <c r="L2066" s="3">
        <f>IF(ISERROR(VLOOKUP(J2066,Lookups!$A$2:$A$16,1,FALSE)),1,0)</f>
        <v>0</v>
      </c>
      <c r="M2066" s="3">
        <f>IF(ISERROR(VLOOKUP(D2066,Data!$A$2:$D$223100,2,FALSE)),0,1)</f>
        <v>1</v>
      </c>
      <c r="N2066" s="3">
        <f t="shared" si="65"/>
        <v>0</v>
      </c>
      <c r="O2066" s="3" t="str">
        <f>IF(ISERROR(VLOOKUP(D2066,Data!$A$2:$C$223100,3,FALSE)),"INACTIVE",VLOOKUP(D2066,Data!$A$2:$C$223100,3,FALSE))</f>
        <v>FC</v>
      </c>
    </row>
    <row r="2067" spans="1:15" x14ac:dyDescent="0.25">
      <c r="A2067" t="s">
        <v>4117</v>
      </c>
      <c r="B2067" t="s">
        <v>4118</v>
      </c>
      <c r="C2067" t="s">
        <v>4119</v>
      </c>
      <c r="D2067" t="s">
        <v>4120</v>
      </c>
      <c r="E2067" t="s">
        <v>4123</v>
      </c>
      <c r="F2067" t="s">
        <v>5</v>
      </c>
      <c r="G2067" t="s">
        <v>5</v>
      </c>
      <c r="H2067" t="s">
        <v>5</v>
      </c>
      <c r="I2067" t="s">
        <v>4080</v>
      </c>
      <c r="J2067" t="s">
        <v>96</v>
      </c>
      <c r="K2067" s="3">
        <f t="shared" si="64"/>
        <v>0</v>
      </c>
      <c r="L2067" s="3">
        <f>IF(ISERROR(VLOOKUP(J2067,Lookups!$A$2:$A$16,1,FALSE)),1,0)</f>
        <v>0</v>
      </c>
      <c r="M2067" s="3">
        <f>IF(ISERROR(VLOOKUP(D2067,Data!$A$2:$D$223100,2,FALSE)),0,1)</f>
        <v>1</v>
      </c>
      <c r="N2067" s="3">
        <f t="shared" si="65"/>
        <v>0</v>
      </c>
      <c r="O2067" s="3" t="str">
        <f>IF(ISERROR(VLOOKUP(D2067,Data!$A$2:$C$223100,3,FALSE)),"INACTIVE",VLOOKUP(D2067,Data!$A$2:$C$223100,3,FALSE))</f>
        <v>FC</v>
      </c>
    </row>
    <row r="2068" spans="1:15" x14ac:dyDescent="0.25">
      <c r="A2068" t="s">
        <v>4332</v>
      </c>
      <c r="B2068" t="s">
        <v>4333</v>
      </c>
      <c r="C2068" t="s">
        <v>4334</v>
      </c>
      <c r="D2068" t="s">
        <v>4335</v>
      </c>
      <c r="E2068" t="s">
        <v>4336</v>
      </c>
      <c r="F2068" t="s">
        <v>5</v>
      </c>
      <c r="G2068" t="s">
        <v>5</v>
      </c>
      <c r="H2068" t="s">
        <v>5</v>
      </c>
      <c r="I2068" t="s">
        <v>4080</v>
      </c>
      <c r="J2068" t="s">
        <v>7</v>
      </c>
      <c r="K2068" s="3">
        <f t="shared" si="64"/>
        <v>0</v>
      </c>
      <c r="L2068" s="3">
        <f>IF(ISERROR(VLOOKUP(J2068,Lookups!$A$2:$A$16,1,FALSE)),1,0)</f>
        <v>1</v>
      </c>
      <c r="M2068" s="3">
        <f>IF(ISERROR(VLOOKUP(D2068,Data!$A$2:$D$223100,2,FALSE)),0,1)</f>
        <v>1</v>
      </c>
      <c r="N2068" s="3">
        <f t="shared" si="65"/>
        <v>1</v>
      </c>
      <c r="O2068" s="3" t="str">
        <f>IF(ISERROR(VLOOKUP(D2068,Data!$A$2:$C$223100,3,FALSE)),"INACTIVE",VLOOKUP(D2068,Data!$A$2:$C$223100,3,FALSE))</f>
        <v>DIL</v>
      </c>
    </row>
    <row r="2069" spans="1:15" x14ac:dyDescent="0.25">
      <c r="A2069" t="s">
        <v>4525</v>
      </c>
      <c r="B2069" t="s">
        <v>4526</v>
      </c>
      <c r="C2069" t="s">
        <v>4527</v>
      </c>
      <c r="D2069" t="s">
        <v>4528</v>
      </c>
      <c r="E2069" t="s">
        <v>4529</v>
      </c>
      <c r="F2069" t="s">
        <v>5</v>
      </c>
      <c r="G2069" t="s">
        <v>5</v>
      </c>
      <c r="H2069" t="s">
        <v>5</v>
      </c>
      <c r="I2069" t="s">
        <v>4080</v>
      </c>
      <c r="J2069" t="s">
        <v>90</v>
      </c>
      <c r="K2069" s="3">
        <f t="shared" si="64"/>
        <v>0</v>
      </c>
      <c r="L2069" s="3">
        <f>IF(ISERROR(VLOOKUP(J2069,Lookups!$A$2:$A$16,1,FALSE)),1,0)</f>
        <v>0</v>
      </c>
      <c r="M2069" s="3">
        <f>IF(ISERROR(VLOOKUP(D2069,Data!$A$2:$D$223100,2,FALSE)),0,1)</f>
        <v>1</v>
      </c>
      <c r="N2069" s="3">
        <f t="shared" si="65"/>
        <v>0</v>
      </c>
      <c r="O2069" s="3" t="str">
        <f>IF(ISERROR(VLOOKUP(D2069,Data!$A$2:$C$223100,3,FALSE)),"INACTIVE",VLOOKUP(D2069,Data!$A$2:$C$223100,3,FALSE))</f>
        <v>Demand Letter</v>
      </c>
    </row>
    <row r="2070" spans="1:15" x14ac:dyDescent="0.25">
      <c r="A2070" t="s">
        <v>3825</v>
      </c>
      <c r="B2070" t="s">
        <v>3826</v>
      </c>
      <c r="C2070" t="s">
        <v>3827</v>
      </c>
      <c r="D2070" t="s">
        <v>3828</v>
      </c>
      <c r="E2070" t="s">
        <v>3829</v>
      </c>
      <c r="F2070" t="s">
        <v>5</v>
      </c>
      <c r="G2070" t="s">
        <v>5</v>
      </c>
      <c r="H2070" t="s">
        <v>5</v>
      </c>
      <c r="I2070" t="s">
        <v>3830</v>
      </c>
      <c r="J2070" t="s">
        <v>7</v>
      </c>
      <c r="K2070" s="3">
        <f t="shared" si="64"/>
        <v>0</v>
      </c>
      <c r="L2070" s="3">
        <f>IF(ISERROR(VLOOKUP(J2070,Lookups!$A$2:$A$16,1,FALSE)),1,0)</f>
        <v>1</v>
      </c>
      <c r="M2070" s="3">
        <f>IF(ISERROR(VLOOKUP(D2070,Data!$A$2:$D$223100,2,FALSE)),0,1)</f>
        <v>1</v>
      </c>
      <c r="N2070" s="3">
        <f t="shared" si="65"/>
        <v>1</v>
      </c>
      <c r="O2070" s="3" t="str">
        <f>IF(ISERROR(VLOOKUP(D2070,Data!$A$2:$C$223100,3,FALSE)),"INACTIVE",VLOOKUP(D2070,Data!$A$2:$C$223100,3,FALSE))</f>
        <v>Current</v>
      </c>
    </row>
    <row r="2071" spans="1:15" x14ac:dyDescent="0.25">
      <c r="A2071" t="s">
        <v>3825</v>
      </c>
      <c r="B2071" t="s">
        <v>3826</v>
      </c>
      <c r="C2071" t="s">
        <v>3831</v>
      </c>
      <c r="D2071" t="s">
        <v>3832</v>
      </c>
      <c r="E2071" t="s">
        <v>3833</v>
      </c>
      <c r="F2071" t="s">
        <v>5</v>
      </c>
      <c r="G2071" t="s">
        <v>5</v>
      </c>
      <c r="H2071" t="s">
        <v>5</v>
      </c>
      <c r="I2071" t="s">
        <v>3830</v>
      </c>
      <c r="J2071" t="s">
        <v>7</v>
      </c>
      <c r="K2071" s="3">
        <f t="shared" si="64"/>
        <v>0</v>
      </c>
      <c r="L2071" s="3">
        <f>IF(ISERROR(VLOOKUP(J2071,Lookups!$A$2:$A$16,1,FALSE)),1,0)</f>
        <v>1</v>
      </c>
      <c r="M2071" s="3">
        <f>IF(ISERROR(VLOOKUP(D2071,Data!$A$2:$D$223100,2,FALSE)),0,1)</f>
        <v>1</v>
      </c>
      <c r="N2071" s="3">
        <f t="shared" si="65"/>
        <v>1</v>
      </c>
      <c r="O2071" s="3" t="str">
        <f>IF(ISERROR(VLOOKUP(D2071,Data!$A$2:$C$223100,3,FALSE)),"INACTIVE",VLOOKUP(D2071,Data!$A$2:$C$223100,3,FALSE))</f>
        <v>FBA</v>
      </c>
    </row>
    <row r="2072" spans="1:15" x14ac:dyDescent="0.25">
      <c r="A2072" t="s">
        <v>4581</v>
      </c>
      <c r="B2072" t="s">
        <v>4582</v>
      </c>
      <c r="C2072" t="s">
        <v>4583</v>
      </c>
      <c r="D2072" t="s">
        <v>4584</v>
      </c>
      <c r="E2072" t="s">
        <v>4585</v>
      </c>
      <c r="F2072" t="s">
        <v>5</v>
      </c>
      <c r="G2072" t="s">
        <v>5</v>
      </c>
      <c r="H2072" t="s">
        <v>5</v>
      </c>
      <c r="I2072" t="s">
        <v>3830</v>
      </c>
      <c r="J2072" t="s">
        <v>7</v>
      </c>
      <c r="K2072" s="3">
        <f t="shared" si="64"/>
        <v>0</v>
      </c>
      <c r="L2072" s="3">
        <f>IF(ISERROR(VLOOKUP(J2072,Lookups!$A$2:$A$16,1,FALSE)),1,0)</f>
        <v>1</v>
      </c>
      <c r="M2072" s="3">
        <f>IF(ISERROR(VLOOKUP(D2072,Data!$A$2:$D$223100,2,FALSE)),0,1)</f>
        <v>1</v>
      </c>
      <c r="N2072" s="3">
        <f t="shared" si="65"/>
        <v>1</v>
      </c>
      <c r="O2072" s="3" t="str">
        <f>IF(ISERROR(VLOOKUP(D2072,Data!$A$2:$C$223100,3,FALSE)),"INACTIVE",VLOOKUP(D2072,Data!$A$2:$C$223100,3,FALSE))</f>
        <v>Current</v>
      </c>
    </row>
    <row r="2073" spans="1:15" x14ac:dyDescent="0.25">
      <c r="A2073" t="s">
        <v>4581</v>
      </c>
      <c r="B2073" t="s">
        <v>4582</v>
      </c>
      <c r="C2073" t="s">
        <v>4586</v>
      </c>
      <c r="D2073" t="s">
        <v>4587</v>
      </c>
      <c r="E2073" t="s">
        <v>4588</v>
      </c>
      <c r="F2073" t="s">
        <v>5</v>
      </c>
      <c r="G2073" t="s">
        <v>5</v>
      </c>
      <c r="H2073" t="s">
        <v>5</v>
      </c>
      <c r="I2073" t="s">
        <v>3830</v>
      </c>
      <c r="J2073" t="s">
        <v>7</v>
      </c>
      <c r="K2073" s="3">
        <f t="shared" si="64"/>
        <v>0</v>
      </c>
      <c r="L2073" s="3">
        <f>IF(ISERROR(VLOOKUP(J2073,Lookups!$A$2:$A$16,1,FALSE)),1,0)</f>
        <v>1</v>
      </c>
      <c r="M2073" s="3">
        <f>IF(ISERROR(VLOOKUP(D2073,Data!$A$2:$D$223100,2,FALSE)),0,1)</f>
        <v>1</v>
      </c>
      <c r="N2073" s="3">
        <f t="shared" si="65"/>
        <v>1</v>
      </c>
      <c r="O2073" s="3" t="str">
        <f>IF(ISERROR(VLOOKUP(D2073,Data!$A$2:$C$223100,3,FALSE)),"INACTIVE",VLOOKUP(D2073,Data!$A$2:$C$223100,3,FALSE))</f>
        <v>120+</v>
      </c>
    </row>
    <row r="2074" spans="1:15" x14ac:dyDescent="0.25">
      <c r="A2074" t="s">
        <v>4610</v>
      </c>
      <c r="B2074" t="s">
        <v>4611</v>
      </c>
      <c r="C2074" t="s">
        <v>4612</v>
      </c>
      <c r="D2074" t="s">
        <v>4613</v>
      </c>
      <c r="E2074" t="s">
        <v>4614</v>
      </c>
      <c r="F2074" t="s">
        <v>5</v>
      </c>
      <c r="G2074" t="s">
        <v>5</v>
      </c>
      <c r="H2074" t="s">
        <v>5</v>
      </c>
      <c r="I2074" t="s">
        <v>3830</v>
      </c>
      <c r="J2074" t="s">
        <v>96</v>
      </c>
      <c r="K2074" s="3">
        <f t="shared" si="64"/>
        <v>0</v>
      </c>
      <c r="L2074" s="3">
        <f>IF(ISERROR(VLOOKUP(J2074,Lookups!$A$2:$A$16,1,FALSE)),1,0)</f>
        <v>0</v>
      </c>
      <c r="M2074" s="3">
        <f>IF(ISERROR(VLOOKUP(D2074,Data!$A$2:$D$223100,2,FALSE)),0,1)</f>
        <v>1</v>
      </c>
      <c r="N2074" s="3">
        <f t="shared" si="65"/>
        <v>0</v>
      </c>
      <c r="O2074" s="3" t="str">
        <f>IF(ISERROR(VLOOKUP(D2074,Data!$A$2:$C$223100,3,FALSE)),"INACTIVE",VLOOKUP(D2074,Data!$A$2:$C$223100,3,FALSE))</f>
        <v>180+</v>
      </c>
    </row>
    <row r="2075" spans="1:15" x14ac:dyDescent="0.25">
      <c r="A2075" t="s">
        <v>4610</v>
      </c>
      <c r="B2075" t="s">
        <v>4611</v>
      </c>
      <c r="C2075" t="s">
        <v>4612</v>
      </c>
      <c r="D2075" t="s">
        <v>4613</v>
      </c>
      <c r="E2075" t="s">
        <v>4615</v>
      </c>
      <c r="F2075" t="s">
        <v>5</v>
      </c>
      <c r="G2075" t="s">
        <v>5</v>
      </c>
      <c r="H2075" t="s">
        <v>5</v>
      </c>
      <c r="I2075" t="s">
        <v>3830</v>
      </c>
      <c r="J2075" t="s">
        <v>96</v>
      </c>
      <c r="K2075" s="3">
        <f t="shared" si="64"/>
        <v>0</v>
      </c>
      <c r="L2075" s="3">
        <f>IF(ISERROR(VLOOKUP(J2075,Lookups!$A$2:$A$16,1,FALSE)),1,0)</f>
        <v>0</v>
      </c>
      <c r="M2075" s="3">
        <f>IF(ISERROR(VLOOKUP(D2075,Data!$A$2:$D$223100,2,FALSE)),0,1)</f>
        <v>1</v>
      </c>
      <c r="N2075" s="3">
        <f t="shared" si="65"/>
        <v>0</v>
      </c>
      <c r="O2075" s="3" t="str">
        <f>IF(ISERROR(VLOOKUP(D2075,Data!$A$2:$C$223100,3,FALSE)),"INACTIVE",VLOOKUP(D2075,Data!$A$2:$C$223100,3,FALSE))</f>
        <v>180+</v>
      </c>
    </row>
    <row r="2076" spans="1:15" x14ac:dyDescent="0.25">
      <c r="A2076" t="s">
        <v>4641</v>
      </c>
      <c r="B2076" t="s">
        <v>4642</v>
      </c>
      <c r="C2076" t="s">
        <v>4643</v>
      </c>
      <c r="D2076" t="s">
        <v>4644</v>
      </c>
      <c r="E2076" t="s">
        <v>4645</v>
      </c>
      <c r="F2076" t="s">
        <v>5</v>
      </c>
      <c r="G2076" t="s">
        <v>5</v>
      </c>
      <c r="H2076" t="s">
        <v>5</v>
      </c>
      <c r="I2076" t="s">
        <v>3830</v>
      </c>
      <c r="J2076" t="s">
        <v>7</v>
      </c>
      <c r="K2076" s="3">
        <f t="shared" si="64"/>
        <v>0</v>
      </c>
      <c r="L2076" s="3">
        <f>IF(ISERROR(VLOOKUP(J2076,Lookups!$A$2:$A$16,1,FALSE)),1,0)</f>
        <v>1</v>
      </c>
      <c r="M2076" s="3">
        <f>IF(ISERROR(VLOOKUP(D2076,Data!$A$2:$D$223100,2,FALSE)),0,1)</f>
        <v>1</v>
      </c>
      <c r="N2076" s="3">
        <f t="shared" si="65"/>
        <v>1</v>
      </c>
      <c r="O2076" s="3" t="str">
        <f>IF(ISERROR(VLOOKUP(D2076,Data!$A$2:$C$223100,3,FALSE)),"INACTIVE",VLOOKUP(D2076,Data!$A$2:$C$223100,3,FALSE))</f>
        <v>FC</v>
      </c>
    </row>
    <row r="2077" spans="1:15" x14ac:dyDescent="0.25">
      <c r="A2077" t="s">
        <v>4641</v>
      </c>
      <c r="B2077" t="s">
        <v>4642</v>
      </c>
      <c r="C2077" t="s">
        <v>4646</v>
      </c>
      <c r="D2077" t="s">
        <v>4647</v>
      </c>
      <c r="E2077" t="s">
        <v>4648</v>
      </c>
      <c r="F2077" t="s">
        <v>5</v>
      </c>
      <c r="G2077" t="s">
        <v>5</v>
      </c>
      <c r="H2077" t="s">
        <v>5</v>
      </c>
      <c r="I2077" t="s">
        <v>3830</v>
      </c>
      <c r="J2077" t="s">
        <v>7</v>
      </c>
      <c r="K2077" s="3">
        <f t="shared" si="64"/>
        <v>0</v>
      </c>
      <c r="L2077" s="3">
        <f>IF(ISERROR(VLOOKUP(J2077,Lookups!$A$2:$A$16,1,FALSE)),1,0)</f>
        <v>1</v>
      </c>
      <c r="M2077" s="3">
        <f>IF(ISERROR(VLOOKUP(D2077,Data!$A$2:$D$223100,2,FALSE)),0,1)</f>
        <v>1</v>
      </c>
      <c r="N2077" s="3">
        <f t="shared" si="65"/>
        <v>1</v>
      </c>
      <c r="O2077" s="3" t="str">
        <f>IF(ISERROR(VLOOKUP(D2077,Data!$A$2:$C$223100,3,FALSE)),"INACTIVE",VLOOKUP(D2077,Data!$A$2:$C$223100,3,FALSE))</f>
        <v>150+</v>
      </c>
    </row>
    <row r="2078" spans="1:15" x14ac:dyDescent="0.25">
      <c r="A2078" t="s">
        <v>4641</v>
      </c>
      <c r="B2078" t="s">
        <v>4642</v>
      </c>
      <c r="C2078" t="s">
        <v>4649</v>
      </c>
      <c r="D2078" t="s">
        <v>4650</v>
      </c>
      <c r="E2078" t="s">
        <v>4651</v>
      </c>
      <c r="F2078" t="s">
        <v>5</v>
      </c>
      <c r="G2078" t="s">
        <v>5</v>
      </c>
      <c r="H2078" t="s">
        <v>5</v>
      </c>
      <c r="I2078" t="s">
        <v>3830</v>
      </c>
      <c r="J2078" t="s">
        <v>7</v>
      </c>
      <c r="K2078" s="3">
        <f t="shared" si="64"/>
        <v>0</v>
      </c>
      <c r="L2078" s="3">
        <f>IF(ISERROR(VLOOKUP(J2078,Lookups!$A$2:$A$16,1,FALSE)),1,0)</f>
        <v>1</v>
      </c>
      <c r="M2078" s="3">
        <f>IF(ISERROR(VLOOKUP(D2078,Data!$A$2:$D$223100,2,FALSE)),0,1)</f>
        <v>1</v>
      </c>
      <c r="N2078" s="3">
        <f t="shared" si="65"/>
        <v>1</v>
      </c>
      <c r="O2078" s="3" t="str">
        <f>IF(ISERROR(VLOOKUP(D2078,Data!$A$2:$C$223100,3,FALSE)),"INACTIVE",VLOOKUP(D2078,Data!$A$2:$C$223100,3,FALSE))</f>
        <v>90+</v>
      </c>
    </row>
    <row r="2079" spans="1:15" x14ac:dyDescent="0.25">
      <c r="A2079" t="s">
        <v>4641</v>
      </c>
      <c r="B2079" t="s">
        <v>4642</v>
      </c>
      <c r="C2079" t="s">
        <v>4652</v>
      </c>
      <c r="D2079" t="s">
        <v>4653</v>
      </c>
      <c r="E2079" t="s">
        <v>4654</v>
      </c>
      <c r="F2079" t="s">
        <v>5</v>
      </c>
      <c r="G2079" t="s">
        <v>5</v>
      </c>
      <c r="H2079" t="s">
        <v>5</v>
      </c>
      <c r="I2079" t="s">
        <v>3830</v>
      </c>
      <c r="J2079" t="s">
        <v>7</v>
      </c>
      <c r="K2079" s="3">
        <f t="shared" si="64"/>
        <v>0</v>
      </c>
      <c r="L2079" s="3">
        <f>IF(ISERROR(VLOOKUP(J2079,Lookups!$A$2:$A$16,1,FALSE)),1,0)</f>
        <v>1</v>
      </c>
      <c r="M2079" s="3">
        <f>IF(ISERROR(VLOOKUP(D2079,Data!$A$2:$D$223100,2,FALSE)),0,1)</f>
        <v>1</v>
      </c>
      <c r="N2079" s="3">
        <f t="shared" si="65"/>
        <v>1</v>
      </c>
      <c r="O2079" s="3" t="str">
        <f>IF(ISERROR(VLOOKUP(D2079,Data!$A$2:$C$223100,3,FALSE)),"INACTIVE",VLOOKUP(D2079,Data!$A$2:$C$223100,3,FALSE))</f>
        <v>30+</v>
      </c>
    </row>
    <row r="2080" spans="1:15" x14ac:dyDescent="0.25">
      <c r="A2080" t="s">
        <v>4687</v>
      </c>
      <c r="B2080" t="s">
        <v>4688</v>
      </c>
      <c r="C2080" t="s">
        <v>4689</v>
      </c>
      <c r="D2080" t="s">
        <v>4690</v>
      </c>
      <c r="E2080" t="s">
        <v>4691</v>
      </c>
      <c r="F2080" t="s">
        <v>5</v>
      </c>
      <c r="G2080" t="s">
        <v>5</v>
      </c>
      <c r="H2080" t="s">
        <v>5</v>
      </c>
      <c r="I2080" t="s">
        <v>3830</v>
      </c>
      <c r="J2080" t="s">
        <v>7</v>
      </c>
      <c r="K2080" s="3">
        <f t="shared" si="64"/>
        <v>0</v>
      </c>
      <c r="L2080" s="3">
        <f>IF(ISERROR(VLOOKUP(J2080,Lookups!$A$2:$A$16,1,FALSE)),1,0)</f>
        <v>1</v>
      </c>
      <c r="M2080" s="3">
        <f>IF(ISERROR(VLOOKUP(D2080,Data!$A$2:$D$223100,2,FALSE)),0,1)</f>
        <v>1</v>
      </c>
      <c r="N2080" s="3">
        <f t="shared" si="65"/>
        <v>1</v>
      </c>
      <c r="O2080" s="3" t="str">
        <f>IF(ISERROR(VLOOKUP(D2080,Data!$A$2:$C$223100,3,FALSE)),"INACTIVE",VLOOKUP(D2080,Data!$A$2:$C$223100,3,FALSE))</f>
        <v>Current</v>
      </c>
    </row>
    <row r="2081" spans="1:15" x14ac:dyDescent="0.25">
      <c r="A2081" t="s">
        <v>4687</v>
      </c>
      <c r="B2081" t="s">
        <v>4688</v>
      </c>
      <c r="C2081" t="s">
        <v>4689</v>
      </c>
      <c r="D2081" t="s">
        <v>4690</v>
      </c>
      <c r="E2081" t="s">
        <v>4692</v>
      </c>
      <c r="F2081" t="s">
        <v>5</v>
      </c>
      <c r="G2081" t="s">
        <v>5</v>
      </c>
      <c r="H2081" t="s">
        <v>5</v>
      </c>
      <c r="I2081" t="s">
        <v>3830</v>
      </c>
      <c r="J2081" t="s">
        <v>7</v>
      </c>
      <c r="K2081" s="3">
        <f t="shared" si="64"/>
        <v>0</v>
      </c>
      <c r="L2081" s="3">
        <f>IF(ISERROR(VLOOKUP(J2081,Lookups!$A$2:$A$16,1,FALSE)),1,0)</f>
        <v>1</v>
      </c>
      <c r="M2081" s="3">
        <f>IF(ISERROR(VLOOKUP(D2081,Data!$A$2:$D$223100,2,FALSE)),0,1)</f>
        <v>1</v>
      </c>
      <c r="N2081" s="3">
        <f t="shared" si="65"/>
        <v>1</v>
      </c>
      <c r="O2081" s="3" t="str">
        <f>IF(ISERROR(VLOOKUP(D2081,Data!$A$2:$C$223100,3,FALSE)),"INACTIVE",VLOOKUP(D2081,Data!$A$2:$C$223100,3,FALSE))</f>
        <v>Current</v>
      </c>
    </row>
    <row r="2082" spans="1:15" x14ac:dyDescent="0.25">
      <c r="A2082" t="s">
        <v>4687</v>
      </c>
      <c r="B2082" t="s">
        <v>4688</v>
      </c>
      <c r="C2082" t="s">
        <v>4693</v>
      </c>
      <c r="D2082" t="s">
        <v>4694</v>
      </c>
      <c r="E2082" t="s">
        <v>4695</v>
      </c>
      <c r="F2082" t="s">
        <v>5</v>
      </c>
      <c r="G2082" t="s">
        <v>5</v>
      </c>
      <c r="H2082" t="s">
        <v>5</v>
      </c>
      <c r="I2082" t="s">
        <v>3830</v>
      </c>
      <c r="J2082" t="s">
        <v>14</v>
      </c>
      <c r="K2082" s="3">
        <f t="shared" si="64"/>
        <v>0</v>
      </c>
      <c r="L2082" s="3">
        <f>IF(ISERROR(VLOOKUP(J2082,Lookups!$A$2:$A$16,1,FALSE)),1,0)</f>
        <v>1</v>
      </c>
      <c r="M2082" s="3">
        <f>IF(ISERROR(VLOOKUP(D2082,Data!$A$2:$D$223100,2,FALSE)),0,1)</f>
        <v>1</v>
      </c>
      <c r="N2082" s="3">
        <f t="shared" si="65"/>
        <v>1</v>
      </c>
      <c r="O2082" s="3" t="str">
        <f>IF(ISERROR(VLOOKUP(D2082,Data!$A$2:$C$223100,3,FALSE)),"INACTIVE",VLOOKUP(D2082,Data!$A$2:$C$223100,3,FALSE))</f>
        <v>30+</v>
      </c>
    </row>
    <row r="2083" spans="1:15" x14ac:dyDescent="0.25">
      <c r="A2083" t="s">
        <v>4687</v>
      </c>
      <c r="B2083" t="s">
        <v>4688</v>
      </c>
      <c r="C2083" t="s">
        <v>4696</v>
      </c>
      <c r="D2083" t="s">
        <v>4697</v>
      </c>
      <c r="E2083" t="s">
        <v>4698</v>
      </c>
      <c r="F2083" t="s">
        <v>5</v>
      </c>
      <c r="G2083" t="s">
        <v>5</v>
      </c>
      <c r="H2083" t="s">
        <v>5</v>
      </c>
      <c r="I2083" t="s">
        <v>3830</v>
      </c>
      <c r="J2083" t="s">
        <v>14</v>
      </c>
      <c r="K2083" s="3">
        <f t="shared" si="64"/>
        <v>0</v>
      </c>
      <c r="L2083" s="3">
        <f>IF(ISERROR(VLOOKUP(J2083,Lookups!$A$2:$A$16,1,FALSE)),1,0)</f>
        <v>1</v>
      </c>
      <c r="M2083" s="3">
        <f>IF(ISERROR(VLOOKUP(D2083,Data!$A$2:$D$223100,2,FALSE)),0,1)</f>
        <v>1</v>
      </c>
      <c r="N2083" s="3">
        <f t="shared" si="65"/>
        <v>1</v>
      </c>
      <c r="O2083" s="3" t="str">
        <f>IF(ISERROR(VLOOKUP(D2083,Data!$A$2:$C$223100,3,FALSE)),"INACTIVE",VLOOKUP(D2083,Data!$A$2:$C$223100,3,FALSE))</f>
        <v>Current</v>
      </c>
    </row>
    <row r="2084" spans="1:15" x14ac:dyDescent="0.25">
      <c r="A2084" t="s">
        <v>4687</v>
      </c>
      <c r="B2084" t="s">
        <v>4688</v>
      </c>
      <c r="C2084" t="s">
        <v>4699</v>
      </c>
      <c r="D2084" t="s">
        <v>4700</v>
      </c>
      <c r="E2084" t="s">
        <v>4701</v>
      </c>
      <c r="F2084" t="s">
        <v>5</v>
      </c>
      <c r="G2084" t="s">
        <v>5</v>
      </c>
      <c r="H2084" t="s">
        <v>5</v>
      </c>
      <c r="I2084" t="s">
        <v>3830</v>
      </c>
      <c r="J2084" t="s">
        <v>14</v>
      </c>
      <c r="K2084" s="3">
        <f t="shared" si="64"/>
        <v>0</v>
      </c>
      <c r="L2084" s="3">
        <f>IF(ISERROR(VLOOKUP(J2084,Lookups!$A$2:$A$16,1,FALSE)),1,0)</f>
        <v>1</v>
      </c>
      <c r="M2084" s="3">
        <f>IF(ISERROR(VLOOKUP(D2084,Data!$A$2:$D$223100,2,FALSE)),0,1)</f>
        <v>1</v>
      </c>
      <c r="N2084" s="3">
        <f t="shared" si="65"/>
        <v>1</v>
      </c>
      <c r="O2084" s="3" t="str">
        <f>IF(ISERROR(VLOOKUP(D2084,Data!$A$2:$C$223100,3,FALSE)),"INACTIVE",VLOOKUP(D2084,Data!$A$2:$C$223100,3,FALSE))</f>
        <v>Current</v>
      </c>
    </row>
    <row r="2085" spans="1:15" x14ac:dyDescent="0.25">
      <c r="A2085" t="s">
        <v>3728</v>
      </c>
      <c r="B2085" t="s">
        <v>3729</v>
      </c>
      <c r="C2085" t="s">
        <v>3730</v>
      </c>
      <c r="D2085" t="s">
        <v>3731</v>
      </c>
      <c r="E2085" t="s">
        <v>3732</v>
      </c>
      <c r="F2085" t="s">
        <v>5</v>
      </c>
      <c r="G2085" t="s">
        <v>5</v>
      </c>
      <c r="H2085" t="s">
        <v>5</v>
      </c>
      <c r="I2085" t="s">
        <v>3733</v>
      </c>
      <c r="J2085" t="s">
        <v>7</v>
      </c>
      <c r="K2085" s="3">
        <f t="shared" si="64"/>
        <v>0</v>
      </c>
      <c r="L2085" s="3">
        <f>IF(ISERROR(VLOOKUP(J2085,Lookups!$A$2:$A$16,1,FALSE)),1,0)</f>
        <v>1</v>
      </c>
      <c r="M2085" s="3">
        <f>IF(ISERROR(VLOOKUP(D2085,Data!$A$2:$D$223100,2,FALSE)),0,1)</f>
        <v>1</v>
      </c>
      <c r="N2085" s="3">
        <f t="shared" si="65"/>
        <v>1</v>
      </c>
      <c r="O2085" s="3" t="str">
        <f>IF(ISERROR(VLOOKUP(D2085,Data!$A$2:$C$223100,3,FALSE)),"INACTIVE",VLOOKUP(D2085,Data!$A$2:$C$223100,3,FALSE))</f>
        <v>180+</v>
      </c>
    </row>
    <row r="2086" spans="1:15" x14ac:dyDescent="0.25">
      <c r="A2086" t="s">
        <v>3728</v>
      </c>
      <c r="B2086" t="s">
        <v>3729</v>
      </c>
      <c r="C2086" t="s">
        <v>3734</v>
      </c>
      <c r="D2086" t="s">
        <v>3735</v>
      </c>
      <c r="E2086" t="s">
        <v>3736</v>
      </c>
      <c r="F2086" t="s">
        <v>5</v>
      </c>
      <c r="G2086" t="s">
        <v>5</v>
      </c>
      <c r="H2086" t="s">
        <v>5</v>
      </c>
      <c r="I2086" t="s">
        <v>3733</v>
      </c>
      <c r="J2086" t="s">
        <v>7</v>
      </c>
      <c r="K2086" s="3">
        <f t="shared" si="64"/>
        <v>0</v>
      </c>
      <c r="L2086" s="3">
        <f>IF(ISERROR(VLOOKUP(J2086,Lookups!$A$2:$A$16,1,FALSE)),1,0)</f>
        <v>1</v>
      </c>
      <c r="M2086" s="3">
        <f>IF(ISERROR(VLOOKUP(D2086,Data!$A$2:$D$223100,2,FALSE)),0,1)</f>
        <v>1</v>
      </c>
      <c r="N2086" s="3">
        <f t="shared" si="65"/>
        <v>1</v>
      </c>
      <c r="O2086" s="3" t="str">
        <f>IF(ISERROR(VLOOKUP(D2086,Data!$A$2:$C$223100,3,FALSE)),"INACTIVE",VLOOKUP(D2086,Data!$A$2:$C$223100,3,FALSE))</f>
        <v>FC</v>
      </c>
    </row>
    <row r="2087" spans="1:15" x14ac:dyDescent="0.25">
      <c r="A2087" t="s">
        <v>3839</v>
      </c>
      <c r="B2087" t="s">
        <v>3840</v>
      </c>
      <c r="C2087" t="s">
        <v>3841</v>
      </c>
      <c r="D2087" t="s">
        <v>3842</v>
      </c>
      <c r="E2087" t="s">
        <v>3843</v>
      </c>
      <c r="F2087" t="s">
        <v>5</v>
      </c>
      <c r="G2087" t="s">
        <v>5</v>
      </c>
      <c r="H2087" t="s">
        <v>5</v>
      </c>
      <c r="I2087" t="s">
        <v>3733</v>
      </c>
      <c r="J2087" t="s">
        <v>7</v>
      </c>
      <c r="K2087" s="3">
        <f t="shared" si="64"/>
        <v>0</v>
      </c>
      <c r="L2087" s="3">
        <f>IF(ISERROR(VLOOKUP(J2087,Lookups!$A$2:$A$16,1,FALSE)),1,0)</f>
        <v>1</v>
      </c>
      <c r="M2087" s="3">
        <f>IF(ISERROR(VLOOKUP(D2087,Data!$A$2:$D$223100,2,FALSE)),0,1)</f>
        <v>1</v>
      </c>
      <c r="N2087" s="3">
        <f t="shared" si="65"/>
        <v>1</v>
      </c>
      <c r="O2087" s="3" t="str">
        <f>IF(ISERROR(VLOOKUP(D2087,Data!$A$2:$C$223100,3,FALSE)),"INACTIVE",VLOOKUP(D2087,Data!$A$2:$C$223100,3,FALSE))</f>
        <v>Current</v>
      </c>
    </row>
    <row r="2088" spans="1:15" x14ac:dyDescent="0.25">
      <c r="A2088" t="s">
        <v>3839</v>
      </c>
      <c r="B2088" t="s">
        <v>3840</v>
      </c>
      <c r="C2088" t="s">
        <v>3844</v>
      </c>
      <c r="D2088" t="s">
        <v>3845</v>
      </c>
      <c r="E2088" t="s">
        <v>3846</v>
      </c>
      <c r="F2088" t="s">
        <v>5</v>
      </c>
      <c r="G2088" t="s">
        <v>5</v>
      </c>
      <c r="H2088" t="s">
        <v>5</v>
      </c>
      <c r="I2088" t="s">
        <v>3733</v>
      </c>
      <c r="J2088" t="s">
        <v>7</v>
      </c>
      <c r="K2088" s="3">
        <f t="shared" si="64"/>
        <v>0</v>
      </c>
      <c r="L2088" s="3">
        <f>IF(ISERROR(VLOOKUP(J2088,Lookups!$A$2:$A$16,1,FALSE)),1,0)</f>
        <v>1</v>
      </c>
      <c r="M2088" s="3">
        <f>IF(ISERROR(VLOOKUP(D2088,Data!$A$2:$D$223100,2,FALSE)),0,1)</f>
        <v>1</v>
      </c>
      <c r="N2088" s="3">
        <f t="shared" si="65"/>
        <v>1</v>
      </c>
      <c r="O2088" s="3" t="str">
        <f>IF(ISERROR(VLOOKUP(D2088,Data!$A$2:$C$223100,3,FALSE)),"INACTIVE",VLOOKUP(D2088,Data!$A$2:$C$223100,3,FALSE))</f>
        <v>60+</v>
      </c>
    </row>
    <row r="2089" spans="1:15" x14ac:dyDescent="0.25">
      <c r="A2089" t="s">
        <v>4234</v>
      </c>
      <c r="B2089" t="s">
        <v>4235</v>
      </c>
      <c r="C2089" t="s">
        <v>4236</v>
      </c>
      <c r="D2089" t="s">
        <v>4237</v>
      </c>
      <c r="E2089" t="s">
        <v>4238</v>
      </c>
      <c r="F2089" t="s">
        <v>5</v>
      </c>
      <c r="G2089" t="s">
        <v>5</v>
      </c>
      <c r="H2089" t="s">
        <v>5</v>
      </c>
      <c r="I2089" t="s">
        <v>3733</v>
      </c>
      <c r="J2089" t="s">
        <v>90</v>
      </c>
      <c r="K2089" s="3">
        <f t="shared" si="64"/>
        <v>0</v>
      </c>
      <c r="L2089" s="3">
        <f>IF(ISERROR(VLOOKUP(J2089,Lookups!$A$2:$A$16,1,FALSE)),1,0)</f>
        <v>0</v>
      </c>
      <c r="M2089" s="3">
        <f>IF(ISERROR(VLOOKUP(D2089,Data!$A$2:$D$223100,2,FALSE)),0,1)</f>
        <v>1</v>
      </c>
      <c r="N2089" s="3">
        <f t="shared" si="65"/>
        <v>0</v>
      </c>
      <c r="O2089" s="3" t="str">
        <f>IF(ISERROR(VLOOKUP(D2089,Data!$A$2:$C$223100,3,FALSE)),"INACTIVE",VLOOKUP(D2089,Data!$A$2:$C$223100,3,FALSE))</f>
        <v>FC</v>
      </c>
    </row>
    <row r="2090" spans="1:15" x14ac:dyDescent="0.25">
      <c r="A2090" t="s">
        <v>4234</v>
      </c>
      <c r="B2090" t="s">
        <v>4235</v>
      </c>
      <c r="C2090" t="s">
        <v>4236</v>
      </c>
      <c r="D2090" t="s">
        <v>4237</v>
      </c>
      <c r="E2090" t="s">
        <v>4239</v>
      </c>
      <c r="F2090" t="s">
        <v>5</v>
      </c>
      <c r="G2090" t="s">
        <v>5</v>
      </c>
      <c r="H2090" t="s">
        <v>5</v>
      </c>
      <c r="I2090" t="s">
        <v>3733</v>
      </c>
      <c r="J2090" t="s">
        <v>90</v>
      </c>
      <c r="K2090" s="3">
        <f t="shared" si="64"/>
        <v>0</v>
      </c>
      <c r="L2090" s="3">
        <f>IF(ISERROR(VLOOKUP(J2090,Lookups!$A$2:$A$16,1,FALSE)),1,0)</f>
        <v>0</v>
      </c>
      <c r="M2090" s="3">
        <f>IF(ISERROR(VLOOKUP(D2090,Data!$A$2:$D$223100,2,FALSE)),0,1)</f>
        <v>1</v>
      </c>
      <c r="N2090" s="3">
        <f t="shared" si="65"/>
        <v>0</v>
      </c>
      <c r="O2090" s="3" t="str">
        <f>IF(ISERROR(VLOOKUP(D2090,Data!$A$2:$C$223100,3,FALSE)),"INACTIVE",VLOOKUP(D2090,Data!$A$2:$C$223100,3,FALSE))</f>
        <v>FC</v>
      </c>
    </row>
    <row r="2091" spans="1:15" x14ac:dyDescent="0.25">
      <c r="A2091" t="s">
        <v>4234</v>
      </c>
      <c r="B2091" t="s">
        <v>4235</v>
      </c>
      <c r="C2091" t="s">
        <v>4240</v>
      </c>
      <c r="D2091" t="s">
        <v>4241</v>
      </c>
      <c r="E2091" t="s">
        <v>4242</v>
      </c>
      <c r="F2091" t="s">
        <v>5</v>
      </c>
      <c r="G2091" t="s">
        <v>5</v>
      </c>
      <c r="H2091" t="s">
        <v>5</v>
      </c>
      <c r="I2091" t="s">
        <v>3733</v>
      </c>
      <c r="J2091" t="s">
        <v>7</v>
      </c>
      <c r="K2091" s="3">
        <f t="shared" si="64"/>
        <v>0</v>
      </c>
      <c r="L2091" s="3">
        <f>IF(ISERROR(VLOOKUP(J2091,Lookups!$A$2:$A$16,1,FALSE)),1,0)</f>
        <v>1</v>
      </c>
      <c r="M2091" s="3">
        <f>IF(ISERROR(VLOOKUP(D2091,Data!$A$2:$D$223100,2,FALSE)),0,1)</f>
        <v>1</v>
      </c>
      <c r="N2091" s="3">
        <f t="shared" si="65"/>
        <v>1</v>
      </c>
      <c r="O2091" s="3" t="str">
        <f>IF(ISERROR(VLOOKUP(D2091,Data!$A$2:$C$223100,3,FALSE)),"INACTIVE",VLOOKUP(D2091,Data!$A$2:$C$223100,3,FALSE))</f>
        <v>FC</v>
      </c>
    </row>
    <row r="2092" spans="1:15" x14ac:dyDescent="0.25">
      <c r="A2092" t="s">
        <v>4234</v>
      </c>
      <c r="B2092" t="s">
        <v>4235</v>
      </c>
      <c r="C2092" t="s">
        <v>4243</v>
      </c>
      <c r="D2092" t="s">
        <v>4244</v>
      </c>
      <c r="E2092" t="s">
        <v>4245</v>
      </c>
      <c r="F2092" t="s">
        <v>5</v>
      </c>
      <c r="G2092" t="s">
        <v>5</v>
      </c>
      <c r="H2092" t="s">
        <v>5</v>
      </c>
      <c r="I2092" t="s">
        <v>3733</v>
      </c>
      <c r="J2092" t="s">
        <v>7</v>
      </c>
      <c r="K2092" s="3">
        <f t="shared" si="64"/>
        <v>0</v>
      </c>
      <c r="L2092" s="3">
        <f>IF(ISERROR(VLOOKUP(J2092,Lookups!$A$2:$A$16,1,FALSE)),1,0)</f>
        <v>1</v>
      </c>
      <c r="M2092" s="3">
        <f>IF(ISERROR(VLOOKUP(D2092,Data!$A$2:$D$223100,2,FALSE)),0,1)</f>
        <v>1</v>
      </c>
      <c r="N2092" s="3">
        <f t="shared" si="65"/>
        <v>1</v>
      </c>
      <c r="O2092" s="3" t="str">
        <f>IF(ISERROR(VLOOKUP(D2092,Data!$A$2:$C$223100,3,FALSE)),"INACTIVE",VLOOKUP(D2092,Data!$A$2:$C$223100,3,FALSE))</f>
        <v>FC</v>
      </c>
    </row>
    <row r="2093" spans="1:15" x14ac:dyDescent="0.25">
      <c r="A2093" t="s">
        <v>4234</v>
      </c>
      <c r="B2093" t="s">
        <v>4235</v>
      </c>
      <c r="C2093" t="s">
        <v>4246</v>
      </c>
      <c r="D2093" t="s">
        <v>4247</v>
      </c>
      <c r="E2093" t="s">
        <v>4248</v>
      </c>
      <c r="F2093" t="s">
        <v>5</v>
      </c>
      <c r="G2093" t="s">
        <v>5</v>
      </c>
      <c r="H2093" t="s">
        <v>5</v>
      </c>
      <c r="I2093" t="s">
        <v>3733</v>
      </c>
      <c r="J2093" t="s">
        <v>7</v>
      </c>
      <c r="K2093" s="3">
        <f t="shared" si="64"/>
        <v>0</v>
      </c>
      <c r="L2093" s="3">
        <f>IF(ISERROR(VLOOKUP(J2093,Lookups!$A$2:$A$16,1,FALSE)),1,0)</f>
        <v>1</v>
      </c>
      <c r="M2093" s="3">
        <f>IF(ISERROR(VLOOKUP(D2093,Data!$A$2:$D$223100,2,FALSE)),0,1)</f>
        <v>1</v>
      </c>
      <c r="N2093" s="3">
        <f t="shared" si="65"/>
        <v>1</v>
      </c>
      <c r="O2093" s="3" t="str">
        <f>IF(ISERROR(VLOOKUP(D2093,Data!$A$2:$C$223100,3,FALSE)),"INACTIVE",VLOOKUP(D2093,Data!$A$2:$C$223100,3,FALSE))</f>
        <v>180+</v>
      </c>
    </row>
    <row r="2094" spans="1:15" x14ac:dyDescent="0.25">
      <c r="A2094" t="s">
        <v>4303</v>
      </c>
      <c r="B2094" t="s">
        <v>4304</v>
      </c>
      <c r="C2094" t="s">
        <v>4305</v>
      </c>
      <c r="D2094" t="s">
        <v>4306</v>
      </c>
      <c r="E2094" t="s">
        <v>4307</v>
      </c>
      <c r="F2094" t="s">
        <v>5</v>
      </c>
      <c r="G2094" t="s">
        <v>5</v>
      </c>
      <c r="H2094" t="s">
        <v>5</v>
      </c>
      <c r="I2094" t="s">
        <v>3733</v>
      </c>
      <c r="J2094" t="s">
        <v>7</v>
      </c>
      <c r="K2094" s="3">
        <f t="shared" si="64"/>
        <v>0</v>
      </c>
      <c r="L2094" s="3">
        <f>IF(ISERROR(VLOOKUP(J2094,Lookups!$A$2:$A$16,1,FALSE)),1,0)</f>
        <v>1</v>
      </c>
      <c r="M2094" s="3">
        <f>IF(ISERROR(VLOOKUP(D2094,Data!$A$2:$D$223100,2,FALSE)),0,1)</f>
        <v>1</v>
      </c>
      <c r="N2094" s="3">
        <f t="shared" si="65"/>
        <v>1</v>
      </c>
      <c r="O2094" s="3" t="str">
        <f>IF(ISERROR(VLOOKUP(D2094,Data!$A$2:$C$223100,3,FALSE)),"INACTIVE",VLOOKUP(D2094,Data!$A$2:$C$223100,3,FALSE))</f>
        <v>FC</v>
      </c>
    </row>
    <row r="2095" spans="1:15" x14ac:dyDescent="0.25">
      <c r="A2095" t="s">
        <v>4303</v>
      </c>
      <c r="B2095" t="s">
        <v>4304</v>
      </c>
      <c r="C2095" t="s">
        <v>4308</v>
      </c>
      <c r="D2095" t="s">
        <v>4309</v>
      </c>
      <c r="E2095" t="s">
        <v>4310</v>
      </c>
      <c r="F2095" t="s">
        <v>5</v>
      </c>
      <c r="G2095" t="s">
        <v>5</v>
      </c>
      <c r="H2095" t="s">
        <v>5</v>
      </c>
      <c r="I2095" t="s">
        <v>3733</v>
      </c>
      <c r="J2095" t="s">
        <v>7</v>
      </c>
      <c r="K2095" s="3">
        <f t="shared" si="64"/>
        <v>0</v>
      </c>
      <c r="L2095" s="3">
        <f>IF(ISERROR(VLOOKUP(J2095,Lookups!$A$2:$A$16,1,FALSE)),1,0)</f>
        <v>1</v>
      </c>
      <c r="M2095" s="3">
        <f>IF(ISERROR(VLOOKUP(D2095,Data!$A$2:$D$223100,2,FALSE)),0,1)</f>
        <v>1</v>
      </c>
      <c r="N2095" s="3">
        <f t="shared" si="65"/>
        <v>1</v>
      </c>
      <c r="O2095" s="3" t="str">
        <f>IF(ISERROR(VLOOKUP(D2095,Data!$A$2:$C$223100,3,FALSE)),"INACTIVE",VLOOKUP(D2095,Data!$A$2:$C$223100,3,FALSE))</f>
        <v>180+</v>
      </c>
    </row>
    <row r="2096" spans="1:15" x14ac:dyDescent="0.25">
      <c r="A2096" t="s">
        <v>4303</v>
      </c>
      <c r="B2096" t="s">
        <v>4304</v>
      </c>
      <c r="C2096" t="s">
        <v>4311</v>
      </c>
      <c r="D2096" t="s">
        <v>4312</v>
      </c>
      <c r="E2096" t="s">
        <v>4313</v>
      </c>
      <c r="F2096" t="s">
        <v>5</v>
      </c>
      <c r="G2096" t="s">
        <v>5</v>
      </c>
      <c r="H2096" t="s">
        <v>5</v>
      </c>
      <c r="I2096" t="s">
        <v>3733</v>
      </c>
      <c r="J2096" t="s">
        <v>7</v>
      </c>
      <c r="K2096" s="3">
        <f t="shared" si="64"/>
        <v>0</v>
      </c>
      <c r="L2096" s="3">
        <f>IF(ISERROR(VLOOKUP(J2096,Lookups!$A$2:$A$16,1,FALSE)),1,0)</f>
        <v>1</v>
      </c>
      <c r="M2096" s="3">
        <f>IF(ISERROR(VLOOKUP(D2096,Data!$A$2:$D$223100,2,FALSE)),0,1)</f>
        <v>1</v>
      </c>
      <c r="N2096" s="3">
        <f t="shared" si="65"/>
        <v>1</v>
      </c>
      <c r="O2096" s="3" t="str">
        <f>IF(ISERROR(VLOOKUP(D2096,Data!$A$2:$C$223100,3,FALSE)),"INACTIVE",VLOOKUP(D2096,Data!$A$2:$C$223100,3,FALSE))</f>
        <v>FC</v>
      </c>
    </row>
    <row r="2097" spans="1:15" x14ac:dyDescent="0.25">
      <c r="A2097" t="s">
        <v>4303</v>
      </c>
      <c r="B2097" t="s">
        <v>4304</v>
      </c>
      <c r="C2097" t="s">
        <v>4314</v>
      </c>
      <c r="D2097" t="s">
        <v>4315</v>
      </c>
      <c r="E2097" t="s">
        <v>4316</v>
      </c>
      <c r="F2097" t="s">
        <v>5</v>
      </c>
      <c r="G2097" t="s">
        <v>5</v>
      </c>
      <c r="H2097" t="s">
        <v>5</v>
      </c>
      <c r="I2097" t="s">
        <v>3733</v>
      </c>
      <c r="J2097" t="s">
        <v>7</v>
      </c>
      <c r="K2097" s="3">
        <f t="shared" si="64"/>
        <v>0</v>
      </c>
      <c r="L2097" s="3">
        <f>IF(ISERROR(VLOOKUP(J2097,Lookups!$A$2:$A$16,1,FALSE)),1,0)</f>
        <v>1</v>
      </c>
      <c r="M2097" s="3">
        <f>IF(ISERROR(VLOOKUP(D2097,Data!$A$2:$D$223100,2,FALSE)),0,1)</f>
        <v>1</v>
      </c>
      <c r="N2097" s="3">
        <f t="shared" si="65"/>
        <v>1</v>
      </c>
      <c r="O2097" s="3" t="str">
        <f>IF(ISERROR(VLOOKUP(D2097,Data!$A$2:$C$223100,3,FALSE)),"INACTIVE",VLOOKUP(D2097,Data!$A$2:$C$223100,3,FALSE))</f>
        <v>150+</v>
      </c>
    </row>
    <row r="2098" spans="1:15" x14ac:dyDescent="0.25">
      <c r="A2098" t="s">
        <v>4303</v>
      </c>
      <c r="B2098" t="s">
        <v>4304</v>
      </c>
      <c r="C2098" t="s">
        <v>4317</v>
      </c>
      <c r="D2098" t="s">
        <v>4318</v>
      </c>
      <c r="E2098" t="s">
        <v>4319</v>
      </c>
      <c r="F2098" t="s">
        <v>5</v>
      </c>
      <c r="G2098" t="s">
        <v>5</v>
      </c>
      <c r="H2098" t="s">
        <v>5</v>
      </c>
      <c r="I2098" t="s">
        <v>3733</v>
      </c>
      <c r="J2098" t="s">
        <v>7</v>
      </c>
      <c r="K2098" s="3">
        <f t="shared" si="64"/>
        <v>0</v>
      </c>
      <c r="L2098" s="3">
        <f>IF(ISERROR(VLOOKUP(J2098,Lookups!$A$2:$A$16,1,FALSE)),1,0)</f>
        <v>1</v>
      </c>
      <c r="M2098" s="3">
        <f>IF(ISERROR(VLOOKUP(D2098,Data!$A$2:$D$223100,2,FALSE)),0,1)</f>
        <v>1</v>
      </c>
      <c r="N2098" s="3">
        <f t="shared" si="65"/>
        <v>1</v>
      </c>
      <c r="O2098" s="3" t="str">
        <f>IF(ISERROR(VLOOKUP(D2098,Data!$A$2:$C$223100,3,FALSE)),"INACTIVE",VLOOKUP(D2098,Data!$A$2:$C$223100,3,FALSE))</f>
        <v>FC</v>
      </c>
    </row>
    <row r="2099" spans="1:15" x14ac:dyDescent="0.25">
      <c r="A2099" t="s">
        <v>4303</v>
      </c>
      <c r="B2099" t="s">
        <v>4304</v>
      </c>
      <c r="C2099" t="s">
        <v>4320</v>
      </c>
      <c r="D2099" t="s">
        <v>4321</v>
      </c>
      <c r="E2099" t="s">
        <v>4322</v>
      </c>
      <c r="F2099" t="s">
        <v>5</v>
      </c>
      <c r="G2099" t="s">
        <v>5</v>
      </c>
      <c r="H2099" t="s">
        <v>5</v>
      </c>
      <c r="I2099" t="s">
        <v>3733</v>
      </c>
      <c r="J2099" t="s">
        <v>7</v>
      </c>
      <c r="K2099" s="3">
        <f t="shared" si="64"/>
        <v>0</v>
      </c>
      <c r="L2099" s="3">
        <f>IF(ISERROR(VLOOKUP(J2099,Lookups!$A$2:$A$16,1,FALSE)),1,0)</f>
        <v>1</v>
      </c>
      <c r="M2099" s="3">
        <f>IF(ISERROR(VLOOKUP(D2099,Data!$A$2:$D$223100,2,FALSE)),0,1)</f>
        <v>1</v>
      </c>
      <c r="N2099" s="3">
        <f t="shared" si="65"/>
        <v>1</v>
      </c>
      <c r="O2099" s="3" t="str">
        <f>IF(ISERROR(VLOOKUP(D2099,Data!$A$2:$C$223100,3,FALSE)),"INACTIVE",VLOOKUP(D2099,Data!$A$2:$C$223100,3,FALSE))</f>
        <v>FC</v>
      </c>
    </row>
    <row r="2100" spans="1:15" x14ac:dyDescent="0.25">
      <c r="A2100" t="s">
        <v>4303</v>
      </c>
      <c r="B2100" t="s">
        <v>4304</v>
      </c>
      <c r="C2100" t="s">
        <v>4323</v>
      </c>
      <c r="D2100" t="s">
        <v>4324</v>
      </c>
      <c r="E2100" t="s">
        <v>4325</v>
      </c>
      <c r="F2100" t="s">
        <v>5</v>
      </c>
      <c r="G2100" t="s">
        <v>5</v>
      </c>
      <c r="H2100" t="s">
        <v>5</v>
      </c>
      <c r="I2100" t="s">
        <v>3733</v>
      </c>
      <c r="J2100" t="s">
        <v>7</v>
      </c>
      <c r="K2100" s="3">
        <f t="shared" si="64"/>
        <v>0</v>
      </c>
      <c r="L2100" s="3">
        <f>IF(ISERROR(VLOOKUP(J2100,Lookups!$A$2:$A$16,1,FALSE)),1,0)</f>
        <v>1</v>
      </c>
      <c r="M2100" s="3">
        <f>IF(ISERROR(VLOOKUP(D2100,Data!$A$2:$D$223100,2,FALSE)),0,1)</f>
        <v>1</v>
      </c>
      <c r="N2100" s="3">
        <f t="shared" si="65"/>
        <v>1</v>
      </c>
      <c r="O2100" s="3" t="str">
        <f>IF(ISERROR(VLOOKUP(D2100,Data!$A$2:$C$223100,3,FALSE)),"INACTIVE",VLOOKUP(D2100,Data!$A$2:$C$223100,3,FALSE))</f>
        <v>FC</v>
      </c>
    </row>
    <row r="2101" spans="1:15" x14ac:dyDescent="0.25">
      <c r="A2101" t="s">
        <v>4303</v>
      </c>
      <c r="B2101" t="s">
        <v>4304</v>
      </c>
      <c r="C2101" t="s">
        <v>4326</v>
      </c>
      <c r="D2101" t="s">
        <v>4327</v>
      </c>
      <c r="E2101" t="s">
        <v>4328</v>
      </c>
      <c r="F2101" t="s">
        <v>5</v>
      </c>
      <c r="G2101" t="s">
        <v>5</v>
      </c>
      <c r="H2101" t="s">
        <v>5</v>
      </c>
      <c r="I2101" t="s">
        <v>3733</v>
      </c>
      <c r="J2101" t="s">
        <v>7</v>
      </c>
      <c r="K2101" s="3">
        <f t="shared" si="64"/>
        <v>0</v>
      </c>
      <c r="L2101" s="3">
        <f>IF(ISERROR(VLOOKUP(J2101,Lookups!$A$2:$A$16,1,FALSE)),1,0)</f>
        <v>1</v>
      </c>
      <c r="M2101" s="3">
        <f>IF(ISERROR(VLOOKUP(D2101,Data!$A$2:$D$223100,2,FALSE)),0,1)</f>
        <v>1</v>
      </c>
      <c r="N2101" s="3">
        <f t="shared" si="65"/>
        <v>1</v>
      </c>
      <c r="O2101" s="3" t="str">
        <f>IF(ISERROR(VLOOKUP(D2101,Data!$A$2:$C$223100,3,FALSE)),"INACTIVE",VLOOKUP(D2101,Data!$A$2:$C$223100,3,FALSE))</f>
        <v>FC</v>
      </c>
    </row>
    <row r="2102" spans="1:15" x14ac:dyDescent="0.25">
      <c r="A2102" t="s">
        <v>4303</v>
      </c>
      <c r="B2102" t="s">
        <v>4304</v>
      </c>
      <c r="C2102" t="s">
        <v>4329</v>
      </c>
      <c r="D2102" t="s">
        <v>4330</v>
      </c>
      <c r="E2102" t="s">
        <v>4331</v>
      </c>
      <c r="F2102" t="s">
        <v>5</v>
      </c>
      <c r="G2102" t="s">
        <v>5</v>
      </c>
      <c r="H2102" t="s">
        <v>5</v>
      </c>
      <c r="I2102" t="s">
        <v>3733</v>
      </c>
      <c r="J2102" t="s">
        <v>7</v>
      </c>
      <c r="K2102" s="3">
        <f t="shared" si="64"/>
        <v>0</v>
      </c>
      <c r="L2102" s="3">
        <f>IF(ISERROR(VLOOKUP(J2102,Lookups!$A$2:$A$16,1,FALSE)),1,0)</f>
        <v>1</v>
      </c>
      <c r="M2102" s="3">
        <f>IF(ISERROR(VLOOKUP(D2102,Data!$A$2:$D$223100,2,FALSE)),0,1)</f>
        <v>1</v>
      </c>
      <c r="N2102" s="3">
        <f t="shared" si="65"/>
        <v>1</v>
      </c>
      <c r="O2102" s="3" t="str">
        <f>IF(ISERROR(VLOOKUP(D2102,Data!$A$2:$C$223100,3,FALSE)),"INACTIVE",VLOOKUP(D2102,Data!$A$2:$C$223100,3,FALSE))</f>
        <v>PP</v>
      </c>
    </row>
    <row r="2103" spans="1:15" x14ac:dyDescent="0.25">
      <c r="A2103" t="s">
        <v>4553</v>
      </c>
      <c r="B2103" t="s">
        <v>4554</v>
      </c>
      <c r="C2103" t="s">
        <v>4555</v>
      </c>
      <c r="D2103" t="s">
        <v>4556</v>
      </c>
      <c r="E2103" t="s">
        <v>4557</v>
      </c>
      <c r="F2103" t="s">
        <v>5</v>
      </c>
      <c r="G2103" t="s">
        <v>5</v>
      </c>
      <c r="H2103" t="s">
        <v>5</v>
      </c>
      <c r="I2103" t="s">
        <v>3733</v>
      </c>
      <c r="J2103" t="s">
        <v>7</v>
      </c>
      <c r="K2103" s="3">
        <f t="shared" si="64"/>
        <v>0</v>
      </c>
      <c r="L2103" s="3">
        <f>IF(ISERROR(VLOOKUP(J2103,Lookups!$A$2:$A$16,1,FALSE)),1,0)</f>
        <v>1</v>
      </c>
      <c r="M2103" s="3">
        <f>IF(ISERROR(VLOOKUP(D2103,Data!$A$2:$D$223100,2,FALSE)),0,1)</f>
        <v>1</v>
      </c>
      <c r="N2103" s="3">
        <f t="shared" si="65"/>
        <v>1</v>
      </c>
      <c r="O2103" s="3" t="str">
        <f>IF(ISERROR(VLOOKUP(D2103,Data!$A$2:$C$223100,3,FALSE)),"INACTIVE",VLOOKUP(D2103,Data!$A$2:$C$223100,3,FALSE))</f>
        <v>90+</v>
      </c>
    </row>
    <row r="2104" spans="1:15" x14ac:dyDescent="0.25">
      <c r="A2104" t="s">
        <v>3916</v>
      </c>
      <c r="B2104" t="s">
        <v>3917</v>
      </c>
      <c r="C2104" t="s">
        <v>3918</v>
      </c>
      <c r="D2104" t="s">
        <v>3919</v>
      </c>
      <c r="E2104" t="s">
        <v>3920</v>
      </c>
      <c r="F2104" t="s">
        <v>5</v>
      </c>
      <c r="G2104" t="s">
        <v>5</v>
      </c>
      <c r="H2104" t="s">
        <v>5</v>
      </c>
      <c r="I2104" t="s">
        <v>3921</v>
      </c>
      <c r="J2104" t="s">
        <v>96</v>
      </c>
      <c r="K2104" s="3">
        <f t="shared" si="64"/>
        <v>0</v>
      </c>
      <c r="L2104" s="3">
        <f>IF(ISERROR(VLOOKUP(J2104,Lookups!$A$2:$A$16,1,FALSE)),1,0)</f>
        <v>0</v>
      </c>
      <c r="M2104" s="3">
        <f>IF(ISERROR(VLOOKUP(D2104,Data!$A$2:$D$223100,2,FALSE)),0,1)</f>
        <v>0</v>
      </c>
      <c r="N2104" s="3">
        <f t="shared" si="65"/>
        <v>0</v>
      </c>
      <c r="O2104" s="3" t="str">
        <f>IF(ISERROR(VLOOKUP(D2104,Data!$A$2:$C$223100,3,FALSE)),"INACTIVE",VLOOKUP(D2104,Data!$A$2:$C$223100,3,FALSE))</f>
        <v>INACTIVE</v>
      </c>
    </row>
    <row r="2105" spans="1:15" x14ac:dyDescent="0.25">
      <c r="A2105" t="s">
        <v>3916</v>
      </c>
      <c r="B2105" t="s">
        <v>3917</v>
      </c>
      <c r="C2105" t="s">
        <v>3918</v>
      </c>
      <c r="D2105" t="s">
        <v>3919</v>
      </c>
      <c r="E2105" t="s">
        <v>3920</v>
      </c>
      <c r="F2105" t="s">
        <v>5</v>
      </c>
      <c r="G2105" t="s">
        <v>5</v>
      </c>
      <c r="H2105" t="s">
        <v>5</v>
      </c>
      <c r="I2105" t="s">
        <v>3921</v>
      </c>
      <c r="J2105" t="s">
        <v>96</v>
      </c>
      <c r="K2105" s="3">
        <f t="shared" si="64"/>
        <v>0</v>
      </c>
      <c r="L2105" s="3">
        <f>IF(ISERROR(VLOOKUP(J2105,Lookups!$A$2:$A$16,1,FALSE)),1,0)</f>
        <v>0</v>
      </c>
      <c r="M2105" s="3">
        <f>IF(ISERROR(VLOOKUP(D2105,Data!$A$2:$D$223100,2,FALSE)),0,1)</f>
        <v>0</v>
      </c>
      <c r="N2105" s="3">
        <f t="shared" si="65"/>
        <v>0</v>
      </c>
      <c r="O2105" s="3" t="str">
        <f>IF(ISERROR(VLOOKUP(D2105,Data!$A$2:$C$223100,3,FALSE)),"INACTIVE",VLOOKUP(D2105,Data!$A$2:$C$223100,3,FALSE))</f>
        <v>INACTIVE</v>
      </c>
    </row>
    <row r="2106" spans="1:15" x14ac:dyDescent="0.25">
      <c r="A2106" t="s">
        <v>3916</v>
      </c>
      <c r="B2106" t="s">
        <v>3917</v>
      </c>
      <c r="C2106" t="s">
        <v>3918</v>
      </c>
      <c r="D2106" t="s">
        <v>3919</v>
      </c>
      <c r="E2106" t="s">
        <v>3920</v>
      </c>
      <c r="F2106" t="s">
        <v>5</v>
      </c>
      <c r="G2106" t="s">
        <v>5</v>
      </c>
      <c r="H2106" t="s">
        <v>5</v>
      </c>
      <c r="I2106" t="s">
        <v>3921</v>
      </c>
      <c r="J2106" t="s">
        <v>96</v>
      </c>
      <c r="K2106" s="3">
        <f t="shared" si="64"/>
        <v>0</v>
      </c>
      <c r="L2106" s="3">
        <f>IF(ISERROR(VLOOKUP(J2106,Lookups!$A$2:$A$16,1,FALSE)),1,0)</f>
        <v>0</v>
      </c>
      <c r="M2106" s="3">
        <f>IF(ISERROR(VLOOKUP(D2106,Data!$A$2:$D$223100,2,FALSE)),0,1)</f>
        <v>0</v>
      </c>
      <c r="N2106" s="3">
        <f t="shared" si="65"/>
        <v>0</v>
      </c>
      <c r="O2106" s="3" t="str">
        <f>IF(ISERROR(VLOOKUP(D2106,Data!$A$2:$C$223100,3,FALSE)),"INACTIVE",VLOOKUP(D2106,Data!$A$2:$C$223100,3,FALSE))</f>
        <v>INACTIVE</v>
      </c>
    </row>
    <row r="2107" spans="1:15" x14ac:dyDescent="0.25">
      <c r="A2107" t="s">
        <v>3916</v>
      </c>
      <c r="B2107" t="s">
        <v>3917</v>
      </c>
      <c r="C2107" t="s">
        <v>3918</v>
      </c>
      <c r="D2107" t="s">
        <v>3919</v>
      </c>
      <c r="E2107" t="s">
        <v>3920</v>
      </c>
      <c r="F2107" t="s">
        <v>5</v>
      </c>
      <c r="G2107" t="s">
        <v>5</v>
      </c>
      <c r="H2107" t="s">
        <v>5</v>
      </c>
      <c r="I2107" t="s">
        <v>3921</v>
      </c>
      <c r="J2107" t="s">
        <v>96</v>
      </c>
      <c r="K2107" s="3">
        <f t="shared" si="64"/>
        <v>0</v>
      </c>
      <c r="L2107" s="3">
        <f>IF(ISERROR(VLOOKUP(J2107,Lookups!$A$2:$A$16,1,FALSE)),1,0)</f>
        <v>0</v>
      </c>
      <c r="M2107" s="3">
        <f>IF(ISERROR(VLOOKUP(D2107,Data!$A$2:$D$223100,2,FALSE)),0,1)</f>
        <v>0</v>
      </c>
      <c r="N2107" s="3">
        <f t="shared" si="65"/>
        <v>0</v>
      </c>
      <c r="O2107" s="3" t="str">
        <f>IF(ISERROR(VLOOKUP(D2107,Data!$A$2:$C$223100,3,FALSE)),"INACTIVE",VLOOKUP(D2107,Data!$A$2:$C$223100,3,FALSE))</f>
        <v>INACTIVE</v>
      </c>
    </row>
    <row r="2108" spans="1:15" x14ac:dyDescent="0.25">
      <c r="A2108" t="s">
        <v>3935</v>
      </c>
      <c r="B2108" t="s">
        <v>3936</v>
      </c>
      <c r="C2108" t="s">
        <v>3937</v>
      </c>
      <c r="D2108" t="s">
        <v>3938</v>
      </c>
      <c r="E2108" t="s">
        <v>3939</v>
      </c>
      <c r="F2108" t="s">
        <v>5</v>
      </c>
      <c r="G2108" t="s">
        <v>5</v>
      </c>
      <c r="H2108" t="s">
        <v>5</v>
      </c>
      <c r="I2108" t="s">
        <v>3921</v>
      </c>
      <c r="J2108" t="s">
        <v>96</v>
      </c>
      <c r="K2108" s="3">
        <f t="shared" si="64"/>
        <v>0</v>
      </c>
      <c r="L2108" s="3">
        <f>IF(ISERROR(VLOOKUP(J2108,Lookups!$A$2:$A$16,1,FALSE)),1,0)</f>
        <v>0</v>
      </c>
      <c r="M2108" s="3">
        <f>IF(ISERROR(VLOOKUP(D2108,Data!$A$2:$D$223100,2,FALSE)),0,1)</f>
        <v>1</v>
      </c>
      <c r="N2108" s="3">
        <f t="shared" si="65"/>
        <v>0</v>
      </c>
      <c r="O2108" s="3" t="str">
        <f>IF(ISERROR(VLOOKUP(D2108,Data!$A$2:$C$223100,3,FALSE)),"INACTIVE",VLOOKUP(D2108,Data!$A$2:$C$223100,3,FALSE))</f>
        <v>30+</v>
      </c>
    </row>
    <row r="2109" spans="1:15" x14ac:dyDescent="0.25">
      <c r="A2109" t="s">
        <v>3935</v>
      </c>
      <c r="B2109" t="s">
        <v>3936</v>
      </c>
      <c r="C2109" t="s">
        <v>3937</v>
      </c>
      <c r="D2109" t="s">
        <v>3938</v>
      </c>
      <c r="E2109" t="s">
        <v>3940</v>
      </c>
      <c r="F2109" t="s">
        <v>5</v>
      </c>
      <c r="G2109" t="s">
        <v>5</v>
      </c>
      <c r="H2109" t="s">
        <v>5</v>
      </c>
      <c r="I2109" t="s">
        <v>3921</v>
      </c>
      <c r="J2109" t="s">
        <v>96</v>
      </c>
      <c r="K2109" s="3">
        <f t="shared" si="64"/>
        <v>0</v>
      </c>
      <c r="L2109" s="3">
        <f>IF(ISERROR(VLOOKUP(J2109,Lookups!$A$2:$A$16,1,FALSE)),1,0)</f>
        <v>0</v>
      </c>
      <c r="M2109" s="3">
        <f>IF(ISERROR(VLOOKUP(D2109,Data!$A$2:$D$223100,2,FALSE)),0,1)</f>
        <v>1</v>
      </c>
      <c r="N2109" s="3">
        <f t="shared" si="65"/>
        <v>0</v>
      </c>
      <c r="O2109" s="3" t="str">
        <f>IF(ISERROR(VLOOKUP(D2109,Data!$A$2:$C$223100,3,FALSE)),"INACTIVE",VLOOKUP(D2109,Data!$A$2:$C$223100,3,FALSE))</f>
        <v>30+</v>
      </c>
    </row>
    <row r="2110" spans="1:15" x14ac:dyDescent="0.25">
      <c r="A2110" t="s">
        <v>3935</v>
      </c>
      <c r="B2110" t="s">
        <v>3936</v>
      </c>
      <c r="C2110" t="s">
        <v>3941</v>
      </c>
      <c r="D2110" t="s">
        <v>3942</v>
      </c>
      <c r="E2110" t="s">
        <v>3943</v>
      </c>
      <c r="F2110" t="s">
        <v>5</v>
      </c>
      <c r="G2110" t="s">
        <v>5</v>
      </c>
      <c r="H2110" t="s">
        <v>5</v>
      </c>
      <c r="I2110" t="s">
        <v>3921</v>
      </c>
      <c r="J2110" t="s">
        <v>96</v>
      </c>
      <c r="K2110" s="3">
        <f t="shared" si="64"/>
        <v>0</v>
      </c>
      <c r="L2110" s="3">
        <f>IF(ISERROR(VLOOKUP(J2110,Lookups!$A$2:$A$16,1,FALSE)),1,0)</f>
        <v>0</v>
      </c>
      <c r="M2110" s="3">
        <f>IF(ISERROR(VLOOKUP(D2110,Data!$A$2:$D$223100,2,FALSE)),0,1)</f>
        <v>1</v>
      </c>
      <c r="N2110" s="3">
        <f t="shared" si="65"/>
        <v>0</v>
      </c>
      <c r="O2110" s="3" t="str">
        <f>IF(ISERROR(VLOOKUP(D2110,Data!$A$2:$C$223100,3,FALSE)),"INACTIVE",VLOOKUP(D2110,Data!$A$2:$C$223100,3,FALSE))</f>
        <v>BK13</v>
      </c>
    </row>
    <row r="2111" spans="1:15" x14ac:dyDescent="0.25">
      <c r="A2111" t="s">
        <v>3935</v>
      </c>
      <c r="B2111" t="s">
        <v>3936</v>
      </c>
      <c r="C2111" t="s">
        <v>3941</v>
      </c>
      <c r="D2111" t="s">
        <v>3942</v>
      </c>
      <c r="E2111" t="s">
        <v>3944</v>
      </c>
      <c r="F2111" t="s">
        <v>5</v>
      </c>
      <c r="G2111" t="s">
        <v>5</v>
      </c>
      <c r="H2111" t="s">
        <v>5</v>
      </c>
      <c r="I2111" t="s">
        <v>3921</v>
      </c>
      <c r="J2111" t="s">
        <v>96</v>
      </c>
      <c r="K2111" s="3">
        <f t="shared" si="64"/>
        <v>0</v>
      </c>
      <c r="L2111" s="3">
        <f>IF(ISERROR(VLOOKUP(J2111,Lookups!$A$2:$A$16,1,FALSE)),1,0)</f>
        <v>0</v>
      </c>
      <c r="M2111" s="3">
        <f>IF(ISERROR(VLOOKUP(D2111,Data!$A$2:$D$223100,2,FALSE)),0,1)</f>
        <v>1</v>
      </c>
      <c r="N2111" s="3">
        <f t="shared" si="65"/>
        <v>0</v>
      </c>
      <c r="O2111" s="3" t="str">
        <f>IF(ISERROR(VLOOKUP(D2111,Data!$A$2:$C$223100,3,FALSE)),"INACTIVE",VLOOKUP(D2111,Data!$A$2:$C$223100,3,FALSE))</f>
        <v>BK13</v>
      </c>
    </row>
    <row r="2112" spans="1:15" x14ac:dyDescent="0.25">
      <c r="A2112" t="s">
        <v>3935</v>
      </c>
      <c r="B2112" t="s">
        <v>3936</v>
      </c>
      <c r="C2112" t="s">
        <v>3941</v>
      </c>
      <c r="D2112" t="s">
        <v>3942</v>
      </c>
      <c r="E2112" t="s">
        <v>3945</v>
      </c>
      <c r="F2112" t="s">
        <v>5</v>
      </c>
      <c r="G2112" t="s">
        <v>5</v>
      </c>
      <c r="H2112" t="s">
        <v>5</v>
      </c>
      <c r="I2112" t="s">
        <v>3921</v>
      </c>
      <c r="J2112" t="s">
        <v>96</v>
      </c>
      <c r="K2112" s="3">
        <f t="shared" si="64"/>
        <v>0</v>
      </c>
      <c r="L2112" s="3">
        <f>IF(ISERROR(VLOOKUP(J2112,Lookups!$A$2:$A$16,1,FALSE)),1,0)</f>
        <v>0</v>
      </c>
      <c r="M2112" s="3">
        <f>IF(ISERROR(VLOOKUP(D2112,Data!$A$2:$D$223100,2,FALSE)),0,1)</f>
        <v>1</v>
      </c>
      <c r="N2112" s="3">
        <f t="shared" si="65"/>
        <v>0</v>
      </c>
      <c r="O2112" s="3" t="str">
        <f>IF(ISERROR(VLOOKUP(D2112,Data!$A$2:$C$223100,3,FALSE)),"INACTIVE",VLOOKUP(D2112,Data!$A$2:$C$223100,3,FALSE))</f>
        <v>BK13</v>
      </c>
    </row>
    <row r="2113" spans="1:15" x14ac:dyDescent="0.25">
      <c r="A2113" t="s">
        <v>3935</v>
      </c>
      <c r="B2113" t="s">
        <v>3936</v>
      </c>
      <c r="C2113" t="s">
        <v>3946</v>
      </c>
      <c r="D2113" t="s">
        <v>3947</v>
      </c>
      <c r="E2113" t="s">
        <v>3948</v>
      </c>
      <c r="F2113" t="s">
        <v>5</v>
      </c>
      <c r="G2113" t="s">
        <v>5</v>
      </c>
      <c r="H2113" t="s">
        <v>5</v>
      </c>
      <c r="I2113" t="s">
        <v>3921</v>
      </c>
      <c r="J2113" t="s">
        <v>7</v>
      </c>
      <c r="K2113" s="3">
        <f t="shared" si="64"/>
        <v>0</v>
      </c>
      <c r="L2113" s="3">
        <f>IF(ISERROR(VLOOKUP(J2113,Lookups!$A$2:$A$16,1,FALSE)),1,0)</f>
        <v>1</v>
      </c>
      <c r="M2113" s="3">
        <f>IF(ISERROR(VLOOKUP(D2113,Data!$A$2:$D$223100,2,FALSE)),0,1)</f>
        <v>1</v>
      </c>
      <c r="N2113" s="3">
        <f t="shared" si="65"/>
        <v>1</v>
      </c>
      <c r="O2113" s="3" t="str">
        <f>IF(ISERROR(VLOOKUP(D2113,Data!$A$2:$C$223100,3,FALSE)),"INACTIVE",VLOOKUP(D2113,Data!$A$2:$C$223100,3,FALSE))</f>
        <v>PP</v>
      </c>
    </row>
    <row r="2114" spans="1:15" x14ac:dyDescent="0.25">
      <c r="A2114" t="s">
        <v>3935</v>
      </c>
      <c r="B2114" t="s">
        <v>3936</v>
      </c>
      <c r="C2114" t="s">
        <v>3949</v>
      </c>
      <c r="D2114" t="s">
        <v>3950</v>
      </c>
      <c r="E2114" t="s">
        <v>3951</v>
      </c>
      <c r="F2114" t="s">
        <v>5</v>
      </c>
      <c r="G2114" t="s">
        <v>5</v>
      </c>
      <c r="H2114" t="s">
        <v>5</v>
      </c>
      <c r="I2114" t="s">
        <v>3921</v>
      </c>
      <c r="J2114" t="s">
        <v>7</v>
      </c>
      <c r="K2114" s="3">
        <f t="shared" si="64"/>
        <v>0</v>
      </c>
      <c r="L2114" s="3">
        <f>IF(ISERROR(VLOOKUP(J2114,Lookups!$A$2:$A$16,1,FALSE)),1,0)</f>
        <v>1</v>
      </c>
      <c r="M2114" s="3">
        <f>IF(ISERROR(VLOOKUP(D2114,Data!$A$2:$D$223100,2,FALSE)),0,1)</f>
        <v>1</v>
      </c>
      <c r="N2114" s="3">
        <f t="shared" si="65"/>
        <v>1</v>
      </c>
      <c r="O2114" s="3" t="str">
        <f>IF(ISERROR(VLOOKUP(D2114,Data!$A$2:$C$223100,3,FALSE)),"INACTIVE",VLOOKUP(D2114,Data!$A$2:$C$223100,3,FALSE))</f>
        <v>180+</v>
      </c>
    </row>
    <row r="2115" spans="1:15" x14ac:dyDescent="0.25">
      <c r="A2115" t="s">
        <v>3935</v>
      </c>
      <c r="B2115" t="s">
        <v>3936</v>
      </c>
      <c r="C2115" t="s">
        <v>3952</v>
      </c>
      <c r="D2115" t="s">
        <v>3953</v>
      </c>
      <c r="E2115" t="s">
        <v>3954</v>
      </c>
      <c r="F2115" t="s">
        <v>5</v>
      </c>
      <c r="G2115" t="s">
        <v>5</v>
      </c>
      <c r="H2115" t="s">
        <v>5</v>
      </c>
      <c r="I2115" t="s">
        <v>3921</v>
      </c>
      <c r="J2115" t="s">
        <v>96</v>
      </c>
      <c r="K2115" s="3">
        <f t="shared" ref="K2115:K2178" si="66">IF(ISERROR(FIND("LIEN",A2115,1)),0,1)</f>
        <v>0</v>
      </c>
      <c r="L2115" s="3">
        <f>IF(ISERROR(VLOOKUP(J2115,Lookups!$A$2:$A$16,1,FALSE)),1,0)</f>
        <v>0</v>
      </c>
      <c r="M2115" s="3">
        <f>IF(ISERROR(VLOOKUP(D2115,Data!$A$2:$D$223100,2,FALSE)),0,1)</f>
        <v>1</v>
      </c>
      <c r="N2115" s="3">
        <f t="shared" ref="N2115:N2178" si="67">IF(M2115=0,0,IF(SUM(K2115:L2115)&gt;0,1,0))</f>
        <v>0</v>
      </c>
      <c r="O2115" s="3" t="str">
        <f>IF(ISERROR(VLOOKUP(D2115,Data!$A$2:$C$223100,3,FALSE)),"INACTIVE",VLOOKUP(D2115,Data!$A$2:$C$223100,3,FALSE))</f>
        <v>Current</v>
      </c>
    </row>
    <row r="2116" spans="1:15" x14ac:dyDescent="0.25">
      <c r="A2116" t="s">
        <v>3935</v>
      </c>
      <c r="B2116" t="s">
        <v>3936</v>
      </c>
      <c r="C2116" t="s">
        <v>3952</v>
      </c>
      <c r="D2116" t="s">
        <v>3953</v>
      </c>
      <c r="E2116" t="s">
        <v>3955</v>
      </c>
      <c r="F2116" t="s">
        <v>5</v>
      </c>
      <c r="G2116" t="s">
        <v>5</v>
      </c>
      <c r="H2116" t="s">
        <v>5</v>
      </c>
      <c r="I2116" t="s">
        <v>3921</v>
      </c>
      <c r="J2116" t="s">
        <v>96</v>
      </c>
      <c r="K2116" s="3">
        <f t="shared" si="66"/>
        <v>0</v>
      </c>
      <c r="L2116" s="3">
        <f>IF(ISERROR(VLOOKUP(J2116,Lookups!$A$2:$A$16,1,FALSE)),1,0)</f>
        <v>0</v>
      </c>
      <c r="M2116" s="3">
        <f>IF(ISERROR(VLOOKUP(D2116,Data!$A$2:$D$223100,2,FALSE)),0,1)</f>
        <v>1</v>
      </c>
      <c r="N2116" s="3">
        <f t="shared" si="67"/>
        <v>0</v>
      </c>
      <c r="O2116" s="3" t="str">
        <f>IF(ISERROR(VLOOKUP(D2116,Data!$A$2:$C$223100,3,FALSE)),"INACTIVE",VLOOKUP(D2116,Data!$A$2:$C$223100,3,FALSE))</f>
        <v>Current</v>
      </c>
    </row>
    <row r="2117" spans="1:15" x14ac:dyDescent="0.25">
      <c r="A2117" t="s">
        <v>3935</v>
      </c>
      <c r="B2117" t="s">
        <v>3936</v>
      </c>
      <c r="C2117" t="s">
        <v>3956</v>
      </c>
      <c r="D2117" t="s">
        <v>3957</v>
      </c>
      <c r="E2117" t="s">
        <v>3958</v>
      </c>
      <c r="F2117" t="s">
        <v>5</v>
      </c>
      <c r="G2117" t="s">
        <v>5</v>
      </c>
      <c r="H2117" t="s">
        <v>5</v>
      </c>
      <c r="I2117" t="s">
        <v>3921</v>
      </c>
      <c r="J2117" t="s">
        <v>96</v>
      </c>
      <c r="K2117" s="3">
        <f t="shared" si="66"/>
        <v>0</v>
      </c>
      <c r="L2117" s="3">
        <f>IF(ISERROR(VLOOKUP(J2117,Lookups!$A$2:$A$16,1,FALSE)),1,0)</f>
        <v>0</v>
      </c>
      <c r="M2117" s="3">
        <f>IF(ISERROR(VLOOKUP(D2117,Data!$A$2:$D$223100,2,FALSE)),0,1)</f>
        <v>1</v>
      </c>
      <c r="N2117" s="3">
        <f t="shared" si="67"/>
        <v>0</v>
      </c>
      <c r="O2117" s="3" t="str">
        <f>IF(ISERROR(VLOOKUP(D2117,Data!$A$2:$C$223100,3,FALSE)),"INACTIVE",VLOOKUP(D2117,Data!$A$2:$C$223100,3,FALSE))</f>
        <v>FC</v>
      </c>
    </row>
    <row r="2118" spans="1:15" x14ac:dyDescent="0.25">
      <c r="A2118" t="s">
        <v>3935</v>
      </c>
      <c r="B2118" t="s">
        <v>3936</v>
      </c>
      <c r="C2118" t="s">
        <v>3956</v>
      </c>
      <c r="D2118" t="s">
        <v>3957</v>
      </c>
      <c r="E2118" t="s">
        <v>3959</v>
      </c>
      <c r="F2118" t="s">
        <v>5</v>
      </c>
      <c r="G2118" t="s">
        <v>5</v>
      </c>
      <c r="H2118" t="s">
        <v>5</v>
      </c>
      <c r="I2118" t="s">
        <v>3921</v>
      </c>
      <c r="J2118" t="s">
        <v>96</v>
      </c>
      <c r="K2118" s="3">
        <f t="shared" si="66"/>
        <v>0</v>
      </c>
      <c r="L2118" s="3">
        <f>IF(ISERROR(VLOOKUP(J2118,Lookups!$A$2:$A$16,1,FALSE)),1,0)</f>
        <v>0</v>
      </c>
      <c r="M2118" s="3">
        <f>IF(ISERROR(VLOOKUP(D2118,Data!$A$2:$D$223100,2,FALSE)),0,1)</f>
        <v>1</v>
      </c>
      <c r="N2118" s="3">
        <f t="shared" si="67"/>
        <v>0</v>
      </c>
      <c r="O2118" s="3" t="str">
        <f>IF(ISERROR(VLOOKUP(D2118,Data!$A$2:$C$223100,3,FALSE)),"INACTIVE",VLOOKUP(D2118,Data!$A$2:$C$223100,3,FALSE))</f>
        <v>FC</v>
      </c>
    </row>
    <row r="2119" spans="1:15" x14ac:dyDescent="0.25">
      <c r="A2119" t="s">
        <v>3935</v>
      </c>
      <c r="B2119" t="s">
        <v>3936</v>
      </c>
      <c r="C2119" t="s">
        <v>3960</v>
      </c>
      <c r="D2119" t="s">
        <v>3961</v>
      </c>
      <c r="E2119" t="s">
        <v>3962</v>
      </c>
      <c r="F2119" t="s">
        <v>5</v>
      </c>
      <c r="G2119" t="s">
        <v>5</v>
      </c>
      <c r="H2119" t="s">
        <v>5</v>
      </c>
      <c r="I2119" t="s">
        <v>3921</v>
      </c>
      <c r="J2119" t="s">
        <v>7</v>
      </c>
      <c r="K2119" s="3">
        <f t="shared" si="66"/>
        <v>0</v>
      </c>
      <c r="L2119" s="3">
        <f>IF(ISERROR(VLOOKUP(J2119,Lookups!$A$2:$A$16,1,FALSE)),1,0)</f>
        <v>1</v>
      </c>
      <c r="M2119" s="3">
        <f>IF(ISERROR(VLOOKUP(D2119,Data!$A$2:$D$223100,2,FALSE)),0,1)</f>
        <v>1</v>
      </c>
      <c r="N2119" s="3">
        <f t="shared" si="67"/>
        <v>1</v>
      </c>
      <c r="O2119" s="3" t="str">
        <f>IF(ISERROR(VLOOKUP(D2119,Data!$A$2:$C$223100,3,FALSE)),"INACTIVE",VLOOKUP(D2119,Data!$A$2:$C$223100,3,FALSE))</f>
        <v>Current</v>
      </c>
    </row>
    <row r="2120" spans="1:15" x14ac:dyDescent="0.25">
      <c r="A2120" t="s">
        <v>3576</v>
      </c>
      <c r="B2120" t="s">
        <v>3577</v>
      </c>
      <c r="C2120" t="s">
        <v>3578</v>
      </c>
      <c r="D2120" t="s">
        <v>3579</v>
      </c>
      <c r="E2120" t="s">
        <v>3580</v>
      </c>
      <c r="F2120" t="s">
        <v>5</v>
      </c>
      <c r="G2120" t="s">
        <v>5</v>
      </c>
      <c r="H2120" t="s">
        <v>5</v>
      </c>
      <c r="I2120" t="s">
        <v>3581</v>
      </c>
      <c r="J2120" t="s">
        <v>90</v>
      </c>
      <c r="K2120" s="3">
        <f t="shared" si="66"/>
        <v>0</v>
      </c>
      <c r="L2120" s="3">
        <f>IF(ISERROR(VLOOKUP(J2120,Lookups!$A$2:$A$16,1,FALSE)),1,0)</f>
        <v>0</v>
      </c>
      <c r="M2120" s="3">
        <f>IF(ISERROR(VLOOKUP(D2120,Data!$A$2:$D$223100,2,FALSE)),0,1)</f>
        <v>1</v>
      </c>
      <c r="N2120" s="3">
        <f t="shared" si="67"/>
        <v>0</v>
      </c>
      <c r="O2120" s="3" t="str">
        <f>IF(ISERROR(VLOOKUP(D2120,Data!$A$2:$C$223100,3,FALSE)),"INACTIVE",VLOOKUP(D2120,Data!$A$2:$C$223100,3,FALSE))</f>
        <v>FBA</v>
      </c>
    </row>
    <row r="2121" spans="1:15" x14ac:dyDescent="0.25">
      <c r="A2121" t="s">
        <v>3576</v>
      </c>
      <c r="B2121" t="s">
        <v>3577</v>
      </c>
      <c r="C2121" t="s">
        <v>3582</v>
      </c>
      <c r="D2121" t="s">
        <v>3583</v>
      </c>
      <c r="E2121" t="s">
        <v>3584</v>
      </c>
      <c r="F2121" t="s">
        <v>5</v>
      </c>
      <c r="G2121" t="s">
        <v>5</v>
      </c>
      <c r="H2121" t="s">
        <v>5</v>
      </c>
      <c r="I2121" t="s">
        <v>3581</v>
      </c>
      <c r="J2121" t="s">
        <v>90</v>
      </c>
      <c r="K2121" s="3">
        <f t="shared" si="66"/>
        <v>0</v>
      </c>
      <c r="L2121" s="3">
        <f>IF(ISERROR(VLOOKUP(J2121,Lookups!$A$2:$A$16,1,FALSE)),1,0)</f>
        <v>0</v>
      </c>
      <c r="M2121" s="3">
        <f>IF(ISERROR(VLOOKUP(D2121,Data!$A$2:$D$223100,2,FALSE)),0,1)</f>
        <v>1</v>
      </c>
      <c r="N2121" s="3">
        <f t="shared" si="67"/>
        <v>0</v>
      </c>
      <c r="O2121" s="3" t="str">
        <f>IF(ISERROR(VLOOKUP(D2121,Data!$A$2:$C$223100,3,FALSE)),"INACTIVE",VLOOKUP(D2121,Data!$A$2:$C$223100,3,FALSE))</f>
        <v>60+</v>
      </c>
    </row>
    <row r="2122" spans="1:15" x14ac:dyDescent="0.25">
      <c r="A2122" t="s">
        <v>3622</v>
      </c>
      <c r="B2122" t="s">
        <v>3623</v>
      </c>
      <c r="C2122" t="s">
        <v>3624</v>
      </c>
      <c r="D2122" t="s">
        <v>3625</v>
      </c>
      <c r="E2122" t="s">
        <v>3626</v>
      </c>
      <c r="F2122" t="s">
        <v>5</v>
      </c>
      <c r="G2122" t="s">
        <v>5</v>
      </c>
      <c r="H2122" t="s">
        <v>5</v>
      </c>
      <c r="I2122" t="s">
        <v>3581</v>
      </c>
      <c r="J2122" t="s">
        <v>96</v>
      </c>
      <c r="K2122" s="3">
        <f t="shared" si="66"/>
        <v>0</v>
      </c>
      <c r="L2122" s="3">
        <f>IF(ISERROR(VLOOKUP(J2122,Lookups!$A$2:$A$16,1,FALSE)),1,0)</f>
        <v>0</v>
      </c>
      <c r="M2122" s="3">
        <f>IF(ISERROR(VLOOKUP(D2122,Data!$A$2:$D$223100,2,FALSE)),0,1)</f>
        <v>1</v>
      </c>
      <c r="N2122" s="3">
        <f t="shared" si="67"/>
        <v>0</v>
      </c>
      <c r="O2122" s="3" t="str">
        <f>IF(ISERROR(VLOOKUP(D2122,Data!$A$2:$C$223100,3,FALSE)),"INACTIVE",VLOOKUP(D2122,Data!$A$2:$C$223100,3,FALSE))</f>
        <v>FC</v>
      </c>
    </row>
    <row r="2123" spans="1:15" x14ac:dyDescent="0.25">
      <c r="A2123" t="s">
        <v>3622</v>
      </c>
      <c r="B2123" t="s">
        <v>3623</v>
      </c>
      <c r="C2123" t="s">
        <v>3627</v>
      </c>
      <c r="D2123" t="s">
        <v>3628</v>
      </c>
      <c r="E2123" t="s">
        <v>3629</v>
      </c>
      <c r="F2123" t="s">
        <v>5</v>
      </c>
      <c r="G2123" t="s">
        <v>5</v>
      </c>
      <c r="H2123" t="s">
        <v>5</v>
      </c>
      <c r="I2123" t="s">
        <v>3581</v>
      </c>
      <c r="J2123" t="s">
        <v>7</v>
      </c>
      <c r="K2123" s="3">
        <f t="shared" si="66"/>
        <v>0</v>
      </c>
      <c r="L2123" s="3">
        <f>IF(ISERROR(VLOOKUP(J2123,Lookups!$A$2:$A$16,1,FALSE)),1,0)</f>
        <v>1</v>
      </c>
      <c r="M2123" s="3">
        <f>IF(ISERROR(VLOOKUP(D2123,Data!$A$2:$D$223100,2,FALSE)),0,1)</f>
        <v>1</v>
      </c>
      <c r="N2123" s="3">
        <f t="shared" si="67"/>
        <v>1</v>
      </c>
      <c r="O2123" s="3" t="str">
        <f>IF(ISERROR(VLOOKUP(D2123,Data!$A$2:$C$223100,3,FALSE)),"INACTIVE",VLOOKUP(D2123,Data!$A$2:$C$223100,3,FALSE))</f>
        <v>180+</v>
      </c>
    </row>
    <row r="2124" spans="1:15" x14ac:dyDescent="0.25">
      <c r="A2124" t="s">
        <v>3630</v>
      </c>
      <c r="B2124" t="s">
        <v>3631</v>
      </c>
      <c r="C2124" t="s">
        <v>3632</v>
      </c>
      <c r="D2124" t="s">
        <v>3633</v>
      </c>
      <c r="E2124" t="s">
        <v>3634</v>
      </c>
      <c r="F2124" t="s">
        <v>5</v>
      </c>
      <c r="G2124" t="s">
        <v>5</v>
      </c>
      <c r="H2124" t="s">
        <v>5</v>
      </c>
      <c r="I2124" t="s">
        <v>3581</v>
      </c>
      <c r="J2124" t="s">
        <v>90</v>
      </c>
      <c r="K2124" s="3">
        <f t="shared" si="66"/>
        <v>0</v>
      </c>
      <c r="L2124" s="3">
        <f>IF(ISERROR(VLOOKUP(J2124,Lookups!$A$2:$A$16,1,FALSE)),1,0)</f>
        <v>0</v>
      </c>
      <c r="M2124" s="3">
        <f>IF(ISERROR(VLOOKUP(D2124,Data!$A$2:$D$223100,2,FALSE)),0,1)</f>
        <v>1</v>
      </c>
      <c r="N2124" s="3">
        <f t="shared" si="67"/>
        <v>0</v>
      </c>
      <c r="O2124" s="3" t="str">
        <f>IF(ISERROR(VLOOKUP(D2124,Data!$A$2:$C$223100,3,FALSE)),"INACTIVE",VLOOKUP(D2124,Data!$A$2:$C$223100,3,FALSE))</f>
        <v>Current</v>
      </c>
    </row>
    <row r="2125" spans="1:15" x14ac:dyDescent="0.25">
      <c r="A2125" t="s">
        <v>3635</v>
      </c>
      <c r="B2125" t="s">
        <v>3636</v>
      </c>
      <c r="C2125" t="s">
        <v>3637</v>
      </c>
      <c r="D2125" t="s">
        <v>3638</v>
      </c>
      <c r="E2125" t="s">
        <v>3639</v>
      </c>
      <c r="F2125" t="s">
        <v>5</v>
      </c>
      <c r="G2125" t="s">
        <v>5</v>
      </c>
      <c r="H2125" t="s">
        <v>5</v>
      </c>
      <c r="I2125" t="s">
        <v>3581</v>
      </c>
      <c r="J2125" t="s">
        <v>96</v>
      </c>
      <c r="K2125" s="3">
        <f t="shared" si="66"/>
        <v>0</v>
      </c>
      <c r="L2125" s="3">
        <f>IF(ISERROR(VLOOKUP(J2125,Lookups!$A$2:$A$16,1,FALSE)),1,0)</f>
        <v>0</v>
      </c>
      <c r="M2125" s="3">
        <f>IF(ISERROR(VLOOKUP(D2125,Data!$A$2:$D$223100,2,FALSE)),0,1)</f>
        <v>1</v>
      </c>
      <c r="N2125" s="3">
        <f t="shared" si="67"/>
        <v>0</v>
      </c>
      <c r="O2125" s="3" t="str">
        <f>IF(ISERROR(VLOOKUP(D2125,Data!$A$2:$C$223100,3,FALSE)),"INACTIVE",VLOOKUP(D2125,Data!$A$2:$C$223100,3,FALSE))</f>
        <v>FBA</v>
      </c>
    </row>
    <row r="2126" spans="1:15" x14ac:dyDescent="0.25">
      <c r="A2126" t="s">
        <v>3640</v>
      </c>
      <c r="B2126" t="s">
        <v>3641</v>
      </c>
      <c r="C2126" t="s">
        <v>3642</v>
      </c>
      <c r="D2126" t="s">
        <v>3643</v>
      </c>
      <c r="E2126" t="s">
        <v>3644</v>
      </c>
      <c r="F2126" t="s">
        <v>5</v>
      </c>
      <c r="G2126" t="s">
        <v>5</v>
      </c>
      <c r="H2126" t="s">
        <v>5</v>
      </c>
      <c r="I2126" t="s">
        <v>3581</v>
      </c>
      <c r="J2126" t="s">
        <v>90</v>
      </c>
      <c r="K2126" s="3">
        <f t="shared" si="66"/>
        <v>0</v>
      </c>
      <c r="L2126" s="3">
        <f>IF(ISERROR(VLOOKUP(J2126,Lookups!$A$2:$A$16,1,FALSE)),1,0)</f>
        <v>0</v>
      </c>
      <c r="M2126" s="3">
        <f>IF(ISERROR(VLOOKUP(D2126,Data!$A$2:$D$223100,2,FALSE)),0,1)</f>
        <v>1</v>
      </c>
      <c r="N2126" s="3">
        <f t="shared" si="67"/>
        <v>0</v>
      </c>
      <c r="O2126" s="3" t="str">
        <f>IF(ISERROR(VLOOKUP(D2126,Data!$A$2:$C$223100,3,FALSE)),"INACTIVE",VLOOKUP(D2126,Data!$A$2:$C$223100,3,FALSE))</f>
        <v>Current</v>
      </c>
    </row>
    <row r="2127" spans="1:15" x14ac:dyDescent="0.25">
      <c r="A2127" t="s">
        <v>3640</v>
      </c>
      <c r="B2127" t="s">
        <v>3641</v>
      </c>
      <c r="C2127" t="s">
        <v>3645</v>
      </c>
      <c r="D2127" t="s">
        <v>3646</v>
      </c>
      <c r="E2127" t="s">
        <v>3647</v>
      </c>
      <c r="F2127" t="s">
        <v>5</v>
      </c>
      <c r="G2127" t="s">
        <v>5</v>
      </c>
      <c r="H2127" t="s">
        <v>5</v>
      </c>
      <c r="I2127" t="s">
        <v>3581</v>
      </c>
      <c r="J2127" t="s">
        <v>96</v>
      </c>
      <c r="K2127" s="3">
        <f t="shared" si="66"/>
        <v>0</v>
      </c>
      <c r="L2127" s="3">
        <f>IF(ISERROR(VLOOKUP(J2127,Lookups!$A$2:$A$16,1,FALSE)),1,0)</f>
        <v>0</v>
      </c>
      <c r="M2127" s="3">
        <f>IF(ISERROR(VLOOKUP(D2127,Data!$A$2:$D$223100,2,FALSE)),0,1)</f>
        <v>1</v>
      </c>
      <c r="N2127" s="3">
        <f t="shared" si="67"/>
        <v>0</v>
      </c>
      <c r="O2127" s="3" t="str">
        <f>IF(ISERROR(VLOOKUP(D2127,Data!$A$2:$C$223100,3,FALSE)),"INACTIVE",VLOOKUP(D2127,Data!$A$2:$C$223100,3,FALSE))</f>
        <v>60+</v>
      </c>
    </row>
    <row r="2128" spans="1:15" x14ac:dyDescent="0.25">
      <c r="A2128" t="s">
        <v>3640</v>
      </c>
      <c r="B2128" t="s">
        <v>3641</v>
      </c>
      <c r="C2128" t="s">
        <v>3648</v>
      </c>
      <c r="D2128" t="s">
        <v>3649</v>
      </c>
      <c r="E2128" t="s">
        <v>3650</v>
      </c>
      <c r="F2128" t="s">
        <v>5</v>
      </c>
      <c r="G2128" t="s">
        <v>5</v>
      </c>
      <c r="H2128" t="s">
        <v>5</v>
      </c>
      <c r="I2128" t="s">
        <v>3581</v>
      </c>
      <c r="J2128" t="s">
        <v>96</v>
      </c>
      <c r="K2128" s="3">
        <f t="shared" si="66"/>
        <v>0</v>
      </c>
      <c r="L2128" s="3">
        <f>IF(ISERROR(VLOOKUP(J2128,Lookups!$A$2:$A$16,1,FALSE)),1,0)</f>
        <v>0</v>
      </c>
      <c r="M2128" s="3">
        <f>IF(ISERROR(VLOOKUP(D2128,Data!$A$2:$D$223100,2,FALSE)),0,1)</f>
        <v>1</v>
      </c>
      <c r="N2128" s="3">
        <f t="shared" si="67"/>
        <v>0</v>
      </c>
      <c r="O2128" s="3" t="str">
        <f>IF(ISERROR(VLOOKUP(D2128,Data!$A$2:$C$223100,3,FALSE)),"INACTIVE",VLOOKUP(D2128,Data!$A$2:$C$223100,3,FALSE))</f>
        <v>BK13</v>
      </c>
    </row>
    <row r="2129" spans="1:15" x14ac:dyDescent="0.25">
      <c r="A2129" t="s">
        <v>3640</v>
      </c>
      <c r="B2129" t="s">
        <v>3641</v>
      </c>
      <c r="C2129" t="s">
        <v>3648</v>
      </c>
      <c r="D2129" t="s">
        <v>3649</v>
      </c>
      <c r="E2129" t="s">
        <v>3651</v>
      </c>
      <c r="F2129" t="s">
        <v>5</v>
      </c>
      <c r="G2129" t="s">
        <v>5</v>
      </c>
      <c r="H2129" t="s">
        <v>5</v>
      </c>
      <c r="I2129" t="s">
        <v>3581</v>
      </c>
      <c r="J2129" t="s">
        <v>96</v>
      </c>
      <c r="K2129" s="3">
        <f t="shared" si="66"/>
        <v>0</v>
      </c>
      <c r="L2129" s="3">
        <f>IF(ISERROR(VLOOKUP(J2129,Lookups!$A$2:$A$16,1,FALSE)),1,0)</f>
        <v>0</v>
      </c>
      <c r="M2129" s="3">
        <f>IF(ISERROR(VLOOKUP(D2129,Data!$A$2:$D$223100,2,FALSE)),0,1)</f>
        <v>1</v>
      </c>
      <c r="N2129" s="3">
        <f t="shared" si="67"/>
        <v>0</v>
      </c>
      <c r="O2129" s="3" t="str">
        <f>IF(ISERROR(VLOOKUP(D2129,Data!$A$2:$C$223100,3,FALSE)),"INACTIVE",VLOOKUP(D2129,Data!$A$2:$C$223100,3,FALSE))</f>
        <v>BK13</v>
      </c>
    </row>
    <row r="2130" spans="1:15" x14ac:dyDescent="0.25">
      <c r="A2130" t="s">
        <v>3640</v>
      </c>
      <c r="B2130" t="s">
        <v>3641</v>
      </c>
      <c r="C2130" t="s">
        <v>3648</v>
      </c>
      <c r="D2130" t="s">
        <v>3649</v>
      </c>
      <c r="E2130" t="s">
        <v>3652</v>
      </c>
      <c r="F2130" t="s">
        <v>5</v>
      </c>
      <c r="G2130" t="s">
        <v>5</v>
      </c>
      <c r="H2130" t="s">
        <v>5</v>
      </c>
      <c r="I2130" t="s">
        <v>3581</v>
      </c>
      <c r="J2130" t="s">
        <v>96</v>
      </c>
      <c r="K2130" s="3">
        <f t="shared" si="66"/>
        <v>0</v>
      </c>
      <c r="L2130" s="3">
        <f>IF(ISERROR(VLOOKUP(J2130,Lookups!$A$2:$A$16,1,FALSE)),1,0)</f>
        <v>0</v>
      </c>
      <c r="M2130" s="3">
        <f>IF(ISERROR(VLOOKUP(D2130,Data!$A$2:$D$223100,2,FALSE)),0,1)</f>
        <v>1</v>
      </c>
      <c r="N2130" s="3">
        <f t="shared" si="67"/>
        <v>0</v>
      </c>
      <c r="O2130" s="3" t="str">
        <f>IF(ISERROR(VLOOKUP(D2130,Data!$A$2:$C$223100,3,FALSE)),"INACTIVE",VLOOKUP(D2130,Data!$A$2:$C$223100,3,FALSE))</f>
        <v>BK13</v>
      </c>
    </row>
    <row r="2131" spans="1:15" x14ac:dyDescent="0.25">
      <c r="A2131" t="s">
        <v>3640</v>
      </c>
      <c r="B2131" t="s">
        <v>3641</v>
      </c>
      <c r="C2131" t="s">
        <v>3648</v>
      </c>
      <c r="D2131" t="s">
        <v>3649</v>
      </c>
      <c r="E2131" t="s">
        <v>3653</v>
      </c>
      <c r="F2131" t="s">
        <v>5</v>
      </c>
      <c r="G2131" t="s">
        <v>5</v>
      </c>
      <c r="H2131" t="s">
        <v>5</v>
      </c>
      <c r="I2131" t="s">
        <v>3581</v>
      </c>
      <c r="J2131" t="s">
        <v>96</v>
      </c>
      <c r="K2131" s="3">
        <f t="shared" si="66"/>
        <v>0</v>
      </c>
      <c r="L2131" s="3">
        <f>IF(ISERROR(VLOOKUP(J2131,Lookups!$A$2:$A$16,1,FALSE)),1,0)</f>
        <v>0</v>
      </c>
      <c r="M2131" s="3">
        <f>IF(ISERROR(VLOOKUP(D2131,Data!$A$2:$D$223100,2,FALSE)),0,1)</f>
        <v>1</v>
      </c>
      <c r="N2131" s="3">
        <f t="shared" si="67"/>
        <v>0</v>
      </c>
      <c r="O2131" s="3" t="str">
        <f>IF(ISERROR(VLOOKUP(D2131,Data!$A$2:$C$223100,3,FALSE)),"INACTIVE",VLOOKUP(D2131,Data!$A$2:$C$223100,3,FALSE))</f>
        <v>BK13</v>
      </c>
    </row>
    <row r="2132" spans="1:15" x14ac:dyDescent="0.25">
      <c r="A2132" t="s">
        <v>3640</v>
      </c>
      <c r="B2132" t="s">
        <v>3641</v>
      </c>
      <c r="C2132" t="s">
        <v>3648</v>
      </c>
      <c r="D2132" t="s">
        <v>3649</v>
      </c>
      <c r="E2132" t="s">
        <v>3654</v>
      </c>
      <c r="F2132" t="s">
        <v>5</v>
      </c>
      <c r="G2132" t="s">
        <v>5</v>
      </c>
      <c r="H2132" t="s">
        <v>5</v>
      </c>
      <c r="I2132" t="s">
        <v>3581</v>
      </c>
      <c r="J2132" t="s">
        <v>96</v>
      </c>
      <c r="K2132" s="3">
        <f t="shared" si="66"/>
        <v>0</v>
      </c>
      <c r="L2132" s="3">
        <f>IF(ISERROR(VLOOKUP(J2132,Lookups!$A$2:$A$16,1,FALSE)),1,0)</f>
        <v>0</v>
      </c>
      <c r="M2132" s="3">
        <f>IF(ISERROR(VLOOKUP(D2132,Data!$A$2:$D$223100,2,FALSE)),0,1)</f>
        <v>1</v>
      </c>
      <c r="N2132" s="3">
        <f t="shared" si="67"/>
        <v>0</v>
      </c>
      <c r="O2132" s="3" t="str">
        <f>IF(ISERROR(VLOOKUP(D2132,Data!$A$2:$C$223100,3,FALSE)),"INACTIVE",VLOOKUP(D2132,Data!$A$2:$C$223100,3,FALSE))</f>
        <v>BK13</v>
      </c>
    </row>
    <row r="2133" spans="1:15" x14ac:dyDescent="0.25">
      <c r="A2133" t="s">
        <v>3655</v>
      </c>
      <c r="B2133" t="s">
        <v>3656</v>
      </c>
      <c r="C2133" t="s">
        <v>3657</v>
      </c>
      <c r="D2133" t="s">
        <v>3658</v>
      </c>
      <c r="E2133" t="s">
        <v>3659</v>
      </c>
      <c r="F2133" t="s">
        <v>5</v>
      </c>
      <c r="G2133" t="s">
        <v>5</v>
      </c>
      <c r="H2133" t="s">
        <v>5</v>
      </c>
      <c r="I2133" t="s">
        <v>3581</v>
      </c>
      <c r="J2133" t="s">
        <v>96</v>
      </c>
      <c r="K2133" s="3">
        <f t="shared" si="66"/>
        <v>0</v>
      </c>
      <c r="L2133" s="3">
        <f>IF(ISERROR(VLOOKUP(J2133,Lookups!$A$2:$A$16,1,FALSE)),1,0)</f>
        <v>0</v>
      </c>
      <c r="M2133" s="3">
        <f>IF(ISERROR(VLOOKUP(D2133,Data!$A$2:$D$223100,2,FALSE)),0,1)</f>
        <v>1</v>
      </c>
      <c r="N2133" s="3">
        <f t="shared" si="67"/>
        <v>0</v>
      </c>
      <c r="O2133" s="3" t="str">
        <f>IF(ISERROR(VLOOKUP(D2133,Data!$A$2:$C$223100,3,FALSE)),"INACTIVE",VLOOKUP(D2133,Data!$A$2:$C$223100,3,FALSE))</f>
        <v>180+</v>
      </c>
    </row>
    <row r="2134" spans="1:15" x14ac:dyDescent="0.25">
      <c r="A2134" t="s">
        <v>3655</v>
      </c>
      <c r="B2134" t="s">
        <v>3656</v>
      </c>
      <c r="C2134" t="s">
        <v>3660</v>
      </c>
      <c r="D2134" t="s">
        <v>3661</v>
      </c>
      <c r="E2134" t="s">
        <v>3662</v>
      </c>
      <c r="F2134" t="s">
        <v>5</v>
      </c>
      <c r="G2134" t="s">
        <v>5</v>
      </c>
      <c r="H2134" t="s">
        <v>5</v>
      </c>
      <c r="I2134" t="s">
        <v>3581</v>
      </c>
      <c r="J2134" t="s">
        <v>7</v>
      </c>
      <c r="K2134" s="3">
        <f t="shared" si="66"/>
        <v>0</v>
      </c>
      <c r="L2134" s="3">
        <f>IF(ISERROR(VLOOKUP(J2134,Lookups!$A$2:$A$16,1,FALSE)),1,0)</f>
        <v>1</v>
      </c>
      <c r="M2134" s="3">
        <f>IF(ISERROR(VLOOKUP(D2134,Data!$A$2:$D$223100,2,FALSE)),0,1)</f>
        <v>1</v>
      </c>
      <c r="N2134" s="3">
        <f t="shared" si="67"/>
        <v>1</v>
      </c>
      <c r="O2134" s="3" t="str">
        <f>IF(ISERROR(VLOOKUP(D2134,Data!$A$2:$C$223100,3,FALSE)),"INACTIVE",VLOOKUP(D2134,Data!$A$2:$C$223100,3,FALSE))</f>
        <v>60+</v>
      </c>
    </row>
    <row r="2135" spans="1:15" x14ac:dyDescent="0.25">
      <c r="A2135" t="s">
        <v>4337</v>
      </c>
      <c r="B2135" t="s">
        <v>4338</v>
      </c>
      <c r="C2135" t="s">
        <v>4339</v>
      </c>
      <c r="D2135" t="s">
        <v>4340</v>
      </c>
      <c r="E2135" t="s">
        <v>5</v>
      </c>
      <c r="F2135" t="s">
        <v>5</v>
      </c>
      <c r="G2135" t="s">
        <v>5</v>
      </c>
      <c r="H2135" t="s">
        <v>4341</v>
      </c>
      <c r="I2135" t="s">
        <v>3581</v>
      </c>
      <c r="J2135" t="s">
        <v>7</v>
      </c>
      <c r="K2135" s="3">
        <f t="shared" si="66"/>
        <v>0</v>
      </c>
      <c r="L2135" s="3">
        <f>IF(ISERROR(VLOOKUP(J2135,Lookups!$A$2:$A$16,1,FALSE)),1,0)</f>
        <v>1</v>
      </c>
      <c r="M2135" s="3">
        <f>IF(ISERROR(VLOOKUP(D2135,Data!$A$2:$D$223100,2,FALSE)),0,1)</f>
        <v>1</v>
      </c>
      <c r="N2135" s="3">
        <f t="shared" si="67"/>
        <v>1</v>
      </c>
      <c r="O2135" s="3" t="str">
        <f>IF(ISERROR(VLOOKUP(D2135,Data!$A$2:$C$223100,3,FALSE)),"INACTIVE",VLOOKUP(D2135,Data!$A$2:$C$223100,3,FALSE))</f>
        <v>BK13</v>
      </c>
    </row>
    <row r="2136" spans="1:15" x14ac:dyDescent="0.25">
      <c r="A2136" t="s">
        <v>4337</v>
      </c>
      <c r="B2136" t="s">
        <v>4338</v>
      </c>
      <c r="C2136" t="s">
        <v>4339</v>
      </c>
      <c r="D2136" t="s">
        <v>4340</v>
      </c>
      <c r="E2136" t="s">
        <v>4342</v>
      </c>
      <c r="F2136" t="s">
        <v>5</v>
      </c>
      <c r="G2136" t="s">
        <v>5</v>
      </c>
      <c r="H2136" t="s">
        <v>5</v>
      </c>
      <c r="I2136" t="s">
        <v>3581</v>
      </c>
      <c r="J2136" t="s">
        <v>7</v>
      </c>
      <c r="K2136" s="3">
        <f t="shared" si="66"/>
        <v>0</v>
      </c>
      <c r="L2136" s="3">
        <f>IF(ISERROR(VLOOKUP(J2136,Lookups!$A$2:$A$16,1,FALSE)),1,0)</f>
        <v>1</v>
      </c>
      <c r="M2136" s="3">
        <f>IF(ISERROR(VLOOKUP(D2136,Data!$A$2:$D$223100,2,FALSE)),0,1)</f>
        <v>1</v>
      </c>
      <c r="N2136" s="3">
        <f t="shared" si="67"/>
        <v>1</v>
      </c>
      <c r="O2136" s="3" t="str">
        <f>IF(ISERROR(VLOOKUP(D2136,Data!$A$2:$C$223100,3,FALSE)),"INACTIVE",VLOOKUP(D2136,Data!$A$2:$C$223100,3,FALSE))</f>
        <v>BK13</v>
      </c>
    </row>
    <row r="2137" spans="1:15" x14ac:dyDescent="0.25">
      <c r="A2137" t="s">
        <v>4354</v>
      </c>
      <c r="B2137" t="s">
        <v>4355</v>
      </c>
      <c r="C2137" t="s">
        <v>4356</v>
      </c>
      <c r="D2137" t="s">
        <v>4357</v>
      </c>
      <c r="E2137" t="s">
        <v>4358</v>
      </c>
      <c r="F2137" t="s">
        <v>5</v>
      </c>
      <c r="G2137" t="s">
        <v>5</v>
      </c>
      <c r="H2137" t="s">
        <v>5</v>
      </c>
      <c r="I2137" t="s">
        <v>3581</v>
      </c>
      <c r="J2137" t="s">
        <v>90</v>
      </c>
      <c r="K2137" s="3">
        <f t="shared" si="66"/>
        <v>0</v>
      </c>
      <c r="L2137" s="3">
        <f>IF(ISERROR(VLOOKUP(J2137,Lookups!$A$2:$A$16,1,FALSE)),1,0)</f>
        <v>0</v>
      </c>
      <c r="M2137" s="3">
        <f>IF(ISERROR(VLOOKUP(D2137,Data!$A$2:$D$223100,2,FALSE)),0,1)</f>
        <v>1</v>
      </c>
      <c r="N2137" s="3">
        <f t="shared" si="67"/>
        <v>0</v>
      </c>
      <c r="O2137" s="3" t="str">
        <f>IF(ISERROR(VLOOKUP(D2137,Data!$A$2:$C$223100,3,FALSE)),"INACTIVE",VLOOKUP(D2137,Data!$A$2:$C$223100,3,FALSE))</f>
        <v>FC</v>
      </c>
    </row>
    <row r="2138" spans="1:15" x14ac:dyDescent="0.25">
      <c r="A2138" t="s">
        <v>1572</v>
      </c>
      <c r="B2138" t="s">
        <v>1573</v>
      </c>
      <c r="C2138" t="s">
        <v>1574</v>
      </c>
      <c r="D2138" t="s">
        <v>1575</v>
      </c>
      <c r="E2138" t="s">
        <v>1576</v>
      </c>
      <c r="F2138" t="s">
        <v>5</v>
      </c>
      <c r="G2138" t="s">
        <v>5</v>
      </c>
      <c r="H2138" t="s">
        <v>5</v>
      </c>
      <c r="I2138" t="s">
        <v>1577</v>
      </c>
      <c r="J2138" t="s">
        <v>7</v>
      </c>
      <c r="K2138" s="3">
        <f t="shared" si="66"/>
        <v>0</v>
      </c>
      <c r="L2138" s="3">
        <f>IF(ISERROR(VLOOKUP(J2138,Lookups!$A$2:$A$16,1,FALSE)),1,0)</f>
        <v>1</v>
      </c>
      <c r="M2138" s="3">
        <f>IF(ISERROR(VLOOKUP(D2138,Data!$A$2:$D$223100,2,FALSE)),0,1)</f>
        <v>1</v>
      </c>
      <c r="N2138" s="3">
        <f t="shared" si="67"/>
        <v>1</v>
      </c>
      <c r="O2138" s="3" t="str">
        <f>IF(ISERROR(VLOOKUP(D2138,Data!$A$2:$C$223100,3,FALSE)),"INACTIVE",VLOOKUP(D2138,Data!$A$2:$C$223100,3,FALSE))</f>
        <v>180+</v>
      </c>
    </row>
    <row r="2139" spans="1:15" x14ac:dyDescent="0.25">
      <c r="A2139" t="s">
        <v>1672</v>
      </c>
      <c r="B2139" t="s">
        <v>1673</v>
      </c>
      <c r="C2139" t="s">
        <v>1674</v>
      </c>
      <c r="D2139" t="s">
        <v>1675</v>
      </c>
      <c r="E2139" t="s">
        <v>1676</v>
      </c>
      <c r="F2139" t="s">
        <v>5</v>
      </c>
      <c r="G2139" t="s">
        <v>5</v>
      </c>
      <c r="H2139" t="s">
        <v>5</v>
      </c>
      <c r="I2139" t="s">
        <v>1577</v>
      </c>
      <c r="J2139" t="s">
        <v>7</v>
      </c>
      <c r="K2139" s="3">
        <f t="shared" si="66"/>
        <v>0</v>
      </c>
      <c r="L2139" s="3">
        <f>IF(ISERROR(VLOOKUP(J2139,Lookups!$A$2:$A$16,1,FALSE)),1,0)</f>
        <v>1</v>
      </c>
      <c r="M2139" s="3">
        <f>IF(ISERROR(VLOOKUP(D2139,Data!$A$2:$D$223100,2,FALSE)),0,1)</f>
        <v>1</v>
      </c>
      <c r="N2139" s="3">
        <f t="shared" si="67"/>
        <v>1</v>
      </c>
      <c r="O2139" s="3" t="str">
        <f>IF(ISERROR(VLOOKUP(D2139,Data!$A$2:$C$223100,3,FALSE)),"INACTIVE",VLOOKUP(D2139,Data!$A$2:$C$223100,3,FALSE))</f>
        <v>FC</v>
      </c>
    </row>
    <row r="2140" spans="1:15" x14ac:dyDescent="0.25">
      <c r="A2140" t="s">
        <v>1893</v>
      </c>
      <c r="B2140" t="s">
        <v>1894</v>
      </c>
      <c r="C2140" t="s">
        <v>1895</v>
      </c>
      <c r="D2140" t="s">
        <v>1896</v>
      </c>
      <c r="E2140" t="s">
        <v>1897</v>
      </c>
      <c r="F2140" t="s">
        <v>1897</v>
      </c>
      <c r="G2140" t="s">
        <v>5</v>
      </c>
      <c r="H2140" t="s">
        <v>5</v>
      </c>
      <c r="I2140" t="s">
        <v>1577</v>
      </c>
      <c r="J2140" t="s">
        <v>40</v>
      </c>
      <c r="K2140" s="3">
        <f t="shared" si="66"/>
        <v>0</v>
      </c>
      <c r="L2140" s="3">
        <f>IF(ISERROR(VLOOKUP(J2140,Lookups!$A$2:$A$16,1,FALSE)),1,0)</f>
        <v>1</v>
      </c>
      <c r="M2140" s="3">
        <f>IF(ISERROR(VLOOKUP(D2140,Data!$A$2:$D$223100,2,FALSE)),0,1)</f>
        <v>1</v>
      </c>
      <c r="N2140" s="3">
        <f t="shared" si="67"/>
        <v>1</v>
      </c>
      <c r="O2140" s="3" t="str">
        <f>IF(ISERROR(VLOOKUP(D2140,Data!$A$2:$C$223100,3,FALSE)),"INACTIVE",VLOOKUP(D2140,Data!$A$2:$C$223100,3,FALSE))</f>
        <v>30+</v>
      </c>
    </row>
    <row r="2141" spans="1:15" x14ac:dyDescent="0.25">
      <c r="A2141" t="s">
        <v>1893</v>
      </c>
      <c r="B2141" t="s">
        <v>1894</v>
      </c>
      <c r="C2141" t="s">
        <v>1898</v>
      </c>
      <c r="D2141" t="s">
        <v>1899</v>
      </c>
      <c r="E2141" t="s">
        <v>1900</v>
      </c>
      <c r="F2141" t="s">
        <v>1900</v>
      </c>
      <c r="G2141" t="s">
        <v>5</v>
      </c>
      <c r="H2141" t="s">
        <v>5</v>
      </c>
      <c r="I2141" t="s">
        <v>1577</v>
      </c>
      <c r="J2141" t="s">
        <v>40</v>
      </c>
      <c r="K2141" s="3">
        <f t="shared" si="66"/>
        <v>0</v>
      </c>
      <c r="L2141" s="3">
        <f>IF(ISERROR(VLOOKUP(J2141,Lookups!$A$2:$A$16,1,FALSE)),1,0)</f>
        <v>1</v>
      </c>
      <c r="M2141" s="3">
        <f>IF(ISERROR(VLOOKUP(D2141,Data!$A$2:$D$223100,2,FALSE)),0,1)</f>
        <v>1</v>
      </c>
      <c r="N2141" s="3">
        <f t="shared" si="67"/>
        <v>1</v>
      </c>
      <c r="O2141" s="3" t="str">
        <f>IF(ISERROR(VLOOKUP(D2141,Data!$A$2:$C$223100,3,FALSE)),"INACTIVE",VLOOKUP(D2141,Data!$A$2:$C$223100,3,FALSE))</f>
        <v>Current</v>
      </c>
    </row>
    <row r="2142" spans="1:15" x14ac:dyDescent="0.25">
      <c r="A2142" t="s">
        <v>1901</v>
      </c>
      <c r="B2142" t="s">
        <v>1902</v>
      </c>
      <c r="C2142" t="s">
        <v>1903</v>
      </c>
      <c r="D2142" t="s">
        <v>1904</v>
      </c>
      <c r="E2142" t="s">
        <v>1905</v>
      </c>
      <c r="F2142" t="s">
        <v>1905</v>
      </c>
      <c r="G2142" t="s">
        <v>5</v>
      </c>
      <c r="H2142" t="s">
        <v>5</v>
      </c>
      <c r="I2142" t="s">
        <v>1577</v>
      </c>
      <c r="J2142" t="s">
        <v>40</v>
      </c>
      <c r="K2142" s="3">
        <f t="shared" si="66"/>
        <v>0</v>
      </c>
      <c r="L2142" s="3">
        <f>IF(ISERROR(VLOOKUP(J2142,Lookups!$A$2:$A$16,1,FALSE)),1,0)</f>
        <v>1</v>
      </c>
      <c r="M2142" s="3">
        <f>IF(ISERROR(VLOOKUP(D2142,Data!$A$2:$D$223100,2,FALSE)),0,1)</f>
        <v>1</v>
      </c>
      <c r="N2142" s="3">
        <f t="shared" si="67"/>
        <v>1</v>
      </c>
      <c r="O2142" s="3" t="str">
        <f>IF(ISERROR(VLOOKUP(D2142,Data!$A$2:$C$223100,3,FALSE)),"INACTIVE",VLOOKUP(D2142,Data!$A$2:$C$223100,3,FALSE))</f>
        <v>Current</v>
      </c>
    </row>
    <row r="2143" spans="1:15" x14ac:dyDescent="0.25">
      <c r="A2143" t="s">
        <v>2073</v>
      </c>
      <c r="B2143" t="s">
        <v>2074</v>
      </c>
      <c r="C2143" t="s">
        <v>2075</v>
      </c>
      <c r="D2143" t="s">
        <v>2076</v>
      </c>
      <c r="E2143" t="s">
        <v>2077</v>
      </c>
      <c r="F2143" t="s">
        <v>2077</v>
      </c>
      <c r="G2143" t="s">
        <v>5</v>
      </c>
      <c r="H2143" t="s">
        <v>5</v>
      </c>
      <c r="I2143" t="s">
        <v>1577</v>
      </c>
      <c r="J2143" t="s">
        <v>40</v>
      </c>
      <c r="K2143" s="3">
        <f t="shared" si="66"/>
        <v>0</v>
      </c>
      <c r="L2143" s="3">
        <f>IF(ISERROR(VLOOKUP(J2143,Lookups!$A$2:$A$16,1,FALSE)),1,0)</f>
        <v>1</v>
      </c>
      <c r="M2143" s="3">
        <f>IF(ISERROR(VLOOKUP(D2143,Data!$A$2:$D$223100,2,FALSE)),0,1)</f>
        <v>0</v>
      </c>
      <c r="N2143" s="3">
        <f t="shared" si="67"/>
        <v>0</v>
      </c>
      <c r="O2143" s="3" t="str">
        <f>IF(ISERROR(VLOOKUP(D2143,Data!$A$2:$C$223100,3,FALSE)),"INACTIVE",VLOOKUP(D2143,Data!$A$2:$C$223100,3,FALSE))</f>
        <v>INACTIVE</v>
      </c>
    </row>
    <row r="2144" spans="1:15" x14ac:dyDescent="0.25">
      <c r="A2144" t="s">
        <v>3016</v>
      </c>
      <c r="B2144" t="s">
        <v>3017</v>
      </c>
      <c r="C2144" t="s">
        <v>3018</v>
      </c>
      <c r="D2144" t="s">
        <v>3019</v>
      </c>
      <c r="E2144" t="s">
        <v>3020</v>
      </c>
      <c r="F2144" t="s">
        <v>3020</v>
      </c>
      <c r="G2144" t="s">
        <v>5</v>
      </c>
      <c r="H2144" t="s">
        <v>5</v>
      </c>
      <c r="I2144" t="s">
        <v>1577</v>
      </c>
      <c r="J2144" t="s">
        <v>40</v>
      </c>
      <c r="K2144" s="3">
        <f t="shared" si="66"/>
        <v>0</v>
      </c>
      <c r="L2144" s="3">
        <f>IF(ISERROR(VLOOKUP(J2144,Lookups!$A$2:$A$16,1,FALSE)),1,0)</f>
        <v>1</v>
      </c>
      <c r="M2144" s="3">
        <f>IF(ISERROR(VLOOKUP(D2144,Data!$A$2:$D$223100,2,FALSE)),0,1)</f>
        <v>1</v>
      </c>
      <c r="N2144" s="3">
        <f t="shared" si="67"/>
        <v>1</v>
      </c>
      <c r="O2144" s="3" t="str">
        <f>IF(ISERROR(VLOOKUP(D2144,Data!$A$2:$C$223100,3,FALSE)),"INACTIVE",VLOOKUP(D2144,Data!$A$2:$C$223100,3,FALSE))</f>
        <v>Current</v>
      </c>
    </row>
    <row r="2145" spans="1:15" x14ac:dyDescent="0.25">
      <c r="A2145" t="s">
        <v>3865</v>
      </c>
      <c r="B2145" t="s">
        <v>3866</v>
      </c>
      <c r="C2145" t="s">
        <v>3867</v>
      </c>
      <c r="D2145" t="s">
        <v>3868</v>
      </c>
      <c r="E2145" t="s">
        <v>3869</v>
      </c>
      <c r="F2145" t="s">
        <v>5</v>
      </c>
      <c r="G2145" t="s">
        <v>5</v>
      </c>
      <c r="H2145" t="s">
        <v>5</v>
      </c>
      <c r="I2145" t="s">
        <v>1577</v>
      </c>
      <c r="J2145" t="s">
        <v>7</v>
      </c>
      <c r="K2145" s="3">
        <f t="shared" si="66"/>
        <v>0</v>
      </c>
      <c r="L2145" s="3">
        <f>IF(ISERROR(VLOOKUP(J2145,Lookups!$A$2:$A$16,1,FALSE)),1,0)</f>
        <v>1</v>
      </c>
      <c r="M2145" s="3">
        <f>IF(ISERROR(VLOOKUP(D2145,Data!$A$2:$D$223100,2,FALSE)),0,1)</f>
        <v>1</v>
      </c>
      <c r="N2145" s="3">
        <f t="shared" si="67"/>
        <v>1</v>
      </c>
      <c r="O2145" s="3" t="str">
        <f>IF(ISERROR(VLOOKUP(D2145,Data!$A$2:$C$223100,3,FALSE)),"INACTIVE",VLOOKUP(D2145,Data!$A$2:$C$223100,3,FALSE))</f>
        <v>Current</v>
      </c>
    </row>
    <row r="2146" spans="1:15" x14ac:dyDescent="0.25">
      <c r="A2146" t="s">
        <v>3870</v>
      </c>
      <c r="B2146" t="s">
        <v>3871</v>
      </c>
      <c r="C2146" t="s">
        <v>3872</v>
      </c>
      <c r="D2146" t="s">
        <v>3873</v>
      </c>
      <c r="E2146" t="s">
        <v>3874</v>
      </c>
      <c r="F2146" t="s">
        <v>5</v>
      </c>
      <c r="G2146" t="s">
        <v>5</v>
      </c>
      <c r="H2146" t="s">
        <v>5</v>
      </c>
      <c r="I2146" t="s">
        <v>1577</v>
      </c>
      <c r="J2146" t="s">
        <v>7</v>
      </c>
      <c r="K2146" s="3">
        <f t="shared" si="66"/>
        <v>0</v>
      </c>
      <c r="L2146" s="3">
        <f>IF(ISERROR(VLOOKUP(J2146,Lookups!$A$2:$A$16,1,FALSE)),1,0)</f>
        <v>1</v>
      </c>
      <c r="M2146" s="3">
        <f>IF(ISERROR(VLOOKUP(D2146,Data!$A$2:$D$223100,2,FALSE)),0,1)</f>
        <v>1</v>
      </c>
      <c r="N2146" s="3">
        <f t="shared" si="67"/>
        <v>1</v>
      </c>
      <c r="O2146" s="3" t="str">
        <f>IF(ISERROR(VLOOKUP(D2146,Data!$A$2:$C$223100,3,FALSE)),"INACTIVE",VLOOKUP(D2146,Data!$A$2:$C$223100,3,FALSE))</f>
        <v>180+</v>
      </c>
    </row>
    <row r="2147" spans="1:15" x14ac:dyDescent="0.25">
      <c r="A2147" t="s">
        <v>3875</v>
      </c>
      <c r="B2147" t="s">
        <v>3876</v>
      </c>
      <c r="C2147" t="s">
        <v>3877</v>
      </c>
      <c r="D2147" t="s">
        <v>3878</v>
      </c>
      <c r="E2147" t="s">
        <v>3879</v>
      </c>
      <c r="F2147" t="s">
        <v>5</v>
      </c>
      <c r="G2147" t="s">
        <v>5</v>
      </c>
      <c r="H2147" t="s">
        <v>5</v>
      </c>
      <c r="I2147" t="s">
        <v>1577</v>
      </c>
      <c r="J2147" t="s">
        <v>90</v>
      </c>
      <c r="K2147" s="3">
        <f t="shared" si="66"/>
        <v>0</v>
      </c>
      <c r="L2147" s="3">
        <f>IF(ISERROR(VLOOKUP(J2147,Lookups!$A$2:$A$16,1,FALSE)),1,0)</f>
        <v>0</v>
      </c>
      <c r="M2147" s="3">
        <f>IF(ISERROR(VLOOKUP(D2147,Data!$A$2:$D$223100,2,FALSE)),0,1)</f>
        <v>1</v>
      </c>
      <c r="N2147" s="3">
        <f t="shared" si="67"/>
        <v>0</v>
      </c>
      <c r="O2147" s="3" t="str">
        <f>IF(ISERROR(VLOOKUP(D2147,Data!$A$2:$C$223100,3,FALSE)),"INACTIVE",VLOOKUP(D2147,Data!$A$2:$C$223100,3,FALSE))</f>
        <v>PP</v>
      </c>
    </row>
    <row r="2148" spans="1:15" x14ac:dyDescent="0.25">
      <c r="A2148" t="s">
        <v>3875</v>
      </c>
      <c r="B2148" t="s">
        <v>3876</v>
      </c>
      <c r="C2148" t="s">
        <v>3877</v>
      </c>
      <c r="D2148" t="s">
        <v>3878</v>
      </c>
      <c r="E2148" t="s">
        <v>3880</v>
      </c>
      <c r="F2148" t="s">
        <v>5</v>
      </c>
      <c r="G2148" t="s">
        <v>5</v>
      </c>
      <c r="H2148" t="s">
        <v>5</v>
      </c>
      <c r="I2148" t="s">
        <v>1577</v>
      </c>
      <c r="J2148" t="s">
        <v>90</v>
      </c>
      <c r="K2148" s="3">
        <f t="shared" si="66"/>
        <v>0</v>
      </c>
      <c r="L2148" s="3">
        <f>IF(ISERROR(VLOOKUP(J2148,Lookups!$A$2:$A$16,1,FALSE)),1,0)</f>
        <v>0</v>
      </c>
      <c r="M2148" s="3">
        <f>IF(ISERROR(VLOOKUP(D2148,Data!$A$2:$D$223100,2,FALSE)),0,1)</f>
        <v>1</v>
      </c>
      <c r="N2148" s="3">
        <f t="shared" si="67"/>
        <v>0</v>
      </c>
      <c r="O2148" s="3" t="str">
        <f>IF(ISERROR(VLOOKUP(D2148,Data!$A$2:$C$223100,3,FALSE)),"INACTIVE",VLOOKUP(D2148,Data!$A$2:$C$223100,3,FALSE))</f>
        <v>PP</v>
      </c>
    </row>
    <row r="2149" spans="1:15" x14ac:dyDescent="0.25">
      <c r="A2149" t="s">
        <v>3911</v>
      </c>
      <c r="B2149" t="s">
        <v>3912</v>
      </c>
      <c r="C2149" t="s">
        <v>3913</v>
      </c>
      <c r="D2149" t="s">
        <v>3914</v>
      </c>
      <c r="E2149" t="s">
        <v>3915</v>
      </c>
      <c r="F2149" t="s">
        <v>5</v>
      </c>
      <c r="G2149" t="s">
        <v>5</v>
      </c>
      <c r="H2149" t="s">
        <v>5</v>
      </c>
      <c r="I2149" t="s">
        <v>1577</v>
      </c>
      <c r="J2149" t="s">
        <v>7</v>
      </c>
      <c r="K2149" s="3">
        <f t="shared" si="66"/>
        <v>0</v>
      </c>
      <c r="L2149" s="3">
        <f>IF(ISERROR(VLOOKUP(J2149,Lookups!$A$2:$A$16,1,FALSE)),1,0)</f>
        <v>1</v>
      </c>
      <c r="M2149" s="3">
        <f>IF(ISERROR(VLOOKUP(D2149,Data!$A$2:$D$223100,2,FALSE)),0,1)</f>
        <v>1</v>
      </c>
      <c r="N2149" s="3">
        <f t="shared" si="67"/>
        <v>1</v>
      </c>
      <c r="O2149" s="3" t="str">
        <f>IF(ISERROR(VLOOKUP(D2149,Data!$A$2:$C$223100,3,FALSE)),"INACTIVE",VLOOKUP(D2149,Data!$A$2:$C$223100,3,FALSE))</f>
        <v>90+</v>
      </c>
    </row>
    <row r="2150" spans="1:15" x14ac:dyDescent="0.25">
      <c r="A2150" t="s">
        <v>3922</v>
      </c>
      <c r="B2150" t="s">
        <v>3923</v>
      </c>
      <c r="C2150" t="s">
        <v>3924</v>
      </c>
      <c r="D2150" t="s">
        <v>3925</v>
      </c>
      <c r="E2150" t="s">
        <v>3926</v>
      </c>
      <c r="F2150" t="s">
        <v>5</v>
      </c>
      <c r="G2150" t="s">
        <v>5</v>
      </c>
      <c r="H2150" t="s">
        <v>5</v>
      </c>
      <c r="I2150" t="s">
        <v>1577</v>
      </c>
      <c r="J2150" t="s">
        <v>7</v>
      </c>
      <c r="K2150" s="3">
        <f t="shared" si="66"/>
        <v>0</v>
      </c>
      <c r="L2150" s="3">
        <f>IF(ISERROR(VLOOKUP(J2150,Lookups!$A$2:$A$16,1,FALSE)),1,0)</f>
        <v>1</v>
      </c>
      <c r="M2150" s="3">
        <f>IF(ISERROR(VLOOKUP(D2150,Data!$A$2:$D$223100,2,FALSE)),0,1)</f>
        <v>1</v>
      </c>
      <c r="N2150" s="3">
        <f t="shared" si="67"/>
        <v>1</v>
      </c>
      <c r="O2150" s="3" t="str">
        <f>IF(ISERROR(VLOOKUP(D2150,Data!$A$2:$C$223100,3,FALSE)),"INACTIVE",VLOOKUP(D2150,Data!$A$2:$C$223100,3,FALSE))</f>
        <v>60+</v>
      </c>
    </row>
    <row r="2151" spans="1:15" x14ac:dyDescent="0.25">
      <c r="A2151" t="s">
        <v>3922</v>
      </c>
      <c r="B2151" t="s">
        <v>3923</v>
      </c>
      <c r="C2151" t="s">
        <v>3927</v>
      </c>
      <c r="D2151" t="s">
        <v>3928</v>
      </c>
      <c r="E2151" t="s">
        <v>3929</v>
      </c>
      <c r="F2151" t="s">
        <v>5</v>
      </c>
      <c r="G2151" t="s">
        <v>5</v>
      </c>
      <c r="H2151" t="s">
        <v>5</v>
      </c>
      <c r="I2151" t="s">
        <v>1577</v>
      </c>
      <c r="J2151" t="s">
        <v>7</v>
      </c>
      <c r="K2151" s="3">
        <f t="shared" si="66"/>
        <v>0</v>
      </c>
      <c r="L2151" s="3">
        <f>IF(ISERROR(VLOOKUP(J2151,Lookups!$A$2:$A$16,1,FALSE)),1,0)</f>
        <v>1</v>
      </c>
      <c r="M2151" s="3">
        <f>IF(ISERROR(VLOOKUP(D2151,Data!$A$2:$D$223100,2,FALSE)),0,1)</f>
        <v>1</v>
      </c>
      <c r="N2151" s="3">
        <f t="shared" si="67"/>
        <v>1</v>
      </c>
      <c r="O2151" s="3" t="str">
        <f>IF(ISERROR(VLOOKUP(D2151,Data!$A$2:$C$223100,3,FALSE)),"INACTIVE",VLOOKUP(D2151,Data!$A$2:$C$223100,3,FALSE))</f>
        <v>120+</v>
      </c>
    </row>
    <row r="2152" spans="1:15" x14ac:dyDescent="0.25">
      <c r="A2152" t="s">
        <v>4343</v>
      </c>
      <c r="B2152" t="s">
        <v>4344</v>
      </c>
      <c r="C2152" t="s">
        <v>4345</v>
      </c>
      <c r="D2152" t="s">
        <v>4346</v>
      </c>
      <c r="E2152" t="s">
        <v>4347</v>
      </c>
      <c r="F2152" t="s">
        <v>5</v>
      </c>
      <c r="G2152" t="s">
        <v>5</v>
      </c>
      <c r="H2152" t="s">
        <v>5</v>
      </c>
      <c r="I2152" t="s">
        <v>1577</v>
      </c>
      <c r="J2152" t="s">
        <v>96</v>
      </c>
      <c r="K2152" s="3">
        <f t="shared" si="66"/>
        <v>0</v>
      </c>
      <c r="L2152" s="3">
        <f>IF(ISERROR(VLOOKUP(J2152,Lookups!$A$2:$A$16,1,FALSE)),1,0)</f>
        <v>0</v>
      </c>
      <c r="M2152" s="3">
        <f>IF(ISERROR(VLOOKUP(D2152,Data!$A$2:$D$223100,2,FALSE)),0,1)</f>
        <v>1</v>
      </c>
      <c r="N2152" s="3">
        <f t="shared" si="67"/>
        <v>0</v>
      </c>
      <c r="O2152" s="3" t="str">
        <f>IF(ISERROR(VLOOKUP(D2152,Data!$A$2:$C$223100,3,FALSE)),"INACTIVE",VLOOKUP(D2152,Data!$A$2:$C$223100,3,FALSE))</f>
        <v>90+</v>
      </c>
    </row>
    <row r="2153" spans="1:15" x14ac:dyDescent="0.25">
      <c r="A2153" t="s">
        <v>4541</v>
      </c>
      <c r="B2153" t="s">
        <v>4542</v>
      </c>
      <c r="C2153" t="s">
        <v>4543</v>
      </c>
      <c r="D2153" t="s">
        <v>4544</v>
      </c>
      <c r="E2153" t="s">
        <v>4545</v>
      </c>
      <c r="F2153" t="s">
        <v>5</v>
      </c>
      <c r="G2153" t="s">
        <v>5</v>
      </c>
      <c r="H2153" t="s">
        <v>5</v>
      </c>
      <c r="I2153" t="s">
        <v>4546</v>
      </c>
      <c r="J2153" t="s">
        <v>7</v>
      </c>
      <c r="K2153" s="3">
        <f t="shared" si="66"/>
        <v>0</v>
      </c>
      <c r="L2153" s="3">
        <f>IF(ISERROR(VLOOKUP(J2153,Lookups!$A$2:$A$16,1,FALSE)),1,0)</f>
        <v>1</v>
      </c>
      <c r="M2153" s="3">
        <f>IF(ISERROR(VLOOKUP(D2153,Data!$A$2:$D$223100,2,FALSE)),0,1)</f>
        <v>1</v>
      </c>
      <c r="N2153" s="3">
        <f t="shared" si="67"/>
        <v>1</v>
      </c>
      <c r="O2153" s="3" t="str">
        <f>IF(ISERROR(VLOOKUP(D2153,Data!$A$2:$C$223100,3,FALSE)),"INACTIVE",VLOOKUP(D2153,Data!$A$2:$C$223100,3,FALSE))</f>
        <v>60+</v>
      </c>
    </row>
    <row r="2154" spans="1:15" x14ac:dyDescent="0.25">
      <c r="A2154" t="s">
        <v>4541</v>
      </c>
      <c r="B2154" t="s">
        <v>4542</v>
      </c>
      <c r="C2154" t="s">
        <v>4547</v>
      </c>
      <c r="D2154" t="s">
        <v>4548</v>
      </c>
      <c r="E2154" t="s">
        <v>4549</v>
      </c>
      <c r="F2154" t="s">
        <v>5</v>
      </c>
      <c r="G2154" t="s">
        <v>5</v>
      </c>
      <c r="H2154" t="s">
        <v>5</v>
      </c>
      <c r="I2154" t="s">
        <v>4546</v>
      </c>
      <c r="J2154" t="s">
        <v>7</v>
      </c>
      <c r="K2154" s="3">
        <f t="shared" si="66"/>
        <v>0</v>
      </c>
      <c r="L2154" s="3">
        <f>IF(ISERROR(VLOOKUP(J2154,Lookups!$A$2:$A$16,1,FALSE)),1,0)</f>
        <v>1</v>
      </c>
      <c r="M2154" s="3">
        <f>IF(ISERROR(VLOOKUP(D2154,Data!$A$2:$D$223100,2,FALSE)),0,1)</f>
        <v>1</v>
      </c>
      <c r="N2154" s="3">
        <f t="shared" si="67"/>
        <v>1</v>
      </c>
      <c r="O2154" s="3" t="str">
        <f>IF(ISERROR(VLOOKUP(D2154,Data!$A$2:$C$223100,3,FALSE)),"INACTIVE",VLOOKUP(D2154,Data!$A$2:$C$223100,3,FALSE))</f>
        <v>120+</v>
      </c>
    </row>
    <row r="2155" spans="1:15" x14ac:dyDescent="0.25">
      <c r="A2155" t="s">
        <v>4541</v>
      </c>
      <c r="B2155" t="s">
        <v>4542</v>
      </c>
      <c r="C2155" t="s">
        <v>4550</v>
      </c>
      <c r="D2155" t="s">
        <v>4551</v>
      </c>
      <c r="E2155" t="s">
        <v>4552</v>
      </c>
      <c r="F2155" t="s">
        <v>5</v>
      </c>
      <c r="G2155" t="s">
        <v>5</v>
      </c>
      <c r="H2155" t="s">
        <v>5</v>
      </c>
      <c r="I2155" t="s">
        <v>4546</v>
      </c>
      <c r="J2155" t="s">
        <v>7</v>
      </c>
      <c r="K2155" s="3">
        <f t="shared" si="66"/>
        <v>0</v>
      </c>
      <c r="L2155" s="3">
        <f>IF(ISERROR(VLOOKUP(J2155,Lookups!$A$2:$A$16,1,FALSE)),1,0)</f>
        <v>1</v>
      </c>
      <c r="M2155" s="3">
        <f>IF(ISERROR(VLOOKUP(D2155,Data!$A$2:$D$223100,2,FALSE)),0,1)</f>
        <v>1</v>
      </c>
      <c r="N2155" s="3">
        <f t="shared" si="67"/>
        <v>1</v>
      </c>
      <c r="O2155" s="3" t="str">
        <f>IF(ISERROR(VLOOKUP(D2155,Data!$A$2:$C$223100,3,FALSE)),"INACTIVE",VLOOKUP(D2155,Data!$A$2:$C$223100,3,FALSE))</f>
        <v>Demand Letter</v>
      </c>
    </row>
    <row r="2156" spans="1:15" x14ac:dyDescent="0.25">
      <c r="A2156" t="s">
        <v>1539</v>
      </c>
      <c r="B2156" t="s">
        <v>1540</v>
      </c>
      <c r="C2156" t="s">
        <v>1541</v>
      </c>
      <c r="D2156" t="s">
        <v>1542</v>
      </c>
      <c r="E2156" t="s">
        <v>1543</v>
      </c>
      <c r="F2156" t="s">
        <v>5</v>
      </c>
      <c r="G2156" t="s">
        <v>5</v>
      </c>
      <c r="H2156" t="s">
        <v>5</v>
      </c>
      <c r="I2156" t="s">
        <v>1544</v>
      </c>
      <c r="J2156" t="s">
        <v>7</v>
      </c>
      <c r="K2156" s="3">
        <f t="shared" si="66"/>
        <v>0</v>
      </c>
      <c r="L2156" s="3">
        <f>IF(ISERROR(VLOOKUP(J2156,Lookups!$A$2:$A$16,1,FALSE)),1,0)</f>
        <v>1</v>
      </c>
      <c r="M2156" s="3">
        <f>IF(ISERROR(VLOOKUP(D2156,Data!$A$2:$D$223100,2,FALSE)),0,1)</f>
        <v>1</v>
      </c>
      <c r="N2156" s="3">
        <f t="shared" si="67"/>
        <v>1</v>
      </c>
      <c r="O2156" s="3" t="str">
        <f>IF(ISERROR(VLOOKUP(D2156,Data!$A$2:$C$223100,3,FALSE)),"INACTIVE",VLOOKUP(D2156,Data!$A$2:$C$223100,3,FALSE))</f>
        <v>Current</v>
      </c>
    </row>
    <row r="2157" spans="1:15" x14ac:dyDescent="0.25">
      <c r="A2157" t="s">
        <v>1578</v>
      </c>
      <c r="B2157" t="s">
        <v>1579</v>
      </c>
      <c r="C2157" t="s">
        <v>1580</v>
      </c>
      <c r="D2157" t="s">
        <v>1581</v>
      </c>
      <c r="E2157" t="s">
        <v>1582</v>
      </c>
      <c r="F2157" t="s">
        <v>5</v>
      </c>
      <c r="G2157" t="s">
        <v>5</v>
      </c>
      <c r="H2157" t="s">
        <v>5</v>
      </c>
      <c r="I2157" t="s">
        <v>1583</v>
      </c>
      <c r="J2157" t="s">
        <v>14</v>
      </c>
      <c r="K2157" s="3">
        <f t="shared" si="66"/>
        <v>0</v>
      </c>
      <c r="L2157" s="3">
        <f>IF(ISERROR(VLOOKUP(J2157,Lookups!$A$2:$A$16,1,FALSE)),1,0)</f>
        <v>1</v>
      </c>
      <c r="M2157" s="3">
        <f>IF(ISERROR(VLOOKUP(D2157,Data!$A$2:$D$223100,2,FALSE)),0,1)</f>
        <v>1</v>
      </c>
      <c r="N2157" s="3">
        <f t="shared" si="67"/>
        <v>1</v>
      </c>
      <c r="O2157" s="3" t="str">
        <f>IF(ISERROR(VLOOKUP(D2157,Data!$A$2:$C$223100,3,FALSE)),"INACTIVE",VLOOKUP(D2157,Data!$A$2:$C$223100,3,FALSE))</f>
        <v>FC</v>
      </c>
    </row>
    <row r="2158" spans="1:15" x14ac:dyDescent="0.25">
      <c r="A2158" t="s">
        <v>1584</v>
      </c>
      <c r="B2158" t="s">
        <v>1585</v>
      </c>
      <c r="C2158" t="s">
        <v>1586</v>
      </c>
      <c r="D2158" t="s">
        <v>1587</v>
      </c>
      <c r="E2158" t="s">
        <v>1588</v>
      </c>
      <c r="F2158" t="s">
        <v>5</v>
      </c>
      <c r="G2158" t="s">
        <v>5</v>
      </c>
      <c r="H2158" t="s">
        <v>5</v>
      </c>
      <c r="I2158" t="s">
        <v>1583</v>
      </c>
      <c r="J2158" t="s">
        <v>14</v>
      </c>
      <c r="K2158" s="3">
        <f t="shared" si="66"/>
        <v>0</v>
      </c>
      <c r="L2158" s="3">
        <f>IF(ISERROR(VLOOKUP(J2158,Lookups!$A$2:$A$16,1,FALSE)),1,0)</f>
        <v>1</v>
      </c>
      <c r="M2158" s="3">
        <f>IF(ISERROR(VLOOKUP(D2158,Data!$A$2:$D$223100,2,FALSE)),0,1)</f>
        <v>1</v>
      </c>
      <c r="N2158" s="3">
        <f t="shared" si="67"/>
        <v>1</v>
      </c>
      <c r="O2158" s="3" t="str">
        <f>IF(ISERROR(VLOOKUP(D2158,Data!$A$2:$C$223100,3,FALSE)),"INACTIVE",VLOOKUP(D2158,Data!$A$2:$C$223100,3,FALSE))</f>
        <v>120+</v>
      </c>
    </row>
    <row r="2159" spans="1:15" x14ac:dyDescent="0.25">
      <c r="A2159" t="s">
        <v>1589</v>
      </c>
      <c r="B2159" t="s">
        <v>1590</v>
      </c>
      <c r="C2159" t="s">
        <v>1591</v>
      </c>
      <c r="D2159" t="s">
        <v>1592</v>
      </c>
      <c r="E2159" t="s">
        <v>1593</v>
      </c>
      <c r="F2159" t="s">
        <v>5</v>
      </c>
      <c r="G2159" t="s">
        <v>5</v>
      </c>
      <c r="H2159" t="s">
        <v>5</v>
      </c>
      <c r="I2159" t="s">
        <v>1583</v>
      </c>
      <c r="J2159" t="s">
        <v>7</v>
      </c>
      <c r="K2159" s="3">
        <f t="shared" si="66"/>
        <v>0</v>
      </c>
      <c r="L2159" s="3">
        <f>IF(ISERROR(VLOOKUP(J2159,Lookups!$A$2:$A$16,1,FALSE)),1,0)</f>
        <v>1</v>
      </c>
      <c r="M2159" s="3">
        <f>IF(ISERROR(VLOOKUP(D2159,Data!$A$2:$D$223100,2,FALSE)),0,1)</f>
        <v>1</v>
      </c>
      <c r="N2159" s="3">
        <f t="shared" si="67"/>
        <v>1</v>
      </c>
      <c r="O2159" s="3" t="str">
        <f>IF(ISERROR(VLOOKUP(D2159,Data!$A$2:$C$223100,3,FALSE)),"INACTIVE",VLOOKUP(D2159,Data!$A$2:$C$223100,3,FALSE))</f>
        <v>90+</v>
      </c>
    </row>
    <row r="2160" spans="1:15" x14ac:dyDescent="0.25">
      <c r="A2160" t="s">
        <v>1589</v>
      </c>
      <c r="B2160" t="s">
        <v>1590</v>
      </c>
      <c r="C2160" t="s">
        <v>1591</v>
      </c>
      <c r="D2160" t="s">
        <v>1592</v>
      </c>
      <c r="E2160" t="s">
        <v>1594</v>
      </c>
      <c r="F2160" t="s">
        <v>5</v>
      </c>
      <c r="G2160" t="s">
        <v>5</v>
      </c>
      <c r="H2160" t="s">
        <v>5</v>
      </c>
      <c r="I2160" t="s">
        <v>1583</v>
      </c>
      <c r="J2160" t="s">
        <v>7</v>
      </c>
      <c r="K2160" s="3">
        <f t="shared" si="66"/>
        <v>0</v>
      </c>
      <c r="L2160" s="3">
        <f>IF(ISERROR(VLOOKUP(J2160,Lookups!$A$2:$A$16,1,FALSE)),1,0)</f>
        <v>1</v>
      </c>
      <c r="M2160" s="3">
        <f>IF(ISERROR(VLOOKUP(D2160,Data!$A$2:$D$223100,2,FALSE)),0,1)</f>
        <v>1</v>
      </c>
      <c r="N2160" s="3">
        <f t="shared" si="67"/>
        <v>1</v>
      </c>
      <c r="O2160" s="3" t="str">
        <f>IF(ISERROR(VLOOKUP(D2160,Data!$A$2:$C$223100,3,FALSE)),"INACTIVE",VLOOKUP(D2160,Data!$A$2:$C$223100,3,FALSE))</f>
        <v>90+</v>
      </c>
    </row>
    <row r="2161" spans="1:15" x14ac:dyDescent="0.25">
      <c r="A2161" t="s">
        <v>1595</v>
      </c>
      <c r="B2161" t="s">
        <v>1596</v>
      </c>
      <c r="C2161" t="s">
        <v>1597</v>
      </c>
      <c r="D2161" t="s">
        <v>1598</v>
      </c>
      <c r="E2161" t="s">
        <v>1599</v>
      </c>
      <c r="F2161" t="s">
        <v>5</v>
      </c>
      <c r="G2161" t="s">
        <v>5</v>
      </c>
      <c r="H2161" t="s">
        <v>5</v>
      </c>
      <c r="I2161" t="s">
        <v>1583</v>
      </c>
      <c r="J2161" t="s">
        <v>14</v>
      </c>
      <c r="K2161" s="3">
        <f t="shared" si="66"/>
        <v>0</v>
      </c>
      <c r="L2161" s="3">
        <f>IF(ISERROR(VLOOKUP(J2161,Lookups!$A$2:$A$16,1,FALSE)),1,0)</f>
        <v>1</v>
      </c>
      <c r="M2161" s="3">
        <f>IF(ISERROR(VLOOKUP(D2161,Data!$A$2:$D$223100,2,FALSE)),0,1)</f>
        <v>1</v>
      </c>
      <c r="N2161" s="3">
        <f t="shared" si="67"/>
        <v>1</v>
      </c>
      <c r="O2161" s="3" t="str">
        <f>IF(ISERROR(VLOOKUP(D2161,Data!$A$2:$C$223100,3,FALSE)),"INACTIVE",VLOOKUP(D2161,Data!$A$2:$C$223100,3,FALSE))</f>
        <v>FC</v>
      </c>
    </row>
    <row r="2162" spans="1:15" x14ac:dyDescent="0.25">
      <c r="A2162" t="s">
        <v>1608</v>
      </c>
      <c r="B2162" t="s">
        <v>1609</v>
      </c>
      <c r="C2162" t="s">
        <v>1610</v>
      </c>
      <c r="D2162" t="s">
        <v>1611</v>
      </c>
      <c r="E2162" t="s">
        <v>1612</v>
      </c>
      <c r="F2162" t="s">
        <v>5</v>
      </c>
      <c r="G2162" t="s">
        <v>5</v>
      </c>
      <c r="H2162" t="s">
        <v>5</v>
      </c>
      <c r="I2162" t="s">
        <v>1583</v>
      </c>
      <c r="J2162" t="s">
        <v>90</v>
      </c>
      <c r="K2162" s="3">
        <f t="shared" si="66"/>
        <v>0</v>
      </c>
      <c r="L2162" s="3">
        <f>IF(ISERROR(VLOOKUP(J2162,Lookups!$A$2:$A$16,1,FALSE)),1,0)</f>
        <v>0</v>
      </c>
      <c r="M2162" s="3">
        <f>IF(ISERROR(VLOOKUP(D2162,Data!$A$2:$D$223100,2,FALSE)),0,1)</f>
        <v>1</v>
      </c>
      <c r="N2162" s="3">
        <f t="shared" si="67"/>
        <v>0</v>
      </c>
      <c r="O2162" s="3" t="str">
        <f>IF(ISERROR(VLOOKUP(D2162,Data!$A$2:$C$223100,3,FALSE)),"INACTIVE",VLOOKUP(D2162,Data!$A$2:$C$223100,3,FALSE))</f>
        <v>FBA</v>
      </c>
    </row>
    <row r="2163" spans="1:15" x14ac:dyDescent="0.25">
      <c r="A2163" t="s">
        <v>1608</v>
      </c>
      <c r="B2163" t="s">
        <v>1609</v>
      </c>
      <c r="C2163" t="s">
        <v>1610</v>
      </c>
      <c r="D2163" t="s">
        <v>1611</v>
      </c>
      <c r="E2163" t="s">
        <v>1613</v>
      </c>
      <c r="F2163" t="s">
        <v>5</v>
      </c>
      <c r="G2163" t="s">
        <v>5</v>
      </c>
      <c r="H2163" t="s">
        <v>5</v>
      </c>
      <c r="I2163" t="s">
        <v>1583</v>
      </c>
      <c r="J2163" t="s">
        <v>90</v>
      </c>
      <c r="K2163" s="3">
        <f t="shared" si="66"/>
        <v>0</v>
      </c>
      <c r="L2163" s="3">
        <f>IF(ISERROR(VLOOKUP(J2163,Lookups!$A$2:$A$16,1,FALSE)),1,0)</f>
        <v>0</v>
      </c>
      <c r="M2163" s="3">
        <f>IF(ISERROR(VLOOKUP(D2163,Data!$A$2:$D$223100,2,FALSE)),0,1)</f>
        <v>1</v>
      </c>
      <c r="N2163" s="3">
        <f t="shared" si="67"/>
        <v>0</v>
      </c>
      <c r="O2163" s="3" t="str">
        <f>IF(ISERROR(VLOOKUP(D2163,Data!$A$2:$C$223100,3,FALSE)),"INACTIVE",VLOOKUP(D2163,Data!$A$2:$C$223100,3,FALSE))</f>
        <v>FBA</v>
      </c>
    </row>
    <row r="2164" spans="1:15" x14ac:dyDescent="0.25">
      <c r="A2164" t="s">
        <v>1608</v>
      </c>
      <c r="B2164" t="s">
        <v>1609</v>
      </c>
      <c r="C2164" t="s">
        <v>1610</v>
      </c>
      <c r="D2164" t="s">
        <v>1611</v>
      </c>
      <c r="E2164" t="s">
        <v>1614</v>
      </c>
      <c r="F2164" t="s">
        <v>5</v>
      </c>
      <c r="G2164" t="s">
        <v>5</v>
      </c>
      <c r="H2164" t="s">
        <v>5</v>
      </c>
      <c r="I2164" t="s">
        <v>1583</v>
      </c>
      <c r="J2164" t="s">
        <v>90</v>
      </c>
      <c r="K2164" s="3">
        <f t="shared" si="66"/>
        <v>0</v>
      </c>
      <c r="L2164" s="3">
        <f>IF(ISERROR(VLOOKUP(J2164,Lookups!$A$2:$A$16,1,FALSE)),1,0)</f>
        <v>0</v>
      </c>
      <c r="M2164" s="3">
        <f>IF(ISERROR(VLOOKUP(D2164,Data!$A$2:$D$223100,2,FALSE)),0,1)</f>
        <v>1</v>
      </c>
      <c r="N2164" s="3">
        <f t="shared" si="67"/>
        <v>0</v>
      </c>
      <c r="O2164" s="3" t="str">
        <f>IF(ISERROR(VLOOKUP(D2164,Data!$A$2:$C$223100,3,FALSE)),"INACTIVE",VLOOKUP(D2164,Data!$A$2:$C$223100,3,FALSE))</f>
        <v>FBA</v>
      </c>
    </row>
    <row r="2165" spans="1:15" x14ac:dyDescent="0.25">
      <c r="A2165" t="s">
        <v>2003</v>
      </c>
      <c r="B2165" t="s">
        <v>2004</v>
      </c>
      <c r="C2165" t="s">
        <v>2005</v>
      </c>
      <c r="D2165" t="s">
        <v>2006</v>
      </c>
      <c r="E2165" t="s">
        <v>2007</v>
      </c>
      <c r="F2165" t="s">
        <v>2007</v>
      </c>
      <c r="G2165" t="s">
        <v>5</v>
      </c>
      <c r="H2165" t="s">
        <v>5</v>
      </c>
      <c r="I2165" t="s">
        <v>1583</v>
      </c>
      <c r="J2165" t="s">
        <v>573</v>
      </c>
      <c r="K2165" s="3">
        <f t="shared" si="66"/>
        <v>0</v>
      </c>
      <c r="L2165" s="3">
        <f>IF(ISERROR(VLOOKUP(J2165,Lookups!$A$2:$A$16,1,FALSE)),1,0)</f>
        <v>1</v>
      </c>
      <c r="M2165" s="3">
        <f>IF(ISERROR(VLOOKUP(D2165,Data!$A$2:$D$223100,2,FALSE)),0,1)</f>
        <v>1</v>
      </c>
      <c r="N2165" s="3">
        <f t="shared" si="67"/>
        <v>1</v>
      </c>
      <c r="O2165" s="3" t="str">
        <f>IF(ISERROR(VLOOKUP(D2165,Data!$A$2:$C$223100,3,FALSE)),"INACTIVE",VLOOKUP(D2165,Data!$A$2:$C$223100,3,FALSE))</f>
        <v>60+</v>
      </c>
    </row>
    <row r="2166" spans="1:15" x14ac:dyDescent="0.25">
      <c r="A2166" t="s">
        <v>2003</v>
      </c>
      <c r="B2166" t="s">
        <v>2004</v>
      </c>
      <c r="C2166" t="s">
        <v>2005</v>
      </c>
      <c r="D2166" t="s">
        <v>2006</v>
      </c>
      <c r="E2166" t="s">
        <v>5</v>
      </c>
      <c r="F2166" t="s">
        <v>2008</v>
      </c>
      <c r="G2166" t="s">
        <v>5</v>
      </c>
      <c r="H2166" t="s">
        <v>5</v>
      </c>
      <c r="I2166" t="s">
        <v>1583</v>
      </c>
      <c r="J2166" t="s">
        <v>573</v>
      </c>
      <c r="K2166" s="3">
        <f t="shared" si="66"/>
        <v>0</v>
      </c>
      <c r="L2166" s="3">
        <f>IF(ISERROR(VLOOKUP(J2166,Lookups!$A$2:$A$16,1,FALSE)),1,0)</f>
        <v>1</v>
      </c>
      <c r="M2166" s="3">
        <f>IF(ISERROR(VLOOKUP(D2166,Data!$A$2:$D$223100,2,FALSE)),0,1)</f>
        <v>1</v>
      </c>
      <c r="N2166" s="3">
        <f t="shared" si="67"/>
        <v>1</v>
      </c>
      <c r="O2166" s="3" t="str">
        <f>IF(ISERROR(VLOOKUP(D2166,Data!$A$2:$C$223100,3,FALSE)),"INACTIVE",VLOOKUP(D2166,Data!$A$2:$C$223100,3,FALSE))</f>
        <v>60+</v>
      </c>
    </row>
    <row r="2167" spans="1:15" x14ac:dyDescent="0.25">
      <c r="A2167" t="s">
        <v>2099</v>
      </c>
      <c r="B2167" t="s">
        <v>2100</v>
      </c>
      <c r="C2167" t="s">
        <v>2101</v>
      </c>
      <c r="D2167" t="s">
        <v>2102</v>
      </c>
      <c r="E2167" t="s">
        <v>2103</v>
      </c>
      <c r="F2167" t="s">
        <v>2103</v>
      </c>
      <c r="G2167" t="s">
        <v>5</v>
      </c>
      <c r="H2167" t="s">
        <v>5</v>
      </c>
      <c r="I2167" t="s">
        <v>1583</v>
      </c>
      <c r="J2167" t="s">
        <v>40</v>
      </c>
      <c r="K2167" s="3">
        <f t="shared" si="66"/>
        <v>0</v>
      </c>
      <c r="L2167" s="3">
        <f>IF(ISERROR(VLOOKUP(J2167,Lookups!$A$2:$A$16,1,FALSE)),1,0)</f>
        <v>1</v>
      </c>
      <c r="M2167" s="3">
        <f>IF(ISERROR(VLOOKUP(D2167,Data!$A$2:$D$223100,2,FALSE)),0,1)</f>
        <v>1</v>
      </c>
      <c r="N2167" s="3">
        <f t="shared" si="67"/>
        <v>1</v>
      </c>
      <c r="O2167" s="3" t="str">
        <f>IF(ISERROR(VLOOKUP(D2167,Data!$A$2:$C$223100,3,FALSE)),"INACTIVE",VLOOKUP(D2167,Data!$A$2:$C$223100,3,FALSE))</f>
        <v>90+</v>
      </c>
    </row>
    <row r="2168" spans="1:15" x14ac:dyDescent="0.25">
      <c r="A2168" t="s">
        <v>2099</v>
      </c>
      <c r="B2168" t="s">
        <v>2100</v>
      </c>
      <c r="C2168" t="s">
        <v>2104</v>
      </c>
      <c r="D2168" t="s">
        <v>2105</v>
      </c>
      <c r="E2168" t="s">
        <v>2106</v>
      </c>
      <c r="F2168" t="s">
        <v>2106</v>
      </c>
      <c r="G2168" t="s">
        <v>5</v>
      </c>
      <c r="H2168" t="s">
        <v>5</v>
      </c>
      <c r="I2168" t="s">
        <v>1583</v>
      </c>
      <c r="J2168" t="s">
        <v>40</v>
      </c>
      <c r="K2168" s="3">
        <f t="shared" si="66"/>
        <v>0</v>
      </c>
      <c r="L2168" s="3">
        <f>IF(ISERROR(VLOOKUP(J2168,Lookups!$A$2:$A$16,1,FALSE)),1,0)</f>
        <v>1</v>
      </c>
      <c r="M2168" s="3">
        <f>IF(ISERROR(VLOOKUP(D2168,Data!$A$2:$D$223100,2,FALSE)),0,1)</f>
        <v>0</v>
      </c>
      <c r="N2168" s="3">
        <f t="shared" si="67"/>
        <v>0</v>
      </c>
      <c r="O2168" s="3" t="str">
        <f>IF(ISERROR(VLOOKUP(D2168,Data!$A$2:$C$223100,3,FALSE)),"INACTIVE",VLOOKUP(D2168,Data!$A$2:$C$223100,3,FALSE))</f>
        <v>INACTIVE</v>
      </c>
    </row>
    <row r="2169" spans="1:15" x14ac:dyDescent="0.25">
      <c r="A2169" t="s">
        <v>3424</v>
      </c>
      <c r="B2169" t="s">
        <v>3425</v>
      </c>
      <c r="C2169" t="s">
        <v>3426</v>
      </c>
      <c r="D2169" t="s">
        <v>3427</v>
      </c>
      <c r="E2169" t="s">
        <v>3428</v>
      </c>
      <c r="F2169" t="s">
        <v>3429</v>
      </c>
      <c r="G2169" t="s">
        <v>5</v>
      </c>
      <c r="H2169" t="s">
        <v>5</v>
      </c>
      <c r="I2169" t="s">
        <v>1583</v>
      </c>
      <c r="J2169" t="s">
        <v>47</v>
      </c>
      <c r="K2169" s="3">
        <f t="shared" si="66"/>
        <v>0</v>
      </c>
      <c r="L2169" s="3">
        <f>IF(ISERROR(VLOOKUP(J2169,Lookups!$A$2:$A$16,1,FALSE)),1,0)</f>
        <v>1</v>
      </c>
      <c r="M2169" s="3">
        <f>IF(ISERROR(VLOOKUP(D2169,Data!$A$2:$D$223100,2,FALSE)),0,1)</f>
        <v>1</v>
      </c>
      <c r="N2169" s="3">
        <f t="shared" si="67"/>
        <v>1</v>
      </c>
      <c r="O2169" s="3" t="str">
        <f>IF(ISERROR(VLOOKUP(D2169,Data!$A$2:$C$223100,3,FALSE)),"INACTIVE",VLOOKUP(D2169,Data!$A$2:$C$223100,3,FALSE))</f>
        <v>180+</v>
      </c>
    </row>
    <row r="2170" spans="1:15" x14ac:dyDescent="0.25">
      <c r="A2170" t="s">
        <v>3424</v>
      </c>
      <c r="B2170" t="s">
        <v>3425</v>
      </c>
      <c r="C2170" t="s">
        <v>3430</v>
      </c>
      <c r="D2170" t="s">
        <v>3431</v>
      </c>
      <c r="E2170" t="s">
        <v>3432</v>
      </c>
      <c r="F2170" t="s">
        <v>3433</v>
      </c>
      <c r="G2170" t="s">
        <v>5</v>
      </c>
      <c r="H2170" t="s">
        <v>5</v>
      </c>
      <c r="I2170" t="s">
        <v>1583</v>
      </c>
      <c r="J2170" t="s">
        <v>40</v>
      </c>
      <c r="K2170" s="3">
        <f t="shared" si="66"/>
        <v>0</v>
      </c>
      <c r="L2170" s="3">
        <f>IF(ISERROR(VLOOKUP(J2170,Lookups!$A$2:$A$16,1,FALSE)),1,0)</f>
        <v>1</v>
      </c>
      <c r="M2170" s="3">
        <f>IF(ISERROR(VLOOKUP(D2170,Data!$A$2:$D$223100,2,FALSE)),0,1)</f>
        <v>1</v>
      </c>
      <c r="N2170" s="3">
        <f t="shared" si="67"/>
        <v>1</v>
      </c>
      <c r="O2170" s="3" t="str">
        <f>IF(ISERROR(VLOOKUP(D2170,Data!$A$2:$C$223100,3,FALSE)),"INACTIVE",VLOOKUP(D2170,Data!$A$2:$C$223100,3,FALSE))</f>
        <v>Current</v>
      </c>
    </row>
    <row r="2171" spans="1:15" x14ac:dyDescent="0.25">
      <c r="A2171" t="s">
        <v>3523</v>
      </c>
      <c r="B2171" t="s">
        <v>3524</v>
      </c>
      <c r="C2171" t="s">
        <v>3525</v>
      </c>
      <c r="D2171" t="s">
        <v>3526</v>
      </c>
      <c r="E2171" t="s">
        <v>5</v>
      </c>
      <c r="F2171" t="s">
        <v>3527</v>
      </c>
      <c r="G2171" t="s">
        <v>5</v>
      </c>
      <c r="H2171" t="s">
        <v>5</v>
      </c>
      <c r="I2171" t="s">
        <v>1583</v>
      </c>
      <c r="J2171" t="s">
        <v>14</v>
      </c>
      <c r="K2171" s="3">
        <f t="shared" si="66"/>
        <v>0</v>
      </c>
      <c r="L2171" s="3">
        <f>IF(ISERROR(VLOOKUP(J2171,Lookups!$A$2:$A$16,1,FALSE)),1,0)</f>
        <v>1</v>
      </c>
      <c r="M2171" s="3">
        <f>IF(ISERROR(VLOOKUP(D2171,Data!$A$2:$D$223100,2,FALSE)),0,1)</f>
        <v>1</v>
      </c>
      <c r="N2171" s="3">
        <f t="shared" si="67"/>
        <v>1</v>
      </c>
      <c r="O2171" s="3" t="str">
        <f>IF(ISERROR(VLOOKUP(D2171,Data!$A$2:$C$223100,3,FALSE)),"INACTIVE",VLOOKUP(D2171,Data!$A$2:$C$223100,3,FALSE))</f>
        <v>BK13</v>
      </c>
    </row>
    <row r="2172" spans="1:15" x14ac:dyDescent="0.25">
      <c r="A2172" t="s">
        <v>3523</v>
      </c>
      <c r="B2172" t="s">
        <v>3524</v>
      </c>
      <c r="C2172" t="s">
        <v>3525</v>
      </c>
      <c r="D2172" t="s">
        <v>3526</v>
      </c>
      <c r="E2172" t="s">
        <v>5</v>
      </c>
      <c r="F2172" t="s">
        <v>3528</v>
      </c>
      <c r="G2172" t="s">
        <v>5</v>
      </c>
      <c r="H2172" t="s">
        <v>5</v>
      </c>
      <c r="I2172" t="s">
        <v>1583</v>
      </c>
      <c r="J2172" t="s">
        <v>14</v>
      </c>
      <c r="K2172" s="3">
        <f t="shared" si="66"/>
        <v>0</v>
      </c>
      <c r="L2172" s="3">
        <f>IF(ISERROR(VLOOKUP(J2172,Lookups!$A$2:$A$16,1,FALSE)),1,0)</f>
        <v>1</v>
      </c>
      <c r="M2172" s="3">
        <f>IF(ISERROR(VLOOKUP(D2172,Data!$A$2:$D$223100,2,FALSE)),0,1)</f>
        <v>1</v>
      </c>
      <c r="N2172" s="3">
        <f t="shared" si="67"/>
        <v>1</v>
      </c>
      <c r="O2172" s="3" t="str">
        <f>IF(ISERROR(VLOOKUP(D2172,Data!$A$2:$C$223100,3,FALSE)),"INACTIVE",VLOOKUP(D2172,Data!$A$2:$C$223100,3,FALSE))</f>
        <v>BK13</v>
      </c>
    </row>
    <row r="2173" spans="1:15" x14ac:dyDescent="0.25">
      <c r="A2173" t="s">
        <v>3523</v>
      </c>
      <c r="B2173" t="s">
        <v>3524</v>
      </c>
      <c r="C2173" t="s">
        <v>3525</v>
      </c>
      <c r="D2173" t="s">
        <v>3526</v>
      </c>
      <c r="E2173" t="s">
        <v>3529</v>
      </c>
      <c r="F2173" t="s">
        <v>3529</v>
      </c>
      <c r="G2173" t="s">
        <v>5</v>
      </c>
      <c r="H2173" t="s">
        <v>5</v>
      </c>
      <c r="I2173" t="s">
        <v>1583</v>
      </c>
      <c r="J2173" t="s">
        <v>14</v>
      </c>
      <c r="K2173" s="3">
        <f t="shared" si="66"/>
        <v>0</v>
      </c>
      <c r="L2173" s="3">
        <f>IF(ISERROR(VLOOKUP(J2173,Lookups!$A$2:$A$16,1,FALSE)),1,0)</f>
        <v>1</v>
      </c>
      <c r="M2173" s="3">
        <f>IF(ISERROR(VLOOKUP(D2173,Data!$A$2:$D$223100,2,FALSE)),0,1)</f>
        <v>1</v>
      </c>
      <c r="N2173" s="3">
        <f t="shared" si="67"/>
        <v>1</v>
      </c>
      <c r="O2173" s="3" t="str">
        <f>IF(ISERROR(VLOOKUP(D2173,Data!$A$2:$C$223100,3,FALSE)),"INACTIVE",VLOOKUP(D2173,Data!$A$2:$C$223100,3,FALSE))</f>
        <v>BK13</v>
      </c>
    </row>
    <row r="2174" spans="1:15" x14ac:dyDescent="0.25">
      <c r="A2174" t="s">
        <v>3523</v>
      </c>
      <c r="B2174" t="s">
        <v>3524</v>
      </c>
      <c r="C2174" t="s">
        <v>3530</v>
      </c>
      <c r="D2174" t="s">
        <v>3531</v>
      </c>
      <c r="E2174" t="s">
        <v>3532</v>
      </c>
      <c r="F2174" t="s">
        <v>3532</v>
      </c>
      <c r="G2174" t="s">
        <v>5</v>
      </c>
      <c r="H2174" t="s">
        <v>5</v>
      </c>
      <c r="I2174" t="s">
        <v>1583</v>
      </c>
      <c r="J2174" t="s">
        <v>40</v>
      </c>
      <c r="K2174" s="3">
        <f t="shared" si="66"/>
        <v>0</v>
      </c>
      <c r="L2174" s="3">
        <f>IF(ISERROR(VLOOKUP(J2174,Lookups!$A$2:$A$16,1,FALSE)),1,0)</f>
        <v>1</v>
      </c>
      <c r="M2174" s="3">
        <f>IF(ISERROR(VLOOKUP(D2174,Data!$A$2:$D$223100,2,FALSE)),0,1)</f>
        <v>1</v>
      </c>
      <c r="N2174" s="3">
        <f t="shared" si="67"/>
        <v>1</v>
      </c>
      <c r="O2174" s="3" t="str">
        <f>IF(ISERROR(VLOOKUP(D2174,Data!$A$2:$C$223100,3,FALSE)),"INACTIVE",VLOOKUP(D2174,Data!$A$2:$C$223100,3,FALSE))</f>
        <v>FC</v>
      </c>
    </row>
    <row r="2175" spans="1:15" x14ac:dyDescent="0.25">
      <c r="A2175" t="s">
        <v>3523</v>
      </c>
      <c r="B2175" t="s">
        <v>3524</v>
      </c>
      <c r="C2175" t="s">
        <v>3533</v>
      </c>
      <c r="D2175" t="s">
        <v>3534</v>
      </c>
      <c r="E2175" t="s">
        <v>3535</v>
      </c>
      <c r="F2175" t="s">
        <v>3535</v>
      </c>
      <c r="G2175" t="s">
        <v>5</v>
      </c>
      <c r="H2175" t="s">
        <v>5</v>
      </c>
      <c r="I2175" t="s">
        <v>1583</v>
      </c>
      <c r="J2175" t="s">
        <v>40</v>
      </c>
      <c r="K2175" s="3">
        <f t="shared" si="66"/>
        <v>0</v>
      </c>
      <c r="L2175" s="3">
        <f>IF(ISERROR(VLOOKUP(J2175,Lookups!$A$2:$A$16,1,FALSE)),1,0)</f>
        <v>1</v>
      </c>
      <c r="M2175" s="3">
        <f>IF(ISERROR(VLOOKUP(D2175,Data!$A$2:$D$223100,2,FALSE)),0,1)</f>
        <v>0</v>
      </c>
      <c r="N2175" s="3">
        <f t="shared" si="67"/>
        <v>0</v>
      </c>
      <c r="O2175" s="3" t="str">
        <f>IF(ISERROR(VLOOKUP(D2175,Data!$A$2:$C$223100,3,FALSE)),"INACTIVE",VLOOKUP(D2175,Data!$A$2:$C$223100,3,FALSE))</f>
        <v>INACTIVE</v>
      </c>
    </row>
    <row r="2176" spans="1:15" x14ac:dyDescent="0.25">
      <c r="A2176" t="s">
        <v>3523</v>
      </c>
      <c r="B2176" t="s">
        <v>3524</v>
      </c>
      <c r="C2176" t="s">
        <v>3536</v>
      </c>
      <c r="D2176" t="s">
        <v>3537</v>
      </c>
      <c r="E2176" t="s">
        <v>3538</v>
      </c>
      <c r="F2176" t="s">
        <v>3538</v>
      </c>
      <c r="G2176" t="s">
        <v>5</v>
      </c>
      <c r="H2176" t="s">
        <v>5</v>
      </c>
      <c r="I2176" t="s">
        <v>1583</v>
      </c>
      <c r="J2176" t="s">
        <v>47</v>
      </c>
      <c r="K2176" s="3">
        <f t="shared" si="66"/>
        <v>0</v>
      </c>
      <c r="L2176" s="3">
        <f>IF(ISERROR(VLOOKUP(J2176,Lookups!$A$2:$A$16,1,FALSE)),1,0)</f>
        <v>1</v>
      </c>
      <c r="M2176" s="3">
        <f>IF(ISERROR(VLOOKUP(D2176,Data!$A$2:$D$223100,2,FALSE)),0,1)</f>
        <v>1</v>
      </c>
      <c r="N2176" s="3">
        <f t="shared" si="67"/>
        <v>1</v>
      </c>
      <c r="O2176" s="3" t="str">
        <f>IF(ISERROR(VLOOKUP(D2176,Data!$A$2:$C$223100,3,FALSE)),"INACTIVE",VLOOKUP(D2176,Data!$A$2:$C$223100,3,FALSE))</f>
        <v>Demand Letter</v>
      </c>
    </row>
    <row r="2177" spans="1:15" x14ac:dyDescent="0.25">
      <c r="A2177" t="s">
        <v>3523</v>
      </c>
      <c r="B2177" t="s">
        <v>3524</v>
      </c>
      <c r="C2177" t="s">
        <v>3539</v>
      </c>
      <c r="D2177" t="s">
        <v>3540</v>
      </c>
      <c r="E2177" t="s">
        <v>3541</v>
      </c>
      <c r="F2177" t="s">
        <v>3541</v>
      </c>
      <c r="G2177" t="s">
        <v>5</v>
      </c>
      <c r="H2177" t="s">
        <v>5</v>
      </c>
      <c r="I2177" t="s">
        <v>1583</v>
      </c>
      <c r="J2177" t="s">
        <v>40</v>
      </c>
      <c r="K2177" s="3">
        <f t="shared" si="66"/>
        <v>0</v>
      </c>
      <c r="L2177" s="3">
        <f>IF(ISERROR(VLOOKUP(J2177,Lookups!$A$2:$A$16,1,FALSE)),1,0)</f>
        <v>1</v>
      </c>
      <c r="M2177" s="3">
        <f>IF(ISERROR(VLOOKUP(D2177,Data!$A$2:$D$223100,2,FALSE)),0,1)</f>
        <v>1</v>
      </c>
      <c r="N2177" s="3">
        <f t="shared" si="67"/>
        <v>1</v>
      </c>
      <c r="O2177" s="3" t="str">
        <f>IF(ISERROR(VLOOKUP(D2177,Data!$A$2:$C$223100,3,FALSE)),"INACTIVE",VLOOKUP(D2177,Data!$A$2:$C$223100,3,FALSE))</f>
        <v>Demand Letter</v>
      </c>
    </row>
    <row r="2178" spans="1:15" x14ac:dyDescent="0.25">
      <c r="A2178" t="s">
        <v>3523</v>
      </c>
      <c r="B2178" t="s">
        <v>3524</v>
      </c>
      <c r="C2178" t="s">
        <v>3542</v>
      </c>
      <c r="D2178" t="s">
        <v>3543</v>
      </c>
      <c r="E2178" t="s">
        <v>3544</v>
      </c>
      <c r="F2178" t="s">
        <v>3544</v>
      </c>
      <c r="G2178" t="s">
        <v>5</v>
      </c>
      <c r="H2178" t="s">
        <v>5</v>
      </c>
      <c r="I2178" t="s">
        <v>1583</v>
      </c>
      <c r="J2178" t="s">
        <v>47</v>
      </c>
      <c r="K2178" s="3">
        <f t="shared" si="66"/>
        <v>0</v>
      </c>
      <c r="L2178" s="3">
        <f>IF(ISERROR(VLOOKUP(J2178,Lookups!$A$2:$A$16,1,FALSE)),1,0)</f>
        <v>1</v>
      </c>
      <c r="M2178" s="3">
        <f>IF(ISERROR(VLOOKUP(D2178,Data!$A$2:$D$223100,2,FALSE)),0,1)</f>
        <v>1</v>
      </c>
      <c r="N2178" s="3">
        <f t="shared" si="67"/>
        <v>1</v>
      </c>
      <c r="O2178" s="3" t="str">
        <f>IF(ISERROR(VLOOKUP(D2178,Data!$A$2:$C$223100,3,FALSE)),"INACTIVE",VLOOKUP(D2178,Data!$A$2:$C$223100,3,FALSE))</f>
        <v>Demand Letter</v>
      </c>
    </row>
    <row r="2179" spans="1:15" x14ac:dyDescent="0.25">
      <c r="A2179" t="s">
        <v>3523</v>
      </c>
      <c r="B2179" t="s">
        <v>3524</v>
      </c>
      <c r="C2179" t="s">
        <v>3545</v>
      </c>
      <c r="D2179" t="s">
        <v>3546</v>
      </c>
      <c r="E2179" t="s">
        <v>3547</v>
      </c>
      <c r="F2179" t="s">
        <v>3547</v>
      </c>
      <c r="G2179" t="s">
        <v>5</v>
      </c>
      <c r="H2179" t="s">
        <v>5</v>
      </c>
      <c r="I2179" t="s">
        <v>1583</v>
      </c>
      <c r="J2179" t="s">
        <v>40</v>
      </c>
      <c r="K2179" s="3">
        <f t="shared" ref="K2179:K2242" si="68">IF(ISERROR(FIND("LIEN",A2179,1)),0,1)</f>
        <v>0</v>
      </c>
      <c r="L2179" s="3">
        <f>IF(ISERROR(VLOOKUP(J2179,Lookups!$A$2:$A$16,1,FALSE)),1,0)</f>
        <v>1</v>
      </c>
      <c r="M2179" s="3">
        <f>IF(ISERROR(VLOOKUP(D2179,Data!$A$2:$D$223100,2,FALSE)),0,1)</f>
        <v>1</v>
      </c>
      <c r="N2179" s="3">
        <f t="shared" ref="N2179:N2242" si="69">IF(M2179=0,0,IF(SUM(K2179:L2179)&gt;0,1,0))</f>
        <v>1</v>
      </c>
      <c r="O2179" s="3" t="str">
        <f>IF(ISERROR(VLOOKUP(D2179,Data!$A$2:$C$223100,3,FALSE)),"INACTIVE",VLOOKUP(D2179,Data!$A$2:$C$223100,3,FALSE))</f>
        <v>90+</v>
      </c>
    </row>
    <row r="2180" spans="1:15" x14ac:dyDescent="0.25">
      <c r="A2180" t="s">
        <v>3553</v>
      </c>
      <c r="B2180" t="s">
        <v>3554</v>
      </c>
      <c r="C2180" t="s">
        <v>3555</v>
      </c>
      <c r="D2180" t="s">
        <v>3556</v>
      </c>
      <c r="E2180" t="s">
        <v>3557</v>
      </c>
      <c r="F2180" t="s">
        <v>3557</v>
      </c>
      <c r="G2180" t="s">
        <v>5</v>
      </c>
      <c r="H2180" t="s">
        <v>5</v>
      </c>
      <c r="I2180" t="s">
        <v>1583</v>
      </c>
      <c r="J2180" t="s">
        <v>40</v>
      </c>
      <c r="K2180" s="3">
        <f t="shared" si="68"/>
        <v>0</v>
      </c>
      <c r="L2180" s="3">
        <f>IF(ISERROR(VLOOKUP(J2180,Lookups!$A$2:$A$16,1,FALSE)),1,0)</f>
        <v>1</v>
      </c>
      <c r="M2180" s="3">
        <f>IF(ISERROR(VLOOKUP(D2180,Data!$A$2:$D$223100,2,FALSE)),0,1)</f>
        <v>1</v>
      </c>
      <c r="N2180" s="3">
        <f t="shared" si="69"/>
        <v>1</v>
      </c>
      <c r="O2180" s="3" t="str">
        <f>IF(ISERROR(VLOOKUP(D2180,Data!$A$2:$C$223100,3,FALSE)),"INACTIVE",VLOOKUP(D2180,Data!$A$2:$C$223100,3,FALSE))</f>
        <v>Demand Letter</v>
      </c>
    </row>
    <row r="2181" spans="1:15" x14ac:dyDescent="0.25">
      <c r="A2181" t="s">
        <v>3673</v>
      </c>
      <c r="B2181" t="s">
        <v>3674</v>
      </c>
      <c r="C2181" t="s">
        <v>3675</v>
      </c>
      <c r="D2181" t="s">
        <v>3676</v>
      </c>
      <c r="E2181" t="s">
        <v>3677</v>
      </c>
      <c r="F2181" t="s">
        <v>5</v>
      </c>
      <c r="G2181" t="s">
        <v>5</v>
      </c>
      <c r="H2181" t="s">
        <v>5</v>
      </c>
      <c r="I2181" t="s">
        <v>1583</v>
      </c>
      <c r="J2181" t="s">
        <v>96</v>
      </c>
      <c r="K2181" s="3">
        <f t="shared" si="68"/>
        <v>0</v>
      </c>
      <c r="L2181" s="3">
        <f>IF(ISERROR(VLOOKUP(J2181,Lookups!$A$2:$A$16,1,FALSE)),1,0)</f>
        <v>0</v>
      </c>
      <c r="M2181" s="3">
        <f>IF(ISERROR(VLOOKUP(D2181,Data!$A$2:$D$223100,2,FALSE)),0,1)</f>
        <v>1</v>
      </c>
      <c r="N2181" s="3">
        <f t="shared" si="69"/>
        <v>0</v>
      </c>
      <c r="O2181" s="3" t="str">
        <f>IF(ISERROR(VLOOKUP(D2181,Data!$A$2:$C$223100,3,FALSE)),"INACTIVE",VLOOKUP(D2181,Data!$A$2:$C$223100,3,FALSE))</f>
        <v>Current</v>
      </c>
    </row>
    <row r="2182" spans="1:15" x14ac:dyDescent="0.25">
      <c r="A2182" t="s">
        <v>3673</v>
      </c>
      <c r="B2182" t="s">
        <v>3674</v>
      </c>
      <c r="C2182" t="s">
        <v>3675</v>
      </c>
      <c r="D2182" t="s">
        <v>3676</v>
      </c>
      <c r="E2182" t="s">
        <v>3678</v>
      </c>
      <c r="F2182" t="s">
        <v>5</v>
      </c>
      <c r="G2182" t="s">
        <v>5</v>
      </c>
      <c r="H2182" t="s">
        <v>5</v>
      </c>
      <c r="I2182" t="s">
        <v>1583</v>
      </c>
      <c r="J2182" t="s">
        <v>96</v>
      </c>
      <c r="K2182" s="3">
        <f t="shared" si="68"/>
        <v>0</v>
      </c>
      <c r="L2182" s="3">
        <f>IF(ISERROR(VLOOKUP(J2182,Lookups!$A$2:$A$16,1,FALSE)),1,0)</f>
        <v>0</v>
      </c>
      <c r="M2182" s="3">
        <f>IF(ISERROR(VLOOKUP(D2182,Data!$A$2:$D$223100,2,FALSE)),0,1)</f>
        <v>1</v>
      </c>
      <c r="N2182" s="3">
        <f t="shared" si="69"/>
        <v>0</v>
      </c>
      <c r="O2182" s="3" t="str">
        <f>IF(ISERROR(VLOOKUP(D2182,Data!$A$2:$C$223100,3,FALSE)),"INACTIVE",VLOOKUP(D2182,Data!$A$2:$C$223100,3,FALSE))</f>
        <v>Current</v>
      </c>
    </row>
    <row r="2183" spans="1:15" x14ac:dyDescent="0.25">
      <c r="A2183" t="s">
        <v>3673</v>
      </c>
      <c r="B2183" t="s">
        <v>3674</v>
      </c>
      <c r="C2183" t="s">
        <v>3675</v>
      </c>
      <c r="D2183" t="s">
        <v>3676</v>
      </c>
      <c r="E2183" t="s">
        <v>3679</v>
      </c>
      <c r="F2183" t="s">
        <v>5</v>
      </c>
      <c r="G2183" t="s">
        <v>5</v>
      </c>
      <c r="H2183" t="s">
        <v>5</v>
      </c>
      <c r="I2183" t="s">
        <v>1583</v>
      </c>
      <c r="J2183" t="s">
        <v>96</v>
      </c>
      <c r="K2183" s="3">
        <f t="shared" si="68"/>
        <v>0</v>
      </c>
      <c r="L2183" s="3">
        <f>IF(ISERROR(VLOOKUP(J2183,Lookups!$A$2:$A$16,1,FALSE)),1,0)</f>
        <v>0</v>
      </c>
      <c r="M2183" s="3">
        <f>IF(ISERROR(VLOOKUP(D2183,Data!$A$2:$D$223100,2,FALSE)),0,1)</f>
        <v>1</v>
      </c>
      <c r="N2183" s="3">
        <f t="shared" si="69"/>
        <v>0</v>
      </c>
      <c r="O2183" s="3" t="str">
        <f>IF(ISERROR(VLOOKUP(D2183,Data!$A$2:$C$223100,3,FALSE)),"INACTIVE",VLOOKUP(D2183,Data!$A$2:$C$223100,3,FALSE))</f>
        <v>Current</v>
      </c>
    </row>
    <row r="2184" spans="1:15" x14ac:dyDescent="0.25">
      <c r="A2184" t="s">
        <v>3673</v>
      </c>
      <c r="B2184" t="s">
        <v>3674</v>
      </c>
      <c r="C2184" t="s">
        <v>3675</v>
      </c>
      <c r="D2184" t="s">
        <v>3676</v>
      </c>
      <c r="E2184" t="s">
        <v>3680</v>
      </c>
      <c r="F2184" t="s">
        <v>5</v>
      </c>
      <c r="G2184" t="s">
        <v>5</v>
      </c>
      <c r="H2184" t="s">
        <v>5</v>
      </c>
      <c r="I2184" t="s">
        <v>1583</v>
      </c>
      <c r="J2184" t="s">
        <v>96</v>
      </c>
      <c r="K2184" s="3">
        <f t="shared" si="68"/>
        <v>0</v>
      </c>
      <c r="L2184" s="3">
        <f>IF(ISERROR(VLOOKUP(J2184,Lookups!$A$2:$A$16,1,FALSE)),1,0)</f>
        <v>0</v>
      </c>
      <c r="M2184" s="3">
        <f>IF(ISERROR(VLOOKUP(D2184,Data!$A$2:$D$223100,2,FALSE)),0,1)</f>
        <v>1</v>
      </c>
      <c r="N2184" s="3">
        <f t="shared" si="69"/>
        <v>0</v>
      </c>
      <c r="O2184" s="3" t="str">
        <f>IF(ISERROR(VLOOKUP(D2184,Data!$A$2:$C$223100,3,FALSE)),"INACTIVE",VLOOKUP(D2184,Data!$A$2:$C$223100,3,FALSE))</f>
        <v>Current</v>
      </c>
    </row>
    <row r="2185" spans="1:15" x14ac:dyDescent="0.25">
      <c r="A2185" t="s">
        <v>3673</v>
      </c>
      <c r="B2185" t="s">
        <v>3674</v>
      </c>
      <c r="C2185" t="s">
        <v>3681</v>
      </c>
      <c r="D2185" t="s">
        <v>3682</v>
      </c>
      <c r="E2185" t="s">
        <v>3683</v>
      </c>
      <c r="F2185" t="s">
        <v>5</v>
      </c>
      <c r="G2185" t="s">
        <v>5</v>
      </c>
      <c r="H2185" t="s">
        <v>5</v>
      </c>
      <c r="I2185" t="s">
        <v>1583</v>
      </c>
      <c r="J2185" t="s">
        <v>96</v>
      </c>
      <c r="K2185" s="3">
        <f t="shared" si="68"/>
        <v>0</v>
      </c>
      <c r="L2185" s="3">
        <f>IF(ISERROR(VLOOKUP(J2185,Lookups!$A$2:$A$16,1,FALSE)),1,0)</f>
        <v>0</v>
      </c>
      <c r="M2185" s="3">
        <f>IF(ISERROR(VLOOKUP(D2185,Data!$A$2:$D$223100,2,FALSE)),0,1)</f>
        <v>1</v>
      </c>
      <c r="N2185" s="3">
        <f t="shared" si="69"/>
        <v>0</v>
      </c>
      <c r="O2185" s="3" t="str">
        <f>IF(ISERROR(VLOOKUP(D2185,Data!$A$2:$C$223100,3,FALSE)),"INACTIVE",VLOOKUP(D2185,Data!$A$2:$C$223100,3,FALSE))</f>
        <v>Current</v>
      </c>
    </row>
    <row r="2186" spans="1:15" x14ac:dyDescent="0.25">
      <c r="A2186" t="s">
        <v>3673</v>
      </c>
      <c r="B2186" t="s">
        <v>3674</v>
      </c>
      <c r="C2186" t="s">
        <v>3681</v>
      </c>
      <c r="D2186" t="s">
        <v>3682</v>
      </c>
      <c r="E2186" t="s">
        <v>3684</v>
      </c>
      <c r="F2186" t="s">
        <v>5</v>
      </c>
      <c r="G2186" t="s">
        <v>5</v>
      </c>
      <c r="H2186" t="s">
        <v>5</v>
      </c>
      <c r="I2186" t="s">
        <v>1583</v>
      </c>
      <c r="J2186" t="s">
        <v>96</v>
      </c>
      <c r="K2186" s="3">
        <f t="shared" si="68"/>
        <v>0</v>
      </c>
      <c r="L2186" s="3">
        <f>IF(ISERROR(VLOOKUP(J2186,Lookups!$A$2:$A$16,1,FALSE)),1,0)</f>
        <v>0</v>
      </c>
      <c r="M2186" s="3">
        <f>IF(ISERROR(VLOOKUP(D2186,Data!$A$2:$D$223100,2,FALSE)),0,1)</f>
        <v>1</v>
      </c>
      <c r="N2186" s="3">
        <f t="shared" si="69"/>
        <v>0</v>
      </c>
      <c r="O2186" s="3" t="str">
        <f>IF(ISERROR(VLOOKUP(D2186,Data!$A$2:$C$223100,3,FALSE)),"INACTIVE",VLOOKUP(D2186,Data!$A$2:$C$223100,3,FALSE))</f>
        <v>Current</v>
      </c>
    </row>
    <row r="2187" spans="1:15" x14ac:dyDescent="0.25">
      <c r="A2187" t="s">
        <v>3673</v>
      </c>
      <c r="B2187" t="s">
        <v>3674</v>
      </c>
      <c r="C2187" t="s">
        <v>3681</v>
      </c>
      <c r="D2187" t="s">
        <v>3682</v>
      </c>
      <c r="E2187" t="s">
        <v>3685</v>
      </c>
      <c r="F2187" t="s">
        <v>5</v>
      </c>
      <c r="G2187" t="s">
        <v>5</v>
      </c>
      <c r="H2187" t="s">
        <v>5</v>
      </c>
      <c r="I2187" t="s">
        <v>1583</v>
      </c>
      <c r="J2187" t="s">
        <v>96</v>
      </c>
      <c r="K2187" s="3">
        <f t="shared" si="68"/>
        <v>0</v>
      </c>
      <c r="L2187" s="3">
        <f>IF(ISERROR(VLOOKUP(J2187,Lookups!$A$2:$A$16,1,FALSE)),1,0)</f>
        <v>0</v>
      </c>
      <c r="M2187" s="3">
        <f>IF(ISERROR(VLOOKUP(D2187,Data!$A$2:$D$223100,2,FALSE)),0,1)</f>
        <v>1</v>
      </c>
      <c r="N2187" s="3">
        <f t="shared" si="69"/>
        <v>0</v>
      </c>
      <c r="O2187" s="3" t="str">
        <f>IF(ISERROR(VLOOKUP(D2187,Data!$A$2:$C$223100,3,FALSE)),"INACTIVE",VLOOKUP(D2187,Data!$A$2:$C$223100,3,FALSE))</f>
        <v>Current</v>
      </c>
    </row>
    <row r="2188" spans="1:15" x14ac:dyDescent="0.25">
      <c r="A2188" t="s">
        <v>3673</v>
      </c>
      <c r="B2188" t="s">
        <v>3674</v>
      </c>
      <c r="C2188" t="s">
        <v>3686</v>
      </c>
      <c r="D2188" t="s">
        <v>3687</v>
      </c>
      <c r="E2188" t="s">
        <v>3688</v>
      </c>
      <c r="F2188" t="s">
        <v>5</v>
      </c>
      <c r="G2188" t="s">
        <v>5</v>
      </c>
      <c r="H2188" t="s">
        <v>5</v>
      </c>
      <c r="I2188" t="s">
        <v>1583</v>
      </c>
      <c r="J2188" t="s">
        <v>90</v>
      </c>
      <c r="K2188" s="3">
        <f t="shared" si="68"/>
        <v>0</v>
      </c>
      <c r="L2188" s="3">
        <f>IF(ISERROR(VLOOKUP(J2188,Lookups!$A$2:$A$16,1,FALSE)),1,0)</f>
        <v>0</v>
      </c>
      <c r="M2188" s="3">
        <f>IF(ISERROR(VLOOKUP(D2188,Data!$A$2:$D$223100,2,FALSE)),0,1)</f>
        <v>1</v>
      </c>
      <c r="N2188" s="3">
        <f t="shared" si="69"/>
        <v>0</v>
      </c>
      <c r="O2188" s="3" t="str">
        <f>IF(ISERROR(VLOOKUP(D2188,Data!$A$2:$C$223100,3,FALSE)),"INACTIVE",VLOOKUP(D2188,Data!$A$2:$C$223100,3,FALSE))</f>
        <v>BK13</v>
      </c>
    </row>
    <row r="2189" spans="1:15" x14ac:dyDescent="0.25">
      <c r="A2189" t="s">
        <v>3673</v>
      </c>
      <c r="B2189" t="s">
        <v>3674</v>
      </c>
      <c r="C2189" t="s">
        <v>3686</v>
      </c>
      <c r="D2189" t="s">
        <v>3687</v>
      </c>
      <c r="E2189" t="s">
        <v>3689</v>
      </c>
      <c r="F2189" t="s">
        <v>5</v>
      </c>
      <c r="G2189" t="s">
        <v>5</v>
      </c>
      <c r="H2189" t="s">
        <v>5</v>
      </c>
      <c r="I2189" t="s">
        <v>1583</v>
      </c>
      <c r="J2189" t="s">
        <v>90</v>
      </c>
      <c r="K2189" s="3">
        <f t="shared" si="68"/>
        <v>0</v>
      </c>
      <c r="L2189" s="3">
        <f>IF(ISERROR(VLOOKUP(J2189,Lookups!$A$2:$A$16,1,FALSE)),1,0)</f>
        <v>0</v>
      </c>
      <c r="M2189" s="3">
        <f>IF(ISERROR(VLOOKUP(D2189,Data!$A$2:$D$223100,2,FALSE)),0,1)</f>
        <v>1</v>
      </c>
      <c r="N2189" s="3">
        <f t="shared" si="69"/>
        <v>0</v>
      </c>
      <c r="O2189" s="3" t="str">
        <f>IF(ISERROR(VLOOKUP(D2189,Data!$A$2:$C$223100,3,FALSE)),"INACTIVE",VLOOKUP(D2189,Data!$A$2:$C$223100,3,FALSE))</f>
        <v>BK13</v>
      </c>
    </row>
    <row r="2190" spans="1:15" x14ac:dyDescent="0.25">
      <c r="A2190" t="s">
        <v>3673</v>
      </c>
      <c r="B2190" t="s">
        <v>3674</v>
      </c>
      <c r="C2190" t="s">
        <v>3690</v>
      </c>
      <c r="D2190" t="s">
        <v>3691</v>
      </c>
      <c r="E2190" t="s">
        <v>3692</v>
      </c>
      <c r="F2190" t="s">
        <v>5</v>
      </c>
      <c r="G2190" t="s">
        <v>5</v>
      </c>
      <c r="H2190" t="s">
        <v>5</v>
      </c>
      <c r="I2190" t="s">
        <v>1583</v>
      </c>
      <c r="J2190" t="s">
        <v>7</v>
      </c>
      <c r="K2190" s="3">
        <f t="shared" si="68"/>
        <v>0</v>
      </c>
      <c r="L2190" s="3">
        <f>IF(ISERROR(VLOOKUP(J2190,Lookups!$A$2:$A$16,1,FALSE)),1,0)</f>
        <v>1</v>
      </c>
      <c r="M2190" s="3">
        <f>IF(ISERROR(VLOOKUP(D2190,Data!$A$2:$D$223100,2,FALSE)),0,1)</f>
        <v>1</v>
      </c>
      <c r="N2190" s="3">
        <f t="shared" si="69"/>
        <v>1</v>
      </c>
      <c r="O2190" s="3" t="str">
        <f>IF(ISERROR(VLOOKUP(D2190,Data!$A$2:$C$223100,3,FALSE)),"INACTIVE",VLOOKUP(D2190,Data!$A$2:$C$223100,3,FALSE))</f>
        <v>Demand Letter</v>
      </c>
    </row>
    <row r="2191" spans="1:15" x14ac:dyDescent="0.25">
      <c r="A2191" t="s">
        <v>3673</v>
      </c>
      <c r="B2191" t="s">
        <v>3674</v>
      </c>
      <c r="C2191" t="s">
        <v>3693</v>
      </c>
      <c r="D2191" t="s">
        <v>3694</v>
      </c>
      <c r="E2191" t="s">
        <v>3695</v>
      </c>
      <c r="F2191" t="s">
        <v>5</v>
      </c>
      <c r="G2191" t="s">
        <v>5</v>
      </c>
      <c r="H2191" t="s">
        <v>5</v>
      </c>
      <c r="I2191" t="s">
        <v>1583</v>
      </c>
      <c r="J2191" t="s">
        <v>7</v>
      </c>
      <c r="K2191" s="3">
        <f t="shared" si="68"/>
        <v>0</v>
      </c>
      <c r="L2191" s="3">
        <f>IF(ISERROR(VLOOKUP(J2191,Lookups!$A$2:$A$16,1,FALSE)),1,0)</f>
        <v>1</v>
      </c>
      <c r="M2191" s="3">
        <f>IF(ISERROR(VLOOKUP(D2191,Data!$A$2:$D$223100,2,FALSE)),0,1)</f>
        <v>1</v>
      </c>
      <c r="N2191" s="3">
        <f t="shared" si="69"/>
        <v>1</v>
      </c>
      <c r="O2191" s="3" t="str">
        <f>IF(ISERROR(VLOOKUP(D2191,Data!$A$2:$C$223100,3,FALSE)),"INACTIVE",VLOOKUP(D2191,Data!$A$2:$C$223100,3,FALSE))</f>
        <v>FBA</v>
      </c>
    </row>
    <row r="2192" spans="1:15" x14ac:dyDescent="0.25">
      <c r="A2192" t="s">
        <v>3673</v>
      </c>
      <c r="B2192" t="s">
        <v>3674</v>
      </c>
      <c r="C2192" t="s">
        <v>3696</v>
      </c>
      <c r="D2192" t="s">
        <v>3697</v>
      </c>
      <c r="E2192" t="s">
        <v>3698</v>
      </c>
      <c r="F2192" t="s">
        <v>5</v>
      </c>
      <c r="G2192" t="s">
        <v>5</v>
      </c>
      <c r="H2192" t="s">
        <v>5</v>
      </c>
      <c r="I2192" t="s">
        <v>1583</v>
      </c>
      <c r="J2192" t="s">
        <v>7</v>
      </c>
      <c r="K2192" s="3">
        <f t="shared" si="68"/>
        <v>0</v>
      </c>
      <c r="L2192" s="3">
        <f>IF(ISERROR(VLOOKUP(J2192,Lookups!$A$2:$A$16,1,FALSE)),1,0)</f>
        <v>1</v>
      </c>
      <c r="M2192" s="3">
        <f>IF(ISERROR(VLOOKUP(D2192,Data!$A$2:$D$223100,2,FALSE)),0,1)</f>
        <v>1</v>
      </c>
      <c r="N2192" s="3">
        <f t="shared" si="69"/>
        <v>1</v>
      </c>
      <c r="O2192" s="3" t="str">
        <f>IF(ISERROR(VLOOKUP(D2192,Data!$A$2:$C$223100,3,FALSE)),"INACTIVE",VLOOKUP(D2192,Data!$A$2:$C$223100,3,FALSE))</f>
        <v>BK13</v>
      </c>
    </row>
    <row r="2193" spans="1:15" x14ac:dyDescent="0.25">
      <c r="A2193" t="s">
        <v>3673</v>
      </c>
      <c r="B2193" t="s">
        <v>3674</v>
      </c>
      <c r="C2193" t="s">
        <v>3699</v>
      </c>
      <c r="D2193" t="s">
        <v>3700</v>
      </c>
      <c r="E2193" t="s">
        <v>3701</v>
      </c>
      <c r="F2193" t="s">
        <v>5</v>
      </c>
      <c r="G2193" t="s">
        <v>5</v>
      </c>
      <c r="H2193" t="s">
        <v>5</v>
      </c>
      <c r="I2193" t="s">
        <v>1583</v>
      </c>
      <c r="J2193" t="s">
        <v>7</v>
      </c>
      <c r="K2193" s="3">
        <f t="shared" si="68"/>
        <v>0</v>
      </c>
      <c r="L2193" s="3">
        <f>IF(ISERROR(VLOOKUP(J2193,Lookups!$A$2:$A$16,1,FALSE)),1,0)</f>
        <v>1</v>
      </c>
      <c r="M2193" s="3">
        <f>IF(ISERROR(VLOOKUP(D2193,Data!$A$2:$D$223100,2,FALSE)),0,1)</f>
        <v>1</v>
      </c>
      <c r="N2193" s="3">
        <f t="shared" si="69"/>
        <v>1</v>
      </c>
      <c r="O2193" s="3" t="str">
        <f>IF(ISERROR(VLOOKUP(D2193,Data!$A$2:$C$223100,3,FALSE)),"INACTIVE",VLOOKUP(D2193,Data!$A$2:$C$223100,3,FALSE))</f>
        <v>FBA</v>
      </c>
    </row>
    <row r="2194" spans="1:15" x14ac:dyDescent="0.25">
      <c r="A2194" t="s">
        <v>3673</v>
      </c>
      <c r="B2194" t="s">
        <v>3674</v>
      </c>
      <c r="C2194" t="s">
        <v>3702</v>
      </c>
      <c r="D2194" t="s">
        <v>3703</v>
      </c>
      <c r="E2194" t="s">
        <v>3704</v>
      </c>
      <c r="F2194" t="s">
        <v>5</v>
      </c>
      <c r="G2194" t="s">
        <v>5</v>
      </c>
      <c r="H2194" t="s">
        <v>5</v>
      </c>
      <c r="I2194" t="s">
        <v>1583</v>
      </c>
      <c r="J2194" t="s">
        <v>7</v>
      </c>
      <c r="K2194" s="3">
        <f t="shared" si="68"/>
        <v>0</v>
      </c>
      <c r="L2194" s="3">
        <f>IF(ISERROR(VLOOKUP(J2194,Lookups!$A$2:$A$16,1,FALSE)),1,0)</f>
        <v>1</v>
      </c>
      <c r="M2194" s="3">
        <f>IF(ISERROR(VLOOKUP(D2194,Data!$A$2:$D$223100,2,FALSE)),0,1)</f>
        <v>1</v>
      </c>
      <c r="N2194" s="3">
        <f t="shared" si="69"/>
        <v>1</v>
      </c>
      <c r="O2194" s="3" t="str">
        <f>IF(ISERROR(VLOOKUP(D2194,Data!$A$2:$C$223100,3,FALSE)),"INACTIVE",VLOOKUP(D2194,Data!$A$2:$C$223100,3,FALSE))</f>
        <v>Current</v>
      </c>
    </row>
    <row r="2195" spans="1:15" x14ac:dyDescent="0.25">
      <c r="A2195" t="s">
        <v>3705</v>
      </c>
      <c r="B2195" t="s">
        <v>3706</v>
      </c>
      <c r="C2195" t="s">
        <v>3707</v>
      </c>
      <c r="D2195" t="s">
        <v>3708</v>
      </c>
      <c r="E2195" t="s">
        <v>3709</v>
      </c>
      <c r="F2195" t="s">
        <v>5</v>
      </c>
      <c r="G2195" t="s">
        <v>5</v>
      </c>
      <c r="H2195" t="s">
        <v>5</v>
      </c>
      <c r="I2195" t="s">
        <v>1583</v>
      </c>
      <c r="J2195" t="s">
        <v>7</v>
      </c>
      <c r="K2195" s="3">
        <f t="shared" si="68"/>
        <v>0</v>
      </c>
      <c r="L2195" s="3">
        <f>IF(ISERROR(VLOOKUP(J2195,Lookups!$A$2:$A$16,1,FALSE)),1,0)</f>
        <v>1</v>
      </c>
      <c r="M2195" s="3">
        <f>IF(ISERROR(VLOOKUP(D2195,Data!$A$2:$D$223100,2,FALSE)),0,1)</f>
        <v>1</v>
      </c>
      <c r="N2195" s="3">
        <f t="shared" si="69"/>
        <v>1</v>
      </c>
      <c r="O2195" s="3" t="str">
        <f>IF(ISERROR(VLOOKUP(D2195,Data!$A$2:$C$223100,3,FALSE)),"INACTIVE",VLOOKUP(D2195,Data!$A$2:$C$223100,3,FALSE))</f>
        <v>30+</v>
      </c>
    </row>
    <row r="2196" spans="1:15" x14ac:dyDescent="0.25">
      <c r="A2196" t="s">
        <v>3705</v>
      </c>
      <c r="B2196" t="s">
        <v>3706</v>
      </c>
      <c r="C2196" t="s">
        <v>3710</v>
      </c>
      <c r="D2196" t="s">
        <v>3711</v>
      </c>
      <c r="E2196" t="s">
        <v>3712</v>
      </c>
      <c r="F2196" t="s">
        <v>5</v>
      </c>
      <c r="G2196" t="s">
        <v>5</v>
      </c>
      <c r="H2196" t="s">
        <v>5</v>
      </c>
      <c r="I2196" t="s">
        <v>1583</v>
      </c>
      <c r="J2196" t="s">
        <v>7</v>
      </c>
      <c r="K2196" s="3">
        <f t="shared" si="68"/>
        <v>0</v>
      </c>
      <c r="L2196" s="3">
        <f>IF(ISERROR(VLOOKUP(J2196,Lookups!$A$2:$A$16,1,FALSE)),1,0)</f>
        <v>1</v>
      </c>
      <c r="M2196" s="3">
        <f>IF(ISERROR(VLOOKUP(D2196,Data!$A$2:$D$223100,2,FALSE)),0,1)</f>
        <v>1</v>
      </c>
      <c r="N2196" s="3">
        <f t="shared" si="69"/>
        <v>1</v>
      </c>
      <c r="O2196" s="3" t="str">
        <f>IF(ISERROR(VLOOKUP(D2196,Data!$A$2:$C$223100,3,FALSE)),"INACTIVE",VLOOKUP(D2196,Data!$A$2:$C$223100,3,FALSE))</f>
        <v>30+</v>
      </c>
    </row>
    <row r="2197" spans="1:15" x14ac:dyDescent="0.25">
      <c r="A2197" t="s">
        <v>3737</v>
      </c>
      <c r="B2197" t="s">
        <v>3738</v>
      </c>
      <c r="C2197" t="s">
        <v>3739</v>
      </c>
      <c r="D2197" t="s">
        <v>3740</v>
      </c>
      <c r="E2197" t="s">
        <v>3741</v>
      </c>
      <c r="F2197" t="s">
        <v>5</v>
      </c>
      <c r="G2197" t="s">
        <v>5</v>
      </c>
      <c r="H2197" t="s">
        <v>5</v>
      </c>
      <c r="I2197" t="s">
        <v>1583</v>
      </c>
      <c r="J2197" t="s">
        <v>7</v>
      </c>
      <c r="K2197" s="3">
        <f t="shared" si="68"/>
        <v>0</v>
      </c>
      <c r="L2197" s="3">
        <f>IF(ISERROR(VLOOKUP(J2197,Lookups!$A$2:$A$16,1,FALSE)),1,0)</f>
        <v>1</v>
      </c>
      <c r="M2197" s="3">
        <f>IF(ISERROR(VLOOKUP(D2197,Data!$A$2:$D$223100,2,FALSE)),0,1)</f>
        <v>1</v>
      </c>
      <c r="N2197" s="3">
        <f t="shared" si="69"/>
        <v>1</v>
      </c>
      <c r="O2197" s="3" t="str">
        <f>IF(ISERROR(VLOOKUP(D2197,Data!$A$2:$C$223100,3,FALSE)),"INACTIVE",VLOOKUP(D2197,Data!$A$2:$C$223100,3,FALSE))</f>
        <v>FC</v>
      </c>
    </row>
    <row r="2198" spans="1:15" x14ac:dyDescent="0.25">
      <c r="A2198" t="s">
        <v>3886</v>
      </c>
      <c r="B2198" t="s">
        <v>3887</v>
      </c>
      <c r="C2198" t="s">
        <v>3888</v>
      </c>
      <c r="D2198" t="s">
        <v>3889</v>
      </c>
      <c r="E2198" t="s">
        <v>3890</v>
      </c>
      <c r="F2198" t="s">
        <v>5</v>
      </c>
      <c r="G2198" t="s">
        <v>5</v>
      </c>
      <c r="H2198" t="s">
        <v>5</v>
      </c>
      <c r="I2198" t="s">
        <v>1583</v>
      </c>
      <c r="J2198" t="s">
        <v>7</v>
      </c>
      <c r="K2198" s="3">
        <f t="shared" si="68"/>
        <v>0</v>
      </c>
      <c r="L2198" s="3">
        <f>IF(ISERROR(VLOOKUP(J2198,Lookups!$A$2:$A$16,1,FALSE)),1,0)</f>
        <v>1</v>
      </c>
      <c r="M2198" s="3">
        <f>IF(ISERROR(VLOOKUP(D2198,Data!$A$2:$D$223100,2,FALSE)),0,1)</f>
        <v>1</v>
      </c>
      <c r="N2198" s="3">
        <f t="shared" si="69"/>
        <v>1</v>
      </c>
      <c r="O2198" s="3" t="str">
        <f>IF(ISERROR(VLOOKUP(D2198,Data!$A$2:$C$223100,3,FALSE)),"INACTIVE",VLOOKUP(D2198,Data!$A$2:$C$223100,3,FALSE))</f>
        <v>Current</v>
      </c>
    </row>
    <row r="2199" spans="1:15" x14ac:dyDescent="0.25">
      <c r="A2199" t="s">
        <v>3886</v>
      </c>
      <c r="B2199" t="s">
        <v>3887</v>
      </c>
      <c r="C2199" t="s">
        <v>3891</v>
      </c>
      <c r="D2199" t="s">
        <v>3892</v>
      </c>
      <c r="E2199" t="s">
        <v>3893</v>
      </c>
      <c r="F2199" t="s">
        <v>5</v>
      </c>
      <c r="G2199" t="s">
        <v>5</v>
      </c>
      <c r="H2199" t="s">
        <v>5</v>
      </c>
      <c r="I2199" t="s">
        <v>1583</v>
      </c>
      <c r="J2199" t="s">
        <v>7</v>
      </c>
      <c r="K2199" s="3">
        <f t="shared" si="68"/>
        <v>0</v>
      </c>
      <c r="L2199" s="3">
        <f>IF(ISERROR(VLOOKUP(J2199,Lookups!$A$2:$A$16,1,FALSE)),1,0)</f>
        <v>1</v>
      </c>
      <c r="M2199" s="3">
        <f>IF(ISERROR(VLOOKUP(D2199,Data!$A$2:$D$223100,2,FALSE)),0,1)</f>
        <v>1</v>
      </c>
      <c r="N2199" s="3">
        <f t="shared" si="69"/>
        <v>1</v>
      </c>
      <c r="O2199" s="3" t="str">
        <f>IF(ISERROR(VLOOKUP(D2199,Data!$A$2:$C$223100,3,FALSE)),"INACTIVE",VLOOKUP(D2199,Data!$A$2:$C$223100,3,FALSE))</f>
        <v>Demand Letter</v>
      </c>
    </row>
    <row r="2200" spans="1:15" x14ac:dyDescent="0.25">
      <c r="A2200" t="s">
        <v>3907</v>
      </c>
      <c r="B2200" t="s">
        <v>3908</v>
      </c>
      <c r="C2200" t="s">
        <v>3665</v>
      </c>
      <c r="D2200" t="s">
        <v>3666</v>
      </c>
      <c r="E2200" t="s">
        <v>3909</v>
      </c>
      <c r="F2200" t="s">
        <v>5</v>
      </c>
      <c r="G2200" t="s">
        <v>5</v>
      </c>
      <c r="H2200" t="s">
        <v>5</v>
      </c>
      <c r="I2200" t="s">
        <v>1583</v>
      </c>
      <c r="J2200" t="s">
        <v>7</v>
      </c>
      <c r="K2200" s="3">
        <f t="shared" si="68"/>
        <v>0</v>
      </c>
      <c r="L2200" s="3">
        <f>IF(ISERROR(VLOOKUP(J2200,Lookups!$A$2:$A$16,1,FALSE)),1,0)</f>
        <v>1</v>
      </c>
      <c r="M2200" s="3">
        <f>IF(ISERROR(VLOOKUP(D2200,Data!$A$2:$D$223100,2,FALSE)),0,1)</f>
        <v>1</v>
      </c>
      <c r="N2200" s="3">
        <f t="shared" si="69"/>
        <v>1</v>
      </c>
      <c r="O2200" s="3" t="str">
        <f>IF(ISERROR(VLOOKUP(D2200,Data!$A$2:$C$223100,3,FALSE)),"INACTIVE",VLOOKUP(D2200,Data!$A$2:$C$223100,3,FALSE))</f>
        <v>FC</v>
      </c>
    </row>
    <row r="2201" spans="1:15" x14ac:dyDescent="0.25">
      <c r="A2201" t="s">
        <v>3907</v>
      </c>
      <c r="B2201" t="s">
        <v>3908</v>
      </c>
      <c r="C2201" t="s">
        <v>3883</v>
      </c>
      <c r="D2201" t="s">
        <v>3884</v>
      </c>
      <c r="E2201" t="s">
        <v>3910</v>
      </c>
      <c r="F2201" t="s">
        <v>5</v>
      </c>
      <c r="G2201" t="s">
        <v>5</v>
      </c>
      <c r="H2201" t="s">
        <v>5</v>
      </c>
      <c r="I2201" t="s">
        <v>1583</v>
      </c>
      <c r="J2201" t="s">
        <v>7</v>
      </c>
      <c r="K2201" s="3">
        <f t="shared" si="68"/>
        <v>0</v>
      </c>
      <c r="L2201" s="3">
        <f>IF(ISERROR(VLOOKUP(J2201,Lookups!$A$2:$A$16,1,FALSE)),1,0)</f>
        <v>1</v>
      </c>
      <c r="M2201" s="3">
        <f>IF(ISERROR(VLOOKUP(D2201,Data!$A$2:$D$223100,2,FALSE)),0,1)</f>
        <v>0</v>
      </c>
      <c r="N2201" s="3">
        <f t="shared" si="69"/>
        <v>0</v>
      </c>
      <c r="O2201" s="3" t="str">
        <f>IF(ISERROR(VLOOKUP(D2201,Data!$A$2:$C$223100,3,FALSE)),"INACTIVE",VLOOKUP(D2201,Data!$A$2:$C$223100,3,FALSE))</f>
        <v>INACTIVE</v>
      </c>
    </row>
    <row r="2202" spans="1:15" x14ac:dyDescent="0.25">
      <c r="A2202" t="s">
        <v>4530</v>
      </c>
      <c r="B2202" t="s">
        <v>4531</v>
      </c>
      <c r="C2202" t="s">
        <v>4532</v>
      </c>
      <c r="D2202" t="s">
        <v>4533</v>
      </c>
      <c r="E2202" t="s">
        <v>4534</v>
      </c>
      <c r="F2202" t="s">
        <v>5</v>
      </c>
      <c r="G2202" t="s">
        <v>5</v>
      </c>
      <c r="H2202" t="s">
        <v>5</v>
      </c>
      <c r="I2202" t="s">
        <v>1583</v>
      </c>
      <c r="J2202" t="s">
        <v>90</v>
      </c>
      <c r="K2202" s="3">
        <f t="shared" si="68"/>
        <v>0</v>
      </c>
      <c r="L2202" s="3">
        <f>IF(ISERROR(VLOOKUP(J2202,Lookups!$A$2:$A$16,1,FALSE)),1,0)</f>
        <v>0</v>
      </c>
      <c r="M2202" s="3">
        <f>IF(ISERROR(VLOOKUP(D2202,Data!$A$2:$D$223100,2,FALSE)),0,1)</f>
        <v>1</v>
      </c>
      <c r="N2202" s="3">
        <f t="shared" si="69"/>
        <v>0</v>
      </c>
      <c r="O2202" s="3" t="str">
        <f>IF(ISERROR(VLOOKUP(D2202,Data!$A$2:$C$223100,3,FALSE)),"INACTIVE",VLOOKUP(D2202,Data!$A$2:$C$223100,3,FALSE))</f>
        <v>FBA</v>
      </c>
    </row>
    <row r="2203" spans="1:15" x14ac:dyDescent="0.25">
      <c r="A2203" t="s">
        <v>4530</v>
      </c>
      <c r="B2203" t="s">
        <v>4531</v>
      </c>
      <c r="C2203" t="s">
        <v>4532</v>
      </c>
      <c r="D2203" t="s">
        <v>4533</v>
      </c>
      <c r="E2203" t="s">
        <v>4534</v>
      </c>
      <c r="F2203" t="s">
        <v>5</v>
      </c>
      <c r="G2203" t="s">
        <v>5</v>
      </c>
      <c r="H2203" t="s">
        <v>5</v>
      </c>
      <c r="I2203" t="s">
        <v>1583</v>
      </c>
      <c r="J2203" t="s">
        <v>90</v>
      </c>
      <c r="K2203" s="3">
        <f t="shared" si="68"/>
        <v>0</v>
      </c>
      <c r="L2203" s="3">
        <f>IF(ISERROR(VLOOKUP(J2203,Lookups!$A$2:$A$16,1,FALSE)),1,0)</f>
        <v>0</v>
      </c>
      <c r="M2203" s="3">
        <f>IF(ISERROR(VLOOKUP(D2203,Data!$A$2:$D$223100,2,FALSE)),0,1)</f>
        <v>1</v>
      </c>
      <c r="N2203" s="3">
        <f t="shared" si="69"/>
        <v>0</v>
      </c>
      <c r="O2203" s="3" t="str">
        <f>IF(ISERROR(VLOOKUP(D2203,Data!$A$2:$C$223100,3,FALSE)),"INACTIVE",VLOOKUP(D2203,Data!$A$2:$C$223100,3,FALSE))</f>
        <v>FBA</v>
      </c>
    </row>
    <row r="2204" spans="1:15" x14ac:dyDescent="0.25">
      <c r="A2204" t="s">
        <v>4530</v>
      </c>
      <c r="B2204" t="s">
        <v>4531</v>
      </c>
      <c r="C2204" t="s">
        <v>4535</v>
      </c>
      <c r="D2204" t="s">
        <v>4536</v>
      </c>
      <c r="E2204" t="s">
        <v>4537</v>
      </c>
      <c r="F2204" t="s">
        <v>5</v>
      </c>
      <c r="G2204" t="s">
        <v>5</v>
      </c>
      <c r="H2204" t="s">
        <v>5</v>
      </c>
      <c r="I2204" t="s">
        <v>1583</v>
      </c>
      <c r="J2204" t="s">
        <v>96</v>
      </c>
      <c r="K2204" s="3">
        <f t="shared" si="68"/>
        <v>0</v>
      </c>
      <c r="L2204" s="3">
        <f>IF(ISERROR(VLOOKUP(J2204,Lookups!$A$2:$A$16,1,FALSE)),1,0)</f>
        <v>0</v>
      </c>
      <c r="M2204" s="3">
        <f>IF(ISERROR(VLOOKUP(D2204,Data!$A$2:$D$223100,2,FALSE)),0,1)</f>
        <v>1</v>
      </c>
      <c r="N2204" s="3">
        <f t="shared" si="69"/>
        <v>0</v>
      </c>
      <c r="O2204" s="3" t="str">
        <f>IF(ISERROR(VLOOKUP(D2204,Data!$A$2:$C$223100,3,FALSE)),"INACTIVE",VLOOKUP(D2204,Data!$A$2:$C$223100,3,FALSE))</f>
        <v>Current</v>
      </c>
    </row>
    <row r="2205" spans="1:15" x14ac:dyDescent="0.25">
      <c r="A2205" t="s">
        <v>4530</v>
      </c>
      <c r="B2205" t="s">
        <v>4531</v>
      </c>
      <c r="C2205" t="s">
        <v>4535</v>
      </c>
      <c r="D2205" t="s">
        <v>4536</v>
      </c>
      <c r="E2205" t="s">
        <v>4537</v>
      </c>
      <c r="F2205" t="s">
        <v>5</v>
      </c>
      <c r="G2205" t="s">
        <v>5</v>
      </c>
      <c r="H2205" t="s">
        <v>5</v>
      </c>
      <c r="I2205" t="s">
        <v>1583</v>
      </c>
      <c r="J2205" t="s">
        <v>96</v>
      </c>
      <c r="K2205" s="3">
        <f t="shared" si="68"/>
        <v>0</v>
      </c>
      <c r="L2205" s="3">
        <f>IF(ISERROR(VLOOKUP(J2205,Lookups!$A$2:$A$16,1,FALSE)),1,0)</f>
        <v>0</v>
      </c>
      <c r="M2205" s="3">
        <f>IF(ISERROR(VLOOKUP(D2205,Data!$A$2:$D$223100,2,FALSE)),0,1)</f>
        <v>1</v>
      </c>
      <c r="N2205" s="3">
        <f t="shared" si="69"/>
        <v>0</v>
      </c>
      <c r="O2205" s="3" t="str">
        <f>IF(ISERROR(VLOOKUP(D2205,Data!$A$2:$C$223100,3,FALSE)),"INACTIVE",VLOOKUP(D2205,Data!$A$2:$C$223100,3,FALSE))</f>
        <v>Current</v>
      </c>
    </row>
    <row r="2206" spans="1:15" x14ac:dyDescent="0.25">
      <c r="A2206" t="s">
        <v>4530</v>
      </c>
      <c r="B2206" t="s">
        <v>4531</v>
      </c>
      <c r="C2206" t="s">
        <v>4538</v>
      </c>
      <c r="D2206" t="s">
        <v>4539</v>
      </c>
      <c r="E2206" t="s">
        <v>4540</v>
      </c>
      <c r="F2206" t="s">
        <v>5</v>
      </c>
      <c r="G2206" t="s">
        <v>5</v>
      </c>
      <c r="H2206" t="s">
        <v>5</v>
      </c>
      <c r="I2206" t="s">
        <v>1583</v>
      </c>
      <c r="J2206" t="s">
        <v>7</v>
      </c>
      <c r="K2206" s="3">
        <f t="shared" si="68"/>
        <v>0</v>
      </c>
      <c r="L2206" s="3">
        <f>IF(ISERROR(VLOOKUP(J2206,Lookups!$A$2:$A$16,1,FALSE)),1,0)</f>
        <v>1</v>
      </c>
      <c r="M2206" s="3">
        <f>IF(ISERROR(VLOOKUP(D2206,Data!$A$2:$D$223100,2,FALSE)),0,1)</f>
        <v>1</v>
      </c>
      <c r="N2206" s="3">
        <f t="shared" si="69"/>
        <v>1</v>
      </c>
      <c r="O2206" s="3" t="str">
        <f>IF(ISERROR(VLOOKUP(D2206,Data!$A$2:$C$223100,3,FALSE)),"INACTIVE",VLOOKUP(D2206,Data!$A$2:$C$223100,3,FALSE))</f>
        <v>30+</v>
      </c>
    </row>
    <row r="2207" spans="1:15" x14ac:dyDescent="0.25">
      <c r="A2207" t="s">
        <v>1615</v>
      </c>
      <c r="B2207" t="s">
        <v>1616</v>
      </c>
      <c r="C2207" t="s">
        <v>1617</v>
      </c>
      <c r="D2207" t="s">
        <v>1618</v>
      </c>
      <c r="E2207" t="s">
        <v>1619</v>
      </c>
      <c r="F2207" t="s">
        <v>5</v>
      </c>
      <c r="G2207" t="s">
        <v>5</v>
      </c>
      <c r="H2207" t="s">
        <v>5</v>
      </c>
      <c r="I2207" t="s">
        <v>1620</v>
      </c>
      <c r="J2207" t="s">
        <v>14</v>
      </c>
      <c r="K2207" s="3">
        <f t="shared" si="68"/>
        <v>0</v>
      </c>
      <c r="L2207" s="3">
        <f>IF(ISERROR(VLOOKUP(J2207,Lookups!$A$2:$A$16,1,FALSE)),1,0)</f>
        <v>1</v>
      </c>
      <c r="M2207" s="3">
        <f>IF(ISERROR(VLOOKUP(D2207,Data!$A$2:$D$223100,2,FALSE)),0,1)</f>
        <v>1</v>
      </c>
      <c r="N2207" s="3">
        <f t="shared" si="69"/>
        <v>1</v>
      </c>
      <c r="O2207" s="3" t="str">
        <f>IF(ISERROR(VLOOKUP(D2207,Data!$A$2:$C$223100,3,FALSE)),"INACTIVE",VLOOKUP(D2207,Data!$A$2:$C$223100,3,FALSE))</f>
        <v>FC</v>
      </c>
    </row>
    <row r="2208" spans="1:15" x14ac:dyDescent="0.25">
      <c r="A2208" t="s">
        <v>1615</v>
      </c>
      <c r="B2208" t="s">
        <v>1616</v>
      </c>
      <c r="C2208" t="s">
        <v>1621</v>
      </c>
      <c r="D2208" t="s">
        <v>1622</v>
      </c>
      <c r="E2208" t="s">
        <v>1623</v>
      </c>
      <c r="F2208" t="s">
        <v>5</v>
      </c>
      <c r="G2208" t="s">
        <v>5</v>
      </c>
      <c r="H2208" t="s">
        <v>5</v>
      </c>
      <c r="I2208" t="s">
        <v>1620</v>
      </c>
      <c r="J2208" t="s">
        <v>14</v>
      </c>
      <c r="K2208" s="3">
        <f t="shared" si="68"/>
        <v>0</v>
      </c>
      <c r="L2208" s="3">
        <f>IF(ISERROR(VLOOKUP(J2208,Lookups!$A$2:$A$16,1,FALSE)),1,0)</f>
        <v>1</v>
      </c>
      <c r="M2208" s="3">
        <f>IF(ISERROR(VLOOKUP(D2208,Data!$A$2:$D$223100,2,FALSE)),0,1)</f>
        <v>1</v>
      </c>
      <c r="N2208" s="3">
        <f t="shared" si="69"/>
        <v>1</v>
      </c>
      <c r="O2208" s="3" t="str">
        <f>IF(ISERROR(VLOOKUP(D2208,Data!$A$2:$C$223100,3,FALSE)),"INACTIVE",VLOOKUP(D2208,Data!$A$2:$C$223100,3,FALSE))</f>
        <v>30+</v>
      </c>
    </row>
    <row r="2209" spans="1:15" x14ac:dyDescent="0.25">
      <c r="A2209" t="s">
        <v>1615</v>
      </c>
      <c r="B2209" t="s">
        <v>1616</v>
      </c>
      <c r="C2209" t="s">
        <v>1624</v>
      </c>
      <c r="D2209" t="s">
        <v>1625</v>
      </c>
      <c r="E2209" t="s">
        <v>1626</v>
      </c>
      <c r="F2209" t="s">
        <v>5</v>
      </c>
      <c r="G2209" t="s">
        <v>5</v>
      </c>
      <c r="H2209" t="s">
        <v>5</v>
      </c>
      <c r="I2209" t="s">
        <v>1620</v>
      </c>
      <c r="J2209" t="s">
        <v>14</v>
      </c>
      <c r="K2209" s="3">
        <f t="shared" si="68"/>
        <v>0</v>
      </c>
      <c r="L2209" s="3">
        <f>IF(ISERROR(VLOOKUP(J2209,Lookups!$A$2:$A$16,1,FALSE)),1,0)</f>
        <v>1</v>
      </c>
      <c r="M2209" s="3">
        <f>IF(ISERROR(VLOOKUP(D2209,Data!$A$2:$D$223100,2,FALSE)),0,1)</f>
        <v>1</v>
      </c>
      <c r="N2209" s="3">
        <f t="shared" si="69"/>
        <v>1</v>
      </c>
      <c r="O2209" s="3" t="str">
        <f>IF(ISERROR(VLOOKUP(D2209,Data!$A$2:$C$223100,3,FALSE)),"INACTIVE",VLOOKUP(D2209,Data!$A$2:$C$223100,3,FALSE))</f>
        <v>FC</v>
      </c>
    </row>
    <row r="2210" spans="1:15" x14ac:dyDescent="0.25">
      <c r="A2210" t="s">
        <v>1615</v>
      </c>
      <c r="B2210" t="s">
        <v>1616</v>
      </c>
      <c r="C2210" t="s">
        <v>1627</v>
      </c>
      <c r="D2210" t="s">
        <v>1628</v>
      </c>
      <c r="E2210" t="s">
        <v>1629</v>
      </c>
      <c r="F2210" t="s">
        <v>5</v>
      </c>
      <c r="G2210" t="s">
        <v>5</v>
      </c>
      <c r="H2210" t="s">
        <v>5</v>
      </c>
      <c r="I2210" t="s">
        <v>1620</v>
      </c>
      <c r="J2210" t="s">
        <v>7</v>
      </c>
      <c r="K2210" s="3">
        <f t="shared" si="68"/>
        <v>0</v>
      </c>
      <c r="L2210" s="3">
        <f>IF(ISERROR(VLOOKUP(J2210,Lookups!$A$2:$A$16,1,FALSE)),1,0)</f>
        <v>1</v>
      </c>
      <c r="M2210" s="3">
        <f>IF(ISERROR(VLOOKUP(D2210,Data!$A$2:$D$223100,2,FALSE)),0,1)</f>
        <v>1</v>
      </c>
      <c r="N2210" s="3">
        <f t="shared" si="69"/>
        <v>1</v>
      </c>
      <c r="O2210" s="3" t="str">
        <f>IF(ISERROR(VLOOKUP(D2210,Data!$A$2:$C$223100,3,FALSE)),"INACTIVE",VLOOKUP(D2210,Data!$A$2:$C$223100,3,FALSE))</f>
        <v>Demand Letter</v>
      </c>
    </row>
    <row r="2211" spans="1:15" x14ac:dyDescent="0.25">
      <c r="A2211" t="s">
        <v>1615</v>
      </c>
      <c r="B2211" t="s">
        <v>1616</v>
      </c>
      <c r="C2211" t="s">
        <v>1627</v>
      </c>
      <c r="D2211" t="s">
        <v>1628</v>
      </c>
      <c r="E2211" t="s">
        <v>1630</v>
      </c>
      <c r="F2211" t="s">
        <v>5</v>
      </c>
      <c r="G2211" t="s">
        <v>5</v>
      </c>
      <c r="H2211" t="s">
        <v>5</v>
      </c>
      <c r="I2211" t="s">
        <v>1620</v>
      </c>
      <c r="J2211" t="s">
        <v>7</v>
      </c>
      <c r="K2211" s="3">
        <f t="shared" si="68"/>
        <v>0</v>
      </c>
      <c r="L2211" s="3">
        <f>IF(ISERROR(VLOOKUP(J2211,Lookups!$A$2:$A$16,1,FALSE)),1,0)</f>
        <v>1</v>
      </c>
      <c r="M2211" s="3">
        <f>IF(ISERROR(VLOOKUP(D2211,Data!$A$2:$D$223100,2,FALSE)),0,1)</f>
        <v>1</v>
      </c>
      <c r="N2211" s="3">
        <f t="shared" si="69"/>
        <v>1</v>
      </c>
      <c r="O2211" s="3" t="str">
        <f>IF(ISERROR(VLOOKUP(D2211,Data!$A$2:$C$223100,3,FALSE)),"INACTIVE",VLOOKUP(D2211,Data!$A$2:$C$223100,3,FALSE))</f>
        <v>Demand Letter</v>
      </c>
    </row>
    <row r="2212" spans="1:15" x14ac:dyDescent="0.25">
      <c r="A2212" t="s">
        <v>1615</v>
      </c>
      <c r="B2212" t="s">
        <v>1616</v>
      </c>
      <c r="C2212" t="s">
        <v>1631</v>
      </c>
      <c r="D2212" t="s">
        <v>1632</v>
      </c>
      <c r="E2212" t="s">
        <v>1633</v>
      </c>
      <c r="F2212" t="s">
        <v>5</v>
      </c>
      <c r="G2212" t="s">
        <v>5</v>
      </c>
      <c r="H2212" t="s">
        <v>5</v>
      </c>
      <c r="I2212" t="s">
        <v>1620</v>
      </c>
      <c r="J2212" t="s">
        <v>14</v>
      </c>
      <c r="K2212" s="3">
        <f t="shared" si="68"/>
        <v>0</v>
      </c>
      <c r="L2212" s="3">
        <f>IF(ISERROR(VLOOKUP(J2212,Lookups!$A$2:$A$16,1,FALSE)),1,0)</f>
        <v>1</v>
      </c>
      <c r="M2212" s="3">
        <f>IF(ISERROR(VLOOKUP(D2212,Data!$A$2:$D$223100,2,FALSE)),0,1)</f>
        <v>1</v>
      </c>
      <c r="N2212" s="3">
        <f t="shared" si="69"/>
        <v>1</v>
      </c>
      <c r="O2212" s="3" t="str">
        <f>IF(ISERROR(VLOOKUP(D2212,Data!$A$2:$C$223100,3,FALSE)),"INACTIVE",VLOOKUP(D2212,Data!$A$2:$C$223100,3,FALSE))</f>
        <v>FC</v>
      </c>
    </row>
    <row r="2213" spans="1:15" x14ac:dyDescent="0.25">
      <c r="A2213" t="s">
        <v>3056</v>
      </c>
      <c r="B2213" t="s">
        <v>3057</v>
      </c>
      <c r="C2213" t="s">
        <v>3058</v>
      </c>
      <c r="D2213" t="s">
        <v>3059</v>
      </c>
      <c r="E2213" t="s">
        <v>3060</v>
      </c>
      <c r="F2213" t="s">
        <v>3060</v>
      </c>
      <c r="G2213" t="s">
        <v>5</v>
      </c>
      <c r="H2213" t="s">
        <v>5</v>
      </c>
      <c r="I2213" t="s">
        <v>1620</v>
      </c>
      <c r="J2213" t="s">
        <v>47</v>
      </c>
      <c r="K2213" s="3">
        <f t="shared" si="68"/>
        <v>0</v>
      </c>
      <c r="L2213" s="3">
        <f>IF(ISERROR(VLOOKUP(J2213,Lookups!$A$2:$A$16,1,FALSE)),1,0)</f>
        <v>1</v>
      </c>
      <c r="M2213" s="3">
        <f>IF(ISERROR(VLOOKUP(D2213,Data!$A$2:$D$223100,2,FALSE)),0,1)</f>
        <v>1</v>
      </c>
      <c r="N2213" s="3">
        <f t="shared" si="69"/>
        <v>1</v>
      </c>
      <c r="O2213" s="3" t="str">
        <f>IF(ISERROR(VLOOKUP(D2213,Data!$A$2:$C$223100,3,FALSE)),"INACTIVE",VLOOKUP(D2213,Data!$A$2:$C$223100,3,FALSE))</f>
        <v>Demand Letter</v>
      </c>
    </row>
    <row r="2214" spans="1:15" x14ac:dyDescent="0.25">
      <c r="A2214" t="s">
        <v>3056</v>
      </c>
      <c r="B2214" t="s">
        <v>3057</v>
      </c>
      <c r="C2214" t="s">
        <v>3061</v>
      </c>
      <c r="D2214" t="s">
        <v>3062</v>
      </c>
      <c r="E2214" t="s">
        <v>3063</v>
      </c>
      <c r="F2214" t="s">
        <v>3063</v>
      </c>
      <c r="G2214" t="s">
        <v>5</v>
      </c>
      <c r="H2214" t="s">
        <v>5</v>
      </c>
      <c r="I2214" t="s">
        <v>1620</v>
      </c>
      <c r="J2214" t="s">
        <v>47</v>
      </c>
      <c r="K2214" s="3">
        <f t="shared" si="68"/>
        <v>0</v>
      </c>
      <c r="L2214" s="3">
        <f>IF(ISERROR(VLOOKUP(J2214,Lookups!$A$2:$A$16,1,FALSE)),1,0)</f>
        <v>1</v>
      </c>
      <c r="M2214" s="3">
        <f>IF(ISERROR(VLOOKUP(D2214,Data!$A$2:$D$223100,2,FALSE)),0,1)</f>
        <v>1</v>
      </c>
      <c r="N2214" s="3">
        <f t="shared" si="69"/>
        <v>1</v>
      </c>
      <c r="O2214" s="3" t="str">
        <f>IF(ISERROR(VLOOKUP(D2214,Data!$A$2:$C$223100,3,FALSE)),"INACTIVE",VLOOKUP(D2214,Data!$A$2:$C$223100,3,FALSE))</f>
        <v>DIL</v>
      </c>
    </row>
    <row r="2215" spans="1:15" x14ac:dyDescent="0.25">
      <c r="A2215" t="s">
        <v>3064</v>
      </c>
      <c r="B2215" t="s">
        <v>3065</v>
      </c>
      <c r="C2215" t="s">
        <v>3066</v>
      </c>
      <c r="D2215" t="s">
        <v>3067</v>
      </c>
      <c r="E2215" t="s">
        <v>3068</v>
      </c>
      <c r="F2215" t="s">
        <v>3068</v>
      </c>
      <c r="G2215" t="s">
        <v>5</v>
      </c>
      <c r="H2215" t="s">
        <v>5</v>
      </c>
      <c r="I2215" t="s">
        <v>1620</v>
      </c>
      <c r="J2215" t="s">
        <v>40</v>
      </c>
      <c r="K2215" s="3">
        <f t="shared" si="68"/>
        <v>0</v>
      </c>
      <c r="L2215" s="3">
        <f>IF(ISERROR(VLOOKUP(J2215,Lookups!$A$2:$A$16,1,FALSE)),1,0)</f>
        <v>1</v>
      </c>
      <c r="M2215" s="3">
        <f>IF(ISERROR(VLOOKUP(D2215,Data!$A$2:$D$223100,2,FALSE)),0,1)</f>
        <v>1</v>
      </c>
      <c r="N2215" s="3">
        <f t="shared" si="69"/>
        <v>1</v>
      </c>
      <c r="O2215" s="3" t="str">
        <f>IF(ISERROR(VLOOKUP(D2215,Data!$A$2:$C$223100,3,FALSE)),"INACTIVE",VLOOKUP(D2215,Data!$A$2:$C$223100,3,FALSE))</f>
        <v>Demand Letter</v>
      </c>
    </row>
    <row r="2216" spans="1:15" x14ac:dyDescent="0.25">
      <c r="A2216" t="s">
        <v>3663</v>
      </c>
      <c r="B2216" t="s">
        <v>3664</v>
      </c>
      <c r="C2216" t="s">
        <v>3665</v>
      </c>
      <c r="D2216" t="s">
        <v>3666</v>
      </c>
      <c r="E2216" t="s">
        <v>3667</v>
      </c>
      <c r="F2216" t="s">
        <v>5</v>
      </c>
      <c r="G2216" t="s">
        <v>5</v>
      </c>
      <c r="H2216" t="s">
        <v>5</v>
      </c>
      <c r="I2216" t="s">
        <v>1620</v>
      </c>
      <c r="J2216" t="s">
        <v>7</v>
      </c>
      <c r="K2216" s="3">
        <f t="shared" si="68"/>
        <v>0</v>
      </c>
      <c r="L2216" s="3">
        <f>IF(ISERROR(VLOOKUP(J2216,Lookups!$A$2:$A$16,1,FALSE)),1,0)</f>
        <v>1</v>
      </c>
      <c r="M2216" s="3">
        <f>IF(ISERROR(VLOOKUP(D2216,Data!$A$2:$D$223100,2,FALSE)),0,1)</f>
        <v>1</v>
      </c>
      <c r="N2216" s="3">
        <f t="shared" si="69"/>
        <v>1</v>
      </c>
      <c r="O2216" s="3" t="str">
        <f>IF(ISERROR(VLOOKUP(D2216,Data!$A$2:$C$223100,3,FALSE)),"INACTIVE",VLOOKUP(D2216,Data!$A$2:$C$223100,3,FALSE))</f>
        <v>FC</v>
      </c>
    </row>
    <row r="2217" spans="1:15" x14ac:dyDescent="0.25">
      <c r="A2217" t="s">
        <v>3834</v>
      </c>
      <c r="B2217" t="s">
        <v>3835</v>
      </c>
      <c r="C2217" t="s">
        <v>3836</v>
      </c>
      <c r="D2217" t="s">
        <v>3837</v>
      </c>
      <c r="E2217" t="s">
        <v>3838</v>
      </c>
      <c r="F2217" t="s">
        <v>5</v>
      </c>
      <c r="G2217" t="s">
        <v>5</v>
      </c>
      <c r="H2217" t="s">
        <v>5</v>
      </c>
      <c r="I2217" t="s">
        <v>1620</v>
      </c>
      <c r="J2217" t="s">
        <v>7</v>
      </c>
      <c r="K2217" s="3">
        <f t="shared" si="68"/>
        <v>0</v>
      </c>
      <c r="L2217" s="3">
        <f>IF(ISERROR(VLOOKUP(J2217,Lookups!$A$2:$A$16,1,FALSE)),1,0)</f>
        <v>1</v>
      </c>
      <c r="M2217" s="3">
        <f>IF(ISERROR(VLOOKUP(D2217,Data!$A$2:$D$223100,2,FALSE)),0,1)</f>
        <v>1</v>
      </c>
      <c r="N2217" s="3">
        <f t="shared" si="69"/>
        <v>1</v>
      </c>
      <c r="O2217" s="3" t="str">
        <f>IF(ISERROR(VLOOKUP(D2217,Data!$A$2:$C$223100,3,FALSE)),"INACTIVE",VLOOKUP(D2217,Data!$A$2:$C$223100,3,FALSE))</f>
        <v>Current</v>
      </c>
    </row>
    <row r="2218" spans="1:15" x14ac:dyDescent="0.25">
      <c r="A2218" t="s">
        <v>3881</v>
      </c>
      <c r="B2218" t="s">
        <v>3882</v>
      </c>
      <c r="C2218" t="s">
        <v>3883</v>
      </c>
      <c r="D2218" t="s">
        <v>3884</v>
      </c>
      <c r="E2218" t="s">
        <v>3885</v>
      </c>
      <c r="F2218" t="s">
        <v>5</v>
      </c>
      <c r="G2218" t="s">
        <v>5</v>
      </c>
      <c r="H2218" t="s">
        <v>5</v>
      </c>
      <c r="I2218" t="s">
        <v>1620</v>
      </c>
      <c r="J2218" t="s">
        <v>7</v>
      </c>
      <c r="K2218" s="3">
        <f t="shared" si="68"/>
        <v>0</v>
      </c>
      <c r="L2218" s="3">
        <f>IF(ISERROR(VLOOKUP(J2218,Lookups!$A$2:$A$16,1,FALSE)),1,0)</f>
        <v>1</v>
      </c>
      <c r="M2218" s="3">
        <f>IF(ISERROR(VLOOKUP(D2218,Data!$A$2:$D$223100,2,FALSE)),0,1)</f>
        <v>0</v>
      </c>
      <c r="N2218" s="3">
        <f t="shared" si="69"/>
        <v>0</v>
      </c>
      <c r="O2218" s="3" t="str">
        <f>IF(ISERROR(VLOOKUP(D2218,Data!$A$2:$C$223100,3,FALSE)),"INACTIVE",VLOOKUP(D2218,Data!$A$2:$C$223100,3,FALSE))</f>
        <v>INACTIVE</v>
      </c>
    </row>
    <row r="2219" spans="1:15" x14ac:dyDescent="0.25">
      <c r="A2219" t="s">
        <v>3894</v>
      </c>
      <c r="B2219" t="s">
        <v>3895</v>
      </c>
      <c r="C2219" t="s">
        <v>3896</v>
      </c>
      <c r="D2219" t="s">
        <v>3897</v>
      </c>
      <c r="E2219" t="s">
        <v>3898</v>
      </c>
      <c r="F2219" t="s">
        <v>5</v>
      </c>
      <c r="G2219" t="s">
        <v>5</v>
      </c>
      <c r="H2219" t="s">
        <v>5</v>
      </c>
      <c r="I2219" t="s">
        <v>1620</v>
      </c>
      <c r="J2219" t="s">
        <v>90</v>
      </c>
      <c r="K2219" s="3">
        <f t="shared" si="68"/>
        <v>0</v>
      </c>
      <c r="L2219" s="3">
        <f>IF(ISERROR(VLOOKUP(J2219,Lookups!$A$2:$A$16,1,FALSE)),1,0)</f>
        <v>0</v>
      </c>
      <c r="M2219" s="3">
        <f>IF(ISERROR(VLOOKUP(D2219,Data!$A$2:$D$223100,2,FALSE)),0,1)</f>
        <v>1</v>
      </c>
      <c r="N2219" s="3">
        <f t="shared" si="69"/>
        <v>0</v>
      </c>
      <c r="O2219" s="3" t="str">
        <f>IF(ISERROR(VLOOKUP(D2219,Data!$A$2:$C$223100,3,FALSE)),"INACTIVE",VLOOKUP(D2219,Data!$A$2:$C$223100,3,FALSE))</f>
        <v>Demand Letter</v>
      </c>
    </row>
    <row r="2220" spans="1:15" x14ac:dyDescent="0.25">
      <c r="A2220" t="s">
        <v>3894</v>
      </c>
      <c r="B2220" t="s">
        <v>3895</v>
      </c>
      <c r="C2220" t="s">
        <v>3896</v>
      </c>
      <c r="D2220" t="s">
        <v>3897</v>
      </c>
      <c r="E2220" t="s">
        <v>3899</v>
      </c>
      <c r="F2220" t="s">
        <v>5</v>
      </c>
      <c r="G2220" t="s">
        <v>5</v>
      </c>
      <c r="H2220" t="s">
        <v>5</v>
      </c>
      <c r="I2220" t="s">
        <v>1620</v>
      </c>
      <c r="J2220" t="s">
        <v>90</v>
      </c>
      <c r="K2220" s="3">
        <f t="shared" si="68"/>
        <v>0</v>
      </c>
      <c r="L2220" s="3">
        <f>IF(ISERROR(VLOOKUP(J2220,Lookups!$A$2:$A$16,1,FALSE)),1,0)</f>
        <v>0</v>
      </c>
      <c r="M2220" s="3">
        <f>IF(ISERROR(VLOOKUP(D2220,Data!$A$2:$D$223100,2,FALSE)),0,1)</f>
        <v>1</v>
      </c>
      <c r="N2220" s="3">
        <f t="shared" si="69"/>
        <v>0</v>
      </c>
      <c r="O2220" s="3" t="str">
        <f>IF(ISERROR(VLOOKUP(D2220,Data!$A$2:$C$223100,3,FALSE)),"INACTIVE",VLOOKUP(D2220,Data!$A$2:$C$223100,3,FALSE))</f>
        <v>Demand Letter</v>
      </c>
    </row>
    <row r="2221" spans="1:15" x14ac:dyDescent="0.25">
      <c r="A2221" t="s">
        <v>3894</v>
      </c>
      <c r="B2221" t="s">
        <v>3895</v>
      </c>
      <c r="C2221" t="s">
        <v>3900</v>
      </c>
      <c r="D2221" t="s">
        <v>3901</v>
      </c>
      <c r="E2221" t="s">
        <v>3902</v>
      </c>
      <c r="F2221" t="s">
        <v>5</v>
      </c>
      <c r="G2221" t="s">
        <v>5</v>
      </c>
      <c r="H2221" t="s">
        <v>5</v>
      </c>
      <c r="I2221" t="s">
        <v>1620</v>
      </c>
      <c r="J2221" t="s">
        <v>7</v>
      </c>
      <c r="K2221" s="3">
        <f t="shared" si="68"/>
        <v>0</v>
      </c>
      <c r="L2221" s="3">
        <f>IF(ISERROR(VLOOKUP(J2221,Lookups!$A$2:$A$16,1,FALSE)),1,0)</f>
        <v>1</v>
      </c>
      <c r="M2221" s="3">
        <f>IF(ISERROR(VLOOKUP(D2221,Data!$A$2:$D$223100,2,FALSE)),0,1)</f>
        <v>1</v>
      </c>
      <c r="N2221" s="3">
        <f t="shared" si="69"/>
        <v>1</v>
      </c>
      <c r="O2221" s="3" t="str">
        <f>IF(ISERROR(VLOOKUP(D2221,Data!$A$2:$C$223100,3,FALSE)),"INACTIVE",VLOOKUP(D2221,Data!$A$2:$C$223100,3,FALSE))</f>
        <v>180+</v>
      </c>
    </row>
    <row r="2222" spans="1:15" x14ac:dyDescent="0.25">
      <c r="A2222" t="s">
        <v>264</v>
      </c>
      <c r="B2222" t="s">
        <v>3903</v>
      </c>
      <c r="C2222" t="s">
        <v>3904</v>
      </c>
      <c r="D2222" t="s">
        <v>3905</v>
      </c>
      <c r="E2222" t="s">
        <v>3906</v>
      </c>
      <c r="F2222" t="s">
        <v>5</v>
      </c>
      <c r="G2222" t="s">
        <v>5</v>
      </c>
      <c r="H2222" t="s">
        <v>5</v>
      </c>
      <c r="I2222" t="s">
        <v>1620</v>
      </c>
      <c r="J2222" t="s">
        <v>7</v>
      </c>
      <c r="K2222" s="3">
        <f t="shared" si="68"/>
        <v>0</v>
      </c>
      <c r="L2222" s="3">
        <f>IF(ISERROR(VLOOKUP(J2222,Lookups!$A$2:$A$16,1,FALSE)),1,0)</f>
        <v>1</v>
      </c>
      <c r="M2222" s="3">
        <f>IF(ISERROR(VLOOKUP(D2222,Data!$A$2:$D$223100,2,FALSE)),0,1)</f>
        <v>0</v>
      </c>
      <c r="N2222" s="3">
        <f t="shared" si="69"/>
        <v>0</v>
      </c>
      <c r="O2222" s="3" t="str">
        <f>IF(ISERROR(VLOOKUP(D2222,Data!$A$2:$C$223100,3,FALSE)),"INACTIVE",VLOOKUP(D2222,Data!$A$2:$C$223100,3,FALSE))</f>
        <v>INACTIVE</v>
      </c>
    </row>
    <row r="2223" spans="1:15" x14ac:dyDescent="0.25">
      <c r="A2223" t="s">
        <v>3963</v>
      </c>
      <c r="B2223" t="s">
        <v>3964</v>
      </c>
      <c r="C2223" t="s">
        <v>3965</v>
      </c>
      <c r="D2223" t="s">
        <v>3966</v>
      </c>
      <c r="E2223" t="s">
        <v>3967</v>
      </c>
      <c r="F2223" t="s">
        <v>5</v>
      </c>
      <c r="G2223" t="s">
        <v>5</v>
      </c>
      <c r="H2223" t="s">
        <v>5</v>
      </c>
      <c r="I2223" t="s">
        <v>1620</v>
      </c>
      <c r="J2223" t="s">
        <v>7</v>
      </c>
      <c r="K2223" s="3">
        <f t="shared" si="68"/>
        <v>0</v>
      </c>
      <c r="L2223" s="3">
        <f>IF(ISERROR(VLOOKUP(J2223,Lookups!$A$2:$A$16,1,FALSE)),1,0)</f>
        <v>1</v>
      </c>
      <c r="M2223" s="3">
        <f>IF(ISERROR(VLOOKUP(D2223,Data!$A$2:$D$223100,2,FALSE)),0,1)</f>
        <v>1</v>
      </c>
      <c r="N2223" s="3">
        <f t="shared" si="69"/>
        <v>1</v>
      </c>
      <c r="O2223" s="3" t="str">
        <f>IF(ISERROR(VLOOKUP(D2223,Data!$A$2:$C$223100,3,FALSE)),"INACTIVE",VLOOKUP(D2223,Data!$A$2:$C$223100,3,FALSE))</f>
        <v>30+</v>
      </c>
    </row>
    <row r="2224" spans="1:15" x14ac:dyDescent="0.25">
      <c r="A2224" t="s">
        <v>3963</v>
      </c>
      <c r="B2224" t="s">
        <v>3964</v>
      </c>
      <c r="C2224" t="s">
        <v>3968</v>
      </c>
      <c r="D2224" t="s">
        <v>3969</v>
      </c>
      <c r="E2224" t="s">
        <v>3970</v>
      </c>
      <c r="F2224" t="s">
        <v>5</v>
      </c>
      <c r="G2224" t="s">
        <v>5</v>
      </c>
      <c r="H2224" t="s">
        <v>5</v>
      </c>
      <c r="I2224" t="s">
        <v>1620</v>
      </c>
      <c r="J2224" t="s">
        <v>7</v>
      </c>
      <c r="K2224" s="3">
        <f t="shared" si="68"/>
        <v>0</v>
      </c>
      <c r="L2224" s="3">
        <f>IF(ISERROR(VLOOKUP(J2224,Lookups!$A$2:$A$16,1,FALSE)),1,0)</f>
        <v>1</v>
      </c>
      <c r="M2224" s="3">
        <f>IF(ISERROR(VLOOKUP(D2224,Data!$A$2:$D$223100,2,FALSE)),0,1)</f>
        <v>1</v>
      </c>
      <c r="N2224" s="3">
        <f t="shared" si="69"/>
        <v>1</v>
      </c>
      <c r="O2224" s="3" t="str">
        <f>IF(ISERROR(VLOOKUP(D2224,Data!$A$2:$C$223100,3,FALSE)),"INACTIVE",VLOOKUP(D2224,Data!$A$2:$C$223100,3,FALSE))</f>
        <v>Demand Letter</v>
      </c>
    </row>
    <row r="2225" spans="1:15" x14ac:dyDescent="0.25">
      <c r="A2225" t="s">
        <v>3963</v>
      </c>
      <c r="B2225" t="s">
        <v>3964</v>
      </c>
      <c r="C2225" t="s">
        <v>3971</v>
      </c>
      <c r="D2225" t="s">
        <v>3972</v>
      </c>
      <c r="E2225" t="s">
        <v>3973</v>
      </c>
      <c r="F2225" t="s">
        <v>5</v>
      </c>
      <c r="G2225" t="s">
        <v>5</v>
      </c>
      <c r="H2225" t="s">
        <v>5</v>
      </c>
      <c r="I2225" t="s">
        <v>1620</v>
      </c>
      <c r="J2225" t="s">
        <v>7</v>
      </c>
      <c r="K2225" s="3">
        <f t="shared" si="68"/>
        <v>0</v>
      </c>
      <c r="L2225" s="3">
        <f>IF(ISERROR(VLOOKUP(J2225,Lookups!$A$2:$A$16,1,FALSE)),1,0)</f>
        <v>1</v>
      </c>
      <c r="M2225" s="3">
        <f>IF(ISERROR(VLOOKUP(D2225,Data!$A$2:$D$223100,2,FALSE)),0,1)</f>
        <v>1</v>
      </c>
      <c r="N2225" s="3">
        <f t="shared" si="69"/>
        <v>1</v>
      </c>
      <c r="O2225" s="3" t="str">
        <f>IF(ISERROR(VLOOKUP(D2225,Data!$A$2:$C$223100,3,FALSE)),"INACTIVE",VLOOKUP(D2225,Data!$A$2:$C$223100,3,FALSE))</f>
        <v>FC</v>
      </c>
    </row>
    <row r="2226" spans="1:15" x14ac:dyDescent="0.25">
      <c r="A2226" t="s">
        <v>3963</v>
      </c>
      <c r="B2226" t="s">
        <v>3964</v>
      </c>
      <c r="C2226" t="s">
        <v>3974</v>
      </c>
      <c r="D2226" t="s">
        <v>3975</v>
      </c>
      <c r="E2226" t="s">
        <v>3976</v>
      </c>
      <c r="F2226" t="s">
        <v>5</v>
      </c>
      <c r="G2226" t="s">
        <v>5</v>
      </c>
      <c r="H2226" t="s">
        <v>5</v>
      </c>
      <c r="I2226" t="s">
        <v>1620</v>
      </c>
      <c r="J2226" t="s">
        <v>90</v>
      </c>
      <c r="K2226" s="3">
        <f t="shared" si="68"/>
        <v>0</v>
      </c>
      <c r="L2226" s="3">
        <f>IF(ISERROR(VLOOKUP(J2226,Lookups!$A$2:$A$16,1,FALSE)),1,0)</f>
        <v>0</v>
      </c>
      <c r="M2226" s="3">
        <f>IF(ISERROR(VLOOKUP(D2226,Data!$A$2:$D$223100,2,FALSE)),0,1)</f>
        <v>1</v>
      </c>
      <c r="N2226" s="3">
        <f t="shared" si="69"/>
        <v>0</v>
      </c>
      <c r="O2226" s="3" t="str">
        <f>IF(ISERROR(VLOOKUP(D2226,Data!$A$2:$C$223100,3,FALSE)),"INACTIVE",VLOOKUP(D2226,Data!$A$2:$C$223100,3,FALSE))</f>
        <v>Current</v>
      </c>
    </row>
    <row r="2227" spans="1:15" x14ac:dyDescent="0.25">
      <c r="A2227" t="s">
        <v>3963</v>
      </c>
      <c r="B2227" t="s">
        <v>3964</v>
      </c>
      <c r="C2227" t="s">
        <v>3977</v>
      </c>
      <c r="D2227" t="s">
        <v>3978</v>
      </c>
      <c r="E2227" t="s">
        <v>3979</v>
      </c>
      <c r="F2227" t="s">
        <v>5</v>
      </c>
      <c r="G2227" t="s">
        <v>5</v>
      </c>
      <c r="H2227" t="s">
        <v>5</v>
      </c>
      <c r="I2227" t="s">
        <v>1620</v>
      </c>
      <c r="J2227" t="s">
        <v>7</v>
      </c>
      <c r="K2227" s="3">
        <f t="shared" si="68"/>
        <v>0</v>
      </c>
      <c r="L2227" s="3">
        <f>IF(ISERROR(VLOOKUP(J2227,Lookups!$A$2:$A$16,1,FALSE)),1,0)</f>
        <v>1</v>
      </c>
      <c r="M2227" s="3">
        <f>IF(ISERROR(VLOOKUP(D2227,Data!$A$2:$D$223100,2,FALSE)),0,1)</f>
        <v>0</v>
      </c>
      <c r="N2227" s="3">
        <f t="shared" si="69"/>
        <v>0</v>
      </c>
      <c r="O2227" s="3" t="str">
        <f>IF(ISERROR(VLOOKUP(D2227,Data!$A$2:$C$223100,3,FALSE)),"INACTIVE",VLOOKUP(D2227,Data!$A$2:$C$223100,3,FALSE))</f>
        <v>INACTIVE</v>
      </c>
    </row>
    <row r="2228" spans="1:15" x14ac:dyDescent="0.25">
      <c r="A2228" t="s">
        <v>3963</v>
      </c>
      <c r="B2228" t="s">
        <v>3964</v>
      </c>
      <c r="C2228" t="s">
        <v>3980</v>
      </c>
      <c r="D2228" t="s">
        <v>3981</v>
      </c>
      <c r="E2228" t="s">
        <v>3982</v>
      </c>
      <c r="F2228" t="s">
        <v>5</v>
      </c>
      <c r="G2228" t="s">
        <v>5</v>
      </c>
      <c r="H2228" t="s">
        <v>5</v>
      </c>
      <c r="I2228" t="s">
        <v>1620</v>
      </c>
      <c r="J2228" t="s">
        <v>7</v>
      </c>
      <c r="K2228" s="3">
        <f t="shared" si="68"/>
        <v>0</v>
      </c>
      <c r="L2228" s="3">
        <f>IF(ISERROR(VLOOKUP(J2228,Lookups!$A$2:$A$16,1,FALSE)),1,0)</f>
        <v>1</v>
      </c>
      <c r="M2228" s="3">
        <f>IF(ISERROR(VLOOKUP(D2228,Data!$A$2:$D$223100,2,FALSE)),0,1)</f>
        <v>1</v>
      </c>
      <c r="N2228" s="3">
        <f t="shared" si="69"/>
        <v>1</v>
      </c>
      <c r="O2228" s="3" t="str">
        <f>IF(ISERROR(VLOOKUP(D2228,Data!$A$2:$C$223100,3,FALSE)),"INACTIVE",VLOOKUP(D2228,Data!$A$2:$C$223100,3,FALSE))</f>
        <v>180+</v>
      </c>
    </row>
    <row r="2229" spans="1:15" x14ac:dyDescent="0.25">
      <c r="A2229" t="s">
        <v>3963</v>
      </c>
      <c r="B2229" t="s">
        <v>3964</v>
      </c>
      <c r="C2229" t="s">
        <v>3983</v>
      </c>
      <c r="D2229" t="s">
        <v>3984</v>
      </c>
      <c r="E2229" t="s">
        <v>3985</v>
      </c>
      <c r="F2229" t="s">
        <v>5</v>
      </c>
      <c r="G2229" t="s">
        <v>5</v>
      </c>
      <c r="H2229" t="s">
        <v>5</v>
      </c>
      <c r="I2229" t="s">
        <v>1620</v>
      </c>
      <c r="J2229" t="s">
        <v>7</v>
      </c>
      <c r="K2229" s="3">
        <f t="shared" si="68"/>
        <v>0</v>
      </c>
      <c r="L2229" s="3">
        <f>IF(ISERROR(VLOOKUP(J2229,Lookups!$A$2:$A$16,1,FALSE)),1,0)</f>
        <v>1</v>
      </c>
      <c r="M2229" s="3">
        <f>IF(ISERROR(VLOOKUP(D2229,Data!$A$2:$D$223100,2,FALSE)),0,1)</f>
        <v>1</v>
      </c>
      <c r="N2229" s="3">
        <f t="shared" si="69"/>
        <v>1</v>
      </c>
      <c r="O2229" s="3" t="str">
        <f>IF(ISERROR(VLOOKUP(D2229,Data!$A$2:$C$223100,3,FALSE)),"INACTIVE",VLOOKUP(D2229,Data!$A$2:$C$223100,3,FALSE))</f>
        <v>FC</v>
      </c>
    </row>
    <row r="2230" spans="1:15" x14ac:dyDescent="0.25">
      <c r="A2230" t="s">
        <v>3963</v>
      </c>
      <c r="B2230" t="s">
        <v>3964</v>
      </c>
      <c r="C2230" t="s">
        <v>3986</v>
      </c>
      <c r="D2230" t="s">
        <v>3987</v>
      </c>
      <c r="E2230" t="s">
        <v>3988</v>
      </c>
      <c r="F2230" t="s">
        <v>5</v>
      </c>
      <c r="G2230" t="s">
        <v>5</v>
      </c>
      <c r="H2230" t="s">
        <v>5</v>
      </c>
      <c r="I2230" t="s">
        <v>1620</v>
      </c>
      <c r="J2230" t="s">
        <v>7</v>
      </c>
      <c r="K2230" s="3">
        <f t="shared" si="68"/>
        <v>0</v>
      </c>
      <c r="L2230" s="3">
        <f>IF(ISERROR(VLOOKUP(J2230,Lookups!$A$2:$A$16,1,FALSE)),1,0)</f>
        <v>1</v>
      </c>
      <c r="M2230" s="3">
        <f>IF(ISERROR(VLOOKUP(D2230,Data!$A$2:$D$223100,2,FALSE)),0,1)</f>
        <v>1</v>
      </c>
      <c r="N2230" s="3">
        <f t="shared" si="69"/>
        <v>1</v>
      </c>
      <c r="O2230" s="3" t="str">
        <f>IF(ISERROR(VLOOKUP(D2230,Data!$A$2:$C$223100,3,FALSE)),"INACTIVE",VLOOKUP(D2230,Data!$A$2:$C$223100,3,FALSE))</f>
        <v>FC</v>
      </c>
    </row>
    <row r="2231" spans="1:15" x14ac:dyDescent="0.25">
      <c r="A2231" t="s">
        <v>3963</v>
      </c>
      <c r="B2231" t="s">
        <v>3964</v>
      </c>
      <c r="C2231" t="s">
        <v>3989</v>
      </c>
      <c r="D2231" t="s">
        <v>3990</v>
      </c>
      <c r="E2231" t="s">
        <v>3991</v>
      </c>
      <c r="F2231" t="s">
        <v>5</v>
      </c>
      <c r="G2231" t="s">
        <v>5</v>
      </c>
      <c r="H2231" t="s">
        <v>5</v>
      </c>
      <c r="I2231" t="s">
        <v>1620</v>
      </c>
      <c r="J2231" t="s">
        <v>96</v>
      </c>
      <c r="K2231" s="3">
        <f t="shared" si="68"/>
        <v>0</v>
      </c>
      <c r="L2231" s="3">
        <f>IF(ISERROR(VLOOKUP(J2231,Lookups!$A$2:$A$16,1,FALSE)),1,0)</f>
        <v>0</v>
      </c>
      <c r="M2231" s="3">
        <f>IF(ISERROR(VLOOKUP(D2231,Data!$A$2:$D$223100,2,FALSE)),0,1)</f>
        <v>1</v>
      </c>
      <c r="N2231" s="3">
        <f t="shared" si="69"/>
        <v>0</v>
      </c>
      <c r="O2231" s="3" t="str">
        <f>IF(ISERROR(VLOOKUP(D2231,Data!$A$2:$C$223100,3,FALSE)),"INACTIVE",VLOOKUP(D2231,Data!$A$2:$C$223100,3,FALSE))</f>
        <v>FC</v>
      </c>
    </row>
    <row r="2232" spans="1:15" x14ac:dyDescent="0.25">
      <c r="A2232" t="s">
        <v>3963</v>
      </c>
      <c r="B2232" t="s">
        <v>3964</v>
      </c>
      <c r="C2232" t="s">
        <v>3989</v>
      </c>
      <c r="D2232" t="s">
        <v>3990</v>
      </c>
      <c r="E2232" t="s">
        <v>3992</v>
      </c>
      <c r="F2232" t="s">
        <v>5</v>
      </c>
      <c r="G2232" t="s">
        <v>5</v>
      </c>
      <c r="H2232" t="s">
        <v>5</v>
      </c>
      <c r="I2232" t="s">
        <v>1620</v>
      </c>
      <c r="J2232" t="s">
        <v>96</v>
      </c>
      <c r="K2232" s="3">
        <f t="shared" si="68"/>
        <v>0</v>
      </c>
      <c r="L2232" s="3">
        <f>IF(ISERROR(VLOOKUP(J2232,Lookups!$A$2:$A$16,1,FALSE)),1,0)</f>
        <v>0</v>
      </c>
      <c r="M2232" s="3">
        <f>IF(ISERROR(VLOOKUP(D2232,Data!$A$2:$D$223100,2,FALSE)),0,1)</f>
        <v>1</v>
      </c>
      <c r="N2232" s="3">
        <f t="shared" si="69"/>
        <v>0</v>
      </c>
      <c r="O2232" s="3" t="str">
        <f>IF(ISERROR(VLOOKUP(D2232,Data!$A$2:$C$223100,3,FALSE)),"INACTIVE",VLOOKUP(D2232,Data!$A$2:$C$223100,3,FALSE))</f>
        <v>FC</v>
      </c>
    </row>
    <row r="2233" spans="1:15" x14ac:dyDescent="0.25">
      <c r="A2233" t="s">
        <v>3963</v>
      </c>
      <c r="B2233" t="s">
        <v>3964</v>
      </c>
      <c r="C2233" t="s">
        <v>3989</v>
      </c>
      <c r="D2233" t="s">
        <v>3990</v>
      </c>
      <c r="E2233" t="s">
        <v>3993</v>
      </c>
      <c r="F2233" t="s">
        <v>5</v>
      </c>
      <c r="G2233" t="s">
        <v>5</v>
      </c>
      <c r="H2233" t="s">
        <v>5</v>
      </c>
      <c r="I2233" t="s">
        <v>1620</v>
      </c>
      <c r="J2233" t="s">
        <v>96</v>
      </c>
      <c r="K2233" s="3">
        <f t="shared" si="68"/>
        <v>0</v>
      </c>
      <c r="L2233" s="3">
        <f>IF(ISERROR(VLOOKUP(J2233,Lookups!$A$2:$A$16,1,FALSE)),1,0)</f>
        <v>0</v>
      </c>
      <c r="M2233" s="3">
        <f>IF(ISERROR(VLOOKUP(D2233,Data!$A$2:$D$223100,2,FALSE)),0,1)</f>
        <v>1</v>
      </c>
      <c r="N2233" s="3">
        <f t="shared" si="69"/>
        <v>0</v>
      </c>
      <c r="O2233" s="3" t="str">
        <f>IF(ISERROR(VLOOKUP(D2233,Data!$A$2:$C$223100,3,FALSE)),"INACTIVE",VLOOKUP(D2233,Data!$A$2:$C$223100,3,FALSE))</f>
        <v>FC</v>
      </c>
    </row>
    <row r="2234" spans="1:15" x14ac:dyDescent="0.25">
      <c r="A2234" t="s">
        <v>3963</v>
      </c>
      <c r="B2234" t="s">
        <v>3964</v>
      </c>
      <c r="C2234" t="s">
        <v>3994</v>
      </c>
      <c r="D2234" t="s">
        <v>3995</v>
      </c>
      <c r="E2234" t="s">
        <v>3996</v>
      </c>
      <c r="F2234" t="s">
        <v>5</v>
      </c>
      <c r="G2234" t="s">
        <v>5</v>
      </c>
      <c r="H2234" t="s">
        <v>5</v>
      </c>
      <c r="I2234" t="s">
        <v>1620</v>
      </c>
      <c r="J2234" t="s">
        <v>96</v>
      </c>
      <c r="K2234" s="3">
        <f t="shared" si="68"/>
        <v>0</v>
      </c>
      <c r="L2234" s="3">
        <f>IF(ISERROR(VLOOKUP(J2234,Lookups!$A$2:$A$16,1,FALSE)),1,0)</f>
        <v>0</v>
      </c>
      <c r="M2234" s="3">
        <f>IF(ISERROR(VLOOKUP(D2234,Data!$A$2:$D$223100,2,FALSE)),0,1)</f>
        <v>1</v>
      </c>
      <c r="N2234" s="3">
        <f t="shared" si="69"/>
        <v>0</v>
      </c>
      <c r="O2234" s="3" t="str">
        <f>IF(ISERROR(VLOOKUP(D2234,Data!$A$2:$C$223100,3,FALSE)),"INACTIVE",VLOOKUP(D2234,Data!$A$2:$C$223100,3,FALSE))</f>
        <v>FC</v>
      </c>
    </row>
    <row r="2235" spans="1:15" x14ac:dyDescent="0.25">
      <c r="A2235" t="s">
        <v>3963</v>
      </c>
      <c r="B2235" t="s">
        <v>3964</v>
      </c>
      <c r="C2235" t="s">
        <v>3994</v>
      </c>
      <c r="D2235" t="s">
        <v>3995</v>
      </c>
      <c r="E2235" t="s">
        <v>3997</v>
      </c>
      <c r="F2235" t="s">
        <v>5</v>
      </c>
      <c r="G2235" t="s">
        <v>5</v>
      </c>
      <c r="H2235" t="s">
        <v>5</v>
      </c>
      <c r="I2235" t="s">
        <v>1620</v>
      </c>
      <c r="J2235" t="s">
        <v>96</v>
      </c>
      <c r="K2235" s="3">
        <f t="shared" si="68"/>
        <v>0</v>
      </c>
      <c r="L2235" s="3">
        <f>IF(ISERROR(VLOOKUP(J2235,Lookups!$A$2:$A$16,1,FALSE)),1,0)</f>
        <v>0</v>
      </c>
      <c r="M2235" s="3">
        <f>IF(ISERROR(VLOOKUP(D2235,Data!$A$2:$D$223100,2,FALSE)),0,1)</f>
        <v>1</v>
      </c>
      <c r="N2235" s="3">
        <f t="shared" si="69"/>
        <v>0</v>
      </c>
      <c r="O2235" s="3" t="str">
        <f>IF(ISERROR(VLOOKUP(D2235,Data!$A$2:$C$223100,3,FALSE)),"INACTIVE",VLOOKUP(D2235,Data!$A$2:$C$223100,3,FALSE))</f>
        <v>FC</v>
      </c>
    </row>
    <row r="2236" spans="1:15" x14ac:dyDescent="0.25">
      <c r="A2236" t="s">
        <v>3963</v>
      </c>
      <c r="B2236" t="s">
        <v>3964</v>
      </c>
      <c r="C2236" t="s">
        <v>3994</v>
      </c>
      <c r="D2236" t="s">
        <v>3995</v>
      </c>
      <c r="E2236" t="s">
        <v>3998</v>
      </c>
      <c r="F2236" t="s">
        <v>5</v>
      </c>
      <c r="G2236" t="s">
        <v>5</v>
      </c>
      <c r="H2236" t="s">
        <v>5</v>
      </c>
      <c r="I2236" t="s">
        <v>1620</v>
      </c>
      <c r="J2236" t="s">
        <v>96</v>
      </c>
      <c r="K2236" s="3">
        <f t="shared" si="68"/>
        <v>0</v>
      </c>
      <c r="L2236" s="3">
        <f>IF(ISERROR(VLOOKUP(J2236,Lookups!$A$2:$A$16,1,FALSE)),1,0)</f>
        <v>0</v>
      </c>
      <c r="M2236" s="3">
        <f>IF(ISERROR(VLOOKUP(D2236,Data!$A$2:$D$223100,2,FALSE)),0,1)</f>
        <v>1</v>
      </c>
      <c r="N2236" s="3">
        <f t="shared" si="69"/>
        <v>0</v>
      </c>
      <c r="O2236" s="3" t="str">
        <f>IF(ISERROR(VLOOKUP(D2236,Data!$A$2:$C$223100,3,FALSE)),"INACTIVE",VLOOKUP(D2236,Data!$A$2:$C$223100,3,FALSE))</f>
        <v>FC</v>
      </c>
    </row>
    <row r="2237" spans="1:15" x14ac:dyDescent="0.25">
      <c r="A2237" t="s">
        <v>3963</v>
      </c>
      <c r="B2237" t="s">
        <v>3964</v>
      </c>
      <c r="C2237" t="s">
        <v>3999</v>
      </c>
      <c r="D2237" t="s">
        <v>4000</v>
      </c>
      <c r="E2237" t="s">
        <v>4001</v>
      </c>
      <c r="F2237" t="s">
        <v>5</v>
      </c>
      <c r="G2237" t="s">
        <v>5</v>
      </c>
      <c r="H2237" t="s">
        <v>5</v>
      </c>
      <c r="I2237" t="s">
        <v>1620</v>
      </c>
      <c r="J2237" t="s">
        <v>7</v>
      </c>
      <c r="K2237" s="3">
        <f t="shared" si="68"/>
        <v>0</v>
      </c>
      <c r="L2237" s="3">
        <f>IF(ISERROR(VLOOKUP(J2237,Lookups!$A$2:$A$16,1,FALSE)),1,0)</f>
        <v>1</v>
      </c>
      <c r="M2237" s="3">
        <f>IF(ISERROR(VLOOKUP(D2237,Data!$A$2:$D$223100,2,FALSE)),0,1)</f>
        <v>1</v>
      </c>
      <c r="N2237" s="3">
        <f t="shared" si="69"/>
        <v>1</v>
      </c>
      <c r="O2237" s="3" t="str">
        <f>IF(ISERROR(VLOOKUP(D2237,Data!$A$2:$C$223100,3,FALSE)),"INACTIVE",VLOOKUP(D2237,Data!$A$2:$C$223100,3,FALSE))</f>
        <v>Demand Letter</v>
      </c>
    </row>
    <row r="2238" spans="1:15" x14ac:dyDescent="0.25">
      <c r="A2238" t="s">
        <v>3963</v>
      </c>
      <c r="B2238" t="s">
        <v>3964</v>
      </c>
      <c r="C2238" t="s">
        <v>4002</v>
      </c>
      <c r="D2238" t="s">
        <v>4003</v>
      </c>
      <c r="E2238" t="s">
        <v>4004</v>
      </c>
      <c r="F2238" t="s">
        <v>5</v>
      </c>
      <c r="G2238" t="s">
        <v>5</v>
      </c>
      <c r="H2238" t="s">
        <v>5</v>
      </c>
      <c r="I2238" t="s">
        <v>1620</v>
      </c>
      <c r="J2238" t="s">
        <v>96</v>
      </c>
      <c r="K2238" s="3">
        <f t="shared" si="68"/>
        <v>0</v>
      </c>
      <c r="L2238" s="3">
        <f>IF(ISERROR(VLOOKUP(J2238,Lookups!$A$2:$A$16,1,FALSE)),1,0)</f>
        <v>0</v>
      </c>
      <c r="M2238" s="3">
        <f>IF(ISERROR(VLOOKUP(D2238,Data!$A$2:$D$223100,2,FALSE)),0,1)</f>
        <v>1</v>
      </c>
      <c r="N2238" s="3">
        <f t="shared" si="69"/>
        <v>0</v>
      </c>
      <c r="O2238" s="3" t="str">
        <f>IF(ISERROR(VLOOKUP(D2238,Data!$A$2:$C$223100,3,FALSE)),"INACTIVE",VLOOKUP(D2238,Data!$A$2:$C$223100,3,FALSE))</f>
        <v>FC</v>
      </c>
    </row>
    <row r="2239" spans="1:15" x14ac:dyDescent="0.25">
      <c r="A2239" t="s">
        <v>3963</v>
      </c>
      <c r="B2239" t="s">
        <v>3964</v>
      </c>
      <c r="C2239" t="s">
        <v>4002</v>
      </c>
      <c r="D2239" t="s">
        <v>4003</v>
      </c>
      <c r="E2239" t="s">
        <v>4005</v>
      </c>
      <c r="F2239" t="s">
        <v>5</v>
      </c>
      <c r="G2239" t="s">
        <v>5</v>
      </c>
      <c r="H2239" t="s">
        <v>5</v>
      </c>
      <c r="I2239" t="s">
        <v>1620</v>
      </c>
      <c r="J2239" t="s">
        <v>96</v>
      </c>
      <c r="K2239" s="3">
        <f t="shared" si="68"/>
        <v>0</v>
      </c>
      <c r="L2239" s="3">
        <f>IF(ISERROR(VLOOKUP(J2239,Lookups!$A$2:$A$16,1,FALSE)),1,0)</f>
        <v>0</v>
      </c>
      <c r="M2239" s="3">
        <f>IF(ISERROR(VLOOKUP(D2239,Data!$A$2:$D$223100,2,FALSE)),0,1)</f>
        <v>1</v>
      </c>
      <c r="N2239" s="3">
        <f t="shared" si="69"/>
        <v>0</v>
      </c>
      <c r="O2239" s="3" t="str">
        <f>IF(ISERROR(VLOOKUP(D2239,Data!$A$2:$C$223100,3,FALSE)),"INACTIVE",VLOOKUP(D2239,Data!$A$2:$C$223100,3,FALSE))</f>
        <v>FC</v>
      </c>
    </row>
    <row r="2240" spans="1:15" x14ac:dyDescent="0.25">
      <c r="A2240" t="s">
        <v>3963</v>
      </c>
      <c r="B2240" t="s">
        <v>3964</v>
      </c>
      <c r="C2240" t="s">
        <v>4002</v>
      </c>
      <c r="D2240" t="s">
        <v>4003</v>
      </c>
      <c r="E2240" t="s">
        <v>4006</v>
      </c>
      <c r="F2240" t="s">
        <v>5</v>
      </c>
      <c r="G2240" t="s">
        <v>5</v>
      </c>
      <c r="H2240" t="s">
        <v>5</v>
      </c>
      <c r="I2240" t="s">
        <v>1620</v>
      </c>
      <c r="J2240" t="s">
        <v>96</v>
      </c>
      <c r="K2240" s="3">
        <f t="shared" si="68"/>
        <v>0</v>
      </c>
      <c r="L2240" s="3">
        <f>IF(ISERROR(VLOOKUP(J2240,Lookups!$A$2:$A$16,1,FALSE)),1,0)</f>
        <v>0</v>
      </c>
      <c r="M2240" s="3">
        <f>IF(ISERROR(VLOOKUP(D2240,Data!$A$2:$D$223100,2,FALSE)),0,1)</f>
        <v>1</v>
      </c>
      <c r="N2240" s="3">
        <f t="shared" si="69"/>
        <v>0</v>
      </c>
      <c r="O2240" s="3" t="str">
        <f>IF(ISERROR(VLOOKUP(D2240,Data!$A$2:$C$223100,3,FALSE)),"INACTIVE",VLOOKUP(D2240,Data!$A$2:$C$223100,3,FALSE))</f>
        <v>FC</v>
      </c>
    </row>
    <row r="2241" spans="1:15" x14ac:dyDescent="0.25">
      <c r="A2241" t="s">
        <v>3963</v>
      </c>
      <c r="B2241" t="s">
        <v>3964</v>
      </c>
      <c r="C2241" t="s">
        <v>4007</v>
      </c>
      <c r="D2241" t="s">
        <v>4008</v>
      </c>
      <c r="E2241" t="s">
        <v>4009</v>
      </c>
      <c r="F2241" t="s">
        <v>5</v>
      </c>
      <c r="G2241" t="s">
        <v>5</v>
      </c>
      <c r="H2241" t="s">
        <v>5</v>
      </c>
      <c r="I2241" t="s">
        <v>1620</v>
      </c>
      <c r="J2241" t="s">
        <v>7</v>
      </c>
      <c r="K2241" s="3">
        <f t="shared" si="68"/>
        <v>0</v>
      </c>
      <c r="L2241" s="3">
        <f>IF(ISERROR(VLOOKUP(J2241,Lookups!$A$2:$A$16,1,FALSE)),1,0)</f>
        <v>1</v>
      </c>
      <c r="M2241" s="3">
        <f>IF(ISERROR(VLOOKUP(D2241,Data!$A$2:$D$223100,2,FALSE)),0,1)</f>
        <v>1</v>
      </c>
      <c r="N2241" s="3">
        <f t="shared" si="69"/>
        <v>1</v>
      </c>
      <c r="O2241" s="3" t="str">
        <f>IF(ISERROR(VLOOKUP(D2241,Data!$A$2:$C$223100,3,FALSE)),"INACTIVE",VLOOKUP(D2241,Data!$A$2:$C$223100,3,FALSE))</f>
        <v>FBA</v>
      </c>
    </row>
    <row r="2242" spans="1:15" x14ac:dyDescent="0.25">
      <c r="A2242" t="s">
        <v>3963</v>
      </c>
      <c r="B2242" t="s">
        <v>3964</v>
      </c>
      <c r="C2242" t="s">
        <v>4010</v>
      </c>
      <c r="D2242" t="s">
        <v>4011</v>
      </c>
      <c r="E2242" t="s">
        <v>4012</v>
      </c>
      <c r="F2242" t="s">
        <v>5</v>
      </c>
      <c r="G2242" t="s">
        <v>5</v>
      </c>
      <c r="H2242" t="s">
        <v>5</v>
      </c>
      <c r="I2242" t="s">
        <v>1620</v>
      </c>
      <c r="J2242" t="s">
        <v>7</v>
      </c>
      <c r="K2242" s="3">
        <f t="shared" si="68"/>
        <v>0</v>
      </c>
      <c r="L2242" s="3">
        <f>IF(ISERROR(VLOOKUP(J2242,Lookups!$A$2:$A$16,1,FALSE)),1,0)</f>
        <v>1</v>
      </c>
      <c r="M2242" s="3">
        <f>IF(ISERROR(VLOOKUP(D2242,Data!$A$2:$D$223100,2,FALSE)),0,1)</f>
        <v>1</v>
      </c>
      <c r="N2242" s="3">
        <f t="shared" si="69"/>
        <v>1</v>
      </c>
      <c r="O2242" s="3" t="str">
        <f>IF(ISERROR(VLOOKUP(D2242,Data!$A$2:$C$223100,3,FALSE)),"INACTIVE",VLOOKUP(D2242,Data!$A$2:$C$223100,3,FALSE))</f>
        <v>FC</v>
      </c>
    </row>
    <row r="2243" spans="1:15" x14ac:dyDescent="0.25">
      <c r="A2243" t="s">
        <v>3963</v>
      </c>
      <c r="B2243" t="s">
        <v>3964</v>
      </c>
      <c r="C2243" t="s">
        <v>4013</v>
      </c>
      <c r="D2243" t="s">
        <v>4014</v>
      </c>
      <c r="E2243" t="s">
        <v>4015</v>
      </c>
      <c r="F2243" t="s">
        <v>5</v>
      </c>
      <c r="G2243" t="s">
        <v>5</v>
      </c>
      <c r="H2243" t="s">
        <v>5</v>
      </c>
      <c r="I2243" t="s">
        <v>1620</v>
      </c>
      <c r="J2243" t="s">
        <v>7</v>
      </c>
      <c r="K2243" s="3">
        <f t="shared" ref="K2243:K2306" si="70">IF(ISERROR(FIND("LIEN",A2243,1)),0,1)</f>
        <v>0</v>
      </c>
      <c r="L2243" s="3">
        <f>IF(ISERROR(VLOOKUP(J2243,Lookups!$A$2:$A$16,1,FALSE)),1,0)</f>
        <v>1</v>
      </c>
      <c r="M2243" s="3">
        <f>IF(ISERROR(VLOOKUP(D2243,Data!$A$2:$D$223100,2,FALSE)),0,1)</f>
        <v>1</v>
      </c>
      <c r="N2243" s="3">
        <f t="shared" ref="N2243:N2306" si="71">IF(M2243=0,0,IF(SUM(K2243:L2243)&gt;0,1,0))</f>
        <v>1</v>
      </c>
      <c r="O2243" s="3" t="str">
        <f>IF(ISERROR(VLOOKUP(D2243,Data!$A$2:$C$223100,3,FALSE)),"INACTIVE",VLOOKUP(D2243,Data!$A$2:$C$223100,3,FALSE))</f>
        <v>Current</v>
      </c>
    </row>
    <row r="2244" spans="1:15" x14ac:dyDescent="0.25">
      <c r="A2244" t="s">
        <v>3963</v>
      </c>
      <c r="B2244" t="s">
        <v>3964</v>
      </c>
      <c r="C2244" t="s">
        <v>4016</v>
      </c>
      <c r="D2244" t="s">
        <v>4017</v>
      </c>
      <c r="E2244" t="s">
        <v>4018</v>
      </c>
      <c r="F2244" t="s">
        <v>5</v>
      </c>
      <c r="G2244" t="s">
        <v>5</v>
      </c>
      <c r="H2244" t="s">
        <v>5</v>
      </c>
      <c r="I2244" t="s">
        <v>1620</v>
      </c>
      <c r="J2244" t="s">
        <v>90</v>
      </c>
      <c r="K2244" s="3">
        <f t="shared" si="70"/>
        <v>0</v>
      </c>
      <c r="L2244" s="3">
        <f>IF(ISERROR(VLOOKUP(J2244,Lookups!$A$2:$A$16,1,FALSE)),1,0)</f>
        <v>0</v>
      </c>
      <c r="M2244" s="3">
        <f>IF(ISERROR(VLOOKUP(D2244,Data!$A$2:$D$223100,2,FALSE)),0,1)</f>
        <v>1</v>
      </c>
      <c r="N2244" s="3">
        <f t="shared" si="71"/>
        <v>0</v>
      </c>
      <c r="O2244" s="3" t="str">
        <f>IF(ISERROR(VLOOKUP(D2244,Data!$A$2:$C$223100,3,FALSE)),"INACTIVE",VLOOKUP(D2244,Data!$A$2:$C$223100,3,FALSE))</f>
        <v>FC</v>
      </c>
    </row>
    <row r="2245" spans="1:15" x14ac:dyDescent="0.25">
      <c r="A2245" t="s">
        <v>3963</v>
      </c>
      <c r="B2245" t="s">
        <v>3964</v>
      </c>
      <c r="C2245" t="s">
        <v>4016</v>
      </c>
      <c r="D2245" t="s">
        <v>4017</v>
      </c>
      <c r="E2245" t="s">
        <v>4019</v>
      </c>
      <c r="F2245" t="s">
        <v>5</v>
      </c>
      <c r="G2245" t="s">
        <v>5</v>
      </c>
      <c r="H2245" t="s">
        <v>5</v>
      </c>
      <c r="I2245" t="s">
        <v>1620</v>
      </c>
      <c r="J2245" t="s">
        <v>90</v>
      </c>
      <c r="K2245" s="3">
        <f t="shared" si="70"/>
        <v>0</v>
      </c>
      <c r="L2245" s="3">
        <f>IF(ISERROR(VLOOKUP(J2245,Lookups!$A$2:$A$16,1,FALSE)),1,0)</f>
        <v>0</v>
      </c>
      <c r="M2245" s="3">
        <f>IF(ISERROR(VLOOKUP(D2245,Data!$A$2:$D$223100,2,FALSE)),0,1)</f>
        <v>1</v>
      </c>
      <c r="N2245" s="3">
        <f t="shared" si="71"/>
        <v>0</v>
      </c>
      <c r="O2245" s="3" t="str">
        <f>IF(ISERROR(VLOOKUP(D2245,Data!$A$2:$C$223100,3,FALSE)),"INACTIVE",VLOOKUP(D2245,Data!$A$2:$C$223100,3,FALSE))</f>
        <v>FC</v>
      </c>
    </row>
    <row r="2246" spans="1:15" x14ac:dyDescent="0.25">
      <c r="A2246" t="s">
        <v>3963</v>
      </c>
      <c r="B2246" t="s">
        <v>3964</v>
      </c>
      <c r="C2246" t="s">
        <v>4020</v>
      </c>
      <c r="D2246" t="s">
        <v>4021</v>
      </c>
      <c r="E2246" t="s">
        <v>4022</v>
      </c>
      <c r="F2246" t="s">
        <v>5</v>
      </c>
      <c r="G2246" t="s">
        <v>5</v>
      </c>
      <c r="H2246" t="s">
        <v>5</v>
      </c>
      <c r="I2246" t="s">
        <v>1620</v>
      </c>
      <c r="J2246" t="s">
        <v>7</v>
      </c>
      <c r="K2246" s="3">
        <f t="shared" si="70"/>
        <v>0</v>
      </c>
      <c r="L2246" s="3">
        <f>IF(ISERROR(VLOOKUP(J2246,Lookups!$A$2:$A$16,1,FALSE)),1,0)</f>
        <v>1</v>
      </c>
      <c r="M2246" s="3">
        <f>IF(ISERROR(VLOOKUP(D2246,Data!$A$2:$D$223100,2,FALSE)),0,1)</f>
        <v>1</v>
      </c>
      <c r="N2246" s="3">
        <f t="shared" si="71"/>
        <v>1</v>
      </c>
      <c r="O2246" s="3" t="str">
        <f>IF(ISERROR(VLOOKUP(D2246,Data!$A$2:$C$223100,3,FALSE)),"INACTIVE",VLOOKUP(D2246,Data!$A$2:$C$223100,3,FALSE))</f>
        <v>FC</v>
      </c>
    </row>
    <row r="2247" spans="1:15" x14ac:dyDescent="0.25">
      <c r="A2247" t="s">
        <v>3963</v>
      </c>
      <c r="B2247" t="s">
        <v>3964</v>
      </c>
      <c r="C2247" t="s">
        <v>4023</v>
      </c>
      <c r="D2247" t="s">
        <v>4024</v>
      </c>
      <c r="E2247" t="s">
        <v>4025</v>
      </c>
      <c r="F2247" t="s">
        <v>5</v>
      </c>
      <c r="G2247" t="s">
        <v>5</v>
      </c>
      <c r="H2247" t="s">
        <v>5</v>
      </c>
      <c r="I2247" t="s">
        <v>1620</v>
      </c>
      <c r="J2247" t="s">
        <v>90</v>
      </c>
      <c r="K2247" s="3">
        <f t="shared" si="70"/>
        <v>0</v>
      </c>
      <c r="L2247" s="3">
        <f>IF(ISERROR(VLOOKUP(J2247,Lookups!$A$2:$A$16,1,FALSE)),1,0)</f>
        <v>0</v>
      </c>
      <c r="M2247" s="3">
        <f>IF(ISERROR(VLOOKUP(D2247,Data!$A$2:$D$223100,2,FALSE)),0,1)</f>
        <v>1</v>
      </c>
      <c r="N2247" s="3">
        <f t="shared" si="71"/>
        <v>0</v>
      </c>
      <c r="O2247" s="3" t="str">
        <f>IF(ISERROR(VLOOKUP(D2247,Data!$A$2:$C$223100,3,FALSE)),"INACTIVE",VLOOKUP(D2247,Data!$A$2:$C$223100,3,FALSE))</f>
        <v>90+</v>
      </c>
    </row>
    <row r="2248" spans="1:15" x14ac:dyDescent="0.25">
      <c r="A2248" t="s">
        <v>3963</v>
      </c>
      <c r="B2248" t="s">
        <v>3964</v>
      </c>
      <c r="C2248" t="s">
        <v>4026</v>
      </c>
      <c r="D2248" t="s">
        <v>4027</v>
      </c>
      <c r="E2248" t="s">
        <v>4028</v>
      </c>
      <c r="F2248" t="s">
        <v>5</v>
      </c>
      <c r="G2248" t="s">
        <v>5</v>
      </c>
      <c r="H2248" t="s">
        <v>5</v>
      </c>
      <c r="I2248" t="s">
        <v>1620</v>
      </c>
      <c r="J2248" t="s">
        <v>7</v>
      </c>
      <c r="K2248" s="3">
        <f t="shared" si="70"/>
        <v>0</v>
      </c>
      <c r="L2248" s="3">
        <f>IF(ISERROR(VLOOKUP(J2248,Lookups!$A$2:$A$16,1,FALSE)),1,0)</f>
        <v>1</v>
      </c>
      <c r="M2248" s="3">
        <f>IF(ISERROR(VLOOKUP(D2248,Data!$A$2:$D$223100,2,FALSE)),0,1)</f>
        <v>1</v>
      </c>
      <c r="N2248" s="3">
        <f t="shared" si="71"/>
        <v>1</v>
      </c>
      <c r="O2248" s="3" t="str">
        <f>IF(ISERROR(VLOOKUP(D2248,Data!$A$2:$C$223100,3,FALSE)),"INACTIVE",VLOOKUP(D2248,Data!$A$2:$C$223100,3,FALSE))</f>
        <v>FC</v>
      </c>
    </row>
    <row r="2249" spans="1:15" x14ac:dyDescent="0.25">
      <c r="A2249" t="s">
        <v>3963</v>
      </c>
      <c r="B2249" t="s">
        <v>3964</v>
      </c>
      <c r="C2249" t="s">
        <v>4029</v>
      </c>
      <c r="D2249" t="s">
        <v>4030</v>
      </c>
      <c r="E2249" t="s">
        <v>4031</v>
      </c>
      <c r="F2249" t="s">
        <v>5</v>
      </c>
      <c r="G2249" t="s">
        <v>5</v>
      </c>
      <c r="H2249" t="s">
        <v>5</v>
      </c>
      <c r="I2249" t="s">
        <v>1620</v>
      </c>
      <c r="J2249" t="s">
        <v>96</v>
      </c>
      <c r="K2249" s="3">
        <f t="shared" si="70"/>
        <v>0</v>
      </c>
      <c r="L2249" s="3">
        <f>IF(ISERROR(VLOOKUP(J2249,Lookups!$A$2:$A$16,1,FALSE)),1,0)</f>
        <v>0</v>
      </c>
      <c r="M2249" s="3">
        <f>IF(ISERROR(VLOOKUP(D2249,Data!$A$2:$D$223100,2,FALSE)),0,1)</f>
        <v>1</v>
      </c>
      <c r="N2249" s="3">
        <f t="shared" si="71"/>
        <v>0</v>
      </c>
      <c r="O2249" s="3" t="str">
        <f>IF(ISERROR(VLOOKUP(D2249,Data!$A$2:$C$223100,3,FALSE)),"INACTIVE",VLOOKUP(D2249,Data!$A$2:$C$223100,3,FALSE))</f>
        <v>FC</v>
      </c>
    </row>
    <row r="2250" spans="1:15" x14ac:dyDescent="0.25">
      <c r="A2250" t="s">
        <v>3963</v>
      </c>
      <c r="B2250" t="s">
        <v>3964</v>
      </c>
      <c r="C2250" t="s">
        <v>4029</v>
      </c>
      <c r="D2250" t="s">
        <v>4030</v>
      </c>
      <c r="E2250" t="s">
        <v>4032</v>
      </c>
      <c r="F2250" t="s">
        <v>5</v>
      </c>
      <c r="G2250" t="s">
        <v>5</v>
      </c>
      <c r="H2250" t="s">
        <v>5</v>
      </c>
      <c r="I2250" t="s">
        <v>1620</v>
      </c>
      <c r="J2250" t="s">
        <v>96</v>
      </c>
      <c r="K2250" s="3">
        <f t="shared" si="70"/>
        <v>0</v>
      </c>
      <c r="L2250" s="3">
        <f>IF(ISERROR(VLOOKUP(J2250,Lookups!$A$2:$A$16,1,FALSE)),1,0)</f>
        <v>0</v>
      </c>
      <c r="M2250" s="3">
        <f>IF(ISERROR(VLOOKUP(D2250,Data!$A$2:$D$223100,2,FALSE)),0,1)</f>
        <v>1</v>
      </c>
      <c r="N2250" s="3">
        <f t="shared" si="71"/>
        <v>0</v>
      </c>
      <c r="O2250" s="3" t="str">
        <f>IF(ISERROR(VLOOKUP(D2250,Data!$A$2:$C$223100,3,FALSE)),"INACTIVE",VLOOKUP(D2250,Data!$A$2:$C$223100,3,FALSE))</f>
        <v>FC</v>
      </c>
    </row>
    <row r="2251" spans="1:15" x14ac:dyDescent="0.25">
      <c r="A2251" t="s">
        <v>3963</v>
      </c>
      <c r="B2251" t="s">
        <v>3964</v>
      </c>
      <c r="C2251" t="s">
        <v>4029</v>
      </c>
      <c r="D2251" t="s">
        <v>4030</v>
      </c>
      <c r="E2251" t="s">
        <v>4033</v>
      </c>
      <c r="F2251" t="s">
        <v>5</v>
      </c>
      <c r="G2251" t="s">
        <v>5</v>
      </c>
      <c r="H2251" t="s">
        <v>5</v>
      </c>
      <c r="I2251" t="s">
        <v>1620</v>
      </c>
      <c r="J2251" t="s">
        <v>96</v>
      </c>
      <c r="K2251" s="3">
        <f t="shared" si="70"/>
        <v>0</v>
      </c>
      <c r="L2251" s="3">
        <f>IF(ISERROR(VLOOKUP(J2251,Lookups!$A$2:$A$16,1,FALSE)),1,0)</f>
        <v>0</v>
      </c>
      <c r="M2251" s="3">
        <f>IF(ISERROR(VLOOKUP(D2251,Data!$A$2:$D$223100,2,FALSE)),0,1)</f>
        <v>1</v>
      </c>
      <c r="N2251" s="3">
        <f t="shared" si="71"/>
        <v>0</v>
      </c>
      <c r="O2251" s="3" t="str">
        <f>IF(ISERROR(VLOOKUP(D2251,Data!$A$2:$C$223100,3,FALSE)),"INACTIVE",VLOOKUP(D2251,Data!$A$2:$C$223100,3,FALSE))</f>
        <v>FC</v>
      </c>
    </row>
    <row r="2252" spans="1:15" x14ac:dyDescent="0.25">
      <c r="A2252" t="s">
        <v>3963</v>
      </c>
      <c r="B2252" t="s">
        <v>3964</v>
      </c>
      <c r="C2252" t="s">
        <v>4034</v>
      </c>
      <c r="D2252" t="s">
        <v>4035</v>
      </c>
      <c r="E2252" t="s">
        <v>4036</v>
      </c>
      <c r="F2252" t="s">
        <v>5</v>
      </c>
      <c r="G2252" t="s">
        <v>5</v>
      </c>
      <c r="H2252" t="s">
        <v>5</v>
      </c>
      <c r="I2252" t="s">
        <v>1620</v>
      </c>
      <c r="J2252" t="s">
        <v>90</v>
      </c>
      <c r="K2252" s="3">
        <f t="shared" si="70"/>
        <v>0</v>
      </c>
      <c r="L2252" s="3">
        <f>IF(ISERROR(VLOOKUP(J2252,Lookups!$A$2:$A$16,1,FALSE)),1,0)</f>
        <v>0</v>
      </c>
      <c r="M2252" s="3">
        <f>IF(ISERROR(VLOOKUP(D2252,Data!$A$2:$D$223100,2,FALSE)),0,1)</f>
        <v>1</v>
      </c>
      <c r="N2252" s="3">
        <f t="shared" si="71"/>
        <v>0</v>
      </c>
      <c r="O2252" s="3" t="str">
        <f>IF(ISERROR(VLOOKUP(D2252,Data!$A$2:$C$223100,3,FALSE)),"INACTIVE",VLOOKUP(D2252,Data!$A$2:$C$223100,3,FALSE))</f>
        <v>180+</v>
      </c>
    </row>
    <row r="2253" spans="1:15" x14ac:dyDescent="0.25">
      <c r="A2253" t="s">
        <v>3963</v>
      </c>
      <c r="B2253" t="s">
        <v>3964</v>
      </c>
      <c r="C2253" t="s">
        <v>4034</v>
      </c>
      <c r="D2253" t="s">
        <v>4035</v>
      </c>
      <c r="E2253" t="s">
        <v>4037</v>
      </c>
      <c r="F2253" t="s">
        <v>5</v>
      </c>
      <c r="G2253" t="s">
        <v>5</v>
      </c>
      <c r="H2253" t="s">
        <v>5</v>
      </c>
      <c r="I2253" t="s">
        <v>1620</v>
      </c>
      <c r="J2253" t="s">
        <v>90</v>
      </c>
      <c r="K2253" s="3">
        <f t="shared" si="70"/>
        <v>0</v>
      </c>
      <c r="L2253" s="3">
        <f>IF(ISERROR(VLOOKUP(J2253,Lookups!$A$2:$A$16,1,FALSE)),1,0)</f>
        <v>0</v>
      </c>
      <c r="M2253" s="3">
        <f>IF(ISERROR(VLOOKUP(D2253,Data!$A$2:$D$223100,2,FALSE)),0,1)</f>
        <v>1</v>
      </c>
      <c r="N2253" s="3">
        <f t="shared" si="71"/>
        <v>0</v>
      </c>
      <c r="O2253" s="3" t="str">
        <f>IF(ISERROR(VLOOKUP(D2253,Data!$A$2:$C$223100,3,FALSE)),"INACTIVE",VLOOKUP(D2253,Data!$A$2:$C$223100,3,FALSE))</f>
        <v>180+</v>
      </c>
    </row>
    <row r="2254" spans="1:15" x14ac:dyDescent="0.25">
      <c r="A2254" t="s">
        <v>3963</v>
      </c>
      <c r="B2254" t="s">
        <v>3964</v>
      </c>
      <c r="C2254" t="s">
        <v>4038</v>
      </c>
      <c r="D2254" t="s">
        <v>4039</v>
      </c>
      <c r="E2254" t="s">
        <v>4040</v>
      </c>
      <c r="F2254" t="s">
        <v>5</v>
      </c>
      <c r="G2254" t="s">
        <v>5</v>
      </c>
      <c r="H2254" t="s">
        <v>5</v>
      </c>
      <c r="I2254" t="s">
        <v>1620</v>
      </c>
      <c r="J2254" t="s">
        <v>7</v>
      </c>
      <c r="K2254" s="3">
        <f t="shared" si="70"/>
        <v>0</v>
      </c>
      <c r="L2254" s="3">
        <f>IF(ISERROR(VLOOKUP(J2254,Lookups!$A$2:$A$16,1,FALSE)),1,0)</f>
        <v>1</v>
      </c>
      <c r="M2254" s="3">
        <f>IF(ISERROR(VLOOKUP(D2254,Data!$A$2:$D$223100,2,FALSE)),0,1)</f>
        <v>1</v>
      </c>
      <c r="N2254" s="3">
        <f t="shared" si="71"/>
        <v>1</v>
      </c>
      <c r="O2254" s="3" t="str">
        <f>IF(ISERROR(VLOOKUP(D2254,Data!$A$2:$C$223100,3,FALSE)),"INACTIVE",VLOOKUP(D2254,Data!$A$2:$C$223100,3,FALSE))</f>
        <v>90+</v>
      </c>
    </row>
    <row r="2255" spans="1:15" x14ac:dyDescent="0.25">
      <c r="A2255" t="s">
        <v>3963</v>
      </c>
      <c r="B2255" t="s">
        <v>3964</v>
      </c>
      <c r="C2255" t="s">
        <v>4041</v>
      </c>
      <c r="D2255" t="s">
        <v>4042</v>
      </c>
      <c r="E2255" t="s">
        <v>4043</v>
      </c>
      <c r="F2255" t="s">
        <v>5</v>
      </c>
      <c r="G2255" t="s">
        <v>5</v>
      </c>
      <c r="H2255" t="s">
        <v>5</v>
      </c>
      <c r="I2255" t="s">
        <v>1620</v>
      </c>
      <c r="J2255" t="s">
        <v>7</v>
      </c>
      <c r="K2255" s="3">
        <f t="shared" si="70"/>
        <v>0</v>
      </c>
      <c r="L2255" s="3">
        <f>IF(ISERROR(VLOOKUP(J2255,Lookups!$A$2:$A$16,1,FALSE)),1,0)</f>
        <v>1</v>
      </c>
      <c r="M2255" s="3">
        <f>IF(ISERROR(VLOOKUP(D2255,Data!$A$2:$D$223100,2,FALSE)),0,1)</f>
        <v>1</v>
      </c>
      <c r="N2255" s="3">
        <f t="shared" si="71"/>
        <v>1</v>
      </c>
      <c r="O2255" s="3" t="str">
        <f>IF(ISERROR(VLOOKUP(D2255,Data!$A$2:$C$223100,3,FALSE)),"INACTIVE",VLOOKUP(D2255,Data!$A$2:$C$223100,3,FALSE))</f>
        <v>60+</v>
      </c>
    </row>
    <row r="2256" spans="1:15" x14ac:dyDescent="0.25">
      <c r="A2256" t="s">
        <v>3963</v>
      </c>
      <c r="B2256" t="s">
        <v>3964</v>
      </c>
      <c r="C2256" t="s">
        <v>4044</v>
      </c>
      <c r="D2256" t="s">
        <v>4045</v>
      </c>
      <c r="E2256" t="s">
        <v>4046</v>
      </c>
      <c r="F2256" t="s">
        <v>5</v>
      </c>
      <c r="G2256" t="s">
        <v>5</v>
      </c>
      <c r="H2256" t="s">
        <v>5</v>
      </c>
      <c r="I2256" t="s">
        <v>1620</v>
      </c>
      <c r="J2256" t="s">
        <v>7</v>
      </c>
      <c r="K2256" s="3">
        <f t="shared" si="70"/>
        <v>0</v>
      </c>
      <c r="L2256" s="3">
        <f>IF(ISERROR(VLOOKUP(J2256,Lookups!$A$2:$A$16,1,FALSE)),1,0)</f>
        <v>1</v>
      </c>
      <c r="M2256" s="3">
        <f>IF(ISERROR(VLOOKUP(D2256,Data!$A$2:$D$223100,2,FALSE)),0,1)</f>
        <v>1</v>
      </c>
      <c r="N2256" s="3">
        <f t="shared" si="71"/>
        <v>1</v>
      </c>
      <c r="O2256" s="3" t="str">
        <f>IF(ISERROR(VLOOKUP(D2256,Data!$A$2:$C$223100,3,FALSE)),"INACTIVE",VLOOKUP(D2256,Data!$A$2:$C$223100,3,FALSE))</f>
        <v>FC</v>
      </c>
    </row>
    <row r="2257" spans="1:15" x14ac:dyDescent="0.25">
      <c r="A2257" t="s">
        <v>3963</v>
      </c>
      <c r="B2257" t="s">
        <v>3964</v>
      </c>
      <c r="C2257" t="s">
        <v>4047</v>
      </c>
      <c r="D2257" t="s">
        <v>4048</v>
      </c>
      <c r="E2257" t="s">
        <v>4049</v>
      </c>
      <c r="F2257" t="s">
        <v>5</v>
      </c>
      <c r="G2257" t="s">
        <v>5</v>
      </c>
      <c r="H2257" t="s">
        <v>5</v>
      </c>
      <c r="I2257" t="s">
        <v>1620</v>
      </c>
      <c r="J2257" t="s">
        <v>7</v>
      </c>
      <c r="K2257" s="3">
        <f t="shared" si="70"/>
        <v>0</v>
      </c>
      <c r="L2257" s="3">
        <f>IF(ISERROR(VLOOKUP(J2257,Lookups!$A$2:$A$16,1,FALSE)),1,0)</f>
        <v>1</v>
      </c>
      <c r="M2257" s="3">
        <f>IF(ISERROR(VLOOKUP(D2257,Data!$A$2:$D$223100,2,FALSE)),0,1)</f>
        <v>1</v>
      </c>
      <c r="N2257" s="3">
        <f t="shared" si="71"/>
        <v>1</v>
      </c>
      <c r="O2257" s="3" t="str">
        <f>IF(ISERROR(VLOOKUP(D2257,Data!$A$2:$C$223100,3,FALSE)),"INACTIVE",VLOOKUP(D2257,Data!$A$2:$C$223100,3,FALSE))</f>
        <v>FC</v>
      </c>
    </row>
    <row r="2258" spans="1:15" x14ac:dyDescent="0.25">
      <c r="A2258" t="s">
        <v>3963</v>
      </c>
      <c r="B2258" t="s">
        <v>3964</v>
      </c>
      <c r="C2258" t="s">
        <v>4050</v>
      </c>
      <c r="D2258" t="s">
        <v>4051</v>
      </c>
      <c r="E2258" t="s">
        <v>4052</v>
      </c>
      <c r="F2258" t="s">
        <v>5</v>
      </c>
      <c r="G2258" t="s">
        <v>5</v>
      </c>
      <c r="H2258" t="s">
        <v>5</v>
      </c>
      <c r="I2258" t="s">
        <v>1620</v>
      </c>
      <c r="J2258" t="s">
        <v>7</v>
      </c>
      <c r="K2258" s="3">
        <f t="shared" si="70"/>
        <v>0</v>
      </c>
      <c r="L2258" s="3">
        <f>IF(ISERROR(VLOOKUP(J2258,Lookups!$A$2:$A$16,1,FALSE)),1,0)</f>
        <v>1</v>
      </c>
      <c r="M2258" s="3">
        <f>IF(ISERROR(VLOOKUP(D2258,Data!$A$2:$D$223100,2,FALSE)),0,1)</f>
        <v>1</v>
      </c>
      <c r="N2258" s="3">
        <f t="shared" si="71"/>
        <v>1</v>
      </c>
      <c r="O2258" s="3" t="str">
        <f>IF(ISERROR(VLOOKUP(D2258,Data!$A$2:$C$223100,3,FALSE)),"INACTIVE",VLOOKUP(D2258,Data!$A$2:$C$223100,3,FALSE))</f>
        <v>Current</v>
      </c>
    </row>
    <row r="2259" spans="1:15" x14ac:dyDescent="0.25">
      <c r="A2259" t="s">
        <v>3963</v>
      </c>
      <c r="B2259" t="s">
        <v>3964</v>
      </c>
      <c r="C2259" t="s">
        <v>4053</v>
      </c>
      <c r="D2259" t="s">
        <v>4054</v>
      </c>
      <c r="E2259" t="s">
        <v>4055</v>
      </c>
      <c r="F2259" t="s">
        <v>5</v>
      </c>
      <c r="G2259" t="s">
        <v>5</v>
      </c>
      <c r="H2259" t="s">
        <v>5</v>
      </c>
      <c r="I2259" t="s">
        <v>1620</v>
      </c>
      <c r="J2259" t="s">
        <v>7</v>
      </c>
      <c r="K2259" s="3">
        <f t="shared" si="70"/>
        <v>0</v>
      </c>
      <c r="L2259" s="3">
        <f>IF(ISERROR(VLOOKUP(J2259,Lookups!$A$2:$A$16,1,FALSE)),1,0)</f>
        <v>1</v>
      </c>
      <c r="M2259" s="3">
        <f>IF(ISERROR(VLOOKUP(D2259,Data!$A$2:$D$223100,2,FALSE)),0,1)</f>
        <v>1</v>
      </c>
      <c r="N2259" s="3">
        <f t="shared" si="71"/>
        <v>1</v>
      </c>
      <c r="O2259" s="3" t="str">
        <f>IF(ISERROR(VLOOKUP(D2259,Data!$A$2:$C$223100,3,FALSE)),"INACTIVE",VLOOKUP(D2259,Data!$A$2:$C$223100,3,FALSE))</f>
        <v>FC</v>
      </c>
    </row>
    <row r="2260" spans="1:15" x14ac:dyDescent="0.25">
      <c r="A2260" t="s">
        <v>3963</v>
      </c>
      <c r="B2260" t="s">
        <v>3964</v>
      </c>
      <c r="C2260" t="s">
        <v>4056</v>
      </c>
      <c r="D2260" t="s">
        <v>4057</v>
      </c>
      <c r="E2260" t="s">
        <v>4058</v>
      </c>
      <c r="F2260" t="s">
        <v>5</v>
      </c>
      <c r="G2260" t="s">
        <v>5</v>
      </c>
      <c r="H2260" t="s">
        <v>5</v>
      </c>
      <c r="I2260" t="s">
        <v>1620</v>
      </c>
      <c r="J2260" t="s">
        <v>7</v>
      </c>
      <c r="K2260" s="3">
        <f t="shared" si="70"/>
        <v>0</v>
      </c>
      <c r="L2260" s="3">
        <f>IF(ISERROR(VLOOKUP(J2260,Lookups!$A$2:$A$16,1,FALSE)),1,0)</f>
        <v>1</v>
      </c>
      <c r="M2260" s="3">
        <f>IF(ISERROR(VLOOKUP(D2260,Data!$A$2:$D$223100,2,FALSE)),0,1)</f>
        <v>1</v>
      </c>
      <c r="N2260" s="3">
        <f t="shared" si="71"/>
        <v>1</v>
      </c>
      <c r="O2260" s="3" t="str">
        <f>IF(ISERROR(VLOOKUP(D2260,Data!$A$2:$C$223100,3,FALSE)),"INACTIVE",VLOOKUP(D2260,Data!$A$2:$C$223100,3,FALSE))</f>
        <v>FC</v>
      </c>
    </row>
    <row r="2261" spans="1:15" x14ac:dyDescent="0.25">
      <c r="A2261" t="s">
        <v>3963</v>
      </c>
      <c r="B2261" t="s">
        <v>3964</v>
      </c>
      <c r="C2261" t="s">
        <v>4059</v>
      </c>
      <c r="D2261" t="s">
        <v>4060</v>
      </c>
      <c r="E2261" t="s">
        <v>4061</v>
      </c>
      <c r="F2261" t="s">
        <v>5</v>
      </c>
      <c r="G2261" t="s">
        <v>5</v>
      </c>
      <c r="H2261" t="s">
        <v>5</v>
      </c>
      <c r="I2261" t="s">
        <v>1620</v>
      </c>
      <c r="J2261" t="s">
        <v>7</v>
      </c>
      <c r="K2261" s="3">
        <f t="shared" si="70"/>
        <v>0</v>
      </c>
      <c r="L2261" s="3">
        <f>IF(ISERROR(VLOOKUP(J2261,Lookups!$A$2:$A$16,1,FALSE)),1,0)</f>
        <v>1</v>
      </c>
      <c r="M2261" s="3">
        <f>IF(ISERROR(VLOOKUP(D2261,Data!$A$2:$D$223100,2,FALSE)),0,1)</f>
        <v>1</v>
      </c>
      <c r="N2261" s="3">
        <f t="shared" si="71"/>
        <v>1</v>
      </c>
      <c r="O2261" s="3" t="str">
        <f>IF(ISERROR(VLOOKUP(D2261,Data!$A$2:$C$223100,3,FALSE)),"INACTIVE",VLOOKUP(D2261,Data!$A$2:$C$223100,3,FALSE))</f>
        <v>120+</v>
      </c>
    </row>
    <row r="2262" spans="1:15" x14ac:dyDescent="0.25">
      <c r="A2262" t="s">
        <v>3963</v>
      </c>
      <c r="B2262" t="s">
        <v>3964</v>
      </c>
      <c r="C2262" t="s">
        <v>4062</v>
      </c>
      <c r="D2262" t="s">
        <v>4063</v>
      </c>
      <c r="E2262" t="s">
        <v>4064</v>
      </c>
      <c r="F2262" t="s">
        <v>5</v>
      </c>
      <c r="G2262" t="s">
        <v>5</v>
      </c>
      <c r="H2262" t="s">
        <v>5</v>
      </c>
      <c r="I2262" t="s">
        <v>1620</v>
      </c>
      <c r="J2262" t="s">
        <v>90</v>
      </c>
      <c r="K2262" s="3">
        <f t="shared" si="70"/>
        <v>0</v>
      </c>
      <c r="L2262" s="3">
        <f>IF(ISERROR(VLOOKUP(J2262,Lookups!$A$2:$A$16,1,FALSE)),1,0)</f>
        <v>0</v>
      </c>
      <c r="M2262" s="3">
        <f>IF(ISERROR(VLOOKUP(D2262,Data!$A$2:$D$223100,2,FALSE)),0,1)</f>
        <v>1</v>
      </c>
      <c r="N2262" s="3">
        <f t="shared" si="71"/>
        <v>0</v>
      </c>
      <c r="O2262" s="3" t="str">
        <f>IF(ISERROR(VLOOKUP(D2262,Data!$A$2:$C$223100,3,FALSE)),"INACTIVE",VLOOKUP(D2262,Data!$A$2:$C$223100,3,FALSE))</f>
        <v>90+</v>
      </c>
    </row>
    <row r="2263" spans="1:15" x14ac:dyDescent="0.25">
      <c r="A2263" t="s">
        <v>3963</v>
      </c>
      <c r="B2263" t="s">
        <v>3964</v>
      </c>
      <c r="C2263" t="s">
        <v>4065</v>
      </c>
      <c r="D2263" t="s">
        <v>4066</v>
      </c>
      <c r="E2263" t="s">
        <v>4067</v>
      </c>
      <c r="F2263" t="s">
        <v>5</v>
      </c>
      <c r="G2263" t="s">
        <v>5</v>
      </c>
      <c r="H2263" t="s">
        <v>5</v>
      </c>
      <c r="I2263" t="s">
        <v>1620</v>
      </c>
      <c r="J2263" t="s">
        <v>7</v>
      </c>
      <c r="K2263" s="3">
        <f t="shared" si="70"/>
        <v>0</v>
      </c>
      <c r="L2263" s="3">
        <f>IF(ISERROR(VLOOKUP(J2263,Lookups!$A$2:$A$16,1,FALSE)),1,0)</f>
        <v>1</v>
      </c>
      <c r="M2263" s="3">
        <f>IF(ISERROR(VLOOKUP(D2263,Data!$A$2:$D$223100,2,FALSE)),0,1)</f>
        <v>1</v>
      </c>
      <c r="N2263" s="3">
        <f t="shared" si="71"/>
        <v>1</v>
      </c>
      <c r="O2263" s="3" t="str">
        <f>IF(ISERROR(VLOOKUP(D2263,Data!$A$2:$C$223100,3,FALSE)),"INACTIVE",VLOOKUP(D2263,Data!$A$2:$C$223100,3,FALSE))</f>
        <v>FC</v>
      </c>
    </row>
    <row r="2264" spans="1:15" x14ac:dyDescent="0.25">
      <c r="A2264" t="s">
        <v>3963</v>
      </c>
      <c r="B2264" t="s">
        <v>3964</v>
      </c>
      <c r="C2264" t="s">
        <v>4068</v>
      </c>
      <c r="D2264" t="s">
        <v>4069</v>
      </c>
      <c r="E2264" t="s">
        <v>4070</v>
      </c>
      <c r="F2264" t="s">
        <v>5</v>
      </c>
      <c r="G2264" t="s">
        <v>5</v>
      </c>
      <c r="H2264" t="s">
        <v>5</v>
      </c>
      <c r="I2264" t="s">
        <v>1620</v>
      </c>
      <c r="J2264" t="s">
        <v>96</v>
      </c>
      <c r="K2264" s="3">
        <f t="shared" si="70"/>
        <v>0</v>
      </c>
      <c r="L2264" s="3">
        <f>IF(ISERROR(VLOOKUP(J2264,Lookups!$A$2:$A$16,1,FALSE)),1,0)</f>
        <v>0</v>
      </c>
      <c r="M2264" s="3">
        <f>IF(ISERROR(VLOOKUP(D2264,Data!$A$2:$D$223100,2,FALSE)),0,1)</f>
        <v>1</v>
      </c>
      <c r="N2264" s="3">
        <f t="shared" si="71"/>
        <v>0</v>
      </c>
      <c r="O2264" s="3" t="str">
        <f>IF(ISERROR(VLOOKUP(D2264,Data!$A$2:$C$223100,3,FALSE)),"INACTIVE",VLOOKUP(D2264,Data!$A$2:$C$223100,3,FALSE))</f>
        <v>FC</v>
      </c>
    </row>
    <row r="2265" spans="1:15" x14ac:dyDescent="0.25">
      <c r="A2265" t="s">
        <v>3963</v>
      </c>
      <c r="B2265" t="s">
        <v>3964</v>
      </c>
      <c r="C2265" t="s">
        <v>4068</v>
      </c>
      <c r="D2265" t="s">
        <v>4069</v>
      </c>
      <c r="E2265" t="s">
        <v>4071</v>
      </c>
      <c r="F2265" t="s">
        <v>5</v>
      </c>
      <c r="G2265" t="s">
        <v>5</v>
      </c>
      <c r="H2265" t="s">
        <v>5</v>
      </c>
      <c r="I2265" t="s">
        <v>1620</v>
      </c>
      <c r="J2265" t="s">
        <v>96</v>
      </c>
      <c r="K2265" s="3">
        <f t="shared" si="70"/>
        <v>0</v>
      </c>
      <c r="L2265" s="3">
        <f>IF(ISERROR(VLOOKUP(J2265,Lookups!$A$2:$A$16,1,FALSE)),1,0)</f>
        <v>0</v>
      </c>
      <c r="M2265" s="3">
        <f>IF(ISERROR(VLOOKUP(D2265,Data!$A$2:$D$223100,2,FALSE)),0,1)</f>
        <v>1</v>
      </c>
      <c r="N2265" s="3">
        <f t="shared" si="71"/>
        <v>0</v>
      </c>
      <c r="O2265" s="3" t="str">
        <f>IF(ISERROR(VLOOKUP(D2265,Data!$A$2:$C$223100,3,FALSE)),"INACTIVE",VLOOKUP(D2265,Data!$A$2:$C$223100,3,FALSE))</f>
        <v>FC</v>
      </c>
    </row>
    <row r="2266" spans="1:15" x14ac:dyDescent="0.25">
      <c r="A2266" t="s">
        <v>3963</v>
      </c>
      <c r="B2266" t="s">
        <v>3964</v>
      </c>
      <c r="C2266" t="s">
        <v>4072</v>
      </c>
      <c r="D2266" t="s">
        <v>4073</v>
      </c>
      <c r="E2266" t="s">
        <v>4074</v>
      </c>
      <c r="F2266" t="s">
        <v>5</v>
      </c>
      <c r="G2266" t="s">
        <v>5</v>
      </c>
      <c r="H2266" t="s">
        <v>5</v>
      </c>
      <c r="I2266" t="s">
        <v>1620</v>
      </c>
      <c r="J2266" t="s">
        <v>7</v>
      </c>
      <c r="K2266" s="3">
        <f t="shared" si="70"/>
        <v>0</v>
      </c>
      <c r="L2266" s="3">
        <f>IF(ISERROR(VLOOKUP(J2266,Lookups!$A$2:$A$16,1,FALSE)),1,0)</f>
        <v>1</v>
      </c>
      <c r="M2266" s="3">
        <f>IF(ISERROR(VLOOKUP(D2266,Data!$A$2:$D$223100,2,FALSE)),0,1)</f>
        <v>1</v>
      </c>
      <c r="N2266" s="3">
        <f t="shared" si="71"/>
        <v>1</v>
      </c>
      <c r="O2266" s="3" t="str">
        <f>IF(ISERROR(VLOOKUP(D2266,Data!$A$2:$C$223100,3,FALSE)),"INACTIVE",VLOOKUP(D2266,Data!$A$2:$C$223100,3,FALSE))</f>
        <v>90+</v>
      </c>
    </row>
    <row r="2267" spans="1:15" x14ac:dyDescent="0.25">
      <c r="A2267" t="s">
        <v>2117</v>
      </c>
      <c r="B2267" t="s">
        <v>2118</v>
      </c>
      <c r="C2267" t="s">
        <v>2119</v>
      </c>
      <c r="D2267" t="s">
        <v>2120</v>
      </c>
      <c r="E2267" t="s">
        <v>2121</v>
      </c>
      <c r="F2267" t="s">
        <v>5</v>
      </c>
      <c r="G2267" t="s">
        <v>5</v>
      </c>
      <c r="H2267" t="s">
        <v>5</v>
      </c>
      <c r="I2267" t="s">
        <v>2122</v>
      </c>
      <c r="J2267" t="s">
        <v>573</v>
      </c>
      <c r="K2267" s="3">
        <f t="shared" si="70"/>
        <v>0</v>
      </c>
      <c r="L2267" s="3">
        <f>IF(ISERROR(VLOOKUP(J2267,Lookups!$A$2:$A$16,1,FALSE)),1,0)</f>
        <v>1</v>
      </c>
      <c r="M2267" s="3">
        <f>IF(ISERROR(VLOOKUP(D2267,Data!$A$2:$D$223100,2,FALSE)),0,1)</f>
        <v>1</v>
      </c>
      <c r="N2267" s="3">
        <f t="shared" si="71"/>
        <v>1</v>
      </c>
      <c r="O2267" s="3" t="str">
        <f>IF(ISERROR(VLOOKUP(D2267,Data!$A$2:$C$223100,3,FALSE)),"INACTIVE",VLOOKUP(D2267,Data!$A$2:$C$223100,3,FALSE))</f>
        <v>Current</v>
      </c>
    </row>
    <row r="2268" spans="1:15" x14ac:dyDescent="0.25">
      <c r="A2268" t="s">
        <v>2117</v>
      </c>
      <c r="B2268" t="s">
        <v>2118</v>
      </c>
      <c r="C2268" t="s">
        <v>2123</v>
      </c>
      <c r="D2268" t="s">
        <v>2124</v>
      </c>
      <c r="E2268" t="s">
        <v>2125</v>
      </c>
      <c r="F2268" t="s">
        <v>5</v>
      </c>
      <c r="G2268" t="s">
        <v>5</v>
      </c>
      <c r="H2268" t="s">
        <v>5</v>
      </c>
      <c r="I2268" t="s">
        <v>2122</v>
      </c>
      <c r="J2268" t="s">
        <v>573</v>
      </c>
      <c r="K2268" s="3">
        <f t="shared" si="70"/>
        <v>0</v>
      </c>
      <c r="L2268" s="3">
        <f>IF(ISERROR(VLOOKUP(J2268,Lookups!$A$2:$A$16,1,FALSE)),1,0)</f>
        <v>1</v>
      </c>
      <c r="M2268" s="3">
        <f>IF(ISERROR(VLOOKUP(D2268,Data!$A$2:$D$223100,2,FALSE)),0,1)</f>
        <v>1</v>
      </c>
      <c r="N2268" s="3">
        <f t="shared" si="71"/>
        <v>1</v>
      </c>
      <c r="O2268" s="3" t="str">
        <f>IF(ISERROR(VLOOKUP(D2268,Data!$A$2:$C$223100,3,FALSE)),"INACTIVE",VLOOKUP(D2268,Data!$A$2:$C$223100,3,FALSE))</f>
        <v>Current</v>
      </c>
    </row>
    <row r="2269" spans="1:15" x14ac:dyDescent="0.25">
      <c r="A2269" t="s">
        <v>2117</v>
      </c>
      <c r="B2269" t="s">
        <v>2118</v>
      </c>
      <c r="C2269" t="s">
        <v>2126</v>
      </c>
      <c r="D2269" t="s">
        <v>2127</v>
      </c>
      <c r="E2269" t="s">
        <v>2128</v>
      </c>
      <c r="F2269" t="s">
        <v>5</v>
      </c>
      <c r="G2269" t="s">
        <v>5</v>
      </c>
      <c r="H2269" t="s">
        <v>5</v>
      </c>
      <c r="I2269" t="s">
        <v>2122</v>
      </c>
      <c r="J2269" t="s">
        <v>573</v>
      </c>
      <c r="K2269" s="3">
        <f t="shared" si="70"/>
        <v>0</v>
      </c>
      <c r="L2269" s="3">
        <f>IF(ISERROR(VLOOKUP(J2269,Lookups!$A$2:$A$16,1,FALSE)),1,0)</f>
        <v>1</v>
      </c>
      <c r="M2269" s="3">
        <f>IF(ISERROR(VLOOKUP(D2269,Data!$A$2:$D$223100,2,FALSE)),0,1)</f>
        <v>1</v>
      </c>
      <c r="N2269" s="3">
        <f t="shared" si="71"/>
        <v>1</v>
      </c>
      <c r="O2269" s="3" t="str">
        <f>IF(ISERROR(VLOOKUP(D2269,Data!$A$2:$C$223100,3,FALSE)),"INACTIVE",VLOOKUP(D2269,Data!$A$2:$C$223100,3,FALSE))</f>
        <v>FBA</v>
      </c>
    </row>
    <row r="2270" spans="1:15" x14ac:dyDescent="0.25">
      <c r="A2270" t="s">
        <v>2117</v>
      </c>
      <c r="B2270" t="s">
        <v>2118</v>
      </c>
      <c r="C2270" t="s">
        <v>2129</v>
      </c>
      <c r="D2270" t="s">
        <v>2130</v>
      </c>
      <c r="E2270" t="s">
        <v>2131</v>
      </c>
      <c r="F2270" t="s">
        <v>5</v>
      </c>
      <c r="G2270" t="s">
        <v>5</v>
      </c>
      <c r="H2270" t="s">
        <v>5</v>
      </c>
      <c r="I2270" t="s">
        <v>2122</v>
      </c>
      <c r="J2270" t="s">
        <v>36</v>
      </c>
      <c r="K2270" s="3">
        <f t="shared" si="70"/>
        <v>0</v>
      </c>
      <c r="L2270" s="3">
        <f>IF(ISERROR(VLOOKUP(J2270,Lookups!$A$2:$A$16,1,FALSE)),1,0)</f>
        <v>1</v>
      </c>
      <c r="M2270" s="3">
        <f>IF(ISERROR(VLOOKUP(D2270,Data!$A$2:$D$223100,2,FALSE)),0,1)</f>
        <v>0</v>
      </c>
      <c r="N2270" s="3">
        <f t="shared" si="71"/>
        <v>0</v>
      </c>
      <c r="O2270" s="3" t="str">
        <f>IF(ISERROR(VLOOKUP(D2270,Data!$A$2:$C$223100,3,FALSE)),"INACTIVE",VLOOKUP(D2270,Data!$A$2:$C$223100,3,FALSE))</f>
        <v>INACTIVE</v>
      </c>
    </row>
    <row r="2271" spans="1:15" x14ac:dyDescent="0.25">
      <c r="A2271" t="s">
        <v>2117</v>
      </c>
      <c r="B2271" t="s">
        <v>2118</v>
      </c>
      <c r="C2271" t="s">
        <v>2132</v>
      </c>
      <c r="D2271" t="s">
        <v>2133</v>
      </c>
      <c r="E2271" t="s">
        <v>2134</v>
      </c>
      <c r="F2271" t="s">
        <v>5</v>
      </c>
      <c r="G2271" t="s">
        <v>5</v>
      </c>
      <c r="H2271" t="s">
        <v>5</v>
      </c>
      <c r="I2271" t="s">
        <v>2122</v>
      </c>
      <c r="J2271" t="s">
        <v>14</v>
      </c>
      <c r="K2271" s="3">
        <f t="shared" si="70"/>
        <v>0</v>
      </c>
      <c r="L2271" s="3">
        <f>IF(ISERROR(VLOOKUP(J2271,Lookups!$A$2:$A$16,1,FALSE)),1,0)</f>
        <v>1</v>
      </c>
      <c r="M2271" s="3">
        <f>IF(ISERROR(VLOOKUP(D2271,Data!$A$2:$D$223100,2,FALSE)),0,1)</f>
        <v>1</v>
      </c>
      <c r="N2271" s="3">
        <f t="shared" si="71"/>
        <v>1</v>
      </c>
      <c r="O2271" s="3" t="str">
        <f>IF(ISERROR(VLOOKUP(D2271,Data!$A$2:$C$223100,3,FALSE)),"INACTIVE",VLOOKUP(D2271,Data!$A$2:$C$223100,3,FALSE))</f>
        <v>BK13</v>
      </c>
    </row>
    <row r="2272" spans="1:15" x14ac:dyDescent="0.25">
      <c r="A2272" t="s">
        <v>2117</v>
      </c>
      <c r="B2272" t="s">
        <v>2118</v>
      </c>
      <c r="C2272" t="s">
        <v>2135</v>
      </c>
      <c r="D2272" t="s">
        <v>2136</v>
      </c>
      <c r="E2272" t="s">
        <v>2137</v>
      </c>
      <c r="F2272" t="s">
        <v>5</v>
      </c>
      <c r="G2272" t="s">
        <v>5</v>
      </c>
      <c r="H2272" t="s">
        <v>5</v>
      </c>
      <c r="I2272" t="s">
        <v>2122</v>
      </c>
      <c r="J2272" t="s">
        <v>573</v>
      </c>
      <c r="K2272" s="3">
        <f t="shared" si="70"/>
        <v>0</v>
      </c>
      <c r="L2272" s="3">
        <f>IF(ISERROR(VLOOKUP(J2272,Lookups!$A$2:$A$16,1,FALSE)),1,0)</f>
        <v>1</v>
      </c>
      <c r="M2272" s="3">
        <f>IF(ISERROR(VLOOKUP(D2272,Data!$A$2:$D$223100,2,FALSE)),0,1)</f>
        <v>1</v>
      </c>
      <c r="N2272" s="3">
        <f t="shared" si="71"/>
        <v>1</v>
      </c>
      <c r="O2272" s="3" t="str">
        <f>IF(ISERROR(VLOOKUP(D2272,Data!$A$2:$C$223100,3,FALSE)),"INACTIVE",VLOOKUP(D2272,Data!$A$2:$C$223100,3,FALSE))</f>
        <v>BK13</v>
      </c>
    </row>
    <row r="2273" spans="1:15" x14ac:dyDescent="0.25">
      <c r="A2273" t="s">
        <v>2117</v>
      </c>
      <c r="B2273" t="s">
        <v>2118</v>
      </c>
      <c r="C2273" t="s">
        <v>2138</v>
      </c>
      <c r="D2273" t="s">
        <v>2139</v>
      </c>
      <c r="E2273" t="s">
        <v>2140</v>
      </c>
      <c r="F2273" t="s">
        <v>5</v>
      </c>
      <c r="G2273" t="s">
        <v>5</v>
      </c>
      <c r="H2273" t="s">
        <v>5</v>
      </c>
      <c r="I2273" t="s">
        <v>2122</v>
      </c>
      <c r="J2273" t="s">
        <v>36</v>
      </c>
      <c r="K2273" s="3">
        <f t="shared" si="70"/>
        <v>0</v>
      </c>
      <c r="L2273" s="3">
        <f>IF(ISERROR(VLOOKUP(J2273,Lookups!$A$2:$A$16,1,FALSE)),1,0)</f>
        <v>1</v>
      </c>
      <c r="M2273" s="3">
        <f>IF(ISERROR(VLOOKUP(D2273,Data!$A$2:$D$223100,2,FALSE)),0,1)</f>
        <v>1</v>
      </c>
      <c r="N2273" s="3">
        <f t="shared" si="71"/>
        <v>1</v>
      </c>
      <c r="O2273" s="3" t="str">
        <f>IF(ISERROR(VLOOKUP(D2273,Data!$A$2:$C$223100,3,FALSE)),"INACTIVE",VLOOKUP(D2273,Data!$A$2:$C$223100,3,FALSE))</f>
        <v>Current</v>
      </c>
    </row>
    <row r="2274" spans="1:15" x14ac:dyDescent="0.25">
      <c r="A2274" t="s">
        <v>2117</v>
      </c>
      <c r="B2274" t="s">
        <v>2118</v>
      </c>
      <c r="C2274" t="s">
        <v>2141</v>
      </c>
      <c r="D2274" t="s">
        <v>2142</v>
      </c>
      <c r="E2274" t="s">
        <v>2143</v>
      </c>
      <c r="F2274" t="s">
        <v>5</v>
      </c>
      <c r="G2274" t="s">
        <v>5</v>
      </c>
      <c r="H2274" t="s">
        <v>5</v>
      </c>
      <c r="I2274" t="s">
        <v>2122</v>
      </c>
      <c r="J2274" t="s">
        <v>96</v>
      </c>
      <c r="K2274" s="3">
        <f t="shared" si="70"/>
        <v>0</v>
      </c>
      <c r="L2274" s="3">
        <f>IF(ISERROR(VLOOKUP(J2274,Lookups!$A$2:$A$16,1,FALSE)),1,0)</f>
        <v>0</v>
      </c>
      <c r="M2274" s="3">
        <f>IF(ISERROR(VLOOKUP(D2274,Data!$A$2:$D$223100,2,FALSE)),0,1)</f>
        <v>1</v>
      </c>
      <c r="N2274" s="3">
        <f t="shared" si="71"/>
        <v>0</v>
      </c>
      <c r="O2274" s="3" t="str">
        <f>IF(ISERROR(VLOOKUP(D2274,Data!$A$2:$C$223100,3,FALSE)),"INACTIVE",VLOOKUP(D2274,Data!$A$2:$C$223100,3,FALSE))</f>
        <v>60+</v>
      </c>
    </row>
    <row r="2275" spans="1:15" x14ac:dyDescent="0.25">
      <c r="A2275" t="s">
        <v>2117</v>
      </c>
      <c r="B2275" t="s">
        <v>2118</v>
      </c>
      <c r="C2275" t="s">
        <v>2141</v>
      </c>
      <c r="D2275" t="s">
        <v>2142</v>
      </c>
      <c r="E2275" t="s">
        <v>2144</v>
      </c>
      <c r="F2275" t="s">
        <v>5</v>
      </c>
      <c r="G2275" t="s">
        <v>5</v>
      </c>
      <c r="H2275" t="s">
        <v>5</v>
      </c>
      <c r="I2275" t="s">
        <v>2122</v>
      </c>
      <c r="J2275" t="s">
        <v>96</v>
      </c>
      <c r="K2275" s="3">
        <f t="shared" si="70"/>
        <v>0</v>
      </c>
      <c r="L2275" s="3">
        <f>IF(ISERROR(VLOOKUP(J2275,Lookups!$A$2:$A$16,1,FALSE)),1,0)</f>
        <v>0</v>
      </c>
      <c r="M2275" s="3">
        <f>IF(ISERROR(VLOOKUP(D2275,Data!$A$2:$D$223100,2,FALSE)),0,1)</f>
        <v>1</v>
      </c>
      <c r="N2275" s="3">
        <f t="shared" si="71"/>
        <v>0</v>
      </c>
      <c r="O2275" s="3" t="str">
        <f>IF(ISERROR(VLOOKUP(D2275,Data!$A$2:$C$223100,3,FALSE)),"INACTIVE",VLOOKUP(D2275,Data!$A$2:$C$223100,3,FALSE))</f>
        <v>60+</v>
      </c>
    </row>
    <row r="2276" spans="1:15" x14ac:dyDescent="0.25">
      <c r="A2276" t="s">
        <v>2117</v>
      </c>
      <c r="B2276" t="s">
        <v>2118</v>
      </c>
      <c r="C2276" t="s">
        <v>2145</v>
      </c>
      <c r="D2276" t="s">
        <v>2146</v>
      </c>
      <c r="E2276" t="s">
        <v>2147</v>
      </c>
      <c r="F2276" t="s">
        <v>5</v>
      </c>
      <c r="G2276" t="s">
        <v>5</v>
      </c>
      <c r="H2276" t="s">
        <v>5</v>
      </c>
      <c r="I2276" t="s">
        <v>2122</v>
      </c>
      <c r="J2276" t="s">
        <v>36</v>
      </c>
      <c r="K2276" s="3">
        <f t="shared" si="70"/>
        <v>0</v>
      </c>
      <c r="L2276" s="3">
        <f>IF(ISERROR(VLOOKUP(J2276,Lookups!$A$2:$A$16,1,FALSE)),1,0)</f>
        <v>1</v>
      </c>
      <c r="M2276" s="3">
        <f>IF(ISERROR(VLOOKUP(D2276,Data!$A$2:$D$223100,2,FALSE)),0,1)</f>
        <v>1</v>
      </c>
      <c r="N2276" s="3">
        <f t="shared" si="71"/>
        <v>1</v>
      </c>
      <c r="O2276" s="3" t="str">
        <f>IF(ISERROR(VLOOKUP(D2276,Data!$A$2:$C$223100,3,FALSE)),"INACTIVE",VLOOKUP(D2276,Data!$A$2:$C$223100,3,FALSE))</f>
        <v>60+</v>
      </c>
    </row>
    <row r="2277" spans="1:15" x14ac:dyDescent="0.25">
      <c r="A2277" t="s">
        <v>2117</v>
      </c>
      <c r="B2277" t="s">
        <v>2118</v>
      </c>
      <c r="C2277" t="s">
        <v>2145</v>
      </c>
      <c r="D2277" t="s">
        <v>2146</v>
      </c>
      <c r="E2277" t="s">
        <v>2148</v>
      </c>
      <c r="F2277" t="s">
        <v>5</v>
      </c>
      <c r="G2277" t="s">
        <v>5</v>
      </c>
      <c r="H2277" t="s">
        <v>5</v>
      </c>
      <c r="I2277" t="s">
        <v>2122</v>
      </c>
      <c r="J2277" t="s">
        <v>36</v>
      </c>
      <c r="K2277" s="3">
        <f t="shared" si="70"/>
        <v>0</v>
      </c>
      <c r="L2277" s="3">
        <f>IF(ISERROR(VLOOKUP(J2277,Lookups!$A$2:$A$16,1,FALSE)),1,0)</f>
        <v>1</v>
      </c>
      <c r="M2277" s="3">
        <f>IF(ISERROR(VLOOKUP(D2277,Data!$A$2:$D$223100,2,FALSE)),0,1)</f>
        <v>1</v>
      </c>
      <c r="N2277" s="3">
        <f t="shared" si="71"/>
        <v>1</v>
      </c>
      <c r="O2277" s="3" t="str">
        <f>IF(ISERROR(VLOOKUP(D2277,Data!$A$2:$C$223100,3,FALSE)),"INACTIVE",VLOOKUP(D2277,Data!$A$2:$C$223100,3,FALSE))</f>
        <v>60+</v>
      </c>
    </row>
    <row r="2278" spans="1:15" x14ac:dyDescent="0.25">
      <c r="A2278" t="s">
        <v>2117</v>
      </c>
      <c r="B2278" t="s">
        <v>2118</v>
      </c>
      <c r="C2278" t="s">
        <v>2149</v>
      </c>
      <c r="D2278" t="s">
        <v>2150</v>
      </c>
      <c r="E2278" t="s">
        <v>2151</v>
      </c>
      <c r="F2278" t="s">
        <v>5</v>
      </c>
      <c r="G2278" t="s">
        <v>5</v>
      </c>
      <c r="H2278" t="s">
        <v>5</v>
      </c>
      <c r="I2278" t="s">
        <v>2122</v>
      </c>
      <c r="J2278" t="s">
        <v>573</v>
      </c>
      <c r="K2278" s="3">
        <f t="shared" si="70"/>
        <v>0</v>
      </c>
      <c r="L2278" s="3">
        <f>IF(ISERROR(VLOOKUP(J2278,Lookups!$A$2:$A$16,1,FALSE)),1,0)</f>
        <v>1</v>
      </c>
      <c r="M2278" s="3">
        <f>IF(ISERROR(VLOOKUP(D2278,Data!$A$2:$D$223100,2,FALSE)),0,1)</f>
        <v>1</v>
      </c>
      <c r="N2278" s="3">
        <f t="shared" si="71"/>
        <v>1</v>
      </c>
      <c r="O2278" s="3" t="str">
        <f>IF(ISERROR(VLOOKUP(D2278,Data!$A$2:$C$223100,3,FALSE)),"INACTIVE",VLOOKUP(D2278,Data!$A$2:$C$223100,3,FALSE))</f>
        <v>BK13</v>
      </c>
    </row>
    <row r="2279" spans="1:15" x14ac:dyDescent="0.25">
      <c r="A2279" t="s">
        <v>2117</v>
      </c>
      <c r="B2279" t="s">
        <v>2118</v>
      </c>
      <c r="C2279" t="s">
        <v>2152</v>
      </c>
      <c r="D2279" t="s">
        <v>2153</v>
      </c>
      <c r="E2279" t="s">
        <v>2154</v>
      </c>
      <c r="F2279" t="s">
        <v>5</v>
      </c>
      <c r="G2279" t="s">
        <v>5</v>
      </c>
      <c r="H2279" t="s">
        <v>5</v>
      </c>
      <c r="I2279" t="s">
        <v>2122</v>
      </c>
      <c r="J2279" t="s">
        <v>7</v>
      </c>
      <c r="K2279" s="3">
        <f t="shared" si="70"/>
        <v>0</v>
      </c>
      <c r="L2279" s="3">
        <f>IF(ISERROR(VLOOKUP(J2279,Lookups!$A$2:$A$16,1,FALSE)),1,0)</f>
        <v>1</v>
      </c>
      <c r="M2279" s="3">
        <f>IF(ISERROR(VLOOKUP(D2279,Data!$A$2:$D$223100,2,FALSE)),0,1)</f>
        <v>1</v>
      </c>
      <c r="N2279" s="3">
        <f t="shared" si="71"/>
        <v>1</v>
      </c>
      <c r="O2279" s="3" t="str">
        <f>IF(ISERROR(VLOOKUP(D2279,Data!$A$2:$C$223100,3,FALSE)),"INACTIVE",VLOOKUP(D2279,Data!$A$2:$C$223100,3,FALSE))</f>
        <v>FC</v>
      </c>
    </row>
    <row r="2280" spans="1:15" x14ac:dyDescent="0.25">
      <c r="A2280" t="s">
        <v>2117</v>
      </c>
      <c r="B2280" t="s">
        <v>2118</v>
      </c>
      <c r="C2280" t="s">
        <v>2152</v>
      </c>
      <c r="D2280" t="s">
        <v>2153</v>
      </c>
      <c r="E2280" t="s">
        <v>2155</v>
      </c>
      <c r="F2280" t="s">
        <v>5</v>
      </c>
      <c r="G2280" t="s">
        <v>5</v>
      </c>
      <c r="H2280" t="s">
        <v>5</v>
      </c>
      <c r="I2280" t="s">
        <v>2122</v>
      </c>
      <c r="J2280" t="s">
        <v>7</v>
      </c>
      <c r="K2280" s="3">
        <f t="shared" si="70"/>
        <v>0</v>
      </c>
      <c r="L2280" s="3">
        <f>IF(ISERROR(VLOOKUP(J2280,Lookups!$A$2:$A$16,1,FALSE)),1,0)</f>
        <v>1</v>
      </c>
      <c r="M2280" s="3">
        <f>IF(ISERROR(VLOOKUP(D2280,Data!$A$2:$D$223100,2,FALSE)),0,1)</f>
        <v>1</v>
      </c>
      <c r="N2280" s="3">
        <f t="shared" si="71"/>
        <v>1</v>
      </c>
      <c r="O2280" s="3" t="str">
        <f>IF(ISERROR(VLOOKUP(D2280,Data!$A$2:$C$223100,3,FALSE)),"INACTIVE",VLOOKUP(D2280,Data!$A$2:$C$223100,3,FALSE))</f>
        <v>FC</v>
      </c>
    </row>
    <row r="2281" spans="1:15" x14ac:dyDescent="0.25">
      <c r="A2281" t="s">
        <v>2117</v>
      </c>
      <c r="B2281" t="s">
        <v>2118</v>
      </c>
      <c r="C2281" t="s">
        <v>2152</v>
      </c>
      <c r="D2281" t="s">
        <v>2153</v>
      </c>
      <c r="E2281" t="s">
        <v>2156</v>
      </c>
      <c r="F2281" t="s">
        <v>5</v>
      </c>
      <c r="G2281" t="s">
        <v>5</v>
      </c>
      <c r="H2281" t="s">
        <v>5</v>
      </c>
      <c r="I2281" t="s">
        <v>2122</v>
      </c>
      <c r="J2281" t="s">
        <v>7</v>
      </c>
      <c r="K2281" s="3">
        <f t="shared" si="70"/>
        <v>0</v>
      </c>
      <c r="L2281" s="3">
        <f>IF(ISERROR(VLOOKUP(J2281,Lookups!$A$2:$A$16,1,FALSE)),1,0)</f>
        <v>1</v>
      </c>
      <c r="M2281" s="3">
        <f>IF(ISERROR(VLOOKUP(D2281,Data!$A$2:$D$223100,2,FALSE)),0,1)</f>
        <v>1</v>
      </c>
      <c r="N2281" s="3">
        <f t="shared" si="71"/>
        <v>1</v>
      </c>
      <c r="O2281" s="3" t="str">
        <f>IF(ISERROR(VLOOKUP(D2281,Data!$A$2:$C$223100,3,FALSE)),"INACTIVE",VLOOKUP(D2281,Data!$A$2:$C$223100,3,FALSE))</f>
        <v>FC</v>
      </c>
    </row>
    <row r="2282" spans="1:15" x14ac:dyDescent="0.25">
      <c r="A2282" t="s">
        <v>2117</v>
      </c>
      <c r="B2282" t="s">
        <v>2118</v>
      </c>
      <c r="C2282" t="s">
        <v>2152</v>
      </c>
      <c r="D2282" t="s">
        <v>2153</v>
      </c>
      <c r="E2282" t="s">
        <v>2157</v>
      </c>
      <c r="F2282" t="s">
        <v>5</v>
      </c>
      <c r="G2282" t="s">
        <v>5</v>
      </c>
      <c r="H2282" t="s">
        <v>5</v>
      </c>
      <c r="I2282" t="s">
        <v>2122</v>
      </c>
      <c r="J2282" t="s">
        <v>7</v>
      </c>
      <c r="K2282" s="3">
        <f t="shared" si="70"/>
        <v>0</v>
      </c>
      <c r="L2282" s="3">
        <f>IF(ISERROR(VLOOKUP(J2282,Lookups!$A$2:$A$16,1,FALSE)),1,0)</f>
        <v>1</v>
      </c>
      <c r="M2282" s="3">
        <f>IF(ISERROR(VLOOKUP(D2282,Data!$A$2:$D$223100,2,FALSE)),0,1)</f>
        <v>1</v>
      </c>
      <c r="N2282" s="3">
        <f t="shared" si="71"/>
        <v>1</v>
      </c>
      <c r="O2282" s="3" t="str">
        <f>IF(ISERROR(VLOOKUP(D2282,Data!$A$2:$C$223100,3,FALSE)),"INACTIVE",VLOOKUP(D2282,Data!$A$2:$C$223100,3,FALSE))</f>
        <v>FC</v>
      </c>
    </row>
    <row r="2283" spans="1:15" x14ac:dyDescent="0.25">
      <c r="A2283" t="s">
        <v>2117</v>
      </c>
      <c r="B2283" t="s">
        <v>2118</v>
      </c>
      <c r="C2283" t="s">
        <v>2158</v>
      </c>
      <c r="D2283" t="s">
        <v>2159</v>
      </c>
      <c r="E2283" t="s">
        <v>2160</v>
      </c>
      <c r="F2283" t="s">
        <v>5</v>
      </c>
      <c r="G2283" t="s">
        <v>5</v>
      </c>
      <c r="H2283" t="s">
        <v>5</v>
      </c>
      <c r="I2283" t="s">
        <v>2122</v>
      </c>
      <c r="J2283" t="s">
        <v>14</v>
      </c>
      <c r="K2283" s="3">
        <f t="shared" si="70"/>
        <v>0</v>
      </c>
      <c r="L2283" s="3">
        <f>IF(ISERROR(VLOOKUP(J2283,Lookups!$A$2:$A$16,1,FALSE)),1,0)</f>
        <v>1</v>
      </c>
      <c r="M2283" s="3">
        <f>IF(ISERROR(VLOOKUP(D2283,Data!$A$2:$D$223100,2,FALSE)),0,1)</f>
        <v>1</v>
      </c>
      <c r="N2283" s="3">
        <f t="shared" si="71"/>
        <v>1</v>
      </c>
      <c r="O2283" s="3" t="str">
        <f>IF(ISERROR(VLOOKUP(D2283,Data!$A$2:$C$223100,3,FALSE)),"INACTIVE",VLOOKUP(D2283,Data!$A$2:$C$223100,3,FALSE))</f>
        <v>BK13</v>
      </c>
    </row>
    <row r="2284" spans="1:15" x14ac:dyDescent="0.25">
      <c r="A2284" t="s">
        <v>2117</v>
      </c>
      <c r="B2284" t="s">
        <v>2118</v>
      </c>
      <c r="C2284" t="s">
        <v>2158</v>
      </c>
      <c r="D2284" t="s">
        <v>2159</v>
      </c>
      <c r="E2284" t="s">
        <v>2161</v>
      </c>
      <c r="F2284" t="s">
        <v>5</v>
      </c>
      <c r="G2284" t="s">
        <v>5</v>
      </c>
      <c r="H2284" t="s">
        <v>5</v>
      </c>
      <c r="I2284" t="s">
        <v>2122</v>
      </c>
      <c r="J2284" t="s">
        <v>14</v>
      </c>
      <c r="K2284" s="3">
        <f t="shared" si="70"/>
        <v>0</v>
      </c>
      <c r="L2284" s="3">
        <f>IF(ISERROR(VLOOKUP(J2284,Lookups!$A$2:$A$16,1,FALSE)),1,0)</f>
        <v>1</v>
      </c>
      <c r="M2284" s="3">
        <f>IF(ISERROR(VLOOKUP(D2284,Data!$A$2:$D$223100,2,FALSE)),0,1)</f>
        <v>1</v>
      </c>
      <c r="N2284" s="3">
        <f t="shared" si="71"/>
        <v>1</v>
      </c>
      <c r="O2284" s="3" t="str">
        <f>IF(ISERROR(VLOOKUP(D2284,Data!$A$2:$C$223100,3,FALSE)),"INACTIVE",VLOOKUP(D2284,Data!$A$2:$C$223100,3,FALSE))</f>
        <v>BK13</v>
      </c>
    </row>
    <row r="2285" spans="1:15" x14ac:dyDescent="0.25">
      <c r="A2285" t="s">
        <v>2117</v>
      </c>
      <c r="B2285" t="s">
        <v>2118</v>
      </c>
      <c r="C2285" t="s">
        <v>2158</v>
      </c>
      <c r="D2285" t="s">
        <v>2159</v>
      </c>
      <c r="E2285" t="s">
        <v>2162</v>
      </c>
      <c r="F2285" t="s">
        <v>5</v>
      </c>
      <c r="G2285" t="s">
        <v>5</v>
      </c>
      <c r="H2285" t="s">
        <v>5</v>
      </c>
      <c r="I2285" t="s">
        <v>2122</v>
      </c>
      <c r="J2285" t="s">
        <v>14</v>
      </c>
      <c r="K2285" s="3">
        <f t="shared" si="70"/>
        <v>0</v>
      </c>
      <c r="L2285" s="3">
        <f>IF(ISERROR(VLOOKUP(J2285,Lookups!$A$2:$A$16,1,FALSE)),1,0)</f>
        <v>1</v>
      </c>
      <c r="M2285" s="3">
        <f>IF(ISERROR(VLOOKUP(D2285,Data!$A$2:$D$223100,2,FALSE)),0,1)</f>
        <v>1</v>
      </c>
      <c r="N2285" s="3">
        <f t="shared" si="71"/>
        <v>1</v>
      </c>
      <c r="O2285" s="3" t="str">
        <f>IF(ISERROR(VLOOKUP(D2285,Data!$A$2:$C$223100,3,FALSE)),"INACTIVE",VLOOKUP(D2285,Data!$A$2:$C$223100,3,FALSE))</f>
        <v>BK13</v>
      </c>
    </row>
    <row r="2286" spans="1:15" x14ac:dyDescent="0.25">
      <c r="A2286" t="s">
        <v>2117</v>
      </c>
      <c r="B2286" t="s">
        <v>2118</v>
      </c>
      <c r="C2286" t="s">
        <v>2163</v>
      </c>
      <c r="D2286" t="s">
        <v>2164</v>
      </c>
      <c r="E2286" t="s">
        <v>2165</v>
      </c>
      <c r="F2286" t="s">
        <v>5</v>
      </c>
      <c r="G2286" t="s">
        <v>5</v>
      </c>
      <c r="H2286" t="s">
        <v>5</v>
      </c>
      <c r="I2286" t="s">
        <v>2122</v>
      </c>
      <c r="J2286" t="s">
        <v>36</v>
      </c>
      <c r="K2286" s="3">
        <f t="shared" si="70"/>
        <v>0</v>
      </c>
      <c r="L2286" s="3">
        <f>IF(ISERROR(VLOOKUP(J2286,Lookups!$A$2:$A$16,1,FALSE)),1,0)</f>
        <v>1</v>
      </c>
      <c r="M2286" s="3">
        <f>IF(ISERROR(VLOOKUP(D2286,Data!$A$2:$D$223100,2,FALSE)),0,1)</f>
        <v>1</v>
      </c>
      <c r="N2286" s="3">
        <f t="shared" si="71"/>
        <v>1</v>
      </c>
      <c r="O2286" s="3" t="str">
        <f>IF(ISERROR(VLOOKUP(D2286,Data!$A$2:$C$223100,3,FALSE)),"INACTIVE",VLOOKUP(D2286,Data!$A$2:$C$223100,3,FALSE))</f>
        <v>Current</v>
      </c>
    </row>
    <row r="2287" spans="1:15" x14ac:dyDescent="0.25">
      <c r="A2287" t="s">
        <v>2117</v>
      </c>
      <c r="B2287" t="s">
        <v>2118</v>
      </c>
      <c r="C2287" t="s">
        <v>2166</v>
      </c>
      <c r="D2287" t="s">
        <v>2167</v>
      </c>
      <c r="E2287" t="s">
        <v>2168</v>
      </c>
      <c r="F2287" t="s">
        <v>5</v>
      </c>
      <c r="G2287" t="s">
        <v>5</v>
      </c>
      <c r="H2287" t="s">
        <v>5</v>
      </c>
      <c r="I2287" t="s">
        <v>2122</v>
      </c>
      <c r="J2287" t="s">
        <v>36</v>
      </c>
      <c r="K2287" s="3">
        <f t="shared" si="70"/>
        <v>0</v>
      </c>
      <c r="L2287" s="3">
        <f>IF(ISERROR(VLOOKUP(J2287,Lookups!$A$2:$A$16,1,FALSE)),1,0)</f>
        <v>1</v>
      </c>
      <c r="M2287" s="3">
        <f>IF(ISERROR(VLOOKUP(D2287,Data!$A$2:$D$223100,2,FALSE)),0,1)</f>
        <v>1</v>
      </c>
      <c r="N2287" s="3">
        <f t="shared" si="71"/>
        <v>1</v>
      </c>
      <c r="O2287" s="3" t="str">
        <f>IF(ISERROR(VLOOKUP(D2287,Data!$A$2:$C$223100,3,FALSE)),"INACTIVE",VLOOKUP(D2287,Data!$A$2:$C$223100,3,FALSE))</f>
        <v>30+</v>
      </c>
    </row>
    <row r="2288" spans="1:15" x14ac:dyDescent="0.25">
      <c r="A2288" t="s">
        <v>2117</v>
      </c>
      <c r="B2288" t="s">
        <v>2118</v>
      </c>
      <c r="C2288" t="s">
        <v>2169</v>
      </c>
      <c r="D2288" t="s">
        <v>2170</v>
      </c>
      <c r="E2288" t="s">
        <v>2171</v>
      </c>
      <c r="F2288" t="s">
        <v>5</v>
      </c>
      <c r="G2288" t="s">
        <v>5</v>
      </c>
      <c r="H2288" t="s">
        <v>5</v>
      </c>
      <c r="I2288" t="s">
        <v>2122</v>
      </c>
      <c r="J2288" t="s">
        <v>573</v>
      </c>
      <c r="K2288" s="3">
        <f t="shared" si="70"/>
        <v>0</v>
      </c>
      <c r="L2288" s="3">
        <f>IF(ISERROR(VLOOKUP(J2288,Lookups!$A$2:$A$16,1,FALSE)),1,0)</f>
        <v>1</v>
      </c>
      <c r="M2288" s="3">
        <f>IF(ISERROR(VLOOKUP(D2288,Data!$A$2:$D$223100,2,FALSE)),0,1)</f>
        <v>1</v>
      </c>
      <c r="N2288" s="3">
        <f t="shared" si="71"/>
        <v>1</v>
      </c>
      <c r="O2288" s="3" t="str">
        <f>IF(ISERROR(VLOOKUP(D2288,Data!$A$2:$C$223100,3,FALSE)),"INACTIVE",VLOOKUP(D2288,Data!$A$2:$C$223100,3,FALSE))</f>
        <v>30+</v>
      </c>
    </row>
    <row r="2289" spans="1:15" x14ac:dyDescent="0.25">
      <c r="A2289" t="s">
        <v>2117</v>
      </c>
      <c r="B2289" t="s">
        <v>2118</v>
      </c>
      <c r="C2289" t="s">
        <v>2172</v>
      </c>
      <c r="D2289" t="s">
        <v>2173</v>
      </c>
      <c r="E2289" t="s">
        <v>2174</v>
      </c>
      <c r="F2289" t="s">
        <v>5</v>
      </c>
      <c r="G2289" t="s">
        <v>5</v>
      </c>
      <c r="H2289" t="s">
        <v>5</v>
      </c>
      <c r="I2289" t="s">
        <v>2122</v>
      </c>
      <c r="J2289" t="s">
        <v>36</v>
      </c>
      <c r="K2289" s="3">
        <f t="shared" si="70"/>
        <v>0</v>
      </c>
      <c r="L2289" s="3">
        <f>IF(ISERROR(VLOOKUP(J2289,Lookups!$A$2:$A$16,1,FALSE)),1,0)</f>
        <v>1</v>
      </c>
      <c r="M2289" s="3">
        <f>IF(ISERROR(VLOOKUP(D2289,Data!$A$2:$D$223100,2,FALSE)),0,1)</f>
        <v>1</v>
      </c>
      <c r="N2289" s="3">
        <f t="shared" si="71"/>
        <v>1</v>
      </c>
      <c r="O2289" s="3" t="str">
        <f>IF(ISERROR(VLOOKUP(D2289,Data!$A$2:$C$223100,3,FALSE)),"INACTIVE",VLOOKUP(D2289,Data!$A$2:$C$223100,3,FALSE))</f>
        <v>Current</v>
      </c>
    </row>
    <row r="2290" spans="1:15" x14ac:dyDescent="0.25">
      <c r="A2290" t="s">
        <v>2117</v>
      </c>
      <c r="B2290" t="s">
        <v>2118</v>
      </c>
      <c r="C2290" t="s">
        <v>2172</v>
      </c>
      <c r="D2290" t="s">
        <v>2173</v>
      </c>
      <c r="E2290" t="s">
        <v>2175</v>
      </c>
      <c r="F2290" t="s">
        <v>5</v>
      </c>
      <c r="G2290" t="s">
        <v>5</v>
      </c>
      <c r="H2290" t="s">
        <v>5</v>
      </c>
      <c r="I2290" t="s">
        <v>2122</v>
      </c>
      <c r="J2290" t="s">
        <v>36</v>
      </c>
      <c r="K2290" s="3">
        <f t="shared" si="70"/>
        <v>0</v>
      </c>
      <c r="L2290" s="3">
        <f>IF(ISERROR(VLOOKUP(J2290,Lookups!$A$2:$A$16,1,FALSE)),1,0)</f>
        <v>1</v>
      </c>
      <c r="M2290" s="3">
        <f>IF(ISERROR(VLOOKUP(D2290,Data!$A$2:$D$223100,2,FALSE)),0,1)</f>
        <v>1</v>
      </c>
      <c r="N2290" s="3">
        <f t="shared" si="71"/>
        <v>1</v>
      </c>
      <c r="O2290" s="3" t="str">
        <f>IF(ISERROR(VLOOKUP(D2290,Data!$A$2:$C$223100,3,FALSE)),"INACTIVE",VLOOKUP(D2290,Data!$A$2:$C$223100,3,FALSE))</f>
        <v>Current</v>
      </c>
    </row>
    <row r="2291" spans="1:15" x14ac:dyDescent="0.25">
      <c r="A2291" t="s">
        <v>2117</v>
      </c>
      <c r="B2291" t="s">
        <v>2118</v>
      </c>
      <c r="C2291" t="s">
        <v>2176</v>
      </c>
      <c r="D2291" t="s">
        <v>2177</v>
      </c>
      <c r="E2291" t="s">
        <v>2178</v>
      </c>
      <c r="F2291" t="s">
        <v>5</v>
      </c>
      <c r="G2291" t="s">
        <v>5</v>
      </c>
      <c r="H2291" t="s">
        <v>5</v>
      </c>
      <c r="I2291" t="s">
        <v>2122</v>
      </c>
      <c r="J2291" t="s">
        <v>573</v>
      </c>
      <c r="K2291" s="3">
        <f t="shared" si="70"/>
        <v>0</v>
      </c>
      <c r="L2291" s="3">
        <f>IF(ISERROR(VLOOKUP(J2291,Lookups!$A$2:$A$16,1,FALSE)),1,0)</f>
        <v>1</v>
      </c>
      <c r="M2291" s="3">
        <f>IF(ISERROR(VLOOKUP(D2291,Data!$A$2:$D$223100,2,FALSE)),0,1)</f>
        <v>1</v>
      </c>
      <c r="N2291" s="3">
        <f t="shared" si="71"/>
        <v>1</v>
      </c>
      <c r="O2291" s="3" t="str">
        <f>IF(ISERROR(VLOOKUP(D2291,Data!$A$2:$C$223100,3,FALSE)),"INACTIVE",VLOOKUP(D2291,Data!$A$2:$C$223100,3,FALSE))</f>
        <v>FC</v>
      </c>
    </row>
    <row r="2292" spans="1:15" x14ac:dyDescent="0.25">
      <c r="A2292" t="s">
        <v>2117</v>
      </c>
      <c r="B2292" t="s">
        <v>2118</v>
      </c>
      <c r="C2292" t="s">
        <v>2179</v>
      </c>
      <c r="D2292" t="s">
        <v>2180</v>
      </c>
      <c r="E2292" t="s">
        <v>2181</v>
      </c>
      <c r="F2292" t="s">
        <v>5</v>
      </c>
      <c r="G2292" t="s">
        <v>5</v>
      </c>
      <c r="H2292" t="s">
        <v>5</v>
      </c>
      <c r="I2292" t="s">
        <v>2122</v>
      </c>
      <c r="J2292" t="s">
        <v>36</v>
      </c>
      <c r="K2292" s="3">
        <f t="shared" si="70"/>
        <v>0</v>
      </c>
      <c r="L2292" s="3">
        <f>IF(ISERROR(VLOOKUP(J2292,Lookups!$A$2:$A$16,1,FALSE)),1,0)</f>
        <v>1</v>
      </c>
      <c r="M2292" s="3">
        <f>IF(ISERROR(VLOOKUP(D2292,Data!$A$2:$D$223100,2,FALSE)),0,1)</f>
        <v>1</v>
      </c>
      <c r="N2292" s="3">
        <f t="shared" si="71"/>
        <v>1</v>
      </c>
      <c r="O2292" s="3" t="str">
        <f>IF(ISERROR(VLOOKUP(D2292,Data!$A$2:$C$223100,3,FALSE)),"INACTIVE",VLOOKUP(D2292,Data!$A$2:$C$223100,3,FALSE))</f>
        <v>Demand Letter</v>
      </c>
    </row>
    <row r="2293" spans="1:15" x14ac:dyDescent="0.25">
      <c r="A2293" t="s">
        <v>2117</v>
      </c>
      <c r="B2293" t="s">
        <v>2118</v>
      </c>
      <c r="C2293" t="s">
        <v>2182</v>
      </c>
      <c r="D2293" t="s">
        <v>2183</v>
      </c>
      <c r="E2293" t="s">
        <v>2184</v>
      </c>
      <c r="F2293" t="s">
        <v>5</v>
      </c>
      <c r="G2293" t="s">
        <v>5</v>
      </c>
      <c r="H2293" t="s">
        <v>5</v>
      </c>
      <c r="I2293" t="s">
        <v>2122</v>
      </c>
      <c r="J2293" t="s">
        <v>7</v>
      </c>
      <c r="K2293" s="3">
        <f t="shared" si="70"/>
        <v>0</v>
      </c>
      <c r="L2293" s="3">
        <f>IF(ISERROR(VLOOKUP(J2293,Lookups!$A$2:$A$16,1,FALSE)),1,0)</f>
        <v>1</v>
      </c>
      <c r="M2293" s="3">
        <f>IF(ISERROR(VLOOKUP(D2293,Data!$A$2:$D$223100,2,FALSE)),0,1)</f>
        <v>1</v>
      </c>
      <c r="N2293" s="3">
        <f t="shared" si="71"/>
        <v>1</v>
      </c>
      <c r="O2293" s="3" t="str">
        <f>IF(ISERROR(VLOOKUP(D2293,Data!$A$2:$C$223100,3,FALSE)),"INACTIVE",VLOOKUP(D2293,Data!$A$2:$C$223100,3,FALSE))</f>
        <v>Current</v>
      </c>
    </row>
    <row r="2294" spans="1:15" x14ac:dyDescent="0.25">
      <c r="A2294" t="s">
        <v>2117</v>
      </c>
      <c r="B2294" t="s">
        <v>2118</v>
      </c>
      <c r="C2294" t="s">
        <v>2182</v>
      </c>
      <c r="D2294" t="s">
        <v>2183</v>
      </c>
      <c r="E2294" t="s">
        <v>2185</v>
      </c>
      <c r="F2294" t="s">
        <v>5</v>
      </c>
      <c r="G2294" t="s">
        <v>5</v>
      </c>
      <c r="H2294" t="s">
        <v>5</v>
      </c>
      <c r="I2294" t="s">
        <v>2122</v>
      </c>
      <c r="J2294" t="s">
        <v>7</v>
      </c>
      <c r="K2294" s="3">
        <f t="shared" si="70"/>
        <v>0</v>
      </c>
      <c r="L2294" s="3">
        <f>IF(ISERROR(VLOOKUP(J2294,Lookups!$A$2:$A$16,1,FALSE)),1,0)</f>
        <v>1</v>
      </c>
      <c r="M2294" s="3">
        <f>IF(ISERROR(VLOOKUP(D2294,Data!$A$2:$D$223100,2,FALSE)),0,1)</f>
        <v>1</v>
      </c>
      <c r="N2294" s="3">
        <f t="shared" si="71"/>
        <v>1</v>
      </c>
      <c r="O2294" s="3" t="str">
        <f>IF(ISERROR(VLOOKUP(D2294,Data!$A$2:$C$223100,3,FALSE)),"INACTIVE",VLOOKUP(D2294,Data!$A$2:$C$223100,3,FALSE))</f>
        <v>Current</v>
      </c>
    </row>
    <row r="2295" spans="1:15" x14ac:dyDescent="0.25">
      <c r="A2295" t="s">
        <v>2117</v>
      </c>
      <c r="B2295" t="s">
        <v>2118</v>
      </c>
      <c r="C2295" t="s">
        <v>2182</v>
      </c>
      <c r="D2295" t="s">
        <v>2183</v>
      </c>
      <c r="E2295" t="s">
        <v>2186</v>
      </c>
      <c r="F2295" t="s">
        <v>5</v>
      </c>
      <c r="G2295" t="s">
        <v>5</v>
      </c>
      <c r="H2295" t="s">
        <v>5</v>
      </c>
      <c r="I2295" t="s">
        <v>2122</v>
      </c>
      <c r="J2295" t="s">
        <v>7</v>
      </c>
      <c r="K2295" s="3">
        <f t="shared" si="70"/>
        <v>0</v>
      </c>
      <c r="L2295" s="3">
        <f>IF(ISERROR(VLOOKUP(J2295,Lookups!$A$2:$A$16,1,FALSE)),1,0)</f>
        <v>1</v>
      </c>
      <c r="M2295" s="3">
        <f>IF(ISERROR(VLOOKUP(D2295,Data!$A$2:$D$223100,2,FALSE)),0,1)</f>
        <v>1</v>
      </c>
      <c r="N2295" s="3">
        <f t="shared" si="71"/>
        <v>1</v>
      </c>
      <c r="O2295" s="3" t="str">
        <f>IF(ISERROR(VLOOKUP(D2295,Data!$A$2:$C$223100,3,FALSE)),"INACTIVE",VLOOKUP(D2295,Data!$A$2:$C$223100,3,FALSE))</f>
        <v>Current</v>
      </c>
    </row>
    <row r="2296" spans="1:15" x14ac:dyDescent="0.25">
      <c r="A2296" t="s">
        <v>2117</v>
      </c>
      <c r="B2296" t="s">
        <v>2118</v>
      </c>
      <c r="C2296" t="s">
        <v>2182</v>
      </c>
      <c r="D2296" t="s">
        <v>2183</v>
      </c>
      <c r="E2296" t="s">
        <v>2187</v>
      </c>
      <c r="F2296" t="s">
        <v>5</v>
      </c>
      <c r="G2296" t="s">
        <v>5</v>
      </c>
      <c r="H2296" t="s">
        <v>5</v>
      </c>
      <c r="I2296" t="s">
        <v>2122</v>
      </c>
      <c r="J2296" t="s">
        <v>7</v>
      </c>
      <c r="K2296" s="3">
        <f t="shared" si="70"/>
        <v>0</v>
      </c>
      <c r="L2296" s="3">
        <f>IF(ISERROR(VLOOKUP(J2296,Lookups!$A$2:$A$16,1,FALSE)),1,0)</f>
        <v>1</v>
      </c>
      <c r="M2296" s="3">
        <f>IF(ISERROR(VLOOKUP(D2296,Data!$A$2:$D$223100,2,FALSE)),0,1)</f>
        <v>1</v>
      </c>
      <c r="N2296" s="3">
        <f t="shared" si="71"/>
        <v>1</v>
      </c>
      <c r="O2296" s="3" t="str">
        <f>IF(ISERROR(VLOOKUP(D2296,Data!$A$2:$C$223100,3,FALSE)),"INACTIVE",VLOOKUP(D2296,Data!$A$2:$C$223100,3,FALSE))</f>
        <v>Current</v>
      </c>
    </row>
    <row r="2297" spans="1:15" x14ac:dyDescent="0.25">
      <c r="A2297" t="s">
        <v>2117</v>
      </c>
      <c r="B2297" t="s">
        <v>2118</v>
      </c>
      <c r="C2297" t="s">
        <v>2188</v>
      </c>
      <c r="D2297" t="s">
        <v>2189</v>
      </c>
      <c r="E2297" t="s">
        <v>2190</v>
      </c>
      <c r="F2297" t="s">
        <v>5</v>
      </c>
      <c r="G2297" t="s">
        <v>5</v>
      </c>
      <c r="H2297" t="s">
        <v>5</v>
      </c>
      <c r="I2297" t="s">
        <v>2122</v>
      </c>
      <c r="J2297" t="s">
        <v>36</v>
      </c>
      <c r="K2297" s="3">
        <f t="shared" si="70"/>
        <v>0</v>
      </c>
      <c r="L2297" s="3">
        <f>IF(ISERROR(VLOOKUP(J2297,Lookups!$A$2:$A$16,1,FALSE)),1,0)</f>
        <v>1</v>
      </c>
      <c r="M2297" s="3">
        <f>IF(ISERROR(VLOOKUP(D2297,Data!$A$2:$D$223100,2,FALSE)),0,1)</f>
        <v>1</v>
      </c>
      <c r="N2297" s="3">
        <f t="shared" si="71"/>
        <v>1</v>
      </c>
      <c r="O2297" s="3" t="str">
        <f>IF(ISERROR(VLOOKUP(D2297,Data!$A$2:$C$223100,3,FALSE)),"INACTIVE",VLOOKUP(D2297,Data!$A$2:$C$223100,3,FALSE))</f>
        <v>60+</v>
      </c>
    </row>
    <row r="2298" spans="1:15" x14ac:dyDescent="0.25">
      <c r="A2298" t="s">
        <v>2117</v>
      </c>
      <c r="B2298" t="s">
        <v>2118</v>
      </c>
      <c r="C2298" t="s">
        <v>2188</v>
      </c>
      <c r="D2298" t="s">
        <v>2189</v>
      </c>
      <c r="E2298" t="s">
        <v>2191</v>
      </c>
      <c r="F2298" t="s">
        <v>5</v>
      </c>
      <c r="G2298" t="s">
        <v>5</v>
      </c>
      <c r="H2298" t="s">
        <v>5</v>
      </c>
      <c r="I2298" t="s">
        <v>2122</v>
      </c>
      <c r="J2298" t="s">
        <v>36</v>
      </c>
      <c r="K2298" s="3">
        <f t="shared" si="70"/>
        <v>0</v>
      </c>
      <c r="L2298" s="3">
        <f>IF(ISERROR(VLOOKUP(J2298,Lookups!$A$2:$A$16,1,FALSE)),1,0)</f>
        <v>1</v>
      </c>
      <c r="M2298" s="3">
        <f>IF(ISERROR(VLOOKUP(D2298,Data!$A$2:$D$223100,2,FALSE)),0,1)</f>
        <v>1</v>
      </c>
      <c r="N2298" s="3">
        <f t="shared" si="71"/>
        <v>1</v>
      </c>
      <c r="O2298" s="3" t="str">
        <f>IF(ISERROR(VLOOKUP(D2298,Data!$A$2:$C$223100,3,FALSE)),"INACTIVE",VLOOKUP(D2298,Data!$A$2:$C$223100,3,FALSE))</f>
        <v>60+</v>
      </c>
    </row>
    <row r="2299" spans="1:15" x14ac:dyDescent="0.25">
      <c r="A2299" t="s">
        <v>2117</v>
      </c>
      <c r="B2299" t="s">
        <v>2118</v>
      </c>
      <c r="C2299" t="s">
        <v>2192</v>
      </c>
      <c r="D2299" t="s">
        <v>2193</v>
      </c>
      <c r="E2299" t="s">
        <v>2194</v>
      </c>
      <c r="F2299" t="s">
        <v>5</v>
      </c>
      <c r="G2299" t="s">
        <v>5</v>
      </c>
      <c r="H2299" t="s">
        <v>5</v>
      </c>
      <c r="I2299" t="s">
        <v>2122</v>
      </c>
      <c r="J2299" t="s">
        <v>573</v>
      </c>
      <c r="K2299" s="3">
        <f t="shared" si="70"/>
        <v>0</v>
      </c>
      <c r="L2299" s="3">
        <f>IF(ISERROR(VLOOKUP(J2299,Lookups!$A$2:$A$16,1,FALSE)),1,0)</f>
        <v>1</v>
      </c>
      <c r="M2299" s="3">
        <f>IF(ISERROR(VLOOKUP(D2299,Data!$A$2:$D$223100,2,FALSE)),0,1)</f>
        <v>1</v>
      </c>
      <c r="N2299" s="3">
        <f t="shared" si="71"/>
        <v>1</v>
      </c>
      <c r="O2299" s="3" t="str">
        <f>IF(ISERROR(VLOOKUP(D2299,Data!$A$2:$C$223100,3,FALSE)),"INACTIVE",VLOOKUP(D2299,Data!$A$2:$C$223100,3,FALSE))</f>
        <v>FBA</v>
      </c>
    </row>
    <row r="2300" spans="1:15" x14ac:dyDescent="0.25">
      <c r="A2300" t="s">
        <v>2117</v>
      </c>
      <c r="B2300" t="s">
        <v>2118</v>
      </c>
      <c r="C2300" t="s">
        <v>2195</v>
      </c>
      <c r="D2300" t="s">
        <v>2196</v>
      </c>
      <c r="E2300" t="s">
        <v>2197</v>
      </c>
      <c r="F2300" t="s">
        <v>5</v>
      </c>
      <c r="G2300" t="s">
        <v>5</v>
      </c>
      <c r="H2300" t="s">
        <v>5</v>
      </c>
      <c r="I2300" t="s">
        <v>2122</v>
      </c>
      <c r="J2300" t="s">
        <v>36</v>
      </c>
      <c r="K2300" s="3">
        <f t="shared" si="70"/>
        <v>0</v>
      </c>
      <c r="L2300" s="3">
        <f>IF(ISERROR(VLOOKUP(J2300,Lookups!$A$2:$A$16,1,FALSE)),1,0)</f>
        <v>1</v>
      </c>
      <c r="M2300" s="3">
        <f>IF(ISERROR(VLOOKUP(D2300,Data!$A$2:$D$223100,2,FALSE)),0,1)</f>
        <v>1</v>
      </c>
      <c r="N2300" s="3">
        <f t="shared" si="71"/>
        <v>1</v>
      </c>
      <c r="O2300" s="3" t="str">
        <f>IF(ISERROR(VLOOKUP(D2300,Data!$A$2:$C$223100,3,FALSE)),"INACTIVE",VLOOKUP(D2300,Data!$A$2:$C$223100,3,FALSE))</f>
        <v>Current</v>
      </c>
    </row>
    <row r="2301" spans="1:15" x14ac:dyDescent="0.25">
      <c r="A2301" t="s">
        <v>2117</v>
      </c>
      <c r="B2301" t="s">
        <v>2118</v>
      </c>
      <c r="C2301" t="s">
        <v>2198</v>
      </c>
      <c r="D2301" t="s">
        <v>2199</v>
      </c>
      <c r="E2301" t="s">
        <v>2200</v>
      </c>
      <c r="F2301" t="s">
        <v>5</v>
      </c>
      <c r="G2301" t="s">
        <v>5</v>
      </c>
      <c r="H2301" t="s">
        <v>5</v>
      </c>
      <c r="I2301" t="s">
        <v>2122</v>
      </c>
      <c r="J2301" t="s">
        <v>573</v>
      </c>
      <c r="K2301" s="3">
        <f t="shared" si="70"/>
        <v>0</v>
      </c>
      <c r="L2301" s="3">
        <f>IF(ISERROR(VLOOKUP(J2301,Lookups!$A$2:$A$16,1,FALSE)),1,0)</f>
        <v>1</v>
      </c>
      <c r="M2301" s="3">
        <f>IF(ISERROR(VLOOKUP(D2301,Data!$A$2:$D$223100,2,FALSE)),0,1)</f>
        <v>1</v>
      </c>
      <c r="N2301" s="3">
        <f t="shared" si="71"/>
        <v>1</v>
      </c>
      <c r="O2301" s="3" t="str">
        <f>IF(ISERROR(VLOOKUP(D2301,Data!$A$2:$C$223100,3,FALSE)),"INACTIVE",VLOOKUP(D2301,Data!$A$2:$C$223100,3,FALSE))</f>
        <v>Current</v>
      </c>
    </row>
    <row r="2302" spans="1:15" x14ac:dyDescent="0.25">
      <c r="A2302" t="s">
        <v>2117</v>
      </c>
      <c r="B2302" t="s">
        <v>2118</v>
      </c>
      <c r="C2302" t="s">
        <v>2201</v>
      </c>
      <c r="D2302" t="s">
        <v>2202</v>
      </c>
      <c r="E2302" t="s">
        <v>2203</v>
      </c>
      <c r="F2302" t="s">
        <v>5</v>
      </c>
      <c r="G2302" t="s">
        <v>5</v>
      </c>
      <c r="H2302" t="s">
        <v>5</v>
      </c>
      <c r="I2302" t="s">
        <v>2122</v>
      </c>
      <c r="J2302" t="s">
        <v>14</v>
      </c>
      <c r="K2302" s="3">
        <f t="shared" si="70"/>
        <v>0</v>
      </c>
      <c r="L2302" s="3">
        <f>IF(ISERROR(VLOOKUP(J2302,Lookups!$A$2:$A$16,1,FALSE)),1,0)</f>
        <v>1</v>
      </c>
      <c r="M2302" s="3">
        <f>IF(ISERROR(VLOOKUP(D2302,Data!$A$2:$D$223100,2,FALSE)),0,1)</f>
        <v>1</v>
      </c>
      <c r="N2302" s="3">
        <f t="shared" si="71"/>
        <v>1</v>
      </c>
      <c r="O2302" s="3" t="str">
        <f>IF(ISERROR(VLOOKUP(D2302,Data!$A$2:$C$223100,3,FALSE)),"INACTIVE",VLOOKUP(D2302,Data!$A$2:$C$223100,3,FALSE))</f>
        <v>Current</v>
      </c>
    </row>
    <row r="2303" spans="1:15" x14ac:dyDescent="0.25">
      <c r="A2303" t="s">
        <v>2117</v>
      </c>
      <c r="B2303" t="s">
        <v>2118</v>
      </c>
      <c r="C2303" t="s">
        <v>2201</v>
      </c>
      <c r="D2303" t="s">
        <v>2202</v>
      </c>
      <c r="E2303" t="s">
        <v>2204</v>
      </c>
      <c r="F2303" t="s">
        <v>5</v>
      </c>
      <c r="G2303" t="s">
        <v>5</v>
      </c>
      <c r="H2303" t="s">
        <v>5</v>
      </c>
      <c r="I2303" t="s">
        <v>2122</v>
      </c>
      <c r="J2303" t="s">
        <v>14</v>
      </c>
      <c r="K2303" s="3">
        <f t="shared" si="70"/>
        <v>0</v>
      </c>
      <c r="L2303" s="3">
        <f>IF(ISERROR(VLOOKUP(J2303,Lookups!$A$2:$A$16,1,FALSE)),1,0)</f>
        <v>1</v>
      </c>
      <c r="M2303" s="3">
        <f>IF(ISERROR(VLOOKUP(D2303,Data!$A$2:$D$223100,2,FALSE)),0,1)</f>
        <v>1</v>
      </c>
      <c r="N2303" s="3">
        <f t="shared" si="71"/>
        <v>1</v>
      </c>
      <c r="O2303" s="3" t="str">
        <f>IF(ISERROR(VLOOKUP(D2303,Data!$A$2:$C$223100,3,FALSE)),"INACTIVE",VLOOKUP(D2303,Data!$A$2:$C$223100,3,FALSE))</f>
        <v>Current</v>
      </c>
    </row>
    <row r="2304" spans="1:15" x14ac:dyDescent="0.25">
      <c r="A2304" t="s">
        <v>2117</v>
      </c>
      <c r="B2304" t="s">
        <v>2118</v>
      </c>
      <c r="C2304" t="s">
        <v>2205</v>
      </c>
      <c r="D2304" t="s">
        <v>2206</v>
      </c>
      <c r="E2304" t="s">
        <v>2207</v>
      </c>
      <c r="F2304" t="s">
        <v>5</v>
      </c>
      <c r="G2304" t="s">
        <v>5</v>
      </c>
      <c r="H2304" t="s">
        <v>5</v>
      </c>
      <c r="I2304" t="s">
        <v>2122</v>
      </c>
      <c r="J2304" t="s">
        <v>573</v>
      </c>
      <c r="K2304" s="3">
        <f t="shared" si="70"/>
        <v>0</v>
      </c>
      <c r="L2304" s="3">
        <f>IF(ISERROR(VLOOKUP(J2304,Lookups!$A$2:$A$16,1,FALSE)),1,0)</f>
        <v>1</v>
      </c>
      <c r="M2304" s="3">
        <f>IF(ISERROR(VLOOKUP(D2304,Data!$A$2:$D$223100,2,FALSE)),0,1)</f>
        <v>1</v>
      </c>
      <c r="N2304" s="3">
        <f t="shared" si="71"/>
        <v>1</v>
      </c>
      <c r="O2304" s="3" t="str">
        <f>IF(ISERROR(VLOOKUP(D2304,Data!$A$2:$C$223100,3,FALSE)),"INACTIVE",VLOOKUP(D2304,Data!$A$2:$C$223100,3,FALSE))</f>
        <v>Demand Letter</v>
      </c>
    </row>
    <row r="2305" spans="1:15" x14ac:dyDescent="0.25">
      <c r="A2305" t="s">
        <v>2117</v>
      </c>
      <c r="B2305" t="s">
        <v>2118</v>
      </c>
      <c r="C2305" t="s">
        <v>2208</v>
      </c>
      <c r="D2305" t="s">
        <v>2209</v>
      </c>
      <c r="E2305" t="s">
        <v>2210</v>
      </c>
      <c r="F2305" t="s">
        <v>5</v>
      </c>
      <c r="G2305" t="s">
        <v>5</v>
      </c>
      <c r="H2305" t="s">
        <v>5</v>
      </c>
      <c r="I2305" t="s">
        <v>2122</v>
      </c>
      <c r="J2305" t="s">
        <v>7</v>
      </c>
      <c r="K2305" s="3">
        <f t="shared" si="70"/>
        <v>0</v>
      </c>
      <c r="L2305" s="3">
        <f>IF(ISERROR(VLOOKUP(J2305,Lookups!$A$2:$A$16,1,FALSE)),1,0)</f>
        <v>1</v>
      </c>
      <c r="M2305" s="3">
        <f>IF(ISERROR(VLOOKUP(D2305,Data!$A$2:$D$223100,2,FALSE)),0,1)</f>
        <v>1</v>
      </c>
      <c r="N2305" s="3">
        <f t="shared" si="71"/>
        <v>1</v>
      </c>
      <c r="O2305" s="3" t="str">
        <f>IF(ISERROR(VLOOKUP(D2305,Data!$A$2:$C$223100,3,FALSE)),"INACTIVE",VLOOKUP(D2305,Data!$A$2:$C$223100,3,FALSE))</f>
        <v>90+</v>
      </c>
    </row>
    <row r="2306" spans="1:15" x14ac:dyDescent="0.25">
      <c r="A2306" t="s">
        <v>2117</v>
      </c>
      <c r="B2306" t="s">
        <v>2118</v>
      </c>
      <c r="C2306" t="s">
        <v>2208</v>
      </c>
      <c r="D2306" t="s">
        <v>2209</v>
      </c>
      <c r="E2306" t="s">
        <v>2211</v>
      </c>
      <c r="F2306" t="s">
        <v>5</v>
      </c>
      <c r="G2306" t="s">
        <v>5</v>
      </c>
      <c r="H2306" t="s">
        <v>5</v>
      </c>
      <c r="I2306" t="s">
        <v>2122</v>
      </c>
      <c r="J2306" t="s">
        <v>7</v>
      </c>
      <c r="K2306" s="3">
        <f t="shared" si="70"/>
        <v>0</v>
      </c>
      <c r="L2306" s="3">
        <f>IF(ISERROR(VLOOKUP(J2306,Lookups!$A$2:$A$16,1,FALSE)),1,0)</f>
        <v>1</v>
      </c>
      <c r="M2306" s="3">
        <f>IF(ISERROR(VLOOKUP(D2306,Data!$A$2:$D$223100,2,FALSE)),0,1)</f>
        <v>1</v>
      </c>
      <c r="N2306" s="3">
        <f t="shared" si="71"/>
        <v>1</v>
      </c>
      <c r="O2306" s="3" t="str">
        <f>IF(ISERROR(VLOOKUP(D2306,Data!$A$2:$C$223100,3,FALSE)),"INACTIVE",VLOOKUP(D2306,Data!$A$2:$C$223100,3,FALSE))</f>
        <v>90+</v>
      </c>
    </row>
    <row r="2307" spans="1:15" x14ac:dyDescent="0.25">
      <c r="A2307" t="s">
        <v>2117</v>
      </c>
      <c r="B2307" t="s">
        <v>2118</v>
      </c>
      <c r="C2307" t="s">
        <v>2208</v>
      </c>
      <c r="D2307" t="s">
        <v>2209</v>
      </c>
      <c r="E2307" t="s">
        <v>2212</v>
      </c>
      <c r="F2307" t="s">
        <v>5</v>
      </c>
      <c r="G2307" t="s">
        <v>5</v>
      </c>
      <c r="H2307" t="s">
        <v>5</v>
      </c>
      <c r="I2307" t="s">
        <v>2122</v>
      </c>
      <c r="J2307" t="s">
        <v>7</v>
      </c>
      <c r="K2307" s="3">
        <f t="shared" ref="K2307:K2370" si="72">IF(ISERROR(FIND("LIEN",A2307,1)),0,1)</f>
        <v>0</v>
      </c>
      <c r="L2307" s="3">
        <f>IF(ISERROR(VLOOKUP(J2307,Lookups!$A$2:$A$16,1,FALSE)),1,0)</f>
        <v>1</v>
      </c>
      <c r="M2307" s="3">
        <f>IF(ISERROR(VLOOKUP(D2307,Data!$A$2:$D$223100,2,FALSE)),0,1)</f>
        <v>1</v>
      </c>
      <c r="N2307" s="3">
        <f t="shared" ref="N2307:N2370" si="73">IF(M2307=0,0,IF(SUM(K2307:L2307)&gt;0,1,0))</f>
        <v>1</v>
      </c>
      <c r="O2307" s="3" t="str">
        <f>IF(ISERROR(VLOOKUP(D2307,Data!$A$2:$C$223100,3,FALSE)),"INACTIVE",VLOOKUP(D2307,Data!$A$2:$C$223100,3,FALSE))</f>
        <v>90+</v>
      </c>
    </row>
    <row r="2308" spans="1:15" x14ac:dyDescent="0.25">
      <c r="A2308" t="s">
        <v>2117</v>
      </c>
      <c r="B2308" t="s">
        <v>2118</v>
      </c>
      <c r="C2308" t="s">
        <v>2208</v>
      </c>
      <c r="D2308" t="s">
        <v>2209</v>
      </c>
      <c r="E2308" t="s">
        <v>2213</v>
      </c>
      <c r="F2308" t="s">
        <v>5</v>
      </c>
      <c r="G2308" t="s">
        <v>5</v>
      </c>
      <c r="H2308" t="s">
        <v>5</v>
      </c>
      <c r="I2308" t="s">
        <v>2122</v>
      </c>
      <c r="J2308" t="s">
        <v>7</v>
      </c>
      <c r="K2308" s="3">
        <f t="shared" si="72"/>
        <v>0</v>
      </c>
      <c r="L2308" s="3">
        <f>IF(ISERROR(VLOOKUP(J2308,Lookups!$A$2:$A$16,1,FALSE)),1,0)</f>
        <v>1</v>
      </c>
      <c r="M2308" s="3">
        <f>IF(ISERROR(VLOOKUP(D2308,Data!$A$2:$D$223100,2,FALSE)),0,1)</f>
        <v>1</v>
      </c>
      <c r="N2308" s="3">
        <f t="shared" si="73"/>
        <v>1</v>
      </c>
      <c r="O2308" s="3" t="str">
        <f>IF(ISERROR(VLOOKUP(D2308,Data!$A$2:$C$223100,3,FALSE)),"INACTIVE",VLOOKUP(D2308,Data!$A$2:$C$223100,3,FALSE))</f>
        <v>90+</v>
      </c>
    </row>
    <row r="2309" spans="1:15" x14ac:dyDescent="0.25">
      <c r="A2309" t="s">
        <v>2117</v>
      </c>
      <c r="B2309" t="s">
        <v>2118</v>
      </c>
      <c r="C2309" t="s">
        <v>2214</v>
      </c>
      <c r="D2309" t="s">
        <v>2215</v>
      </c>
      <c r="E2309" t="s">
        <v>2216</v>
      </c>
      <c r="F2309" t="s">
        <v>2217</v>
      </c>
      <c r="G2309" t="s">
        <v>5</v>
      </c>
      <c r="H2309" t="s">
        <v>5</v>
      </c>
      <c r="I2309" t="s">
        <v>2122</v>
      </c>
      <c r="J2309" t="s">
        <v>40</v>
      </c>
      <c r="K2309" s="3">
        <f t="shared" si="72"/>
        <v>0</v>
      </c>
      <c r="L2309" s="3">
        <f>IF(ISERROR(VLOOKUP(J2309,Lookups!$A$2:$A$16,1,FALSE)),1,0)</f>
        <v>1</v>
      </c>
      <c r="M2309" s="3">
        <f>IF(ISERROR(VLOOKUP(D2309,Data!$A$2:$D$223100,2,FALSE)),0,1)</f>
        <v>1</v>
      </c>
      <c r="N2309" s="3">
        <f t="shared" si="73"/>
        <v>1</v>
      </c>
      <c r="O2309" s="3" t="str">
        <f>IF(ISERROR(VLOOKUP(D2309,Data!$A$2:$C$223100,3,FALSE)),"INACTIVE",VLOOKUP(D2309,Data!$A$2:$C$223100,3,FALSE))</f>
        <v>90+</v>
      </c>
    </row>
    <row r="2310" spans="1:15" x14ac:dyDescent="0.25">
      <c r="A2310" t="s">
        <v>2117</v>
      </c>
      <c r="B2310" t="s">
        <v>2118</v>
      </c>
      <c r="C2310" t="s">
        <v>2119</v>
      </c>
      <c r="D2310" t="s">
        <v>2120</v>
      </c>
      <c r="E2310" t="s">
        <v>2218</v>
      </c>
      <c r="F2310" t="s">
        <v>2218</v>
      </c>
      <c r="G2310" t="s">
        <v>5</v>
      </c>
      <c r="H2310" t="s">
        <v>5</v>
      </c>
      <c r="I2310" t="s">
        <v>2122</v>
      </c>
      <c r="J2310" t="s">
        <v>573</v>
      </c>
      <c r="K2310" s="3">
        <f t="shared" si="72"/>
        <v>0</v>
      </c>
      <c r="L2310" s="3">
        <f>IF(ISERROR(VLOOKUP(J2310,Lookups!$A$2:$A$16,1,FALSE)),1,0)</f>
        <v>1</v>
      </c>
      <c r="M2310" s="3">
        <f>IF(ISERROR(VLOOKUP(D2310,Data!$A$2:$D$223100,2,FALSE)),0,1)</f>
        <v>1</v>
      </c>
      <c r="N2310" s="3">
        <f t="shared" si="73"/>
        <v>1</v>
      </c>
      <c r="O2310" s="3" t="str">
        <f>IF(ISERROR(VLOOKUP(D2310,Data!$A$2:$C$223100,3,FALSE)),"INACTIVE",VLOOKUP(D2310,Data!$A$2:$C$223100,3,FALSE))</f>
        <v>Current</v>
      </c>
    </row>
    <row r="2311" spans="1:15" x14ac:dyDescent="0.25">
      <c r="A2311" t="s">
        <v>2117</v>
      </c>
      <c r="B2311" t="s">
        <v>2118</v>
      </c>
      <c r="C2311" t="s">
        <v>2219</v>
      </c>
      <c r="D2311" t="s">
        <v>2220</v>
      </c>
      <c r="E2311" t="s">
        <v>2221</v>
      </c>
      <c r="F2311" t="s">
        <v>2222</v>
      </c>
      <c r="G2311" t="s">
        <v>5</v>
      </c>
      <c r="H2311" t="s">
        <v>5</v>
      </c>
      <c r="I2311" t="s">
        <v>2122</v>
      </c>
      <c r="J2311" t="s">
        <v>40</v>
      </c>
      <c r="K2311" s="3">
        <f t="shared" si="72"/>
        <v>0</v>
      </c>
      <c r="L2311" s="3">
        <f>IF(ISERROR(VLOOKUP(J2311,Lookups!$A$2:$A$16,1,FALSE)),1,0)</f>
        <v>1</v>
      </c>
      <c r="M2311" s="3">
        <f>IF(ISERROR(VLOOKUP(D2311,Data!$A$2:$D$223100,2,FALSE)),0,1)</f>
        <v>1</v>
      </c>
      <c r="N2311" s="3">
        <f t="shared" si="73"/>
        <v>1</v>
      </c>
      <c r="O2311" s="3" t="str">
        <f>IF(ISERROR(VLOOKUP(D2311,Data!$A$2:$C$223100,3,FALSE)),"INACTIVE",VLOOKUP(D2311,Data!$A$2:$C$223100,3,FALSE))</f>
        <v>60+</v>
      </c>
    </row>
    <row r="2312" spans="1:15" x14ac:dyDescent="0.25">
      <c r="A2312" t="s">
        <v>2117</v>
      </c>
      <c r="B2312" t="s">
        <v>2118</v>
      </c>
      <c r="C2312" t="s">
        <v>2223</v>
      </c>
      <c r="D2312" t="s">
        <v>2224</v>
      </c>
      <c r="E2312" t="s">
        <v>2225</v>
      </c>
      <c r="F2312" t="s">
        <v>2226</v>
      </c>
      <c r="G2312" t="s">
        <v>5</v>
      </c>
      <c r="H2312" t="s">
        <v>5</v>
      </c>
      <c r="I2312" t="s">
        <v>2122</v>
      </c>
      <c r="J2312" t="s">
        <v>40</v>
      </c>
      <c r="K2312" s="3">
        <f t="shared" si="72"/>
        <v>0</v>
      </c>
      <c r="L2312" s="3">
        <f>IF(ISERROR(VLOOKUP(J2312,Lookups!$A$2:$A$16,1,FALSE)),1,0)</f>
        <v>1</v>
      </c>
      <c r="M2312" s="3">
        <f>IF(ISERROR(VLOOKUP(D2312,Data!$A$2:$D$223100,2,FALSE)),0,1)</f>
        <v>1</v>
      </c>
      <c r="N2312" s="3">
        <f t="shared" si="73"/>
        <v>1</v>
      </c>
      <c r="O2312" s="3" t="str">
        <f>IF(ISERROR(VLOOKUP(D2312,Data!$A$2:$C$223100,3,FALSE)),"INACTIVE",VLOOKUP(D2312,Data!$A$2:$C$223100,3,FALSE))</f>
        <v>60+</v>
      </c>
    </row>
    <row r="2313" spans="1:15" x14ac:dyDescent="0.25">
      <c r="A2313" t="s">
        <v>2117</v>
      </c>
      <c r="B2313" t="s">
        <v>2118</v>
      </c>
      <c r="C2313" t="s">
        <v>2227</v>
      </c>
      <c r="D2313" t="s">
        <v>2228</v>
      </c>
      <c r="E2313" t="s">
        <v>2229</v>
      </c>
      <c r="F2313" t="s">
        <v>2230</v>
      </c>
      <c r="G2313" t="s">
        <v>5</v>
      </c>
      <c r="H2313" t="s">
        <v>5</v>
      </c>
      <c r="I2313" t="s">
        <v>2122</v>
      </c>
      <c r="J2313" t="s">
        <v>40</v>
      </c>
      <c r="K2313" s="3">
        <f t="shared" si="72"/>
        <v>0</v>
      </c>
      <c r="L2313" s="3">
        <f>IF(ISERROR(VLOOKUP(J2313,Lookups!$A$2:$A$16,1,FALSE)),1,0)</f>
        <v>1</v>
      </c>
      <c r="M2313" s="3">
        <f>IF(ISERROR(VLOOKUP(D2313,Data!$A$2:$D$223100,2,FALSE)),0,1)</f>
        <v>1</v>
      </c>
      <c r="N2313" s="3">
        <f t="shared" si="73"/>
        <v>1</v>
      </c>
      <c r="O2313" s="3" t="str">
        <f>IF(ISERROR(VLOOKUP(D2313,Data!$A$2:$C$223100,3,FALSE)),"INACTIVE",VLOOKUP(D2313,Data!$A$2:$C$223100,3,FALSE))</f>
        <v>Demand Letter</v>
      </c>
    </row>
    <row r="2314" spans="1:15" x14ac:dyDescent="0.25">
      <c r="A2314" t="s">
        <v>2117</v>
      </c>
      <c r="B2314" t="s">
        <v>2118</v>
      </c>
      <c r="C2314" t="s">
        <v>2231</v>
      </c>
      <c r="D2314" t="s">
        <v>2232</v>
      </c>
      <c r="E2314" t="s">
        <v>2233</v>
      </c>
      <c r="F2314" t="s">
        <v>2234</v>
      </c>
      <c r="G2314" t="s">
        <v>5</v>
      </c>
      <c r="H2314" t="s">
        <v>5</v>
      </c>
      <c r="I2314" t="s">
        <v>2122</v>
      </c>
      <c r="J2314" t="s">
        <v>47</v>
      </c>
      <c r="K2314" s="3">
        <f t="shared" si="72"/>
        <v>0</v>
      </c>
      <c r="L2314" s="3">
        <f>IF(ISERROR(VLOOKUP(J2314,Lookups!$A$2:$A$16,1,FALSE)),1,0)</f>
        <v>1</v>
      </c>
      <c r="M2314" s="3">
        <f>IF(ISERROR(VLOOKUP(D2314,Data!$A$2:$D$223100,2,FALSE)),0,1)</f>
        <v>1</v>
      </c>
      <c r="N2314" s="3">
        <f t="shared" si="73"/>
        <v>1</v>
      </c>
      <c r="O2314" s="3" t="str">
        <f>IF(ISERROR(VLOOKUP(D2314,Data!$A$2:$C$223100,3,FALSE)),"INACTIVE",VLOOKUP(D2314,Data!$A$2:$C$223100,3,FALSE))</f>
        <v>FC</v>
      </c>
    </row>
    <row r="2315" spans="1:15" x14ac:dyDescent="0.25">
      <c r="A2315" t="s">
        <v>2117</v>
      </c>
      <c r="B2315" t="s">
        <v>2118</v>
      </c>
      <c r="C2315" t="s">
        <v>2123</v>
      </c>
      <c r="D2315" t="s">
        <v>2124</v>
      </c>
      <c r="E2315" t="s">
        <v>2235</v>
      </c>
      <c r="F2315" t="s">
        <v>2236</v>
      </c>
      <c r="G2315" t="s">
        <v>5</v>
      </c>
      <c r="H2315" t="s">
        <v>5</v>
      </c>
      <c r="I2315" t="s">
        <v>2122</v>
      </c>
      <c r="J2315" t="s">
        <v>573</v>
      </c>
      <c r="K2315" s="3">
        <f t="shared" si="72"/>
        <v>0</v>
      </c>
      <c r="L2315" s="3">
        <f>IF(ISERROR(VLOOKUP(J2315,Lookups!$A$2:$A$16,1,FALSE)),1,0)</f>
        <v>1</v>
      </c>
      <c r="M2315" s="3">
        <f>IF(ISERROR(VLOOKUP(D2315,Data!$A$2:$D$223100,2,FALSE)),0,1)</f>
        <v>1</v>
      </c>
      <c r="N2315" s="3">
        <f t="shared" si="73"/>
        <v>1</v>
      </c>
      <c r="O2315" s="3" t="str">
        <f>IF(ISERROR(VLOOKUP(D2315,Data!$A$2:$C$223100,3,FALSE)),"INACTIVE",VLOOKUP(D2315,Data!$A$2:$C$223100,3,FALSE))</f>
        <v>Current</v>
      </c>
    </row>
    <row r="2316" spans="1:15" x14ac:dyDescent="0.25">
      <c r="A2316" t="s">
        <v>2117</v>
      </c>
      <c r="B2316" t="s">
        <v>2118</v>
      </c>
      <c r="C2316" t="s">
        <v>2237</v>
      </c>
      <c r="D2316" t="s">
        <v>2238</v>
      </c>
      <c r="E2316" t="s">
        <v>2239</v>
      </c>
      <c r="F2316" t="s">
        <v>2240</v>
      </c>
      <c r="G2316" t="s">
        <v>5</v>
      </c>
      <c r="H2316" t="s">
        <v>5</v>
      </c>
      <c r="I2316" t="s">
        <v>2122</v>
      </c>
      <c r="J2316" t="s">
        <v>40</v>
      </c>
      <c r="K2316" s="3">
        <f t="shared" si="72"/>
        <v>0</v>
      </c>
      <c r="L2316" s="3">
        <f>IF(ISERROR(VLOOKUP(J2316,Lookups!$A$2:$A$16,1,FALSE)),1,0)</f>
        <v>1</v>
      </c>
      <c r="M2316" s="3">
        <f>IF(ISERROR(VLOOKUP(D2316,Data!$A$2:$D$223100,2,FALSE)),0,1)</f>
        <v>1</v>
      </c>
      <c r="N2316" s="3">
        <f t="shared" si="73"/>
        <v>1</v>
      </c>
      <c r="O2316" s="3" t="str">
        <f>IF(ISERROR(VLOOKUP(D2316,Data!$A$2:$C$223100,3,FALSE)),"INACTIVE",VLOOKUP(D2316,Data!$A$2:$C$223100,3,FALSE))</f>
        <v>Current</v>
      </c>
    </row>
    <row r="2317" spans="1:15" x14ac:dyDescent="0.25">
      <c r="A2317" t="s">
        <v>2117</v>
      </c>
      <c r="B2317" t="s">
        <v>2118</v>
      </c>
      <c r="C2317" t="s">
        <v>2241</v>
      </c>
      <c r="D2317" t="s">
        <v>2242</v>
      </c>
      <c r="E2317" t="s">
        <v>2243</v>
      </c>
      <c r="F2317" t="s">
        <v>2244</v>
      </c>
      <c r="G2317" t="s">
        <v>5</v>
      </c>
      <c r="H2317" t="s">
        <v>5</v>
      </c>
      <c r="I2317" t="s">
        <v>2122</v>
      </c>
      <c r="J2317" t="s">
        <v>40</v>
      </c>
      <c r="K2317" s="3">
        <f t="shared" si="72"/>
        <v>0</v>
      </c>
      <c r="L2317" s="3">
        <f>IF(ISERROR(VLOOKUP(J2317,Lookups!$A$2:$A$16,1,FALSE)),1,0)</f>
        <v>1</v>
      </c>
      <c r="M2317" s="3">
        <f>IF(ISERROR(VLOOKUP(D2317,Data!$A$2:$D$223100,2,FALSE)),0,1)</f>
        <v>1</v>
      </c>
      <c r="N2317" s="3">
        <f t="shared" si="73"/>
        <v>1</v>
      </c>
      <c r="O2317" s="3" t="str">
        <f>IF(ISERROR(VLOOKUP(D2317,Data!$A$2:$C$223100,3,FALSE)),"INACTIVE",VLOOKUP(D2317,Data!$A$2:$C$223100,3,FALSE))</f>
        <v>Current</v>
      </c>
    </row>
    <row r="2318" spans="1:15" x14ac:dyDescent="0.25">
      <c r="A2318" t="s">
        <v>2117</v>
      </c>
      <c r="B2318" t="s">
        <v>2118</v>
      </c>
      <c r="C2318" t="s">
        <v>2245</v>
      </c>
      <c r="D2318" t="s">
        <v>2246</v>
      </c>
      <c r="E2318" t="s">
        <v>2247</v>
      </c>
      <c r="F2318" t="s">
        <v>2248</v>
      </c>
      <c r="G2318" t="s">
        <v>5</v>
      </c>
      <c r="H2318" t="s">
        <v>5</v>
      </c>
      <c r="I2318" t="s">
        <v>2122</v>
      </c>
      <c r="J2318" t="s">
        <v>40</v>
      </c>
      <c r="K2318" s="3">
        <f t="shared" si="72"/>
        <v>0</v>
      </c>
      <c r="L2318" s="3">
        <f>IF(ISERROR(VLOOKUP(J2318,Lookups!$A$2:$A$16,1,FALSE)),1,0)</f>
        <v>1</v>
      </c>
      <c r="M2318" s="3">
        <f>IF(ISERROR(VLOOKUP(D2318,Data!$A$2:$D$223100,2,FALSE)),0,1)</f>
        <v>1</v>
      </c>
      <c r="N2318" s="3">
        <f t="shared" si="73"/>
        <v>1</v>
      </c>
      <c r="O2318" s="3" t="str">
        <f>IF(ISERROR(VLOOKUP(D2318,Data!$A$2:$C$223100,3,FALSE)),"INACTIVE",VLOOKUP(D2318,Data!$A$2:$C$223100,3,FALSE))</f>
        <v>BK13</v>
      </c>
    </row>
    <row r="2319" spans="1:15" x14ac:dyDescent="0.25">
      <c r="A2319" t="s">
        <v>2117</v>
      </c>
      <c r="B2319" t="s">
        <v>2118</v>
      </c>
      <c r="C2319" t="s">
        <v>2249</v>
      </c>
      <c r="D2319" t="s">
        <v>2250</v>
      </c>
      <c r="E2319" t="s">
        <v>2251</v>
      </c>
      <c r="F2319" t="s">
        <v>2252</v>
      </c>
      <c r="G2319" t="s">
        <v>5</v>
      </c>
      <c r="H2319" t="s">
        <v>5</v>
      </c>
      <c r="I2319" t="s">
        <v>2122</v>
      </c>
      <c r="J2319" t="s">
        <v>47</v>
      </c>
      <c r="K2319" s="3">
        <f t="shared" si="72"/>
        <v>0</v>
      </c>
      <c r="L2319" s="3">
        <f>IF(ISERROR(VLOOKUP(J2319,Lookups!$A$2:$A$16,1,FALSE)),1,0)</f>
        <v>1</v>
      </c>
      <c r="M2319" s="3">
        <f>IF(ISERROR(VLOOKUP(D2319,Data!$A$2:$D$223100,2,FALSE)),0,1)</f>
        <v>1</v>
      </c>
      <c r="N2319" s="3">
        <f t="shared" si="73"/>
        <v>1</v>
      </c>
      <c r="O2319" s="3" t="str">
        <f>IF(ISERROR(VLOOKUP(D2319,Data!$A$2:$C$223100,3,FALSE)),"INACTIVE",VLOOKUP(D2319,Data!$A$2:$C$223100,3,FALSE))</f>
        <v>Current</v>
      </c>
    </row>
    <row r="2320" spans="1:15" x14ac:dyDescent="0.25">
      <c r="A2320" t="s">
        <v>2117</v>
      </c>
      <c r="B2320" t="s">
        <v>2118</v>
      </c>
      <c r="C2320" t="s">
        <v>2253</v>
      </c>
      <c r="D2320" t="s">
        <v>2254</v>
      </c>
      <c r="E2320" t="s">
        <v>2255</v>
      </c>
      <c r="F2320" t="s">
        <v>2256</v>
      </c>
      <c r="G2320" t="s">
        <v>5</v>
      </c>
      <c r="H2320" t="s">
        <v>5</v>
      </c>
      <c r="I2320" t="s">
        <v>2122</v>
      </c>
      <c r="J2320" t="s">
        <v>40</v>
      </c>
      <c r="K2320" s="3">
        <f t="shared" si="72"/>
        <v>0</v>
      </c>
      <c r="L2320" s="3">
        <f>IF(ISERROR(VLOOKUP(J2320,Lookups!$A$2:$A$16,1,FALSE)),1,0)</f>
        <v>1</v>
      </c>
      <c r="M2320" s="3">
        <f>IF(ISERROR(VLOOKUP(D2320,Data!$A$2:$D$223100,2,FALSE)),0,1)</f>
        <v>1</v>
      </c>
      <c r="N2320" s="3">
        <f t="shared" si="73"/>
        <v>1</v>
      </c>
      <c r="O2320" s="3" t="str">
        <f>IF(ISERROR(VLOOKUP(D2320,Data!$A$2:$C$223100,3,FALSE)),"INACTIVE",VLOOKUP(D2320,Data!$A$2:$C$223100,3,FALSE))</f>
        <v>Demand Letter</v>
      </c>
    </row>
    <row r="2321" spans="1:15" x14ac:dyDescent="0.25">
      <c r="A2321" t="s">
        <v>2117</v>
      </c>
      <c r="B2321" t="s">
        <v>2118</v>
      </c>
      <c r="C2321" t="s">
        <v>2257</v>
      </c>
      <c r="D2321" t="s">
        <v>2258</v>
      </c>
      <c r="E2321" t="s">
        <v>2259</v>
      </c>
      <c r="F2321" t="s">
        <v>2260</v>
      </c>
      <c r="G2321" t="s">
        <v>5</v>
      </c>
      <c r="H2321" t="s">
        <v>5</v>
      </c>
      <c r="I2321" t="s">
        <v>2122</v>
      </c>
      <c r="J2321" t="s">
        <v>40</v>
      </c>
      <c r="K2321" s="3">
        <f t="shared" si="72"/>
        <v>0</v>
      </c>
      <c r="L2321" s="3">
        <f>IF(ISERROR(VLOOKUP(J2321,Lookups!$A$2:$A$16,1,FALSE)),1,0)</f>
        <v>1</v>
      </c>
      <c r="M2321" s="3">
        <f>IF(ISERROR(VLOOKUP(D2321,Data!$A$2:$D$223100,2,FALSE)),0,1)</f>
        <v>1</v>
      </c>
      <c r="N2321" s="3">
        <f t="shared" si="73"/>
        <v>1</v>
      </c>
      <c r="O2321" s="3" t="str">
        <f>IF(ISERROR(VLOOKUP(D2321,Data!$A$2:$C$223100,3,FALSE)),"INACTIVE",VLOOKUP(D2321,Data!$A$2:$C$223100,3,FALSE))</f>
        <v>Demand Letter</v>
      </c>
    </row>
    <row r="2322" spans="1:15" x14ac:dyDescent="0.25">
      <c r="A2322" t="s">
        <v>2117</v>
      </c>
      <c r="B2322" t="s">
        <v>2118</v>
      </c>
      <c r="C2322" t="s">
        <v>2126</v>
      </c>
      <c r="D2322" t="s">
        <v>2127</v>
      </c>
      <c r="E2322" t="s">
        <v>2261</v>
      </c>
      <c r="F2322" t="s">
        <v>2262</v>
      </c>
      <c r="G2322" t="s">
        <v>5</v>
      </c>
      <c r="H2322" t="s">
        <v>5</v>
      </c>
      <c r="I2322" t="s">
        <v>2122</v>
      </c>
      <c r="J2322" t="s">
        <v>573</v>
      </c>
      <c r="K2322" s="3">
        <f t="shared" si="72"/>
        <v>0</v>
      </c>
      <c r="L2322" s="3">
        <f>IF(ISERROR(VLOOKUP(J2322,Lookups!$A$2:$A$16,1,FALSE)),1,0)</f>
        <v>1</v>
      </c>
      <c r="M2322" s="3">
        <f>IF(ISERROR(VLOOKUP(D2322,Data!$A$2:$D$223100,2,FALSE)),0,1)</f>
        <v>1</v>
      </c>
      <c r="N2322" s="3">
        <f t="shared" si="73"/>
        <v>1</v>
      </c>
      <c r="O2322" s="3" t="str">
        <f>IF(ISERROR(VLOOKUP(D2322,Data!$A$2:$C$223100,3,FALSE)),"INACTIVE",VLOOKUP(D2322,Data!$A$2:$C$223100,3,FALSE))</f>
        <v>FBA</v>
      </c>
    </row>
    <row r="2323" spans="1:15" x14ac:dyDescent="0.25">
      <c r="A2323" t="s">
        <v>2117</v>
      </c>
      <c r="B2323" t="s">
        <v>2118</v>
      </c>
      <c r="C2323" t="s">
        <v>2263</v>
      </c>
      <c r="D2323" t="s">
        <v>2264</v>
      </c>
      <c r="E2323" t="s">
        <v>2265</v>
      </c>
      <c r="F2323" t="s">
        <v>2266</v>
      </c>
      <c r="G2323" t="s">
        <v>5</v>
      </c>
      <c r="H2323" t="s">
        <v>5</v>
      </c>
      <c r="I2323" t="s">
        <v>2122</v>
      </c>
      <c r="J2323" t="s">
        <v>40</v>
      </c>
      <c r="K2323" s="3">
        <f t="shared" si="72"/>
        <v>0</v>
      </c>
      <c r="L2323" s="3">
        <f>IF(ISERROR(VLOOKUP(J2323,Lookups!$A$2:$A$16,1,FALSE)),1,0)</f>
        <v>1</v>
      </c>
      <c r="M2323" s="3">
        <f>IF(ISERROR(VLOOKUP(D2323,Data!$A$2:$D$223100,2,FALSE)),0,1)</f>
        <v>1</v>
      </c>
      <c r="N2323" s="3">
        <f t="shared" si="73"/>
        <v>1</v>
      </c>
      <c r="O2323" s="3" t="str">
        <f>IF(ISERROR(VLOOKUP(D2323,Data!$A$2:$C$223100,3,FALSE)),"INACTIVE",VLOOKUP(D2323,Data!$A$2:$C$223100,3,FALSE))</f>
        <v>Demand Letter</v>
      </c>
    </row>
    <row r="2324" spans="1:15" x14ac:dyDescent="0.25">
      <c r="A2324" t="s">
        <v>2117</v>
      </c>
      <c r="B2324" t="s">
        <v>2118</v>
      </c>
      <c r="C2324" t="s">
        <v>2267</v>
      </c>
      <c r="D2324" t="s">
        <v>2268</v>
      </c>
      <c r="E2324" t="s">
        <v>2269</v>
      </c>
      <c r="F2324" t="s">
        <v>2269</v>
      </c>
      <c r="G2324" t="s">
        <v>5</v>
      </c>
      <c r="H2324" t="s">
        <v>5</v>
      </c>
      <c r="I2324" t="s">
        <v>2122</v>
      </c>
      <c r="J2324" t="s">
        <v>40</v>
      </c>
      <c r="K2324" s="3">
        <f t="shared" si="72"/>
        <v>0</v>
      </c>
      <c r="L2324" s="3">
        <f>IF(ISERROR(VLOOKUP(J2324,Lookups!$A$2:$A$16,1,FALSE)),1,0)</f>
        <v>1</v>
      </c>
      <c r="M2324" s="3">
        <f>IF(ISERROR(VLOOKUP(D2324,Data!$A$2:$D$223100,2,FALSE)),0,1)</f>
        <v>1</v>
      </c>
      <c r="N2324" s="3">
        <f t="shared" si="73"/>
        <v>1</v>
      </c>
      <c r="O2324" s="3" t="str">
        <f>IF(ISERROR(VLOOKUP(D2324,Data!$A$2:$C$223100,3,FALSE)),"INACTIVE",VLOOKUP(D2324,Data!$A$2:$C$223100,3,FALSE))</f>
        <v>60+</v>
      </c>
    </row>
    <row r="2325" spans="1:15" x14ac:dyDescent="0.25">
      <c r="A2325" t="s">
        <v>2117</v>
      </c>
      <c r="B2325" t="s">
        <v>2118</v>
      </c>
      <c r="C2325" t="s">
        <v>2270</v>
      </c>
      <c r="D2325" t="s">
        <v>2271</v>
      </c>
      <c r="E2325" t="s">
        <v>2272</v>
      </c>
      <c r="F2325" t="s">
        <v>2273</v>
      </c>
      <c r="G2325" t="s">
        <v>5</v>
      </c>
      <c r="H2325" t="s">
        <v>5</v>
      </c>
      <c r="I2325" t="s">
        <v>2122</v>
      </c>
      <c r="J2325" t="s">
        <v>40</v>
      </c>
      <c r="K2325" s="3">
        <f t="shared" si="72"/>
        <v>0</v>
      </c>
      <c r="L2325" s="3">
        <f>IF(ISERROR(VLOOKUP(J2325,Lookups!$A$2:$A$16,1,FALSE)),1,0)</f>
        <v>1</v>
      </c>
      <c r="M2325" s="3">
        <f>IF(ISERROR(VLOOKUP(D2325,Data!$A$2:$D$223100,2,FALSE)),0,1)</f>
        <v>1</v>
      </c>
      <c r="N2325" s="3">
        <f t="shared" si="73"/>
        <v>1</v>
      </c>
      <c r="O2325" s="3" t="str">
        <f>IF(ISERROR(VLOOKUP(D2325,Data!$A$2:$C$223100,3,FALSE)),"INACTIVE",VLOOKUP(D2325,Data!$A$2:$C$223100,3,FALSE))</f>
        <v>60+</v>
      </c>
    </row>
    <row r="2326" spans="1:15" x14ac:dyDescent="0.25">
      <c r="A2326" t="s">
        <v>2117</v>
      </c>
      <c r="B2326" t="s">
        <v>2118</v>
      </c>
      <c r="C2326" t="s">
        <v>2274</v>
      </c>
      <c r="D2326" t="s">
        <v>2275</v>
      </c>
      <c r="E2326" t="s">
        <v>2276</v>
      </c>
      <c r="F2326" t="s">
        <v>2276</v>
      </c>
      <c r="G2326" t="s">
        <v>5</v>
      </c>
      <c r="H2326" t="s">
        <v>5</v>
      </c>
      <c r="I2326" t="s">
        <v>2122</v>
      </c>
      <c r="J2326" t="s">
        <v>47</v>
      </c>
      <c r="K2326" s="3">
        <f t="shared" si="72"/>
        <v>0</v>
      </c>
      <c r="L2326" s="3">
        <f>IF(ISERROR(VLOOKUP(J2326,Lookups!$A$2:$A$16,1,FALSE)),1,0)</f>
        <v>1</v>
      </c>
      <c r="M2326" s="3">
        <f>IF(ISERROR(VLOOKUP(D2326,Data!$A$2:$D$223100,2,FALSE)),0,1)</f>
        <v>1</v>
      </c>
      <c r="N2326" s="3">
        <f t="shared" si="73"/>
        <v>1</v>
      </c>
      <c r="O2326" s="3" t="str">
        <f>IF(ISERROR(VLOOKUP(D2326,Data!$A$2:$C$223100,3,FALSE)),"INACTIVE",VLOOKUP(D2326,Data!$A$2:$C$223100,3,FALSE))</f>
        <v>Demand Letter</v>
      </c>
    </row>
    <row r="2327" spans="1:15" x14ac:dyDescent="0.25">
      <c r="A2327" t="s">
        <v>2117</v>
      </c>
      <c r="B2327" t="s">
        <v>2118</v>
      </c>
      <c r="C2327" t="s">
        <v>2277</v>
      </c>
      <c r="D2327" t="s">
        <v>2278</v>
      </c>
      <c r="E2327" t="s">
        <v>2279</v>
      </c>
      <c r="F2327" t="s">
        <v>2279</v>
      </c>
      <c r="G2327" t="s">
        <v>5</v>
      </c>
      <c r="H2327" t="s">
        <v>5</v>
      </c>
      <c r="I2327" t="s">
        <v>2122</v>
      </c>
      <c r="J2327" t="s">
        <v>40</v>
      </c>
      <c r="K2327" s="3">
        <f t="shared" si="72"/>
        <v>0</v>
      </c>
      <c r="L2327" s="3">
        <f>IF(ISERROR(VLOOKUP(J2327,Lookups!$A$2:$A$16,1,FALSE)),1,0)</f>
        <v>1</v>
      </c>
      <c r="M2327" s="3">
        <f>IF(ISERROR(VLOOKUP(D2327,Data!$A$2:$D$223100,2,FALSE)),0,1)</f>
        <v>1</v>
      </c>
      <c r="N2327" s="3">
        <f t="shared" si="73"/>
        <v>1</v>
      </c>
      <c r="O2327" s="3" t="str">
        <f>IF(ISERROR(VLOOKUP(D2327,Data!$A$2:$C$223100,3,FALSE)),"INACTIVE",VLOOKUP(D2327,Data!$A$2:$C$223100,3,FALSE))</f>
        <v>Current</v>
      </c>
    </row>
    <row r="2328" spans="1:15" x14ac:dyDescent="0.25">
      <c r="A2328" t="s">
        <v>2117</v>
      </c>
      <c r="B2328" t="s">
        <v>2118</v>
      </c>
      <c r="C2328" t="s">
        <v>2280</v>
      </c>
      <c r="D2328" t="s">
        <v>2281</v>
      </c>
      <c r="E2328" t="s">
        <v>2282</v>
      </c>
      <c r="F2328" t="s">
        <v>2283</v>
      </c>
      <c r="G2328" t="s">
        <v>5</v>
      </c>
      <c r="H2328" t="s">
        <v>5</v>
      </c>
      <c r="I2328" t="s">
        <v>2122</v>
      </c>
      <c r="J2328" t="s">
        <v>40</v>
      </c>
      <c r="K2328" s="3">
        <f t="shared" si="72"/>
        <v>0</v>
      </c>
      <c r="L2328" s="3">
        <f>IF(ISERROR(VLOOKUP(J2328,Lookups!$A$2:$A$16,1,FALSE)),1,0)</f>
        <v>1</v>
      </c>
      <c r="M2328" s="3">
        <f>IF(ISERROR(VLOOKUP(D2328,Data!$A$2:$D$223100,2,FALSE)),0,1)</f>
        <v>1</v>
      </c>
      <c r="N2328" s="3">
        <f t="shared" si="73"/>
        <v>1</v>
      </c>
      <c r="O2328" s="3" t="str">
        <f>IF(ISERROR(VLOOKUP(D2328,Data!$A$2:$C$223100,3,FALSE)),"INACTIVE",VLOOKUP(D2328,Data!$A$2:$C$223100,3,FALSE))</f>
        <v>60+</v>
      </c>
    </row>
    <row r="2329" spans="1:15" x14ac:dyDescent="0.25">
      <c r="A2329" t="s">
        <v>2117</v>
      </c>
      <c r="B2329" t="s">
        <v>2118</v>
      </c>
      <c r="C2329" t="s">
        <v>2284</v>
      </c>
      <c r="D2329" t="s">
        <v>2285</v>
      </c>
      <c r="E2329" t="s">
        <v>2286</v>
      </c>
      <c r="F2329" t="s">
        <v>2287</v>
      </c>
      <c r="G2329" t="s">
        <v>5</v>
      </c>
      <c r="H2329" t="s">
        <v>5</v>
      </c>
      <c r="I2329" t="s">
        <v>2122</v>
      </c>
      <c r="J2329" t="s">
        <v>40</v>
      </c>
      <c r="K2329" s="3">
        <f t="shared" si="72"/>
        <v>0</v>
      </c>
      <c r="L2329" s="3">
        <f>IF(ISERROR(VLOOKUP(J2329,Lookups!$A$2:$A$16,1,FALSE)),1,0)</f>
        <v>1</v>
      </c>
      <c r="M2329" s="3">
        <f>IF(ISERROR(VLOOKUP(D2329,Data!$A$2:$D$223100,2,FALSE)),0,1)</f>
        <v>1</v>
      </c>
      <c r="N2329" s="3">
        <f t="shared" si="73"/>
        <v>1</v>
      </c>
      <c r="O2329" s="3" t="str">
        <f>IF(ISERROR(VLOOKUP(D2329,Data!$A$2:$C$223100,3,FALSE)),"INACTIVE",VLOOKUP(D2329,Data!$A$2:$C$223100,3,FALSE))</f>
        <v>BK13</v>
      </c>
    </row>
    <row r="2330" spans="1:15" x14ac:dyDescent="0.25">
      <c r="A2330" t="s">
        <v>2117</v>
      </c>
      <c r="B2330" t="s">
        <v>2118</v>
      </c>
      <c r="C2330" t="s">
        <v>2288</v>
      </c>
      <c r="D2330" t="s">
        <v>2289</v>
      </c>
      <c r="E2330" t="s">
        <v>2290</v>
      </c>
      <c r="F2330" t="s">
        <v>2291</v>
      </c>
      <c r="G2330" t="s">
        <v>5</v>
      </c>
      <c r="H2330" t="s">
        <v>5</v>
      </c>
      <c r="I2330" t="s">
        <v>2122</v>
      </c>
      <c r="J2330" t="s">
        <v>47</v>
      </c>
      <c r="K2330" s="3">
        <f t="shared" si="72"/>
        <v>0</v>
      </c>
      <c r="L2330" s="3">
        <f>IF(ISERROR(VLOOKUP(J2330,Lookups!$A$2:$A$16,1,FALSE)),1,0)</f>
        <v>1</v>
      </c>
      <c r="M2330" s="3">
        <f>IF(ISERROR(VLOOKUP(D2330,Data!$A$2:$D$223100,2,FALSE)),0,1)</f>
        <v>1</v>
      </c>
      <c r="N2330" s="3">
        <f t="shared" si="73"/>
        <v>1</v>
      </c>
      <c r="O2330" s="3" t="str">
        <f>IF(ISERROR(VLOOKUP(D2330,Data!$A$2:$C$223100,3,FALSE)),"INACTIVE",VLOOKUP(D2330,Data!$A$2:$C$223100,3,FALSE))</f>
        <v>Demand Letter</v>
      </c>
    </row>
    <row r="2331" spans="1:15" x14ac:dyDescent="0.25">
      <c r="A2331" t="s">
        <v>2117</v>
      </c>
      <c r="B2331" t="s">
        <v>2118</v>
      </c>
      <c r="C2331" t="s">
        <v>2292</v>
      </c>
      <c r="D2331" t="s">
        <v>2293</v>
      </c>
      <c r="E2331" t="s">
        <v>2294</v>
      </c>
      <c r="F2331" t="s">
        <v>2294</v>
      </c>
      <c r="G2331" t="s">
        <v>5</v>
      </c>
      <c r="H2331" t="s">
        <v>5</v>
      </c>
      <c r="I2331" t="s">
        <v>2122</v>
      </c>
      <c r="J2331" t="s">
        <v>40</v>
      </c>
      <c r="K2331" s="3">
        <f t="shared" si="72"/>
        <v>0</v>
      </c>
      <c r="L2331" s="3">
        <f>IF(ISERROR(VLOOKUP(J2331,Lookups!$A$2:$A$16,1,FALSE)),1,0)</f>
        <v>1</v>
      </c>
      <c r="M2331" s="3">
        <f>IF(ISERROR(VLOOKUP(D2331,Data!$A$2:$D$223100,2,FALSE)),0,1)</f>
        <v>1</v>
      </c>
      <c r="N2331" s="3">
        <f t="shared" si="73"/>
        <v>1</v>
      </c>
      <c r="O2331" s="3" t="str">
        <f>IF(ISERROR(VLOOKUP(D2331,Data!$A$2:$C$223100,3,FALSE)),"INACTIVE",VLOOKUP(D2331,Data!$A$2:$C$223100,3,FALSE))</f>
        <v>90+</v>
      </c>
    </row>
    <row r="2332" spans="1:15" x14ac:dyDescent="0.25">
      <c r="A2332" t="s">
        <v>2117</v>
      </c>
      <c r="B2332" t="s">
        <v>2118</v>
      </c>
      <c r="C2332" t="s">
        <v>2295</v>
      </c>
      <c r="D2332" t="s">
        <v>2296</v>
      </c>
      <c r="E2332" t="s">
        <v>2297</v>
      </c>
      <c r="F2332" t="s">
        <v>2298</v>
      </c>
      <c r="G2332" t="s">
        <v>5</v>
      </c>
      <c r="H2332" t="s">
        <v>5</v>
      </c>
      <c r="I2332" t="s">
        <v>2122</v>
      </c>
      <c r="J2332" t="s">
        <v>40</v>
      </c>
      <c r="K2332" s="3">
        <f t="shared" si="72"/>
        <v>0</v>
      </c>
      <c r="L2332" s="3">
        <f>IF(ISERROR(VLOOKUP(J2332,Lookups!$A$2:$A$16,1,FALSE)),1,0)</f>
        <v>1</v>
      </c>
      <c r="M2332" s="3">
        <f>IF(ISERROR(VLOOKUP(D2332,Data!$A$2:$D$223100,2,FALSE)),0,1)</f>
        <v>1</v>
      </c>
      <c r="N2332" s="3">
        <f t="shared" si="73"/>
        <v>1</v>
      </c>
      <c r="O2332" s="3" t="str">
        <f>IF(ISERROR(VLOOKUP(D2332,Data!$A$2:$C$223100,3,FALSE)),"INACTIVE",VLOOKUP(D2332,Data!$A$2:$C$223100,3,FALSE))</f>
        <v>30+</v>
      </c>
    </row>
    <row r="2333" spans="1:15" x14ac:dyDescent="0.25">
      <c r="A2333" t="s">
        <v>2117</v>
      </c>
      <c r="B2333" t="s">
        <v>2118</v>
      </c>
      <c r="C2333" t="s">
        <v>2129</v>
      </c>
      <c r="D2333" t="s">
        <v>2130</v>
      </c>
      <c r="E2333" t="s">
        <v>2299</v>
      </c>
      <c r="F2333" t="s">
        <v>2300</v>
      </c>
      <c r="G2333" t="s">
        <v>5</v>
      </c>
      <c r="H2333" t="s">
        <v>5</v>
      </c>
      <c r="I2333" t="s">
        <v>2122</v>
      </c>
      <c r="J2333" t="s">
        <v>36</v>
      </c>
      <c r="K2333" s="3">
        <f t="shared" si="72"/>
        <v>0</v>
      </c>
      <c r="L2333" s="3">
        <f>IF(ISERROR(VLOOKUP(J2333,Lookups!$A$2:$A$16,1,FALSE)),1,0)</f>
        <v>1</v>
      </c>
      <c r="M2333" s="3">
        <f>IF(ISERROR(VLOOKUP(D2333,Data!$A$2:$D$223100,2,FALSE)),0,1)</f>
        <v>0</v>
      </c>
      <c r="N2333" s="3">
        <f t="shared" si="73"/>
        <v>0</v>
      </c>
      <c r="O2333" s="3" t="str">
        <f>IF(ISERROR(VLOOKUP(D2333,Data!$A$2:$C$223100,3,FALSE)),"INACTIVE",VLOOKUP(D2333,Data!$A$2:$C$223100,3,FALSE))</f>
        <v>INACTIVE</v>
      </c>
    </row>
    <row r="2334" spans="1:15" x14ac:dyDescent="0.25">
      <c r="A2334" t="s">
        <v>2117</v>
      </c>
      <c r="B2334" t="s">
        <v>2118</v>
      </c>
      <c r="C2334" t="s">
        <v>2301</v>
      </c>
      <c r="D2334" t="s">
        <v>2302</v>
      </c>
      <c r="E2334" t="s">
        <v>2303</v>
      </c>
      <c r="F2334" t="s">
        <v>2304</v>
      </c>
      <c r="G2334" t="s">
        <v>5</v>
      </c>
      <c r="H2334" t="s">
        <v>5</v>
      </c>
      <c r="I2334" t="s">
        <v>2122</v>
      </c>
      <c r="J2334" t="s">
        <v>40</v>
      </c>
      <c r="K2334" s="3">
        <f t="shared" si="72"/>
        <v>0</v>
      </c>
      <c r="L2334" s="3">
        <f>IF(ISERROR(VLOOKUP(J2334,Lookups!$A$2:$A$16,1,FALSE)),1,0)</f>
        <v>1</v>
      </c>
      <c r="M2334" s="3">
        <f>IF(ISERROR(VLOOKUP(D2334,Data!$A$2:$D$223100,2,FALSE)),0,1)</f>
        <v>1</v>
      </c>
      <c r="N2334" s="3">
        <f t="shared" si="73"/>
        <v>1</v>
      </c>
      <c r="O2334" s="3" t="str">
        <f>IF(ISERROR(VLOOKUP(D2334,Data!$A$2:$C$223100,3,FALSE)),"INACTIVE",VLOOKUP(D2334,Data!$A$2:$C$223100,3,FALSE))</f>
        <v>FC</v>
      </c>
    </row>
    <row r="2335" spans="1:15" x14ac:dyDescent="0.25">
      <c r="A2335" t="s">
        <v>2117</v>
      </c>
      <c r="B2335" t="s">
        <v>2118</v>
      </c>
      <c r="C2335" t="s">
        <v>2305</v>
      </c>
      <c r="D2335" t="s">
        <v>2306</v>
      </c>
      <c r="E2335" t="s">
        <v>2307</v>
      </c>
      <c r="F2335" t="s">
        <v>2308</v>
      </c>
      <c r="G2335" t="s">
        <v>5</v>
      </c>
      <c r="H2335" t="s">
        <v>5</v>
      </c>
      <c r="I2335" t="s">
        <v>2122</v>
      </c>
      <c r="J2335" t="s">
        <v>40</v>
      </c>
      <c r="K2335" s="3">
        <f t="shared" si="72"/>
        <v>0</v>
      </c>
      <c r="L2335" s="3">
        <f>IF(ISERROR(VLOOKUP(J2335,Lookups!$A$2:$A$16,1,FALSE)),1,0)</f>
        <v>1</v>
      </c>
      <c r="M2335" s="3">
        <f>IF(ISERROR(VLOOKUP(D2335,Data!$A$2:$D$223100,2,FALSE)),0,1)</f>
        <v>1</v>
      </c>
      <c r="N2335" s="3">
        <f t="shared" si="73"/>
        <v>1</v>
      </c>
      <c r="O2335" s="3" t="str">
        <f>IF(ISERROR(VLOOKUP(D2335,Data!$A$2:$C$223100,3,FALSE)),"INACTIVE",VLOOKUP(D2335,Data!$A$2:$C$223100,3,FALSE))</f>
        <v>60+</v>
      </c>
    </row>
    <row r="2336" spans="1:15" x14ac:dyDescent="0.25">
      <c r="A2336" t="s">
        <v>2117</v>
      </c>
      <c r="B2336" t="s">
        <v>2118</v>
      </c>
      <c r="C2336" t="s">
        <v>2309</v>
      </c>
      <c r="D2336" t="s">
        <v>2310</v>
      </c>
      <c r="E2336" t="s">
        <v>2311</v>
      </c>
      <c r="F2336" t="s">
        <v>2312</v>
      </c>
      <c r="G2336" t="s">
        <v>5</v>
      </c>
      <c r="H2336" t="s">
        <v>5</v>
      </c>
      <c r="I2336" t="s">
        <v>2122</v>
      </c>
      <c r="J2336" t="s">
        <v>47</v>
      </c>
      <c r="K2336" s="3">
        <f t="shared" si="72"/>
        <v>0</v>
      </c>
      <c r="L2336" s="3">
        <f>IF(ISERROR(VLOOKUP(J2336,Lookups!$A$2:$A$16,1,FALSE)),1,0)</f>
        <v>1</v>
      </c>
      <c r="M2336" s="3">
        <f>IF(ISERROR(VLOOKUP(D2336,Data!$A$2:$D$223100,2,FALSE)),0,1)</f>
        <v>1</v>
      </c>
      <c r="N2336" s="3">
        <f t="shared" si="73"/>
        <v>1</v>
      </c>
      <c r="O2336" s="3" t="str">
        <f>IF(ISERROR(VLOOKUP(D2336,Data!$A$2:$C$223100,3,FALSE)),"INACTIVE",VLOOKUP(D2336,Data!$A$2:$C$223100,3,FALSE))</f>
        <v>BK13</v>
      </c>
    </row>
    <row r="2337" spans="1:15" x14ac:dyDescent="0.25">
      <c r="A2337" t="s">
        <v>2117</v>
      </c>
      <c r="B2337" t="s">
        <v>2118</v>
      </c>
      <c r="C2337" t="s">
        <v>2313</v>
      </c>
      <c r="D2337" t="s">
        <v>2314</v>
      </c>
      <c r="E2337" t="s">
        <v>2315</v>
      </c>
      <c r="F2337" t="s">
        <v>2316</v>
      </c>
      <c r="G2337" t="s">
        <v>5</v>
      </c>
      <c r="H2337" t="s">
        <v>5</v>
      </c>
      <c r="I2337" t="s">
        <v>2122</v>
      </c>
      <c r="J2337" t="s">
        <v>47</v>
      </c>
      <c r="K2337" s="3">
        <f t="shared" si="72"/>
        <v>0</v>
      </c>
      <c r="L2337" s="3">
        <f>IF(ISERROR(VLOOKUP(J2337,Lookups!$A$2:$A$16,1,FALSE)),1,0)</f>
        <v>1</v>
      </c>
      <c r="M2337" s="3">
        <f>IF(ISERROR(VLOOKUP(D2337,Data!$A$2:$D$223100,2,FALSE)),0,1)</f>
        <v>1</v>
      </c>
      <c r="N2337" s="3">
        <f t="shared" si="73"/>
        <v>1</v>
      </c>
      <c r="O2337" s="3" t="str">
        <f>IF(ISERROR(VLOOKUP(D2337,Data!$A$2:$C$223100,3,FALSE)),"INACTIVE",VLOOKUP(D2337,Data!$A$2:$C$223100,3,FALSE))</f>
        <v>Demand Letter</v>
      </c>
    </row>
    <row r="2338" spans="1:15" x14ac:dyDescent="0.25">
      <c r="A2338" t="s">
        <v>2117</v>
      </c>
      <c r="B2338" t="s">
        <v>2118</v>
      </c>
      <c r="C2338" t="s">
        <v>2317</v>
      </c>
      <c r="D2338" t="s">
        <v>2318</v>
      </c>
      <c r="E2338" t="s">
        <v>2319</v>
      </c>
      <c r="F2338" t="s">
        <v>2320</v>
      </c>
      <c r="G2338" t="s">
        <v>5</v>
      </c>
      <c r="H2338" t="s">
        <v>5</v>
      </c>
      <c r="I2338" t="s">
        <v>2122</v>
      </c>
      <c r="J2338" t="s">
        <v>40</v>
      </c>
      <c r="K2338" s="3">
        <f t="shared" si="72"/>
        <v>0</v>
      </c>
      <c r="L2338" s="3">
        <f>IF(ISERROR(VLOOKUP(J2338,Lookups!$A$2:$A$16,1,FALSE)),1,0)</f>
        <v>1</v>
      </c>
      <c r="M2338" s="3">
        <f>IF(ISERROR(VLOOKUP(D2338,Data!$A$2:$D$223100,2,FALSE)),0,1)</f>
        <v>1</v>
      </c>
      <c r="N2338" s="3">
        <f t="shared" si="73"/>
        <v>1</v>
      </c>
      <c r="O2338" s="3" t="str">
        <f>IF(ISERROR(VLOOKUP(D2338,Data!$A$2:$C$223100,3,FALSE)),"INACTIVE",VLOOKUP(D2338,Data!$A$2:$C$223100,3,FALSE))</f>
        <v>30+</v>
      </c>
    </row>
    <row r="2339" spans="1:15" x14ac:dyDescent="0.25">
      <c r="A2339" t="s">
        <v>2117</v>
      </c>
      <c r="B2339" t="s">
        <v>2118</v>
      </c>
      <c r="C2339" t="s">
        <v>2321</v>
      </c>
      <c r="D2339" t="s">
        <v>2322</v>
      </c>
      <c r="E2339" t="s">
        <v>2323</v>
      </c>
      <c r="F2339" t="s">
        <v>2324</v>
      </c>
      <c r="G2339" t="s">
        <v>5</v>
      </c>
      <c r="H2339" t="s">
        <v>5</v>
      </c>
      <c r="I2339" t="s">
        <v>2122</v>
      </c>
      <c r="J2339" t="s">
        <v>40</v>
      </c>
      <c r="K2339" s="3">
        <f t="shared" si="72"/>
        <v>0</v>
      </c>
      <c r="L2339" s="3">
        <f>IF(ISERROR(VLOOKUP(J2339,Lookups!$A$2:$A$16,1,FALSE)),1,0)</f>
        <v>1</v>
      </c>
      <c r="M2339" s="3">
        <f>IF(ISERROR(VLOOKUP(D2339,Data!$A$2:$D$223100,2,FALSE)),0,1)</f>
        <v>1</v>
      </c>
      <c r="N2339" s="3">
        <f t="shared" si="73"/>
        <v>1</v>
      </c>
      <c r="O2339" s="3" t="str">
        <f>IF(ISERROR(VLOOKUP(D2339,Data!$A$2:$C$223100,3,FALSE)),"INACTIVE",VLOOKUP(D2339,Data!$A$2:$C$223100,3,FALSE))</f>
        <v>30+</v>
      </c>
    </row>
    <row r="2340" spans="1:15" x14ac:dyDescent="0.25">
      <c r="A2340" t="s">
        <v>2117</v>
      </c>
      <c r="B2340" t="s">
        <v>2118</v>
      </c>
      <c r="C2340" t="s">
        <v>2325</v>
      </c>
      <c r="D2340" t="s">
        <v>2326</v>
      </c>
      <c r="E2340" t="s">
        <v>2327</v>
      </c>
      <c r="F2340" t="s">
        <v>2328</v>
      </c>
      <c r="G2340" t="s">
        <v>5</v>
      </c>
      <c r="H2340" t="s">
        <v>5</v>
      </c>
      <c r="I2340" t="s">
        <v>2122</v>
      </c>
      <c r="J2340" t="s">
        <v>47</v>
      </c>
      <c r="K2340" s="3">
        <f t="shared" si="72"/>
        <v>0</v>
      </c>
      <c r="L2340" s="3">
        <f>IF(ISERROR(VLOOKUP(J2340,Lookups!$A$2:$A$16,1,FALSE)),1,0)</f>
        <v>1</v>
      </c>
      <c r="M2340" s="3">
        <f>IF(ISERROR(VLOOKUP(D2340,Data!$A$2:$D$223100,2,FALSE)),0,1)</f>
        <v>1</v>
      </c>
      <c r="N2340" s="3">
        <f t="shared" si="73"/>
        <v>1</v>
      </c>
      <c r="O2340" s="3" t="str">
        <f>IF(ISERROR(VLOOKUP(D2340,Data!$A$2:$C$223100,3,FALSE)),"INACTIVE",VLOOKUP(D2340,Data!$A$2:$C$223100,3,FALSE))</f>
        <v>180+</v>
      </c>
    </row>
    <row r="2341" spans="1:15" x14ac:dyDescent="0.25">
      <c r="A2341" t="s">
        <v>2117</v>
      </c>
      <c r="B2341" t="s">
        <v>2118</v>
      </c>
      <c r="C2341" t="s">
        <v>2329</v>
      </c>
      <c r="D2341" t="s">
        <v>2330</v>
      </c>
      <c r="E2341" t="s">
        <v>2331</v>
      </c>
      <c r="F2341" t="s">
        <v>2332</v>
      </c>
      <c r="G2341" t="s">
        <v>5</v>
      </c>
      <c r="H2341" t="s">
        <v>5</v>
      </c>
      <c r="I2341" t="s">
        <v>2122</v>
      </c>
      <c r="J2341" t="s">
        <v>47</v>
      </c>
      <c r="K2341" s="3">
        <f t="shared" si="72"/>
        <v>0</v>
      </c>
      <c r="L2341" s="3">
        <f>IF(ISERROR(VLOOKUP(J2341,Lookups!$A$2:$A$16,1,FALSE)),1,0)</f>
        <v>1</v>
      </c>
      <c r="M2341" s="3">
        <f>IF(ISERROR(VLOOKUP(D2341,Data!$A$2:$D$223100,2,FALSE)),0,1)</f>
        <v>1</v>
      </c>
      <c r="N2341" s="3">
        <f t="shared" si="73"/>
        <v>1</v>
      </c>
      <c r="O2341" s="3" t="str">
        <f>IF(ISERROR(VLOOKUP(D2341,Data!$A$2:$C$223100,3,FALSE)),"INACTIVE",VLOOKUP(D2341,Data!$A$2:$C$223100,3,FALSE))</f>
        <v>BK13</v>
      </c>
    </row>
    <row r="2342" spans="1:15" x14ac:dyDescent="0.25">
      <c r="A2342" t="s">
        <v>2117</v>
      </c>
      <c r="B2342" t="s">
        <v>2118</v>
      </c>
      <c r="C2342" t="s">
        <v>2333</v>
      </c>
      <c r="D2342" t="s">
        <v>2334</v>
      </c>
      <c r="E2342" t="s">
        <v>2335</v>
      </c>
      <c r="F2342" t="s">
        <v>2336</v>
      </c>
      <c r="G2342" t="s">
        <v>5</v>
      </c>
      <c r="H2342" t="s">
        <v>5</v>
      </c>
      <c r="I2342" t="s">
        <v>2122</v>
      </c>
      <c r="J2342" t="s">
        <v>40</v>
      </c>
      <c r="K2342" s="3">
        <f t="shared" si="72"/>
        <v>0</v>
      </c>
      <c r="L2342" s="3">
        <f>IF(ISERROR(VLOOKUP(J2342,Lookups!$A$2:$A$16,1,FALSE)),1,0)</f>
        <v>1</v>
      </c>
      <c r="M2342" s="3">
        <f>IF(ISERROR(VLOOKUP(D2342,Data!$A$2:$D$223100,2,FALSE)),0,1)</f>
        <v>1</v>
      </c>
      <c r="N2342" s="3">
        <f t="shared" si="73"/>
        <v>1</v>
      </c>
      <c r="O2342" s="3" t="str">
        <f>IF(ISERROR(VLOOKUP(D2342,Data!$A$2:$C$223100,3,FALSE)),"INACTIVE",VLOOKUP(D2342,Data!$A$2:$C$223100,3,FALSE))</f>
        <v>Current</v>
      </c>
    </row>
    <row r="2343" spans="1:15" x14ac:dyDescent="0.25">
      <c r="A2343" t="s">
        <v>2117</v>
      </c>
      <c r="B2343" t="s">
        <v>2118</v>
      </c>
      <c r="C2343" t="s">
        <v>2337</v>
      </c>
      <c r="D2343" t="s">
        <v>2338</v>
      </c>
      <c r="E2343" t="s">
        <v>2339</v>
      </c>
      <c r="F2343" t="s">
        <v>2340</v>
      </c>
      <c r="G2343" t="s">
        <v>5</v>
      </c>
      <c r="H2343" t="s">
        <v>5</v>
      </c>
      <c r="I2343" t="s">
        <v>2122</v>
      </c>
      <c r="J2343" t="s">
        <v>47</v>
      </c>
      <c r="K2343" s="3">
        <f t="shared" si="72"/>
        <v>0</v>
      </c>
      <c r="L2343" s="3">
        <f>IF(ISERROR(VLOOKUP(J2343,Lookups!$A$2:$A$16,1,FALSE)),1,0)</f>
        <v>1</v>
      </c>
      <c r="M2343" s="3">
        <f>IF(ISERROR(VLOOKUP(D2343,Data!$A$2:$D$223100,2,FALSE)),0,1)</f>
        <v>1</v>
      </c>
      <c r="N2343" s="3">
        <f t="shared" si="73"/>
        <v>1</v>
      </c>
      <c r="O2343" s="3" t="str">
        <f>IF(ISERROR(VLOOKUP(D2343,Data!$A$2:$C$223100,3,FALSE)),"INACTIVE",VLOOKUP(D2343,Data!$A$2:$C$223100,3,FALSE))</f>
        <v>Current</v>
      </c>
    </row>
    <row r="2344" spans="1:15" x14ac:dyDescent="0.25">
      <c r="A2344" t="s">
        <v>2117</v>
      </c>
      <c r="B2344" t="s">
        <v>2118</v>
      </c>
      <c r="C2344" t="s">
        <v>2341</v>
      </c>
      <c r="D2344" t="s">
        <v>2342</v>
      </c>
      <c r="E2344" t="s">
        <v>2343</v>
      </c>
      <c r="F2344" t="s">
        <v>2344</v>
      </c>
      <c r="G2344" t="s">
        <v>5</v>
      </c>
      <c r="H2344" t="s">
        <v>5</v>
      </c>
      <c r="I2344" t="s">
        <v>2122</v>
      </c>
      <c r="J2344" t="s">
        <v>40</v>
      </c>
      <c r="K2344" s="3">
        <f t="shared" si="72"/>
        <v>0</v>
      </c>
      <c r="L2344" s="3">
        <f>IF(ISERROR(VLOOKUP(J2344,Lookups!$A$2:$A$16,1,FALSE)),1,0)</f>
        <v>1</v>
      </c>
      <c r="M2344" s="3">
        <f>IF(ISERROR(VLOOKUP(D2344,Data!$A$2:$D$223100,2,FALSE)),0,1)</f>
        <v>1</v>
      </c>
      <c r="N2344" s="3">
        <f t="shared" si="73"/>
        <v>1</v>
      </c>
      <c r="O2344" s="3" t="str">
        <f>IF(ISERROR(VLOOKUP(D2344,Data!$A$2:$C$223100,3,FALSE)),"INACTIVE",VLOOKUP(D2344,Data!$A$2:$C$223100,3,FALSE))</f>
        <v>60+</v>
      </c>
    </row>
    <row r="2345" spans="1:15" x14ac:dyDescent="0.25">
      <c r="A2345" t="s">
        <v>2117</v>
      </c>
      <c r="B2345" t="s">
        <v>2118</v>
      </c>
      <c r="C2345" t="s">
        <v>2345</v>
      </c>
      <c r="D2345" t="s">
        <v>2346</v>
      </c>
      <c r="E2345" t="s">
        <v>2347</v>
      </c>
      <c r="F2345" t="s">
        <v>2347</v>
      </c>
      <c r="G2345" t="s">
        <v>5</v>
      </c>
      <c r="H2345" t="s">
        <v>5</v>
      </c>
      <c r="I2345" t="s">
        <v>2122</v>
      </c>
      <c r="J2345" t="s">
        <v>47</v>
      </c>
      <c r="K2345" s="3">
        <f t="shared" si="72"/>
        <v>0</v>
      </c>
      <c r="L2345" s="3">
        <f>IF(ISERROR(VLOOKUP(J2345,Lookups!$A$2:$A$16,1,FALSE)),1,0)</f>
        <v>1</v>
      </c>
      <c r="M2345" s="3">
        <f>IF(ISERROR(VLOOKUP(D2345,Data!$A$2:$D$223100,2,FALSE)),0,1)</f>
        <v>1</v>
      </c>
      <c r="N2345" s="3">
        <f t="shared" si="73"/>
        <v>1</v>
      </c>
      <c r="O2345" s="3" t="str">
        <f>IF(ISERROR(VLOOKUP(D2345,Data!$A$2:$C$223100,3,FALSE)),"INACTIVE",VLOOKUP(D2345,Data!$A$2:$C$223100,3,FALSE))</f>
        <v>Demand Letter</v>
      </c>
    </row>
    <row r="2346" spans="1:15" x14ac:dyDescent="0.25">
      <c r="A2346" t="s">
        <v>2117</v>
      </c>
      <c r="B2346" t="s">
        <v>2118</v>
      </c>
      <c r="C2346" t="s">
        <v>2348</v>
      </c>
      <c r="D2346" t="s">
        <v>2349</v>
      </c>
      <c r="E2346" t="s">
        <v>2350</v>
      </c>
      <c r="F2346" t="s">
        <v>2350</v>
      </c>
      <c r="G2346" t="s">
        <v>5</v>
      </c>
      <c r="H2346" t="s">
        <v>5</v>
      </c>
      <c r="I2346" t="s">
        <v>2122</v>
      </c>
      <c r="J2346" t="s">
        <v>40</v>
      </c>
      <c r="K2346" s="3">
        <f t="shared" si="72"/>
        <v>0</v>
      </c>
      <c r="L2346" s="3">
        <f>IF(ISERROR(VLOOKUP(J2346,Lookups!$A$2:$A$16,1,FALSE)),1,0)</f>
        <v>1</v>
      </c>
      <c r="M2346" s="3">
        <f>IF(ISERROR(VLOOKUP(D2346,Data!$A$2:$D$223100,2,FALSE)),0,1)</f>
        <v>1</v>
      </c>
      <c r="N2346" s="3">
        <f t="shared" si="73"/>
        <v>1</v>
      </c>
      <c r="O2346" s="3" t="str">
        <f>IF(ISERROR(VLOOKUP(D2346,Data!$A$2:$C$223100,3,FALSE)),"INACTIVE",VLOOKUP(D2346,Data!$A$2:$C$223100,3,FALSE))</f>
        <v>Demand Letter</v>
      </c>
    </row>
    <row r="2347" spans="1:15" x14ac:dyDescent="0.25">
      <c r="A2347" t="s">
        <v>2117</v>
      </c>
      <c r="B2347" t="s">
        <v>2118</v>
      </c>
      <c r="C2347" t="s">
        <v>2351</v>
      </c>
      <c r="D2347" t="s">
        <v>2352</v>
      </c>
      <c r="E2347" t="s">
        <v>2353</v>
      </c>
      <c r="F2347" t="s">
        <v>2354</v>
      </c>
      <c r="G2347" t="s">
        <v>5</v>
      </c>
      <c r="H2347" t="s">
        <v>5</v>
      </c>
      <c r="I2347" t="s">
        <v>2122</v>
      </c>
      <c r="J2347" t="s">
        <v>40</v>
      </c>
      <c r="K2347" s="3">
        <f t="shared" si="72"/>
        <v>0</v>
      </c>
      <c r="L2347" s="3">
        <f>IF(ISERROR(VLOOKUP(J2347,Lookups!$A$2:$A$16,1,FALSE)),1,0)</f>
        <v>1</v>
      </c>
      <c r="M2347" s="3">
        <f>IF(ISERROR(VLOOKUP(D2347,Data!$A$2:$D$223100,2,FALSE)),0,1)</f>
        <v>1</v>
      </c>
      <c r="N2347" s="3">
        <f t="shared" si="73"/>
        <v>1</v>
      </c>
      <c r="O2347" s="3" t="str">
        <f>IF(ISERROR(VLOOKUP(D2347,Data!$A$2:$C$223100,3,FALSE)),"INACTIVE",VLOOKUP(D2347,Data!$A$2:$C$223100,3,FALSE))</f>
        <v>60+</v>
      </c>
    </row>
    <row r="2348" spans="1:15" x14ac:dyDescent="0.25">
      <c r="A2348" t="s">
        <v>2117</v>
      </c>
      <c r="B2348" t="s">
        <v>2118</v>
      </c>
      <c r="C2348" t="s">
        <v>2355</v>
      </c>
      <c r="D2348" t="s">
        <v>2356</v>
      </c>
      <c r="E2348" t="s">
        <v>2357</v>
      </c>
      <c r="F2348" t="s">
        <v>2358</v>
      </c>
      <c r="G2348" t="s">
        <v>5</v>
      </c>
      <c r="H2348" t="s">
        <v>5</v>
      </c>
      <c r="I2348" t="s">
        <v>2122</v>
      </c>
      <c r="J2348" t="s">
        <v>47</v>
      </c>
      <c r="K2348" s="3">
        <f t="shared" si="72"/>
        <v>0</v>
      </c>
      <c r="L2348" s="3">
        <f>IF(ISERROR(VLOOKUP(J2348,Lookups!$A$2:$A$16,1,FALSE)),1,0)</f>
        <v>1</v>
      </c>
      <c r="M2348" s="3">
        <f>IF(ISERROR(VLOOKUP(D2348,Data!$A$2:$D$223100,2,FALSE)),0,1)</f>
        <v>1</v>
      </c>
      <c r="N2348" s="3">
        <f t="shared" si="73"/>
        <v>1</v>
      </c>
      <c r="O2348" s="3" t="str">
        <f>IF(ISERROR(VLOOKUP(D2348,Data!$A$2:$C$223100,3,FALSE)),"INACTIVE",VLOOKUP(D2348,Data!$A$2:$C$223100,3,FALSE))</f>
        <v>FC</v>
      </c>
    </row>
    <row r="2349" spans="1:15" x14ac:dyDescent="0.25">
      <c r="A2349" t="s">
        <v>2117</v>
      </c>
      <c r="B2349" t="s">
        <v>2118</v>
      </c>
      <c r="C2349" t="s">
        <v>2359</v>
      </c>
      <c r="D2349" t="s">
        <v>2360</v>
      </c>
      <c r="E2349" t="s">
        <v>2361</v>
      </c>
      <c r="F2349" t="s">
        <v>2361</v>
      </c>
      <c r="G2349" t="s">
        <v>5</v>
      </c>
      <c r="H2349" t="s">
        <v>5</v>
      </c>
      <c r="I2349" t="s">
        <v>2122</v>
      </c>
      <c r="J2349" t="s">
        <v>40</v>
      </c>
      <c r="K2349" s="3">
        <f t="shared" si="72"/>
        <v>0</v>
      </c>
      <c r="L2349" s="3">
        <f>IF(ISERROR(VLOOKUP(J2349,Lookups!$A$2:$A$16,1,FALSE)),1,0)</f>
        <v>1</v>
      </c>
      <c r="M2349" s="3">
        <f>IF(ISERROR(VLOOKUP(D2349,Data!$A$2:$D$223100,2,FALSE)),0,1)</f>
        <v>1</v>
      </c>
      <c r="N2349" s="3">
        <f t="shared" si="73"/>
        <v>1</v>
      </c>
      <c r="O2349" s="3" t="str">
        <f>IF(ISERROR(VLOOKUP(D2349,Data!$A$2:$C$223100,3,FALSE)),"INACTIVE",VLOOKUP(D2349,Data!$A$2:$C$223100,3,FALSE))</f>
        <v>BK13</v>
      </c>
    </row>
    <row r="2350" spans="1:15" x14ac:dyDescent="0.25">
      <c r="A2350" t="s">
        <v>2117</v>
      </c>
      <c r="B2350" t="s">
        <v>2118</v>
      </c>
      <c r="C2350" t="s">
        <v>2362</v>
      </c>
      <c r="D2350" t="s">
        <v>2363</v>
      </c>
      <c r="E2350" t="s">
        <v>2364</v>
      </c>
      <c r="F2350" t="s">
        <v>2365</v>
      </c>
      <c r="G2350" t="s">
        <v>5</v>
      </c>
      <c r="H2350" t="s">
        <v>5</v>
      </c>
      <c r="I2350" t="s">
        <v>2122</v>
      </c>
      <c r="J2350" t="s">
        <v>40</v>
      </c>
      <c r="K2350" s="3">
        <f t="shared" si="72"/>
        <v>0</v>
      </c>
      <c r="L2350" s="3">
        <f>IF(ISERROR(VLOOKUP(J2350,Lookups!$A$2:$A$16,1,FALSE)),1,0)</f>
        <v>1</v>
      </c>
      <c r="M2350" s="3">
        <f>IF(ISERROR(VLOOKUP(D2350,Data!$A$2:$D$223100,2,FALSE)),0,1)</f>
        <v>1</v>
      </c>
      <c r="N2350" s="3">
        <f t="shared" si="73"/>
        <v>1</v>
      </c>
      <c r="O2350" s="3" t="str">
        <f>IF(ISERROR(VLOOKUP(D2350,Data!$A$2:$C$223100,3,FALSE)),"INACTIVE",VLOOKUP(D2350,Data!$A$2:$C$223100,3,FALSE))</f>
        <v>30+</v>
      </c>
    </row>
    <row r="2351" spans="1:15" x14ac:dyDescent="0.25">
      <c r="A2351" t="s">
        <v>2117</v>
      </c>
      <c r="B2351" t="s">
        <v>2118</v>
      </c>
      <c r="C2351" t="s">
        <v>2366</v>
      </c>
      <c r="D2351" t="s">
        <v>2367</v>
      </c>
      <c r="E2351" t="s">
        <v>2368</v>
      </c>
      <c r="F2351" t="s">
        <v>2369</v>
      </c>
      <c r="G2351" t="s">
        <v>5</v>
      </c>
      <c r="H2351" t="s">
        <v>5</v>
      </c>
      <c r="I2351" t="s">
        <v>2122</v>
      </c>
      <c r="J2351" t="s">
        <v>40</v>
      </c>
      <c r="K2351" s="3">
        <f t="shared" si="72"/>
        <v>0</v>
      </c>
      <c r="L2351" s="3">
        <f>IF(ISERROR(VLOOKUP(J2351,Lookups!$A$2:$A$16,1,FALSE)),1,0)</f>
        <v>1</v>
      </c>
      <c r="M2351" s="3">
        <f>IF(ISERROR(VLOOKUP(D2351,Data!$A$2:$D$223100,2,FALSE)),0,1)</f>
        <v>1</v>
      </c>
      <c r="N2351" s="3">
        <f t="shared" si="73"/>
        <v>1</v>
      </c>
      <c r="O2351" s="3" t="str">
        <f>IF(ISERROR(VLOOKUP(D2351,Data!$A$2:$C$223100,3,FALSE)),"INACTIVE",VLOOKUP(D2351,Data!$A$2:$C$223100,3,FALSE))</f>
        <v>Current</v>
      </c>
    </row>
    <row r="2352" spans="1:15" x14ac:dyDescent="0.25">
      <c r="A2352" t="s">
        <v>2117</v>
      </c>
      <c r="B2352" t="s">
        <v>2118</v>
      </c>
      <c r="C2352" t="s">
        <v>2370</v>
      </c>
      <c r="D2352" t="s">
        <v>2371</v>
      </c>
      <c r="E2352" t="s">
        <v>2372</v>
      </c>
      <c r="F2352" t="s">
        <v>2373</v>
      </c>
      <c r="G2352" t="s">
        <v>5</v>
      </c>
      <c r="H2352" t="s">
        <v>5</v>
      </c>
      <c r="I2352" t="s">
        <v>2122</v>
      </c>
      <c r="J2352" t="s">
        <v>40</v>
      </c>
      <c r="K2352" s="3">
        <f t="shared" si="72"/>
        <v>0</v>
      </c>
      <c r="L2352" s="3">
        <f>IF(ISERROR(VLOOKUP(J2352,Lookups!$A$2:$A$16,1,FALSE)),1,0)</f>
        <v>1</v>
      </c>
      <c r="M2352" s="3">
        <f>IF(ISERROR(VLOOKUP(D2352,Data!$A$2:$D$223100,2,FALSE)),0,1)</f>
        <v>1</v>
      </c>
      <c r="N2352" s="3">
        <f t="shared" si="73"/>
        <v>1</v>
      </c>
      <c r="O2352" s="3" t="str">
        <f>IF(ISERROR(VLOOKUP(D2352,Data!$A$2:$C$223100,3,FALSE)),"INACTIVE",VLOOKUP(D2352,Data!$A$2:$C$223100,3,FALSE))</f>
        <v>Current</v>
      </c>
    </row>
    <row r="2353" spans="1:15" x14ac:dyDescent="0.25">
      <c r="A2353" t="s">
        <v>2117</v>
      </c>
      <c r="B2353" t="s">
        <v>2118</v>
      </c>
      <c r="C2353" t="s">
        <v>2374</v>
      </c>
      <c r="D2353" t="s">
        <v>2375</v>
      </c>
      <c r="E2353" t="s">
        <v>2376</v>
      </c>
      <c r="F2353" t="s">
        <v>2377</v>
      </c>
      <c r="G2353" t="s">
        <v>5</v>
      </c>
      <c r="H2353" t="s">
        <v>5</v>
      </c>
      <c r="I2353" t="s">
        <v>2122</v>
      </c>
      <c r="J2353" t="s">
        <v>40</v>
      </c>
      <c r="K2353" s="3">
        <f t="shared" si="72"/>
        <v>0</v>
      </c>
      <c r="L2353" s="3">
        <f>IF(ISERROR(VLOOKUP(J2353,Lookups!$A$2:$A$16,1,FALSE)),1,0)</f>
        <v>1</v>
      </c>
      <c r="M2353" s="3">
        <f>IF(ISERROR(VLOOKUP(D2353,Data!$A$2:$D$223100,2,FALSE)),0,1)</f>
        <v>1</v>
      </c>
      <c r="N2353" s="3">
        <f t="shared" si="73"/>
        <v>1</v>
      </c>
      <c r="O2353" s="3" t="str">
        <f>IF(ISERROR(VLOOKUP(D2353,Data!$A$2:$C$223100,3,FALSE)),"INACTIVE",VLOOKUP(D2353,Data!$A$2:$C$223100,3,FALSE))</f>
        <v>60+</v>
      </c>
    </row>
    <row r="2354" spans="1:15" x14ac:dyDescent="0.25">
      <c r="A2354" t="s">
        <v>2117</v>
      </c>
      <c r="B2354" t="s">
        <v>2118</v>
      </c>
      <c r="C2354" t="s">
        <v>2378</v>
      </c>
      <c r="D2354" t="s">
        <v>2379</v>
      </c>
      <c r="E2354" t="s">
        <v>2380</v>
      </c>
      <c r="F2354" t="s">
        <v>2381</v>
      </c>
      <c r="G2354" t="s">
        <v>5</v>
      </c>
      <c r="H2354" t="s">
        <v>5</v>
      </c>
      <c r="I2354" t="s">
        <v>2122</v>
      </c>
      <c r="J2354" t="s">
        <v>40</v>
      </c>
      <c r="K2354" s="3">
        <f t="shared" si="72"/>
        <v>0</v>
      </c>
      <c r="L2354" s="3">
        <f>IF(ISERROR(VLOOKUP(J2354,Lookups!$A$2:$A$16,1,FALSE)),1,0)</f>
        <v>1</v>
      </c>
      <c r="M2354" s="3">
        <f>IF(ISERROR(VLOOKUP(D2354,Data!$A$2:$D$223100,2,FALSE)),0,1)</f>
        <v>1</v>
      </c>
      <c r="N2354" s="3">
        <f t="shared" si="73"/>
        <v>1</v>
      </c>
      <c r="O2354" s="3" t="str">
        <f>IF(ISERROR(VLOOKUP(D2354,Data!$A$2:$C$223100,3,FALSE)),"INACTIVE",VLOOKUP(D2354,Data!$A$2:$C$223100,3,FALSE))</f>
        <v>Current</v>
      </c>
    </row>
    <row r="2355" spans="1:15" x14ac:dyDescent="0.25">
      <c r="A2355" t="s">
        <v>2117</v>
      </c>
      <c r="B2355" t="s">
        <v>2118</v>
      </c>
      <c r="C2355" t="s">
        <v>2382</v>
      </c>
      <c r="D2355" t="s">
        <v>2383</v>
      </c>
      <c r="E2355" t="s">
        <v>2384</v>
      </c>
      <c r="F2355" t="s">
        <v>2385</v>
      </c>
      <c r="G2355" t="s">
        <v>5</v>
      </c>
      <c r="H2355" t="s">
        <v>5</v>
      </c>
      <c r="I2355" t="s">
        <v>2122</v>
      </c>
      <c r="J2355" t="s">
        <v>40</v>
      </c>
      <c r="K2355" s="3">
        <f t="shared" si="72"/>
        <v>0</v>
      </c>
      <c r="L2355" s="3">
        <f>IF(ISERROR(VLOOKUP(J2355,Lookups!$A$2:$A$16,1,FALSE)),1,0)</f>
        <v>1</v>
      </c>
      <c r="M2355" s="3">
        <f>IF(ISERROR(VLOOKUP(D2355,Data!$A$2:$D$223100,2,FALSE)),0,1)</f>
        <v>1</v>
      </c>
      <c r="N2355" s="3">
        <f t="shared" si="73"/>
        <v>1</v>
      </c>
      <c r="O2355" s="3" t="str">
        <f>IF(ISERROR(VLOOKUP(D2355,Data!$A$2:$C$223100,3,FALSE)),"INACTIVE",VLOOKUP(D2355,Data!$A$2:$C$223100,3,FALSE))</f>
        <v>Demand Letter</v>
      </c>
    </row>
    <row r="2356" spans="1:15" x14ac:dyDescent="0.25">
      <c r="A2356" t="s">
        <v>2117</v>
      </c>
      <c r="B2356" t="s">
        <v>2118</v>
      </c>
      <c r="C2356" t="s">
        <v>2386</v>
      </c>
      <c r="D2356" t="s">
        <v>2387</v>
      </c>
      <c r="E2356" t="s">
        <v>2388</v>
      </c>
      <c r="F2356" t="s">
        <v>2389</v>
      </c>
      <c r="G2356" t="s">
        <v>5</v>
      </c>
      <c r="H2356" t="s">
        <v>5</v>
      </c>
      <c r="I2356" t="s">
        <v>2122</v>
      </c>
      <c r="J2356" t="s">
        <v>40</v>
      </c>
      <c r="K2356" s="3">
        <f t="shared" si="72"/>
        <v>0</v>
      </c>
      <c r="L2356" s="3">
        <f>IF(ISERROR(VLOOKUP(J2356,Lookups!$A$2:$A$16,1,FALSE)),1,0)</f>
        <v>1</v>
      </c>
      <c r="M2356" s="3">
        <f>IF(ISERROR(VLOOKUP(D2356,Data!$A$2:$D$223100,2,FALSE)),0,1)</f>
        <v>1</v>
      </c>
      <c r="N2356" s="3">
        <f t="shared" si="73"/>
        <v>1</v>
      </c>
      <c r="O2356" s="3" t="str">
        <f>IF(ISERROR(VLOOKUP(D2356,Data!$A$2:$C$223100,3,FALSE)),"INACTIVE",VLOOKUP(D2356,Data!$A$2:$C$223100,3,FALSE))</f>
        <v>Demand Letter</v>
      </c>
    </row>
    <row r="2357" spans="1:15" x14ac:dyDescent="0.25">
      <c r="A2357" t="s">
        <v>2117</v>
      </c>
      <c r="B2357" t="s">
        <v>2118</v>
      </c>
      <c r="C2357" t="s">
        <v>2390</v>
      </c>
      <c r="D2357" t="s">
        <v>2387</v>
      </c>
      <c r="E2357" t="s">
        <v>2391</v>
      </c>
      <c r="F2357" t="s">
        <v>2392</v>
      </c>
      <c r="G2357" t="s">
        <v>5</v>
      </c>
      <c r="H2357" t="s">
        <v>5</v>
      </c>
      <c r="I2357" t="s">
        <v>2122</v>
      </c>
      <c r="J2357" t="s">
        <v>40</v>
      </c>
      <c r="K2357" s="3">
        <f t="shared" si="72"/>
        <v>0</v>
      </c>
      <c r="L2357" s="3">
        <f>IF(ISERROR(VLOOKUP(J2357,Lookups!$A$2:$A$16,1,FALSE)),1,0)</f>
        <v>1</v>
      </c>
      <c r="M2357" s="3">
        <f>IF(ISERROR(VLOOKUP(D2357,Data!$A$2:$D$223100,2,FALSE)),0,1)</f>
        <v>1</v>
      </c>
      <c r="N2357" s="3">
        <f t="shared" si="73"/>
        <v>1</v>
      </c>
      <c r="O2357" s="3" t="str">
        <f>IF(ISERROR(VLOOKUP(D2357,Data!$A$2:$C$223100,3,FALSE)),"INACTIVE",VLOOKUP(D2357,Data!$A$2:$C$223100,3,FALSE))</f>
        <v>Demand Letter</v>
      </c>
    </row>
    <row r="2358" spans="1:15" x14ac:dyDescent="0.25">
      <c r="A2358" t="s">
        <v>2117</v>
      </c>
      <c r="B2358" t="s">
        <v>2118</v>
      </c>
      <c r="C2358" t="s">
        <v>2393</v>
      </c>
      <c r="D2358" t="s">
        <v>2387</v>
      </c>
      <c r="E2358" t="s">
        <v>2394</v>
      </c>
      <c r="F2358" t="s">
        <v>2395</v>
      </c>
      <c r="G2358" t="s">
        <v>5</v>
      </c>
      <c r="H2358" t="s">
        <v>5</v>
      </c>
      <c r="I2358" t="s">
        <v>2122</v>
      </c>
      <c r="J2358" t="s">
        <v>40</v>
      </c>
      <c r="K2358" s="3">
        <f t="shared" si="72"/>
        <v>0</v>
      </c>
      <c r="L2358" s="3">
        <f>IF(ISERROR(VLOOKUP(J2358,Lookups!$A$2:$A$16,1,FALSE)),1,0)</f>
        <v>1</v>
      </c>
      <c r="M2358" s="3">
        <f>IF(ISERROR(VLOOKUP(D2358,Data!$A$2:$D$223100,2,FALSE)),0,1)</f>
        <v>1</v>
      </c>
      <c r="N2358" s="3">
        <f t="shared" si="73"/>
        <v>1</v>
      </c>
      <c r="O2358" s="3" t="str">
        <f>IF(ISERROR(VLOOKUP(D2358,Data!$A$2:$C$223100,3,FALSE)),"INACTIVE",VLOOKUP(D2358,Data!$A$2:$C$223100,3,FALSE))</f>
        <v>Demand Letter</v>
      </c>
    </row>
    <row r="2359" spans="1:15" x14ac:dyDescent="0.25">
      <c r="A2359" t="s">
        <v>2117</v>
      </c>
      <c r="B2359" t="s">
        <v>2118</v>
      </c>
      <c r="C2359" t="s">
        <v>2396</v>
      </c>
      <c r="D2359" t="s">
        <v>2397</v>
      </c>
      <c r="E2359" t="s">
        <v>2398</v>
      </c>
      <c r="F2359" t="s">
        <v>2399</v>
      </c>
      <c r="G2359" t="s">
        <v>5</v>
      </c>
      <c r="H2359" t="s">
        <v>5</v>
      </c>
      <c r="I2359" t="s">
        <v>2122</v>
      </c>
      <c r="J2359" t="s">
        <v>47</v>
      </c>
      <c r="K2359" s="3">
        <f t="shared" si="72"/>
        <v>0</v>
      </c>
      <c r="L2359" s="3">
        <f>IF(ISERROR(VLOOKUP(J2359,Lookups!$A$2:$A$16,1,FALSE)),1,0)</f>
        <v>1</v>
      </c>
      <c r="M2359" s="3">
        <f>IF(ISERROR(VLOOKUP(D2359,Data!$A$2:$D$223100,2,FALSE)),0,1)</f>
        <v>1</v>
      </c>
      <c r="N2359" s="3">
        <f t="shared" si="73"/>
        <v>1</v>
      </c>
      <c r="O2359" s="3" t="str">
        <f>IF(ISERROR(VLOOKUP(D2359,Data!$A$2:$C$223100,3,FALSE)),"INACTIVE",VLOOKUP(D2359,Data!$A$2:$C$223100,3,FALSE))</f>
        <v>FC</v>
      </c>
    </row>
    <row r="2360" spans="1:15" x14ac:dyDescent="0.25">
      <c r="A2360" t="s">
        <v>2117</v>
      </c>
      <c r="B2360" t="s">
        <v>2118</v>
      </c>
      <c r="C2360" t="s">
        <v>2400</v>
      </c>
      <c r="D2360" t="s">
        <v>2401</v>
      </c>
      <c r="E2360" t="s">
        <v>2402</v>
      </c>
      <c r="F2360" t="s">
        <v>2403</v>
      </c>
      <c r="G2360" t="s">
        <v>5</v>
      </c>
      <c r="H2360" t="s">
        <v>5</v>
      </c>
      <c r="I2360" t="s">
        <v>2122</v>
      </c>
      <c r="J2360" t="s">
        <v>47</v>
      </c>
      <c r="K2360" s="3">
        <f t="shared" si="72"/>
        <v>0</v>
      </c>
      <c r="L2360" s="3">
        <f>IF(ISERROR(VLOOKUP(J2360,Lookups!$A$2:$A$16,1,FALSE)),1,0)</f>
        <v>1</v>
      </c>
      <c r="M2360" s="3">
        <f>IF(ISERROR(VLOOKUP(D2360,Data!$A$2:$D$223100,2,FALSE)),0,1)</f>
        <v>1</v>
      </c>
      <c r="N2360" s="3">
        <f t="shared" si="73"/>
        <v>1</v>
      </c>
      <c r="O2360" s="3" t="str">
        <f>IF(ISERROR(VLOOKUP(D2360,Data!$A$2:$C$223100,3,FALSE)),"INACTIVE",VLOOKUP(D2360,Data!$A$2:$C$223100,3,FALSE))</f>
        <v>FC</v>
      </c>
    </row>
    <row r="2361" spans="1:15" x14ac:dyDescent="0.25">
      <c r="A2361" t="s">
        <v>2117</v>
      </c>
      <c r="B2361" t="s">
        <v>2118</v>
      </c>
      <c r="C2361" t="s">
        <v>2404</v>
      </c>
      <c r="D2361" t="s">
        <v>2405</v>
      </c>
      <c r="E2361" t="s">
        <v>2406</v>
      </c>
      <c r="F2361" t="s">
        <v>2407</v>
      </c>
      <c r="G2361" t="s">
        <v>5</v>
      </c>
      <c r="H2361" t="s">
        <v>5</v>
      </c>
      <c r="I2361" t="s">
        <v>2122</v>
      </c>
      <c r="J2361" t="s">
        <v>47</v>
      </c>
      <c r="K2361" s="3">
        <f t="shared" si="72"/>
        <v>0</v>
      </c>
      <c r="L2361" s="3">
        <f>IF(ISERROR(VLOOKUP(J2361,Lookups!$A$2:$A$16,1,FALSE)),1,0)</f>
        <v>1</v>
      </c>
      <c r="M2361" s="3">
        <f>IF(ISERROR(VLOOKUP(D2361,Data!$A$2:$D$223100,2,FALSE)),0,1)</f>
        <v>0</v>
      </c>
      <c r="N2361" s="3">
        <f t="shared" si="73"/>
        <v>0</v>
      </c>
      <c r="O2361" s="3" t="str">
        <f>IF(ISERROR(VLOOKUP(D2361,Data!$A$2:$C$223100,3,FALSE)),"INACTIVE",VLOOKUP(D2361,Data!$A$2:$C$223100,3,FALSE))</f>
        <v>INACTIVE</v>
      </c>
    </row>
    <row r="2362" spans="1:15" x14ac:dyDescent="0.25">
      <c r="A2362" t="s">
        <v>2117</v>
      </c>
      <c r="B2362" t="s">
        <v>2118</v>
      </c>
      <c r="C2362" t="s">
        <v>2408</v>
      </c>
      <c r="D2362" t="s">
        <v>2409</v>
      </c>
      <c r="E2362" t="s">
        <v>2410</v>
      </c>
      <c r="F2362" t="s">
        <v>2411</v>
      </c>
      <c r="G2362" t="s">
        <v>5</v>
      </c>
      <c r="H2362" t="s">
        <v>5</v>
      </c>
      <c r="I2362" t="s">
        <v>2122</v>
      </c>
      <c r="J2362" t="s">
        <v>40</v>
      </c>
      <c r="K2362" s="3">
        <f t="shared" si="72"/>
        <v>0</v>
      </c>
      <c r="L2362" s="3">
        <f>IF(ISERROR(VLOOKUP(J2362,Lookups!$A$2:$A$16,1,FALSE)),1,0)</f>
        <v>1</v>
      </c>
      <c r="M2362" s="3">
        <f>IF(ISERROR(VLOOKUP(D2362,Data!$A$2:$D$223100,2,FALSE)),0,1)</f>
        <v>1</v>
      </c>
      <c r="N2362" s="3">
        <f t="shared" si="73"/>
        <v>1</v>
      </c>
      <c r="O2362" s="3" t="str">
        <f>IF(ISERROR(VLOOKUP(D2362,Data!$A$2:$C$223100,3,FALSE)),"INACTIVE",VLOOKUP(D2362,Data!$A$2:$C$223100,3,FALSE))</f>
        <v>Current</v>
      </c>
    </row>
    <row r="2363" spans="1:15" x14ac:dyDescent="0.25">
      <c r="A2363" t="s">
        <v>2117</v>
      </c>
      <c r="B2363" t="s">
        <v>2118</v>
      </c>
      <c r="C2363" t="s">
        <v>2412</v>
      </c>
      <c r="D2363" t="s">
        <v>2413</v>
      </c>
      <c r="E2363" t="s">
        <v>2414</v>
      </c>
      <c r="F2363" t="s">
        <v>2415</v>
      </c>
      <c r="G2363" t="s">
        <v>5</v>
      </c>
      <c r="H2363" t="s">
        <v>5</v>
      </c>
      <c r="I2363" t="s">
        <v>2122</v>
      </c>
      <c r="J2363" t="s">
        <v>47</v>
      </c>
      <c r="K2363" s="3">
        <f t="shared" si="72"/>
        <v>0</v>
      </c>
      <c r="L2363" s="3">
        <f>IF(ISERROR(VLOOKUP(J2363,Lookups!$A$2:$A$16,1,FALSE)),1,0)</f>
        <v>1</v>
      </c>
      <c r="M2363" s="3">
        <f>IF(ISERROR(VLOOKUP(D2363,Data!$A$2:$D$223100,2,FALSE)),0,1)</f>
        <v>1</v>
      </c>
      <c r="N2363" s="3">
        <f t="shared" si="73"/>
        <v>1</v>
      </c>
      <c r="O2363" s="3" t="str">
        <f>IF(ISERROR(VLOOKUP(D2363,Data!$A$2:$C$223100,3,FALSE)),"INACTIVE",VLOOKUP(D2363,Data!$A$2:$C$223100,3,FALSE))</f>
        <v>FBA</v>
      </c>
    </row>
    <row r="2364" spans="1:15" x14ac:dyDescent="0.25">
      <c r="A2364" t="s">
        <v>2117</v>
      </c>
      <c r="B2364" t="s">
        <v>2118</v>
      </c>
      <c r="C2364" t="s">
        <v>2416</v>
      </c>
      <c r="D2364" t="s">
        <v>2417</v>
      </c>
      <c r="E2364" t="s">
        <v>2418</v>
      </c>
      <c r="F2364" t="s">
        <v>2419</v>
      </c>
      <c r="G2364" t="s">
        <v>5</v>
      </c>
      <c r="H2364" t="s">
        <v>5</v>
      </c>
      <c r="I2364" t="s">
        <v>2122</v>
      </c>
      <c r="J2364" t="s">
        <v>40</v>
      </c>
      <c r="K2364" s="3">
        <f t="shared" si="72"/>
        <v>0</v>
      </c>
      <c r="L2364" s="3">
        <f>IF(ISERROR(VLOOKUP(J2364,Lookups!$A$2:$A$16,1,FALSE)),1,0)</f>
        <v>1</v>
      </c>
      <c r="M2364" s="3">
        <f>IF(ISERROR(VLOOKUP(D2364,Data!$A$2:$D$223100,2,FALSE)),0,1)</f>
        <v>1</v>
      </c>
      <c r="N2364" s="3">
        <f t="shared" si="73"/>
        <v>1</v>
      </c>
      <c r="O2364" s="3" t="str">
        <f>IF(ISERROR(VLOOKUP(D2364,Data!$A$2:$C$223100,3,FALSE)),"INACTIVE",VLOOKUP(D2364,Data!$A$2:$C$223100,3,FALSE))</f>
        <v>Demand Letter</v>
      </c>
    </row>
    <row r="2365" spans="1:15" x14ac:dyDescent="0.25">
      <c r="A2365" t="s">
        <v>2117</v>
      </c>
      <c r="B2365" t="s">
        <v>2118</v>
      </c>
      <c r="C2365" t="s">
        <v>2420</v>
      </c>
      <c r="D2365" t="s">
        <v>2421</v>
      </c>
      <c r="E2365" t="s">
        <v>2422</v>
      </c>
      <c r="F2365" t="s">
        <v>2423</v>
      </c>
      <c r="G2365" t="s">
        <v>5</v>
      </c>
      <c r="H2365" t="s">
        <v>5</v>
      </c>
      <c r="I2365" t="s">
        <v>2122</v>
      </c>
      <c r="J2365" t="s">
        <v>47</v>
      </c>
      <c r="K2365" s="3">
        <f t="shared" si="72"/>
        <v>0</v>
      </c>
      <c r="L2365" s="3">
        <f>IF(ISERROR(VLOOKUP(J2365,Lookups!$A$2:$A$16,1,FALSE)),1,0)</f>
        <v>1</v>
      </c>
      <c r="M2365" s="3">
        <f>IF(ISERROR(VLOOKUP(D2365,Data!$A$2:$D$223100,2,FALSE)),0,1)</f>
        <v>1</v>
      </c>
      <c r="N2365" s="3">
        <f t="shared" si="73"/>
        <v>1</v>
      </c>
      <c r="O2365" s="3" t="str">
        <f>IF(ISERROR(VLOOKUP(D2365,Data!$A$2:$C$223100,3,FALSE)),"INACTIVE",VLOOKUP(D2365,Data!$A$2:$C$223100,3,FALSE))</f>
        <v>60+</v>
      </c>
    </row>
    <row r="2366" spans="1:15" x14ac:dyDescent="0.25">
      <c r="A2366" t="s">
        <v>2117</v>
      </c>
      <c r="B2366" t="s">
        <v>2118</v>
      </c>
      <c r="C2366" t="s">
        <v>2424</v>
      </c>
      <c r="D2366" t="s">
        <v>2425</v>
      </c>
      <c r="E2366" t="s">
        <v>2426</v>
      </c>
      <c r="F2366" t="s">
        <v>2427</v>
      </c>
      <c r="G2366" t="s">
        <v>5</v>
      </c>
      <c r="H2366" t="s">
        <v>5</v>
      </c>
      <c r="I2366" t="s">
        <v>2122</v>
      </c>
      <c r="J2366" t="s">
        <v>40</v>
      </c>
      <c r="K2366" s="3">
        <f t="shared" si="72"/>
        <v>0</v>
      </c>
      <c r="L2366" s="3">
        <f>IF(ISERROR(VLOOKUP(J2366,Lookups!$A$2:$A$16,1,FALSE)),1,0)</f>
        <v>1</v>
      </c>
      <c r="M2366" s="3">
        <f>IF(ISERROR(VLOOKUP(D2366,Data!$A$2:$D$223100,2,FALSE)),0,1)</f>
        <v>1</v>
      </c>
      <c r="N2366" s="3">
        <f t="shared" si="73"/>
        <v>1</v>
      </c>
      <c r="O2366" s="3" t="str">
        <f>IF(ISERROR(VLOOKUP(D2366,Data!$A$2:$C$223100,3,FALSE)),"INACTIVE",VLOOKUP(D2366,Data!$A$2:$C$223100,3,FALSE))</f>
        <v>Current</v>
      </c>
    </row>
    <row r="2367" spans="1:15" x14ac:dyDescent="0.25">
      <c r="A2367" t="s">
        <v>2117</v>
      </c>
      <c r="B2367" t="s">
        <v>2118</v>
      </c>
      <c r="C2367" t="s">
        <v>2428</v>
      </c>
      <c r="D2367" t="s">
        <v>2429</v>
      </c>
      <c r="E2367" t="s">
        <v>2430</v>
      </c>
      <c r="F2367" t="s">
        <v>2431</v>
      </c>
      <c r="G2367" t="s">
        <v>5</v>
      </c>
      <c r="H2367" t="s">
        <v>5</v>
      </c>
      <c r="I2367" t="s">
        <v>2122</v>
      </c>
      <c r="J2367" t="s">
        <v>40</v>
      </c>
      <c r="K2367" s="3">
        <f t="shared" si="72"/>
        <v>0</v>
      </c>
      <c r="L2367" s="3">
        <f>IF(ISERROR(VLOOKUP(J2367,Lookups!$A$2:$A$16,1,FALSE)),1,0)</f>
        <v>1</v>
      </c>
      <c r="M2367" s="3">
        <f>IF(ISERROR(VLOOKUP(D2367,Data!$A$2:$D$223100,2,FALSE)),0,1)</f>
        <v>1</v>
      </c>
      <c r="N2367" s="3">
        <f t="shared" si="73"/>
        <v>1</v>
      </c>
      <c r="O2367" s="3" t="str">
        <f>IF(ISERROR(VLOOKUP(D2367,Data!$A$2:$C$223100,3,FALSE)),"INACTIVE",VLOOKUP(D2367,Data!$A$2:$C$223100,3,FALSE))</f>
        <v>60+</v>
      </c>
    </row>
    <row r="2368" spans="1:15" x14ac:dyDescent="0.25">
      <c r="A2368" t="s">
        <v>2117</v>
      </c>
      <c r="B2368" t="s">
        <v>2118</v>
      </c>
      <c r="C2368" t="s">
        <v>2432</v>
      </c>
      <c r="D2368" t="s">
        <v>2433</v>
      </c>
      <c r="E2368" t="s">
        <v>2434</v>
      </c>
      <c r="F2368" t="s">
        <v>2434</v>
      </c>
      <c r="G2368" t="s">
        <v>5</v>
      </c>
      <c r="H2368" t="s">
        <v>5</v>
      </c>
      <c r="I2368" t="s">
        <v>2122</v>
      </c>
      <c r="J2368" t="s">
        <v>40</v>
      </c>
      <c r="K2368" s="3">
        <f t="shared" si="72"/>
        <v>0</v>
      </c>
      <c r="L2368" s="3">
        <f>IF(ISERROR(VLOOKUP(J2368,Lookups!$A$2:$A$16,1,FALSE)),1,0)</f>
        <v>1</v>
      </c>
      <c r="M2368" s="3">
        <f>IF(ISERROR(VLOOKUP(D2368,Data!$A$2:$D$223100,2,FALSE)),0,1)</f>
        <v>1</v>
      </c>
      <c r="N2368" s="3">
        <f t="shared" si="73"/>
        <v>1</v>
      </c>
      <c r="O2368" s="3" t="str">
        <f>IF(ISERROR(VLOOKUP(D2368,Data!$A$2:$C$223100,3,FALSE)),"INACTIVE",VLOOKUP(D2368,Data!$A$2:$C$223100,3,FALSE))</f>
        <v>FC</v>
      </c>
    </row>
    <row r="2369" spans="1:15" x14ac:dyDescent="0.25">
      <c r="A2369" t="s">
        <v>2117</v>
      </c>
      <c r="B2369" t="s">
        <v>2118</v>
      </c>
      <c r="C2369" t="s">
        <v>2435</v>
      </c>
      <c r="D2369" t="s">
        <v>2436</v>
      </c>
      <c r="E2369" t="s">
        <v>2437</v>
      </c>
      <c r="F2369" t="s">
        <v>2438</v>
      </c>
      <c r="G2369" t="s">
        <v>5</v>
      </c>
      <c r="H2369" t="s">
        <v>5</v>
      </c>
      <c r="I2369" t="s">
        <v>2122</v>
      </c>
      <c r="J2369" t="s">
        <v>47</v>
      </c>
      <c r="K2369" s="3">
        <f t="shared" si="72"/>
        <v>0</v>
      </c>
      <c r="L2369" s="3">
        <f>IF(ISERROR(VLOOKUP(J2369,Lookups!$A$2:$A$16,1,FALSE)),1,0)</f>
        <v>1</v>
      </c>
      <c r="M2369" s="3">
        <f>IF(ISERROR(VLOOKUP(D2369,Data!$A$2:$D$223100,2,FALSE)),0,1)</f>
        <v>1</v>
      </c>
      <c r="N2369" s="3">
        <f t="shared" si="73"/>
        <v>1</v>
      </c>
      <c r="O2369" s="3" t="str">
        <f>IF(ISERROR(VLOOKUP(D2369,Data!$A$2:$C$223100,3,FALSE)),"INACTIVE",VLOOKUP(D2369,Data!$A$2:$C$223100,3,FALSE))</f>
        <v>FBA</v>
      </c>
    </row>
    <row r="2370" spans="1:15" x14ac:dyDescent="0.25">
      <c r="A2370" t="s">
        <v>2117</v>
      </c>
      <c r="B2370" t="s">
        <v>2118</v>
      </c>
      <c r="C2370" t="s">
        <v>2439</v>
      </c>
      <c r="D2370" t="s">
        <v>2440</v>
      </c>
      <c r="E2370" t="s">
        <v>2441</v>
      </c>
      <c r="F2370" t="s">
        <v>2441</v>
      </c>
      <c r="G2370" t="s">
        <v>5</v>
      </c>
      <c r="H2370" t="s">
        <v>5</v>
      </c>
      <c r="I2370" t="s">
        <v>2122</v>
      </c>
      <c r="J2370" t="s">
        <v>47</v>
      </c>
      <c r="K2370" s="3">
        <f t="shared" si="72"/>
        <v>0</v>
      </c>
      <c r="L2370" s="3">
        <f>IF(ISERROR(VLOOKUP(J2370,Lookups!$A$2:$A$16,1,FALSE)),1,0)</f>
        <v>1</v>
      </c>
      <c r="M2370" s="3">
        <f>IF(ISERROR(VLOOKUP(D2370,Data!$A$2:$D$223100,2,FALSE)),0,1)</f>
        <v>1</v>
      </c>
      <c r="N2370" s="3">
        <f t="shared" si="73"/>
        <v>1</v>
      </c>
      <c r="O2370" s="3" t="str">
        <f>IF(ISERROR(VLOOKUP(D2370,Data!$A$2:$C$223100,3,FALSE)),"INACTIVE",VLOOKUP(D2370,Data!$A$2:$C$223100,3,FALSE))</f>
        <v>Demand Letter</v>
      </c>
    </row>
    <row r="2371" spans="1:15" x14ac:dyDescent="0.25">
      <c r="A2371" t="s">
        <v>2117</v>
      </c>
      <c r="B2371" t="s">
        <v>2118</v>
      </c>
      <c r="C2371" t="s">
        <v>2442</v>
      </c>
      <c r="D2371" t="s">
        <v>2443</v>
      </c>
      <c r="E2371" t="s">
        <v>2444</v>
      </c>
      <c r="F2371" t="s">
        <v>2444</v>
      </c>
      <c r="G2371" t="s">
        <v>5</v>
      </c>
      <c r="H2371" t="s">
        <v>5</v>
      </c>
      <c r="I2371" t="s">
        <v>2122</v>
      </c>
      <c r="J2371" t="s">
        <v>47</v>
      </c>
      <c r="K2371" s="3">
        <f t="shared" ref="K2371:K2434" si="74">IF(ISERROR(FIND("LIEN",A2371,1)),0,1)</f>
        <v>0</v>
      </c>
      <c r="L2371" s="3">
        <f>IF(ISERROR(VLOOKUP(J2371,Lookups!$A$2:$A$16,1,FALSE)),1,0)</f>
        <v>1</v>
      </c>
      <c r="M2371" s="3">
        <f>IF(ISERROR(VLOOKUP(D2371,Data!$A$2:$D$223100,2,FALSE)),0,1)</f>
        <v>1</v>
      </c>
      <c r="N2371" s="3">
        <f t="shared" ref="N2371:N2434" si="75">IF(M2371=0,0,IF(SUM(K2371:L2371)&gt;0,1,0))</f>
        <v>1</v>
      </c>
      <c r="O2371" s="3" t="str">
        <f>IF(ISERROR(VLOOKUP(D2371,Data!$A$2:$C$223100,3,FALSE)),"INACTIVE",VLOOKUP(D2371,Data!$A$2:$C$223100,3,FALSE))</f>
        <v>30+</v>
      </c>
    </row>
    <row r="2372" spans="1:15" x14ac:dyDescent="0.25">
      <c r="A2372" t="s">
        <v>2117</v>
      </c>
      <c r="B2372" t="s">
        <v>2118</v>
      </c>
      <c r="C2372" t="s">
        <v>2445</v>
      </c>
      <c r="D2372" t="s">
        <v>2446</v>
      </c>
      <c r="E2372" t="s">
        <v>2447</v>
      </c>
      <c r="F2372" t="s">
        <v>2448</v>
      </c>
      <c r="G2372" t="s">
        <v>5</v>
      </c>
      <c r="H2372" t="s">
        <v>5</v>
      </c>
      <c r="I2372" t="s">
        <v>2122</v>
      </c>
      <c r="J2372" t="s">
        <v>47</v>
      </c>
      <c r="K2372" s="3">
        <f t="shared" si="74"/>
        <v>0</v>
      </c>
      <c r="L2372" s="3">
        <f>IF(ISERROR(VLOOKUP(J2372,Lookups!$A$2:$A$16,1,FALSE)),1,0)</f>
        <v>1</v>
      </c>
      <c r="M2372" s="3">
        <f>IF(ISERROR(VLOOKUP(D2372,Data!$A$2:$D$223100,2,FALSE)),0,1)</f>
        <v>0</v>
      </c>
      <c r="N2372" s="3">
        <f t="shared" si="75"/>
        <v>0</v>
      </c>
      <c r="O2372" s="3" t="str">
        <f>IF(ISERROR(VLOOKUP(D2372,Data!$A$2:$C$223100,3,FALSE)),"INACTIVE",VLOOKUP(D2372,Data!$A$2:$C$223100,3,FALSE))</f>
        <v>INACTIVE</v>
      </c>
    </row>
    <row r="2373" spans="1:15" x14ac:dyDescent="0.25">
      <c r="A2373" t="s">
        <v>2117</v>
      </c>
      <c r="B2373" t="s">
        <v>2118</v>
      </c>
      <c r="C2373" t="s">
        <v>2449</v>
      </c>
      <c r="D2373" t="s">
        <v>2450</v>
      </c>
      <c r="E2373" t="s">
        <v>2451</v>
      </c>
      <c r="F2373" t="s">
        <v>2452</v>
      </c>
      <c r="G2373" t="s">
        <v>5</v>
      </c>
      <c r="H2373" t="s">
        <v>5</v>
      </c>
      <c r="I2373" t="s">
        <v>2122</v>
      </c>
      <c r="J2373" t="s">
        <v>40</v>
      </c>
      <c r="K2373" s="3">
        <f t="shared" si="74"/>
        <v>0</v>
      </c>
      <c r="L2373" s="3">
        <f>IF(ISERROR(VLOOKUP(J2373,Lookups!$A$2:$A$16,1,FALSE)),1,0)</f>
        <v>1</v>
      </c>
      <c r="M2373" s="3">
        <f>IF(ISERROR(VLOOKUP(D2373,Data!$A$2:$D$223100,2,FALSE)),0,1)</f>
        <v>1</v>
      </c>
      <c r="N2373" s="3">
        <f t="shared" si="75"/>
        <v>1</v>
      </c>
      <c r="O2373" s="3" t="str">
        <f>IF(ISERROR(VLOOKUP(D2373,Data!$A$2:$C$223100,3,FALSE)),"INACTIVE",VLOOKUP(D2373,Data!$A$2:$C$223100,3,FALSE))</f>
        <v>Current</v>
      </c>
    </row>
    <row r="2374" spans="1:15" x14ac:dyDescent="0.25">
      <c r="A2374" t="s">
        <v>2117</v>
      </c>
      <c r="B2374" t="s">
        <v>2118</v>
      </c>
      <c r="C2374" t="s">
        <v>2453</v>
      </c>
      <c r="D2374" t="s">
        <v>2454</v>
      </c>
      <c r="E2374" t="s">
        <v>2455</v>
      </c>
      <c r="F2374" t="s">
        <v>2456</v>
      </c>
      <c r="G2374" t="s">
        <v>5</v>
      </c>
      <c r="H2374" t="s">
        <v>5</v>
      </c>
      <c r="I2374" t="s">
        <v>2122</v>
      </c>
      <c r="J2374" t="s">
        <v>47</v>
      </c>
      <c r="K2374" s="3">
        <f t="shared" si="74"/>
        <v>0</v>
      </c>
      <c r="L2374" s="3">
        <f>IF(ISERROR(VLOOKUP(J2374,Lookups!$A$2:$A$16,1,FALSE)),1,0)</f>
        <v>1</v>
      </c>
      <c r="M2374" s="3">
        <f>IF(ISERROR(VLOOKUP(D2374,Data!$A$2:$D$223100,2,FALSE)),0,1)</f>
        <v>1</v>
      </c>
      <c r="N2374" s="3">
        <f t="shared" si="75"/>
        <v>1</v>
      </c>
      <c r="O2374" s="3" t="str">
        <f>IF(ISERROR(VLOOKUP(D2374,Data!$A$2:$C$223100,3,FALSE)),"INACTIVE",VLOOKUP(D2374,Data!$A$2:$C$223100,3,FALSE))</f>
        <v>Demand Letter</v>
      </c>
    </row>
    <row r="2375" spans="1:15" x14ac:dyDescent="0.25">
      <c r="A2375" t="s">
        <v>2117</v>
      </c>
      <c r="B2375" t="s">
        <v>2118</v>
      </c>
      <c r="C2375" t="s">
        <v>2145</v>
      </c>
      <c r="D2375" t="s">
        <v>2146</v>
      </c>
      <c r="E2375" t="s">
        <v>2457</v>
      </c>
      <c r="F2375" t="s">
        <v>2458</v>
      </c>
      <c r="G2375" t="s">
        <v>5</v>
      </c>
      <c r="H2375" t="s">
        <v>5</v>
      </c>
      <c r="I2375" t="s">
        <v>2122</v>
      </c>
      <c r="J2375" t="s">
        <v>36</v>
      </c>
      <c r="K2375" s="3">
        <f t="shared" si="74"/>
        <v>0</v>
      </c>
      <c r="L2375" s="3">
        <f>IF(ISERROR(VLOOKUP(J2375,Lookups!$A$2:$A$16,1,FALSE)),1,0)</f>
        <v>1</v>
      </c>
      <c r="M2375" s="3">
        <f>IF(ISERROR(VLOOKUP(D2375,Data!$A$2:$D$223100,2,FALSE)),0,1)</f>
        <v>1</v>
      </c>
      <c r="N2375" s="3">
        <f t="shared" si="75"/>
        <v>1</v>
      </c>
      <c r="O2375" s="3" t="str">
        <f>IF(ISERROR(VLOOKUP(D2375,Data!$A$2:$C$223100,3,FALSE)),"INACTIVE",VLOOKUP(D2375,Data!$A$2:$C$223100,3,FALSE))</f>
        <v>60+</v>
      </c>
    </row>
    <row r="2376" spans="1:15" x14ac:dyDescent="0.25">
      <c r="A2376" t="s">
        <v>2117</v>
      </c>
      <c r="B2376" t="s">
        <v>2118</v>
      </c>
      <c r="C2376" t="s">
        <v>2459</v>
      </c>
      <c r="D2376" t="s">
        <v>2460</v>
      </c>
      <c r="E2376" t="s">
        <v>2461</v>
      </c>
      <c r="F2376" t="s">
        <v>2462</v>
      </c>
      <c r="G2376" t="s">
        <v>5</v>
      </c>
      <c r="H2376" t="s">
        <v>5</v>
      </c>
      <c r="I2376" t="s">
        <v>2122</v>
      </c>
      <c r="J2376" t="s">
        <v>47</v>
      </c>
      <c r="K2376" s="3">
        <f t="shared" si="74"/>
        <v>0</v>
      </c>
      <c r="L2376" s="3">
        <f>IF(ISERROR(VLOOKUP(J2376,Lookups!$A$2:$A$16,1,FALSE)),1,0)</f>
        <v>1</v>
      </c>
      <c r="M2376" s="3">
        <f>IF(ISERROR(VLOOKUP(D2376,Data!$A$2:$D$223100,2,FALSE)),0,1)</f>
        <v>1</v>
      </c>
      <c r="N2376" s="3">
        <f t="shared" si="75"/>
        <v>1</v>
      </c>
      <c r="O2376" s="3" t="str">
        <f>IF(ISERROR(VLOOKUP(D2376,Data!$A$2:$C$223100,3,FALSE)),"INACTIVE",VLOOKUP(D2376,Data!$A$2:$C$223100,3,FALSE))</f>
        <v>BK7</v>
      </c>
    </row>
    <row r="2377" spans="1:15" x14ac:dyDescent="0.25">
      <c r="A2377" t="s">
        <v>2117</v>
      </c>
      <c r="B2377" t="s">
        <v>2118</v>
      </c>
      <c r="C2377" t="s">
        <v>2463</v>
      </c>
      <c r="D2377" t="s">
        <v>2464</v>
      </c>
      <c r="E2377" t="s">
        <v>2465</v>
      </c>
      <c r="F2377" t="s">
        <v>2466</v>
      </c>
      <c r="G2377" t="s">
        <v>5</v>
      </c>
      <c r="H2377" t="s">
        <v>5</v>
      </c>
      <c r="I2377" t="s">
        <v>2122</v>
      </c>
      <c r="J2377" t="s">
        <v>40</v>
      </c>
      <c r="K2377" s="3">
        <f t="shared" si="74"/>
        <v>0</v>
      </c>
      <c r="L2377" s="3">
        <f>IF(ISERROR(VLOOKUP(J2377,Lookups!$A$2:$A$16,1,FALSE)),1,0)</f>
        <v>1</v>
      </c>
      <c r="M2377" s="3">
        <f>IF(ISERROR(VLOOKUP(D2377,Data!$A$2:$D$223100,2,FALSE)),0,1)</f>
        <v>1</v>
      </c>
      <c r="N2377" s="3">
        <f t="shared" si="75"/>
        <v>1</v>
      </c>
      <c r="O2377" s="3" t="str">
        <f>IF(ISERROR(VLOOKUP(D2377,Data!$A$2:$C$223100,3,FALSE)),"INACTIVE",VLOOKUP(D2377,Data!$A$2:$C$223100,3,FALSE))</f>
        <v>Demand Letter</v>
      </c>
    </row>
    <row r="2378" spans="1:15" x14ac:dyDescent="0.25">
      <c r="A2378" t="s">
        <v>2117</v>
      </c>
      <c r="B2378" t="s">
        <v>2118</v>
      </c>
      <c r="C2378" t="s">
        <v>2467</v>
      </c>
      <c r="D2378" t="s">
        <v>2468</v>
      </c>
      <c r="E2378" t="s">
        <v>2469</v>
      </c>
      <c r="F2378" t="s">
        <v>2470</v>
      </c>
      <c r="G2378" t="s">
        <v>5</v>
      </c>
      <c r="H2378" t="s">
        <v>5</v>
      </c>
      <c r="I2378" t="s">
        <v>2122</v>
      </c>
      <c r="J2378" t="s">
        <v>40</v>
      </c>
      <c r="K2378" s="3">
        <f t="shared" si="74"/>
        <v>0</v>
      </c>
      <c r="L2378" s="3">
        <f>IF(ISERROR(VLOOKUP(J2378,Lookups!$A$2:$A$16,1,FALSE)),1,0)</f>
        <v>1</v>
      </c>
      <c r="M2378" s="3">
        <f>IF(ISERROR(VLOOKUP(D2378,Data!$A$2:$D$223100,2,FALSE)),0,1)</f>
        <v>1</v>
      </c>
      <c r="N2378" s="3">
        <f t="shared" si="75"/>
        <v>1</v>
      </c>
      <c r="O2378" s="3" t="str">
        <f>IF(ISERROR(VLOOKUP(D2378,Data!$A$2:$C$223100,3,FALSE)),"INACTIVE",VLOOKUP(D2378,Data!$A$2:$C$223100,3,FALSE))</f>
        <v>Current</v>
      </c>
    </row>
    <row r="2379" spans="1:15" x14ac:dyDescent="0.25">
      <c r="A2379" t="s">
        <v>2117</v>
      </c>
      <c r="B2379" t="s">
        <v>2118</v>
      </c>
      <c r="C2379" t="s">
        <v>2471</v>
      </c>
      <c r="D2379" t="s">
        <v>2472</v>
      </c>
      <c r="E2379" t="s">
        <v>2473</v>
      </c>
      <c r="F2379" t="s">
        <v>2474</v>
      </c>
      <c r="G2379" t="s">
        <v>5</v>
      </c>
      <c r="H2379" t="s">
        <v>5</v>
      </c>
      <c r="I2379" t="s">
        <v>2122</v>
      </c>
      <c r="J2379" t="s">
        <v>40</v>
      </c>
      <c r="K2379" s="3">
        <f t="shared" si="74"/>
        <v>0</v>
      </c>
      <c r="L2379" s="3">
        <f>IF(ISERROR(VLOOKUP(J2379,Lookups!$A$2:$A$16,1,FALSE)),1,0)</f>
        <v>1</v>
      </c>
      <c r="M2379" s="3">
        <f>IF(ISERROR(VLOOKUP(D2379,Data!$A$2:$D$223100,2,FALSE)),0,1)</f>
        <v>1</v>
      </c>
      <c r="N2379" s="3">
        <f t="shared" si="75"/>
        <v>1</v>
      </c>
      <c r="O2379" s="3" t="str">
        <f>IF(ISERROR(VLOOKUP(D2379,Data!$A$2:$C$223100,3,FALSE)),"INACTIVE",VLOOKUP(D2379,Data!$A$2:$C$223100,3,FALSE))</f>
        <v>150+</v>
      </c>
    </row>
    <row r="2380" spans="1:15" x14ac:dyDescent="0.25">
      <c r="A2380" t="s">
        <v>2117</v>
      </c>
      <c r="B2380" t="s">
        <v>2118</v>
      </c>
      <c r="C2380" t="s">
        <v>2475</v>
      </c>
      <c r="D2380" t="s">
        <v>2476</v>
      </c>
      <c r="E2380" t="s">
        <v>2477</v>
      </c>
      <c r="F2380" t="s">
        <v>2478</v>
      </c>
      <c r="G2380" t="s">
        <v>5</v>
      </c>
      <c r="H2380" t="s">
        <v>5</v>
      </c>
      <c r="I2380" t="s">
        <v>2122</v>
      </c>
      <c r="J2380" t="s">
        <v>40</v>
      </c>
      <c r="K2380" s="3">
        <f t="shared" si="74"/>
        <v>0</v>
      </c>
      <c r="L2380" s="3">
        <f>IF(ISERROR(VLOOKUP(J2380,Lookups!$A$2:$A$16,1,FALSE)),1,0)</f>
        <v>1</v>
      </c>
      <c r="M2380" s="3">
        <f>IF(ISERROR(VLOOKUP(D2380,Data!$A$2:$D$223100,2,FALSE)),0,1)</f>
        <v>1</v>
      </c>
      <c r="N2380" s="3">
        <f t="shared" si="75"/>
        <v>1</v>
      </c>
      <c r="O2380" s="3" t="str">
        <f>IF(ISERROR(VLOOKUP(D2380,Data!$A$2:$C$223100,3,FALSE)),"INACTIVE",VLOOKUP(D2380,Data!$A$2:$C$223100,3,FALSE))</f>
        <v>BK11</v>
      </c>
    </row>
    <row r="2381" spans="1:15" x14ac:dyDescent="0.25">
      <c r="A2381" t="s">
        <v>2117</v>
      </c>
      <c r="B2381" t="s">
        <v>2118</v>
      </c>
      <c r="C2381" t="s">
        <v>2149</v>
      </c>
      <c r="D2381" t="s">
        <v>2150</v>
      </c>
      <c r="E2381" t="s">
        <v>2479</v>
      </c>
      <c r="F2381" t="s">
        <v>2480</v>
      </c>
      <c r="G2381" t="s">
        <v>5</v>
      </c>
      <c r="H2381" t="s">
        <v>5</v>
      </c>
      <c r="I2381" t="s">
        <v>2122</v>
      </c>
      <c r="J2381" t="s">
        <v>573</v>
      </c>
      <c r="K2381" s="3">
        <f t="shared" si="74"/>
        <v>0</v>
      </c>
      <c r="L2381" s="3">
        <f>IF(ISERROR(VLOOKUP(J2381,Lookups!$A$2:$A$16,1,FALSE)),1,0)</f>
        <v>1</v>
      </c>
      <c r="M2381" s="3">
        <f>IF(ISERROR(VLOOKUP(D2381,Data!$A$2:$D$223100,2,FALSE)),0,1)</f>
        <v>1</v>
      </c>
      <c r="N2381" s="3">
        <f t="shared" si="75"/>
        <v>1</v>
      </c>
      <c r="O2381" s="3" t="str">
        <f>IF(ISERROR(VLOOKUP(D2381,Data!$A$2:$C$223100,3,FALSE)),"INACTIVE",VLOOKUP(D2381,Data!$A$2:$C$223100,3,FALSE))</f>
        <v>BK13</v>
      </c>
    </row>
    <row r="2382" spans="1:15" x14ac:dyDescent="0.25">
      <c r="A2382" t="s">
        <v>2117</v>
      </c>
      <c r="B2382" t="s">
        <v>2118</v>
      </c>
      <c r="C2382" t="s">
        <v>2481</v>
      </c>
      <c r="D2382" t="s">
        <v>2482</v>
      </c>
      <c r="E2382" t="s">
        <v>2483</v>
      </c>
      <c r="F2382" t="s">
        <v>2484</v>
      </c>
      <c r="G2382" t="s">
        <v>5</v>
      </c>
      <c r="H2382" t="s">
        <v>5</v>
      </c>
      <c r="I2382" t="s">
        <v>2122</v>
      </c>
      <c r="J2382" t="s">
        <v>40</v>
      </c>
      <c r="K2382" s="3">
        <f t="shared" si="74"/>
        <v>0</v>
      </c>
      <c r="L2382" s="3">
        <f>IF(ISERROR(VLOOKUP(J2382,Lookups!$A$2:$A$16,1,FALSE)),1,0)</f>
        <v>1</v>
      </c>
      <c r="M2382" s="3">
        <f>IF(ISERROR(VLOOKUP(D2382,Data!$A$2:$D$223100,2,FALSE)),0,1)</f>
        <v>1</v>
      </c>
      <c r="N2382" s="3">
        <f t="shared" si="75"/>
        <v>1</v>
      </c>
      <c r="O2382" s="3" t="str">
        <f>IF(ISERROR(VLOOKUP(D2382,Data!$A$2:$C$223100,3,FALSE)),"INACTIVE",VLOOKUP(D2382,Data!$A$2:$C$223100,3,FALSE))</f>
        <v>Current</v>
      </c>
    </row>
    <row r="2383" spans="1:15" x14ac:dyDescent="0.25">
      <c r="A2383" t="s">
        <v>2117</v>
      </c>
      <c r="B2383" t="s">
        <v>2118</v>
      </c>
      <c r="C2383" t="s">
        <v>2485</v>
      </c>
      <c r="D2383" t="s">
        <v>2486</v>
      </c>
      <c r="E2383" t="s">
        <v>2487</v>
      </c>
      <c r="F2383" t="s">
        <v>2488</v>
      </c>
      <c r="G2383" t="s">
        <v>5</v>
      </c>
      <c r="H2383" t="s">
        <v>5</v>
      </c>
      <c r="I2383" t="s">
        <v>2122</v>
      </c>
      <c r="J2383" t="s">
        <v>47</v>
      </c>
      <c r="K2383" s="3">
        <f t="shared" si="74"/>
        <v>0</v>
      </c>
      <c r="L2383" s="3">
        <f>IF(ISERROR(VLOOKUP(J2383,Lookups!$A$2:$A$16,1,FALSE)),1,0)</f>
        <v>1</v>
      </c>
      <c r="M2383" s="3">
        <f>IF(ISERROR(VLOOKUP(D2383,Data!$A$2:$D$223100,2,FALSE)),0,1)</f>
        <v>1</v>
      </c>
      <c r="N2383" s="3">
        <f t="shared" si="75"/>
        <v>1</v>
      </c>
      <c r="O2383" s="3" t="str">
        <f>IF(ISERROR(VLOOKUP(D2383,Data!$A$2:$C$223100,3,FALSE)),"INACTIVE",VLOOKUP(D2383,Data!$A$2:$C$223100,3,FALSE))</f>
        <v>Demand Letter</v>
      </c>
    </row>
    <row r="2384" spans="1:15" x14ac:dyDescent="0.25">
      <c r="A2384" t="s">
        <v>2117</v>
      </c>
      <c r="B2384" t="s">
        <v>2118</v>
      </c>
      <c r="C2384" t="s">
        <v>2489</v>
      </c>
      <c r="D2384" t="s">
        <v>2490</v>
      </c>
      <c r="E2384" t="s">
        <v>2491</v>
      </c>
      <c r="F2384" t="s">
        <v>2492</v>
      </c>
      <c r="G2384" t="s">
        <v>5</v>
      </c>
      <c r="H2384" t="s">
        <v>5</v>
      </c>
      <c r="I2384" t="s">
        <v>2122</v>
      </c>
      <c r="J2384" t="s">
        <v>47</v>
      </c>
      <c r="K2384" s="3">
        <f t="shared" si="74"/>
        <v>0</v>
      </c>
      <c r="L2384" s="3">
        <f>IF(ISERROR(VLOOKUP(J2384,Lookups!$A$2:$A$16,1,FALSE)),1,0)</f>
        <v>1</v>
      </c>
      <c r="M2384" s="3">
        <f>IF(ISERROR(VLOOKUP(D2384,Data!$A$2:$D$223100,2,FALSE)),0,1)</f>
        <v>1</v>
      </c>
      <c r="N2384" s="3">
        <f t="shared" si="75"/>
        <v>1</v>
      </c>
      <c r="O2384" s="3" t="str">
        <f>IF(ISERROR(VLOOKUP(D2384,Data!$A$2:$C$223100,3,FALSE)),"INACTIVE",VLOOKUP(D2384,Data!$A$2:$C$223100,3,FALSE))</f>
        <v>Demand Letter</v>
      </c>
    </row>
    <row r="2385" spans="1:15" x14ac:dyDescent="0.25">
      <c r="A2385" t="s">
        <v>2117</v>
      </c>
      <c r="B2385" t="s">
        <v>2118</v>
      </c>
      <c r="C2385" t="s">
        <v>2493</v>
      </c>
      <c r="D2385" t="s">
        <v>2494</v>
      </c>
      <c r="E2385" t="s">
        <v>2495</v>
      </c>
      <c r="F2385" t="s">
        <v>2496</v>
      </c>
      <c r="G2385" t="s">
        <v>5</v>
      </c>
      <c r="H2385" t="s">
        <v>5</v>
      </c>
      <c r="I2385" t="s">
        <v>2122</v>
      </c>
      <c r="J2385" t="s">
        <v>40</v>
      </c>
      <c r="K2385" s="3">
        <f t="shared" si="74"/>
        <v>0</v>
      </c>
      <c r="L2385" s="3">
        <f>IF(ISERROR(VLOOKUP(J2385,Lookups!$A$2:$A$16,1,FALSE)),1,0)</f>
        <v>1</v>
      </c>
      <c r="M2385" s="3">
        <f>IF(ISERROR(VLOOKUP(D2385,Data!$A$2:$D$223100,2,FALSE)),0,1)</f>
        <v>1</v>
      </c>
      <c r="N2385" s="3">
        <f t="shared" si="75"/>
        <v>1</v>
      </c>
      <c r="O2385" s="3" t="str">
        <f>IF(ISERROR(VLOOKUP(D2385,Data!$A$2:$C$223100,3,FALSE)),"INACTIVE",VLOOKUP(D2385,Data!$A$2:$C$223100,3,FALSE))</f>
        <v>120+</v>
      </c>
    </row>
    <row r="2386" spans="1:15" x14ac:dyDescent="0.25">
      <c r="A2386" t="s">
        <v>2117</v>
      </c>
      <c r="B2386" t="s">
        <v>2118</v>
      </c>
      <c r="C2386" t="s">
        <v>2497</v>
      </c>
      <c r="D2386" t="s">
        <v>2498</v>
      </c>
      <c r="E2386" t="s">
        <v>2499</v>
      </c>
      <c r="F2386" t="s">
        <v>2499</v>
      </c>
      <c r="G2386" t="s">
        <v>5</v>
      </c>
      <c r="H2386" t="s">
        <v>5</v>
      </c>
      <c r="I2386" t="s">
        <v>2122</v>
      </c>
      <c r="J2386" t="s">
        <v>47</v>
      </c>
      <c r="K2386" s="3">
        <f t="shared" si="74"/>
        <v>0</v>
      </c>
      <c r="L2386" s="3">
        <f>IF(ISERROR(VLOOKUP(J2386,Lookups!$A$2:$A$16,1,FALSE)),1,0)</f>
        <v>1</v>
      </c>
      <c r="M2386" s="3">
        <f>IF(ISERROR(VLOOKUP(D2386,Data!$A$2:$D$223100,2,FALSE)),0,1)</f>
        <v>1</v>
      </c>
      <c r="N2386" s="3">
        <f t="shared" si="75"/>
        <v>1</v>
      </c>
      <c r="O2386" s="3" t="str">
        <f>IF(ISERROR(VLOOKUP(D2386,Data!$A$2:$C$223100,3,FALSE)),"INACTIVE",VLOOKUP(D2386,Data!$A$2:$C$223100,3,FALSE))</f>
        <v>Demand Letter</v>
      </c>
    </row>
    <row r="2387" spans="1:15" x14ac:dyDescent="0.25">
      <c r="A2387" t="s">
        <v>2117</v>
      </c>
      <c r="B2387" t="s">
        <v>2118</v>
      </c>
      <c r="C2387" t="s">
        <v>2500</v>
      </c>
      <c r="D2387" t="s">
        <v>2501</v>
      </c>
      <c r="E2387" t="s">
        <v>2502</v>
      </c>
      <c r="F2387" t="s">
        <v>2503</v>
      </c>
      <c r="G2387" t="s">
        <v>5</v>
      </c>
      <c r="H2387" t="s">
        <v>5</v>
      </c>
      <c r="I2387" t="s">
        <v>2122</v>
      </c>
      <c r="J2387" t="s">
        <v>40</v>
      </c>
      <c r="K2387" s="3">
        <f t="shared" si="74"/>
        <v>0</v>
      </c>
      <c r="L2387" s="3">
        <f>IF(ISERROR(VLOOKUP(J2387,Lookups!$A$2:$A$16,1,FALSE)),1,0)</f>
        <v>1</v>
      </c>
      <c r="M2387" s="3">
        <f>IF(ISERROR(VLOOKUP(D2387,Data!$A$2:$D$223100,2,FALSE)),0,1)</f>
        <v>1</v>
      </c>
      <c r="N2387" s="3">
        <f t="shared" si="75"/>
        <v>1</v>
      </c>
      <c r="O2387" s="3" t="str">
        <f>IF(ISERROR(VLOOKUP(D2387,Data!$A$2:$C$223100,3,FALSE)),"INACTIVE",VLOOKUP(D2387,Data!$A$2:$C$223100,3,FALSE))</f>
        <v>90+</v>
      </c>
    </row>
    <row r="2388" spans="1:15" x14ac:dyDescent="0.25">
      <c r="A2388" t="s">
        <v>2117</v>
      </c>
      <c r="B2388" t="s">
        <v>2118</v>
      </c>
      <c r="C2388" t="s">
        <v>2504</v>
      </c>
      <c r="D2388" t="s">
        <v>2505</v>
      </c>
      <c r="E2388" t="s">
        <v>2506</v>
      </c>
      <c r="F2388" t="s">
        <v>2507</v>
      </c>
      <c r="G2388" t="s">
        <v>5</v>
      </c>
      <c r="H2388" t="s">
        <v>5</v>
      </c>
      <c r="I2388" t="s">
        <v>2122</v>
      </c>
      <c r="J2388" t="s">
        <v>40</v>
      </c>
      <c r="K2388" s="3">
        <f t="shared" si="74"/>
        <v>0</v>
      </c>
      <c r="L2388" s="3">
        <f>IF(ISERROR(VLOOKUP(J2388,Lookups!$A$2:$A$16,1,FALSE)),1,0)</f>
        <v>1</v>
      </c>
      <c r="M2388" s="3">
        <f>IF(ISERROR(VLOOKUP(D2388,Data!$A$2:$D$223100,2,FALSE)),0,1)</f>
        <v>1</v>
      </c>
      <c r="N2388" s="3">
        <f t="shared" si="75"/>
        <v>1</v>
      </c>
      <c r="O2388" s="3" t="str">
        <f>IF(ISERROR(VLOOKUP(D2388,Data!$A$2:$C$223100,3,FALSE)),"INACTIVE",VLOOKUP(D2388,Data!$A$2:$C$223100,3,FALSE))</f>
        <v>Current</v>
      </c>
    </row>
    <row r="2389" spans="1:15" x14ac:dyDescent="0.25">
      <c r="A2389" t="s">
        <v>2117</v>
      </c>
      <c r="B2389" t="s">
        <v>2118</v>
      </c>
      <c r="C2389" t="s">
        <v>2152</v>
      </c>
      <c r="D2389" t="s">
        <v>2153</v>
      </c>
      <c r="E2389" t="s">
        <v>2508</v>
      </c>
      <c r="F2389" t="s">
        <v>2509</v>
      </c>
      <c r="G2389" t="s">
        <v>5</v>
      </c>
      <c r="H2389" t="s">
        <v>5</v>
      </c>
      <c r="I2389" t="s">
        <v>2122</v>
      </c>
      <c r="J2389" t="s">
        <v>7</v>
      </c>
      <c r="K2389" s="3">
        <f t="shared" si="74"/>
        <v>0</v>
      </c>
      <c r="L2389" s="3">
        <f>IF(ISERROR(VLOOKUP(J2389,Lookups!$A$2:$A$16,1,FALSE)),1,0)</f>
        <v>1</v>
      </c>
      <c r="M2389" s="3">
        <f>IF(ISERROR(VLOOKUP(D2389,Data!$A$2:$D$223100,2,FALSE)),0,1)</f>
        <v>1</v>
      </c>
      <c r="N2389" s="3">
        <f t="shared" si="75"/>
        <v>1</v>
      </c>
      <c r="O2389" s="3" t="str">
        <f>IF(ISERROR(VLOOKUP(D2389,Data!$A$2:$C$223100,3,FALSE)),"INACTIVE",VLOOKUP(D2389,Data!$A$2:$C$223100,3,FALSE))</f>
        <v>FC</v>
      </c>
    </row>
    <row r="2390" spans="1:15" x14ac:dyDescent="0.25">
      <c r="A2390" t="s">
        <v>2117</v>
      </c>
      <c r="B2390" t="s">
        <v>2118</v>
      </c>
      <c r="C2390" t="s">
        <v>2510</v>
      </c>
      <c r="D2390" t="s">
        <v>2511</v>
      </c>
      <c r="E2390" t="s">
        <v>2512</v>
      </c>
      <c r="F2390" t="s">
        <v>2513</v>
      </c>
      <c r="G2390" t="s">
        <v>5</v>
      </c>
      <c r="H2390" t="s">
        <v>5</v>
      </c>
      <c r="I2390" t="s">
        <v>2122</v>
      </c>
      <c r="J2390" t="s">
        <v>40</v>
      </c>
      <c r="K2390" s="3">
        <f t="shared" si="74"/>
        <v>0</v>
      </c>
      <c r="L2390" s="3">
        <f>IF(ISERROR(VLOOKUP(J2390,Lookups!$A$2:$A$16,1,FALSE)),1,0)</f>
        <v>1</v>
      </c>
      <c r="M2390" s="3">
        <f>IF(ISERROR(VLOOKUP(D2390,Data!$A$2:$D$223100,2,FALSE)),0,1)</f>
        <v>1</v>
      </c>
      <c r="N2390" s="3">
        <f t="shared" si="75"/>
        <v>1</v>
      </c>
      <c r="O2390" s="3" t="str">
        <f>IF(ISERROR(VLOOKUP(D2390,Data!$A$2:$C$223100,3,FALSE)),"INACTIVE",VLOOKUP(D2390,Data!$A$2:$C$223100,3,FALSE))</f>
        <v>30+</v>
      </c>
    </row>
    <row r="2391" spans="1:15" x14ac:dyDescent="0.25">
      <c r="A2391" t="s">
        <v>2117</v>
      </c>
      <c r="B2391" t="s">
        <v>2118</v>
      </c>
      <c r="C2391" t="s">
        <v>2514</v>
      </c>
      <c r="D2391" t="s">
        <v>2515</v>
      </c>
      <c r="E2391" t="s">
        <v>2516</v>
      </c>
      <c r="F2391" t="s">
        <v>2517</v>
      </c>
      <c r="G2391" t="s">
        <v>5</v>
      </c>
      <c r="H2391" t="s">
        <v>5</v>
      </c>
      <c r="I2391" t="s">
        <v>2122</v>
      </c>
      <c r="J2391" t="s">
        <v>40</v>
      </c>
      <c r="K2391" s="3">
        <f t="shared" si="74"/>
        <v>0</v>
      </c>
      <c r="L2391" s="3">
        <f>IF(ISERROR(VLOOKUP(J2391,Lookups!$A$2:$A$16,1,FALSE)),1,0)</f>
        <v>1</v>
      </c>
      <c r="M2391" s="3">
        <f>IF(ISERROR(VLOOKUP(D2391,Data!$A$2:$D$223100,2,FALSE)),0,1)</f>
        <v>1</v>
      </c>
      <c r="N2391" s="3">
        <f t="shared" si="75"/>
        <v>1</v>
      </c>
      <c r="O2391" s="3" t="str">
        <f>IF(ISERROR(VLOOKUP(D2391,Data!$A$2:$C$223100,3,FALSE)),"INACTIVE",VLOOKUP(D2391,Data!$A$2:$C$223100,3,FALSE))</f>
        <v>Current</v>
      </c>
    </row>
    <row r="2392" spans="1:15" x14ac:dyDescent="0.25">
      <c r="A2392" t="s">
        <v>2117</v>
      </c>
      <c r="B2392" t="s">
        <v>2118</v>
      </c>
      <c r="C2392" t="s">
        <v>2518</v>
      </c>
      <c r="D2392" t="s">
        <v>2519</v>
      </c>
      <c r="E2392" t="s">
        <v>2520</v>
      </c>
      <c r="F2392" t="s">
        <v>2521</v>
      </c>
      <c r="G2392" t="s">
        <v>5</v>
      </c>
      <c r="H2392" t="s">
        <v>5</v>
      </c>
      <c r="I2392" t="s">
        <v>2122</v>
      </c>
      <c r="J2392" t="s">
        <v>40</v>
      </c>
      <c r="K2392" s="3">
        <f t="shared" si="74"/>
        <v>0</v>
      </c>
      <c r="L2392" s="3">
        <f>IF(ISERROR(VLOOKUP(J2392,Lookups!$A$2:$A$16,1,FALSE)),1,0)</f>
        <v>1</v>
      </c>
      <c r="M2392" s="3">
        <f>IF(ISERROR(VLOOKUP(D2392,Data!$A$2:$D$223100,2,FALSE)),0,1)</f>
        <v>1</v>
      </c>
      <c r="N2392" s="3">
        <f t="shared" si="75"/>
        <v>1</v>
      </c>
      <c r="O2392" s="3" t="str">
        <f>IF(ISERROR(VLOOKUP(D2392,Data!$A$2:$C$223100,3,FALSE)),"INACTIVE",VLOOKUP(D2392,Data!$A$2:$C$223100,3,FALSE))</f>
        <v>30+</v>
      </c>
    </row>
    <row r="2393" spans="1:15" x14ac:dyDescent="0.25">
      <c r="A2393" t="s">
        <v>2117</v>
      </c>
      <c r="B2393" t="s">
        <v>2118</v>
      </c>
      <c r="C2393" t="s">
        <v>2522</v>
      </c>
      <c r="D2393" t="s">
        <v>2523</v>
      </c>
      <c r="E2393" t="s">
        <v>2524</v>
      </c>
      <c r="F2393" t="s">
        <v>2525</v>
      </c>
      <c r="G2393" t="s">
        <v>5</v>
      </c>
      <c r="H2393" t="s">
        <v>5</v>
      </c>
      <c r="I2393" t="s">
        <v>2122</v>
      </c>
      <c r="J2393" t="s">
        <v>47</v>
      </c>
      <c r="K2393" s="3">
        <f t="shared" si="74"/>
        <v>0</v>
      </c>
      <c r="L2393" s="3">
        <f>IF(ISERROR(VLOOKUP(J2393,Lookups!$A$2:$A$16,1,FALSE)),1,0)</f>
        <v>1</v>
      </c>
      <c r="M2393" s="3">
        <f>IF(ISERROR(VLOOKUP(D2393,Data!$A$2:$D$223100,2,FALSE)),0,1)</f>
        <v>1</v>
      </c>
      <c r="N2393" s="3">
        <f t="shared" si="75"/>
        <v>1</v>
      </c>
      <c r="O2393" s="3" t="str">
        <f>IF(ISERROR(VLOOKUP(D2393,Data!$A$2:$C$223100,3,FALSE)),"INACTIVE",VLOOKUP(D2393,Data!$A$2:$C$223100,3,FALSE))</f>
        <v>BK7</v>
      </c>
    </row>
    <row r="2394" spans="1:15" x14ac:dyDescent="0.25">
      <c r="A2394" t="s">
        <v>2117</v>
      </c>
      <c r="B2394" t="s">
        <v>2118</v>
      </c>
      <c r="C2394" t="s">
        <v>2526</v>
      </c>
      <c r="D2394" t="s">
        <v>2527</v>
      </c>
      <c r="E2394" t="s">
        <v>2528</v>
      </c>
      <c r="F2394" t="s">
        <v>2529</v>
      </c>
      <c r="G2394" t="s">
        <v>5</v>
      </c>
      <c r="H2394" t="s">
        <v>5</v>
      </c>
      <c r="I2394" t="s">
        <v>2122</v>
      </c>
      <c r="J2394" t="s">
        <v>47</v>
      </c>
      <c r="K2394" s="3">
        <f t="shared" si="74"/>
        <v>0</v>
      </c>
      <c r="L2394" s="3">
        <f>IF(ISERROR(VLOOKUP(J2394,Lookups!$A$2:$A$16,1,FALSE)),1,0)</f>
        <v>1</v>
      </c>
      <c r="M2394" s="3">
        <f>IF(ISERROR(VLOOKUP(D2394,Data!$A$2:$D$223100,2,FALSE)),0,1)</f>
        <v>1</v>
      </c>
      <c r="N2394" s="3">
        <f t="shared" si="75"/>
        <v>1</v>
      </c>
      <c r="O2394" s="3" t="str">
        <f>IF(ISERROR(VLOOKUP(D2394,Data!$A$2:$C$223100,3,FALSE)),"INACTIVE",VLOOKUP(D2394,Data!$A$2:$C$223100,3,FALSE))</f>
        <v>Current</v>
      </c>
    </row>
    <row r="2395" spans="1:15" x14ac:dyDescent="0.25">
      <c r="A2395" t="s">
        <v>2117</v>
      </c>
      <c r="B2395" t="s">
        <v>2118</v>
      </c>
      <c r="C2395" t="s">
        <v>2530</v>
      </c>
      <c r="D2395" t="s">
        <v>2531</v>
      </c>
      <c r="E2395" t="s">
        <v>2532</v>
      </c>
      <c r="F2395" t="s">
        <v>2532</v>
      </c>
      <c r="G2395" t="s">
        <v>5</v>
      </c>
      <c r="H2395" t="s">
        <v>5</v>
      </c>
      <c r="I2395" t="s">
        <v>2122</v>
      </c>
      <c r="J2395" t="s">
        <v>40</v>
      </c>
      <c r="K2395" s="3">
        <f t="shared" si="74"/>
        <v>0</v>
      </c>
      <c r="L2395" s="3">
        <f>IF(ISERROR(VLOOKUP(J2395,Lookups!$A$2:$A$16,1,FALSE)),1,0)</f>
        <v>1</v>
      </c>
      <c r="M2395" s="3">
        <f>IF(ISERROR(VLOOKUP(D2395,Data!$A$2:$D$223100,2,FALSE)),0,1)</f>
        <v>1</v>
      </c>
      <c r="N2395" s="3">
        <f t="shared" si="75"/>
        <v>1</v>
      </c>
      <c r="O2395" s="3" t="str">
        <f>IF(ISERROR(VLOOKUP(D2395,Data!$A$2:$C$223100,3,FALSE)),"INACTIVE",VLOOKUP(D2395,Data!$A$2:$C$223100,3,FALSE))</f>
        <v>Demand Letter</v>
      </c>
    </row>
    <row r="2396" spans="1:15" x14ac:dyDescent="0.25">
      <c r="A2396" t="s">
        <v>2117</v>
      </c>
      <c r="B2396" t="s">
        <v>2118</v>
      </c>
      <c r="C2396" t="s">
        <v>2533</v>
      </c>
      <c r="D2396" t="s">
        <v>2534</v>
      </c>
      <c r="E2396" t="s">
        <v>2535</v>
      </c>
      <c r="F2396" t="s">
        <v>2536</v>
      </c>
      <c r="G2396" t="s">
        <v>5</v>
      </c>
      <c r="H2396" t="s">
        <v>5</v>
      </c>
      <c r="I2396" t="s">
        <v>2122</v>
      </c>
      <c r="J2396" t="s">
        <v>40</v>
      </c>
      <c r="K2396" s="3">
        <f t="shared" si="74"/>
        <v>0</v>
      </c>
      <c r="L2396" s="3">
        <f>IF(ISERROR(VLOOKUP(J2396,Lookups!$A$2:$A$16,1,FALSE)),1,0)</f>
        <v>1</v>
      </c>
      <c r="M2396" s="3">
        <f>IF(ISERROR(VLOOKUP(D2396,Data!$A$2:$D$223100,2,FALSE)),0,1)</f>
        <v>1</v>
      </c>
      <c r="N2396" s="3">
        <f t="shared" si="75"/>
        <v>1</v>
      </c>
      <c r="O2396" s="3" t="str">
        <f>IF(ISERROR(VLOOKUP(D2396,Data!$A$2:$C$223100,3,FALSE)),"INACTIVE",VLOOKUP(D2396,Data!$A$2:$C$223100,3,FALSE))</f>
        <v>PP</v>
      </c>
    </row>
    <row r="2397" spans="1:15" x14ac:dyDescent="0.25">
      <c r="A2397" t="s">
        <v>2117</v>
      </c>
      <c r="B2397" t="s">
        <v>2118</v>
      </c>
      <c r="C2397" t="s">
        <v>2537</v>
      </c>
      <c r="D2397" t="s">
        <v>2538</v>
      </c>
      <c r="E2397" t="s">
        <v>2539</v>
      </c>
      <c r="F2397" t="s">
        <v>2540</v>
      </c>
      <c r="G2397" t="s">
        <v>5</v>
      </c>
      <c r="H2397" t="s">
        <v>5</v>
      </c>
      <c r="I2397" t="s">
        <v>2122</v>
      </c>
      <c r="J2397" t="s">
        <v>40</v>
      </c>
      <c r="K2397" s="3">
        <f t="shared" si="74"/>
        <v>0</v>
      </c>
      <c r="L2397" s="3">
        <f>IF(ISERROR(VLOOKUP(J2397,Lookups!$A$2:$A$16,1,FALSE)),1,0)</f>
        <v>1</v>
      </c>
      <c r="M2397" s="3">
        <f>IF(ISERROR(VLOOKUP(D2397,Data!$A$2:$D$223100,2,FALSE)),0,1)</f>
        <v>1</v>
      </c>
      <c r="N2397" s="3">
        <f t="shared" si="75"/>
        <v>1</v>
      </c>
      <c r="O2397" s="3" t="str">
        <f>IF(ISERROR(VLOOKUP(D2397,Data!$A$2:$C$223100,3,FALSE)),"INACTIVE",VLOOKUP(D2397,Data!$A$2:$C$223100,3,FALSE))</f>
        <v>60+</v>
      </c>
    </row>
    <row r="2398" spans="1:15" x14ac:dyDescent="0.25">
      <c r="A2398" t="s">
        <v>2117</v>
      </c>
      <c r="B2398" t="s">
        <v>2118</v>
      </c>
      <c r="C2398" t="s">
        <v>2541</v>
      </c>
      <c r="D2398" t="s">
        <v>2542</v>
      </c>
      <c r="E2398" t="s">
        <v>2543</v>
      </c>
      <c r="F2398" t="s">
        <v>2544</v>
      </c>
      <c r="G2398" t="s">
        <v>5</v>
      </c>
      <c r="H2398" t="s">
        <v>5</v>
      </c>
      <c r="I2398" t="s">
        <v>2122</v>
      </c>
      <c r="J2398" t="s">
        <v>47</v>
      </c>
      <c r="K2398" s="3">
        <f t="shared" si="74"/>
        <v>0</v>
      </c>
      <c r="L2398" s="3">
        <f>IF(ISERROR(VLOOKUP(J2398,Lookups!$A$2:$A$16,1,FALSE)),1,0)</f>
        <v>1</v>
      </c>
      <c r="M2398" s="3">
        <f>IF(ISERROR(VLOOKUP(D2398,Data!$A$2:$D$223100,2,FALSE)),0,1)</f>
        <v>1</v>
      </c>
      <c r="N2398" s="3">
        <f t="shared" si="75"/>
        <v>1</v>
      </c>
      <c r="O2398" s="3" t="str">
        <f>IF(ISERROR(VLOOKUP(D2398,Data!$A$2:$C$223100,3,FALSE)),"INACTIVE",VLOOKUP(D2398,Data!$A$2:$C$223100,3,FALSE))</f>
        <v>180+</v>
      </c>
    </row>
    <row r="2399" spans="1:15" x14ac:dyDescent="0.25">
      <c r="A2399" t="s">
        <v>2117</v>
      </c>
      <c r="B2399" t="s">
        <v>2118</v>
      </c>
      <c r="C2399" t="s">
        <v>2545</v>
      </c>
      <c r="D2399" t="s">
        <v>2546</v>
      </c>
      <c r="E2399" t="s">
        <v>2547</v>
      </c>
      <c r="F2399" t="s">
        <v>2548</v>
      </c>
      <c r="G2399" t="s">
        <v>5</v>
      </c>
      <c r="H2399" t="s">
        <v>5</v>
      </c>
      <c r="I2399" t="s">
        <v>2122</v>
      </c>
      <c r="J2399" t="s">
        <v>40</v>
      </c>
      <c r="K2399" s="3">
        <f t="shared" si="74"/>
        <v>0</v>
      </c>
      <c r="L2399" s="3">
        <f>IF(ISERROR(VLOOKUP(J2399,Lookups!$A$2:$A$16,1,FALSE)),1,0)</f>
        <v>1</v>
      </c>
      <c r="M2399" s="3">
        <f>IF(ISERROR(VLOOKUP(D2399,Data!$A$2:$D$223100,2,FALSE)),0,1)</f>
        <v>1</v>
      </c>
      <c r="N2399" s="3">
        <f t="shared" si="75"/>
        <v>1</v>
      </c>
      <c r="O2399" s="3" t="str">
        <f>IF(ISERROR(VLOOKUP(D2399,Data!$A$2:$C$223100,3,FALSE)),"INACTIVE",VLOOKUP(D2399,Data!$A$2:$C$223100,3,FALSE))</f>
        <v>Current</v>
      </c>
    </row>
    <row r="2400" spans="1:15" x14ac:dyDescent="0.25">
      <c r="A2400" t="s">
        <v>2117</v>
      </c>
      <c r="B2400" t="s">
        <v>2118</v>
      </c>
      <c r="C2400" t="s">
        <v>2166</v>
      </c>
      <c r="D2400" t="s">
        <v>2167</v>
      </c>
      <c r="E2400" t="s">
        <v>2549</v>
      </c>
      <c r="F2400" t="s">
        <v>2550</v>
      </c>
      <c r="G2400" t="s">
        <v>5</v>
      </c>
      <c r="H2400" t="s">
        <v>5</v>
      </c>
      <c r="I2400" t="s">
        <v>2122</v>
      </c>
      <c r="J2400" t="s">
        <v>36</v>
      </c>
      <c r="K2400" s="3">
        <f t="shared" si="74"/>
        <v>0</v>
      </c>
      <c r="L2400" s="3">
        <f>IF(ISERROR(VLOOKUP(J2400,Lookups!$A$2:$A$16,1,FALSE)),1,0)</f>
        <v>1</v>
      </c>
      <c r="M2400" s="3">
        <f>IF(ISERROR(VLOOKUP(D2400,Data!$A$2:$D$223100,2,FALSE)),0,1)</f>
        <v>1</v>
      </c>
      <c r="N2400" s="3">
        <f t="shared" si="75"/>
        <v>1</v>
      </c>
      <c r="O2400" s="3" t="str">
        <f>IF(ISERROR(VLOOKUP(D2400,Data!$A$2:$C$223100,3,FALSE)),"INACTIVE",VLOOKUP(D2400,Data!$A$2:$C$223100,3,FALSE))</f>
        <v>30+</v>
      </c>
    </row>
    <row r="2401" spans="1:15" x14ac:dyDescent="0.25">
      <c r="A2401" t="s">
        <v>2117</v>
      </c>
      <c r="B2401" t="s">
        <v>2118</v>
      </c>
      <c r="C2401" t="s">
        <v>2551</v>
      </c>
      <c r="D2401" t="s">
        <v>2552</v>
      </c>
      <c r="E2401" t="s">
        <v>2553</v>
      </c>
      <c r="F2401" t="s">
        <v>2554</v>
      </c>
      <c r="G2401" t="s">
        <v>5</v>
      </c>
      <c r="H2401" t="s">
        <v>5</v>
      </c>
      <c r="I2401" t="s">
        <v>2122</v>
      </c>
      <c r="J2401" t="s">
        <v>40</v>
      </c>
      <c r="K2401" s="3">
        <f t="shared" si="74"/>
        <v>0</v>
      </c>
      <c r="L2401" s="3">
        <f>IF(ISERROR(VLOOKUP(J2401,Lookups!$A$2:$A$16,1,FALSE)),1,0)</f>
        <v>1</v>
      </c>
      <c r="M2401" s="3">
        <f>IF(ISERROR(VLOOKUP(D2401,Data!$A$2:$D$223100,2,FALSE)),0,1)</f>
        <v>1</v>
      </c>
      <c r="N2401" s="3">
        <f t="shared" si="75"/>
        <v>1</v>
      </c>
      <c r="O2401" s="3" t="str">
        <f>IF(ISERROR(VLOOKUP(D2401,Data!$A$2:$C$223100,3,FALSE)),"INACTIVE",VLOOKUP(D2401,Data!$A$2:$C$223100,3,FALSE))</f>
        <v>BK13</v>
      </c>
    </row>
    <row r="2402" spans="1:15" x14ac:dyDescent="0.25">
      <c r="A2402" t="s">
        <v>2117</v>
      </c>
      <c r="B2402" t="s">
        <v>2118</v>
      </c>
      <c r="C2402" t="s">
        <v>2555</v>
      </c>
      <c r="D2402" t="s">
        <v>2556</v>
      </c>
      <c r="E2402" t="s">
        <v>2557</v>
      </c>
      <c r="F2402" t="s">
        <v>2558</v>
      </c>
      <c r="G2402" t="s">
        <v>5</v>
      </c>
      <c r="H2402" t="s">
        <v>5</v>
      </c>
      <c r="I2402" t="s">
        <v>2122</v>
      </c>
      <c r="J2402" t="s">
        <v>40</v>
      </c>
      <c r="K2402" s="3">
        <f t="shared" si="74"/>
        <v>0</v>
      </c>
      <c r="L2402" s="3">
        <f>IF(ISERROR(VLOOKUP(J2402,Lookups!$A$2:$A$16,1,FALSE)),1,0)</f>
        <v>1</v>
      </c>
      <c r="M2402" s="3">
        <f>IF(ISERROR(VLOOKUP(D2402,Data!$A$2:$D$223100,2,FALSE)),0,1)</f>
        <v>1</v>
      </c>
      <c r="N2402" s="3">
        <f t="shared" si="75"/>
        <v>1</v>
      </c>
      <c r="O2402" s="3" t="str">
        <f>IF(ISERROR(VLOOKUP(D2402,Data!$A$2:$C$223100,3,FALSE)),"INACTIVE",VLOOKUP(D2402,Data!$A$2:$C$223100,3,FALSE))</f>
        <v>Demand Letter</v>
      </c>
    </row>
    <row r="2403" spans="1:15" x14ac:dyDescent="0.25">
      <c r="A2403" t="s">
        <v>2117</v>
      </c>
      <c r="B2403" t="s">
        <v>2118</v>
      </c>
      <c r="C2403" t="s">
        <v>2169</v>
      </c>
      <c r="D2403" t="s">
        <v>2170</v>
      </c>
      <c r="E2403" t="s">
        <v>2559</v>
      </c>
      <c r="F2403" t="s">
        <v>2560</v>
      </c>
      <c r="G2403" t="s">
        <v>5</v>
      </c>
      <c r="H2403" t="s">
        <v>5</v>
      </c>
      <c r="I2403" t="s">
        <v>2122</v>
      </c>
      <c r="J2403" t="s">
        <v>573</v>
      </c>
      <c r="K2403" s="3">
        <f t="shared" si="74"/>
        <v>0</v>
      </c>
      <c r="L2403" s="3">
        <f>IF(ISERROR(VLOOKUP(J2403,Lookups!$A$2:$A$16,1,FALSE)),1,0)</f>
        <v>1</v>
      </c>
      <c r="M2403" s="3">
        <f>IF(ISERROR(VLOOKUP(D2403,Data!$A$2:$D$223100,2,FALSE)),0,1)</f>
        <v>1</v>
      </c>
      <c r="N2403" s="3">
        <f t="shared" si="75"/>
        <v>1</v>
      </c>
      <c r="O2403" s="3" t="str">
        <f>IF(ISERROR(VLOOKUP(D2403,Data!$A$2:$C$223100,3,FALSE)),"INACTIVE",VLOOKUP(D2403,Data!$A$2:$C$223100,3,FALSE))</f>
        <v>30+</v>
      </c>
    </row>
    <row r="2404" spans="1:15" x14ac:dyDescent="0.25">
      <c r="A2404" t="s">
        <v>2117</v>
      </c>
      <c r="B2404" t="s">
        <v>2118</v>
      </c>
      <c r="C2404" t="s">
        <v>2561</v>
      </c>
      <c r="D2404" t="s">
        <v>2562</v>
      </c>
      <c r="E2404" t="s">
        <v>2563</v>
      </c>
      <c r="F2404" t="s">
        <v>2563</v>
      </c>
      <c r="G2404" t="s">
        <v>5</v>
      </c>
      <c r="H2404" t="s">
        <v>5</v>
      </c>
      <c r="I2404" t="s">
        <v>2122</v>
      </c>
      <c r="J2404" t="s">
        <v>47</v>
      </c>
      <c r="K2404" s="3">
        <f t="shared" si="74"/>
        <v>0</v>
      </c>
      <c r="L2404" s="3">
        <f>IF(ISERROR(VLOOKUP(J2404,Lookups!$A$2:$A$16,1,FALSE)),1,0)</f>
        <v>1</v>
      </c>
      <c r="M2404" s="3">
        <f>IF(ISERROR(VLOOKUP(D2404,Data!$A$2:$D$223100,2,FALSE)),0,1)</f>
        <v>1</v>
      </c>
      <c r="N2404" s="3">
        <f t="shared" si="75"/>
        <v>1</v>
      </c>
      <c r="O2404" s="3" t="str">
        <f>IF(ISERROR(VLOOKUP(D2404,Data!$A$2:$C$223100,3,FALSE)),"INACTIVE",VLOOKUP(D2404,Data!$A$2:$C$223100,3,FALSE))</f>
        <v>FC</v>
      </c>
    </row>
    <row r="2405" spans="1:15" x14ac:dyDescent="0.25">
      <c r="A2405" t="s">
        <v>2117</v>
      </c>
      <c r="B2405" t="s">
        <v>2118</v>
      </c>
      <c r="C2405" t="s">
        <v>2172</v>
      </c>
      <c r="D2405" t="s">
        <v>2173</v>
      </c>
      <c r="E2405" t="s">
        <v>2564</v>
      </c>
      <c r="F2405" t="s">
        <v>2565</v>
      </c>
      <c r="G2405" t="s">
        <v>5</v>
      </c>
      <c r="H2405" t="s">
        <v>5</v>
      </c>
      <c r="I2405" t="s">
        <v>2122</v>
      </c>
      <c r="J2405" t="s">
        <v>36</v>
      </c>
      <c r="K2405" s="3">
        <f t="shared" si="74"/>
        <v>0</v>
      </c>
      <c r="L2405" s="3">
        <f>IF(ISERROR(VLOOKUP(J2405,Lookups!$A$2:$A$16,1,FALSE)),1,0)</f>
        <v>1</v>
      </c>
      <c r="M2405" s="3">
        <f>IF(ISERROR(VLOOKUP(D2405,Data!$A$2:$D$223100,2,FALSE)),0,1)</f>
        <v>1</v>
      </c>
      <c r="N2405" s="3">
        <f t="shared" si="75"/>
        <v>1</v>
      </c>
      <c r="O2405" s="3" t="str">
        <f>IF(ISERROR(VLOOKUP(D2405,Data!$A$2:$C$223100,3,FALSE)),"INACTIVE",VLOOKUP(D2405,Data!$A$2:$C$223100,3,FALSE))</f>
        <v>Current</v>
      </c>
    </row>
    <row r="2406" spans="1:15" x14ac:dyDescent="0.25">
      <c r="A2406" t="s">
        <v>2117</v>
      </c>
      <c r="B2406" t="s">
        <v>2118</v>
      </c>
      <c r="C2406" t="s">
        <v>2566</v>
      </c>
      <c r="D2406" t="s">
        <v>2567</v>
      </c>
      <c r="E2406" t="s">
        <v>2568</v>
      </c>
      <c r="F2406" t="s">
        <v>2569</v>
      </c>
      <c r="G2406" t="s">
        <v>5</v>
      </c>
      <c r="H2406" t="s">
        <v>5</v>
      </c>
      <c r="I2406" t="s">
        <v>2122</v>
      </c>
      <c r="J2406" t="s">
        <v>47</v>
      </c>
      <c r="K2406" s="3">
        <f t="shared" si="74"/>
        <v>0</v>
      </c>
      <c r="L2406" s="3">
        <f>IF(ISERROR(VLOOKUP(J2406,Lookups!$A$2:$A$16,1,FALSE)),1,0)</f>
        <v>1</v>
      </c>
      <c r="M2406" s="3">
        <f>IF(ISERROR(VLOOKUP(D2406,Data!$A$2:$D$223100,2,FALSE)),0,1)</f>
        <v>1</v>
      </c>
      <c r="N2406" s="3">
        <f t="shared" si="75"/>
        <v>1</v>
      </c>
      <c r="O2406" s="3" t="str">
        <f>IF(ISERROR(VLOOKUP(D2406,Data!$A$2:$C$223100,3,FALSE)),"INACTIVE",VLOOKUP(D2406,Data!$A$2:$C$223100,3,FALSE))</f>
        <v>FC</v>
      </c>
    </row>
    <row r="2407" spans="1:15" x14ac:dyDescent="0.25">
      <c r="A2407" t="s">
        <v>2117</v>
      </c>
      <c r="B2407" t="s">
        <v>2118</v>
      </c>
      <c r="C2407" t="s">
        <v>2570</v>
      </c>
      <c r="D2407" t="s">
        <v>2571</v>
      </c>
      <c r="E2407" t="s">
        <v>2572</v>
      </c>
      <c r="F2407" t="s">
        <v>2573</v>
      </c>
      <c r="G2407" t="s">
        <v>5</v>
      </c>
      <c r="H2407" t="s">
        <v>5</v>
      </c>
      <c r="I2407" t="s">
        <v>2122</v>
      </c>
      <c r="J2407" t="s">
        <v>47</v>
      </c>
      <c r="K2407" s="3">
        <f t="shared" si="74"/>
        <v>0</v>
      </c>
      <c r="L2407" s="3">
        <f>IF(ISERROR(VLOOKUP(J2407,Lookups!$A$2:$A$16,1,FALSE)),1,0)</f>
        <v>1</v>
      </c>
      <c r="M2407" s="3">
        <f>IF(ISERROR(VLOOKUP(D2407,Data!$A$2:$D$223100,2,FALSE)),0,1)</f>
        <v>1</v>
      </c>
      <c r="N2407" s="3">
        <f t="shared" si="75"/>
        <v>1</v>
      </c>
      <c r="O2407" s="3" t="str">
        <f>IF(ISERROR(VLOOKUP(D2407,Data!$A$2:$C$223100,3,FALSE)),"INACTIVE",VLOOKUP(D2407,Data!$A$2:$C$223100,3,FALSE))</f>
        <v>Demand Letter</v>
      </c>
    </row>
    <row r="2408" spans="1:15" x14ac:dyDescent="0.25">
      <c r="A2408" t="s">
        <v>2117</v>
      </c>
      <c r="B2408" t="s">
        <v>2118</v>
      </c>
      <c r="C2408" t="s">
        <v>2574</v>
      </c>
      <c r="D2408" t="s">
        <v>2575</v>
      </c>
      <c r="E2408" t="s">
        <v>2576</v>
      </c>
      <c r="F2408" t="s">
        <v>2577</v>
      </c>
      <c r="G2408" t="s">
        <v>5</v>
      </c>
      <c r="H2408" t="s">
        <v>5</v>
      </c>
      <c r="I2408" t="s">
        <v>2122</v>
      </c>
      <c r="J2408" t="s">
        <v>40</v>
      </c>
      <c r="K2408" s="3">
        <f t="shared" si="74"/>
        <v>0</v>
      </c>
      <c r="L2408" s="3">
        <f>IF(ISERROR(VLOOKUP(J2408,Lookups!$A$2:$A$16,1,FALSE)),1,0)</f>
        <v>1</v>
      </c>
      <c r="M2408" s="3">
        <f>IF(ISERROR(VLOOKUP(D2408,Data!$A$2:$D$223100,2,FALSE)),0,1)</f>
        <v>1</v>
      </c>
      <c r="N2408" s="3">
        <f t="shared" si="75"/>
        <v>1</v>
      </c>
      <c r="O2408" s="3" t="str">
        <f>IF(ISERROR(VLOOKUP(D2408,Data!$A$2:$C$223100,3,FALSE)),"INACTIVE",VLOOKUP(D2408,Data!$A$2:$C$223100,3,FALSE))</f>
        <v>120+</v>
      </c>
    </row>
    <row r="2409" spans="1:15" x14ac:dyDescent="0.25">
      <c r="A2409" t="s">
        <v>2117</v>
      </c>
      <c r="B2409" t="s">
        <v>2118</v>
      </c>
      <c r="C2409" t="s">
        <v>2578</v>
      </c>
      <c r="D2409" t="s">
        <v>2579</v>
      </c>
      <c r="E2409" t="s">
        <v>2580</v>
      </c>
      <c r="F2409" t="s">
        <v>2581</v>
      </c>
      <c r="G2409" t="s">
        <v>5</v>
      </c>
      <c r="H2409" t="s">
        <v>5</v>
      </c>
      <c r="I2409" t="s">
        <v>2122</v>
      </c>
      <c r="J2409" t="s">
        <v>40</v>
      </c>
      <c r="K2409" s="3">
        <f t="shared" si="74"/>
        <v>0</v>
      </c>
      <c r="L2409" s="3">
        <f>IF(ISERROR(VLOOKUP(J2409,Lookups!$A$2:$A$16,1,FALSE)),1,0)</f>
        <v>1</v>
      </c>
      <c r="M2409" s="3">
        <f>IF(ISERROR(VLOOKUP(D2409,Data!$A$2:$D$223100,2,FALSE)),0,1)</f>
        <v>0</v>
      </c>
      <c r="N2409" s="3">
        <f t="shared" si="75"/>
        <v>0</v>
      </c>
      <c r="O2409" s="3" t="str">
        <f>IF(ISERROR(VLOOKUP(D2409,Data!$A$2:$C$223100,3,FALSE)),"INACTIVE",VLOOKUP(D2409,Data!$A$2:$C$223100,3,FALSE))</f>
        <v>INACTIVE</v>
      </c>
    </row>
    <row r="2410" spans="1:15" x14ac:dyDescent="0.25">
      <c r="A2410" t="s">
        <v>2117</v>
      </c>
      <c r="B2410" t="s">
        <v>2118</v>
      </c>
      <c r="C2410" t="s">
        <v>2582</v>
      </c>
      <c r="D2410" t="s">
        <v>2583</v>
      </c>
      <c r="E2410" t="s">
        <v>2584</v>
      </c>
      <c r="F2410" t="s">
        <v>2585</v>
      </c>
      <c r="G2410" t="s">
        <v>5</v>
      </c>
      <c r="H2410" t="s">
        <v>5</v>
      </c>
      <c r="I2410" t="s">
        <v>2122</v>
      </c>
      <c r="J2410" t="s">
        <v>40</v>
      </c>
      <c r="K2410" s="3">
        <f t="shared" si="74"/>
        <v>0</v>
      </c>
      <c r="L2410" s="3">
        <f>IF(ISERROR(VLOOKUP(J2410,Lookups!$A$2:$A$16,1,FALSE)),1,0)</f>
        <v>1</v>
      </c>
      <c r="M2410" s="3">
        <f>IF(ISERROR(VLOOKUP(D2410,Data!$A$2:$D$223100,2,FALSE)),0,1)</f>
        <v>1</v>
      </c>
      <c r="N2410" s="3">
        <f t="shared" si="75"/>
        <v>1</v>
      </c>
      <c r="O2410" s="3" t="str">
        <f>IF(ISERROR(VLOOKUP(D2410,Data!$A$2:$C$223100,3,FALSE)),"INACTIVE",VLOOKUP(D2410,Data!$A$2:$C$223100,3,FALSE))</f>
        <v>Demand Letter</v>
      </c>
    </row>
    <row r="2411" spans="1:15" x14ac:dyDescent="0.25">
      <c r="A2411" t="s">
        <v>2117</v>
      </c>
      <c r="B2411" t="s">
        <v>2118</v>
      </c>
      <c r="C2411" t="s">
        <v>2586</v>
      </c>
      <c r="D2411" t="s">
        <v>2587</v>
      </c>
      <c r="E2411" t="s">
        <v>2588</v>
      </c>
      <c r="F2411" t="s">
        <v>2589</v>
      </c>
      <c r="G2411" t="s">
        <v>5</v>
      </c>
      <c r="H2411" t="s">
        <v>5</v>
      </c>
      <c r="I2411" t="s">
        <v>2122</v>
      </c>
      <c r="J2411" t="s">
        <v>40</v>
      </c>
      <c r="K2411" s="3">
        <f t="shared" si="74"/>
        <v>0</v>
      </c>
      <c r="L2411" s="3">
        <f>IF(ISERROR(VLOOKUP(J2411,Lookups!$A$2:$A$16,1,FALSE)),1,0)</f>
        <v>1</v>
      </c>
      <c r="M2411" s="3">
        <f>IF(ISERROR(VLOOKUP(D2411,Data!$A$2:$D$223100,2,FALSE)),0,1)</f>
        <v>1</v>
      </c>
      <c r="N2411" s="3">
        <f t="shared" si="75"/>
        <v>1</v>
      </c>
      <c r="O2411" s="3" t="str">
        <f>IF(ISERROR(VLOOKUP(D2411,Data!$A$2:$C$223100,3,FALSE)),"INACTIVE",VLOOKUP(D2411,Data!$A$2:$C$223100,3,FALSE))</f>
        <v>Demand Letter</v>
      </c>
    </row>
    <row r="2412" spans="1:15" x14ac:dyDescent="0.25">
      <c r="A2412" t="s">
        <v>2117</v>
      </c>
      <c r="B2412" t="s">
        <v>2118</v>
      </c>
      <c r="C2412" t="s">
        <v>2590</v>
      </c>
      <c r="D2412" t="s">
        <v>2591</v>
      </c>
      <c r="E2412" t="s">
        <v>2592</v>
      </c>
      <c r="F2412" t="s">
        <v>2592</v>
      </c>
      <c r="G2412" t="s">
        <v>5</v>
      </c>
      <c r="H2412" t="s">
        <v>5</v>
      </c>
      <c r="I2412" t="s">
        <v>2122</v>
      </c>
      <c r="J2412" t="s">
        <v>40</v>
      </c>
      <c r="K2412" s="3">
        <f t="shared" si="74"/>
        <v>0</v>
      </c>
      <c r="L2412" s="3">
        <f>IF(ISERROR(VLOOKUP(J2412,Lookups!$A$2:$A$16,1,FALSE)),1,0)</f>
        <v>1</v>
      </c>
      <c r="M2412" s="3">
        <f>IF(ISERROR(VLOOKUP(D2412,Data!$A$2:$D$223100,2,FALSE)),0,1)</f>
        <v>1</v>
      </c>
      <c r="N2412" s="3">
        <f t="shared" si="75"/>
        <v>1</v>
      </c>
      <c r="O2412" s="3" t="str">
        <f>IF(ISERROR(VLOOKUP(D2412,Data!$A$2:$C$223100,3,FALSE)),"INACTIVE",VLOOKUP(D2412,Data!$A$2:$C$223100,3,FALSE))</f>
        <v>FC</v>
      </c>
    </row>
    <row r="2413" spans="1:15" x14ac:dyDescent="0.25">
      <c r="A2413" t="s">
        <v>2117</v>
      </c>
      <c r="B2413" t="s">
        <v>2118</v>
      </c>
      <c r="C2413" t="s">
        <v>2593</v>
      </c>
      <c r="D2413" t="s">
        <v>2594</v>
      </c>
      <c r="E2413" t="s">
        <v>2595</v>
      </c>
      <c r="F2413" t="s">
        <v>2596</v>
      </c>
      <c r="G2413" t="s">
        <v>5</v>
      </c>
      <c r="H2413" t="s">
        <v>5</v>
      </c>
      <c r="I2413" t="s">
        <v>2122</v>
      </c>
      <c r="J2413" t="s">
        <v>40</v>
      </c>
      <c r="K2413" s="3">
        <f t="shared" si="74"/>
        <v>0</v>
      </c>
      <c r="L2413" s="3">
        <f>IF(ISERROR(VLOOKUP(J2413,Lookups!$A$2:$A$16,1,FALSE)),1,0)</f>
        <v>1</v>
      </c>
      <c r="M2413" s="3">
        <f>IF(ISERROR(VLOOKUP(D2413,Data!$A$2:$D$223100,2,FALSE)),0,1)</f>
        <v>1</v>
      </c>
      <c r="N2413" s="3">
        <f t="shared" si="75"/>
        <v>1</v>
      </c>
      <c r="O2413" s="3" t="str">
        <f>IF(ISERROR(VLOOKUP(D2413,Data!$A$2:$C$223100,3,FALSE)),"INACTIVE",VLOOKUP(D2413,Data!$A$2:$C$223100,3,FALSE))</f>
        <v>Demand Letter</v>
      </c>
    </row>
    <row r="2414" spans="1:15" x14ac:dyDescent="0.25">
      <c r="A2414" t="s">
        <v>2117</v>
      </c>
      <c r="B2414" t="s">
        <v>2118</v>
      </c>
      <c r="C2414" t="s">
        <v>2597</v>
      </c>
      <c r="D2414" t="s">
        <v>2598</v>
      </c>
      <c r="E2414" t="s">
        <v>2599</v>
      </c>
      <c r="F2414" t="s">
        <v>2599</v>
      </c>
      <c r="G2414" t="s">
        <v>5</v>
      </c>
      <c r="H2414" t="s">
        <v>5</v>
      </c>
      <c r="I2414" t="s">
        <v>2122</v>
      </c>
      <c r="J2414" t="s">
        <v>40</v>
      </c>
      <c r="K2414" s="3">
        <f t="shared" si="74"/>
        <v>0</v>
      </c>
      <c r="L2414" s="3">
        <f>IF(ISERROR(VLOOKUP(J2414,Lookups!$A$2:$A$16,1,FALSE)),1,0)</f>
        <v>1</v>
      </c>
      <c r="M2414" s="3">
        <f>IF(ISERROR(VLOOKUP(D2414,Data!$A$2:$D$223100,2,FALSE)),0,1)</f>
        <v>1</v>
      </c>
      <c r="N2414" s="3">
        <f t="shared" si="75"/>
        <v>1</v>
      </c>
      <c r="O2414" s="3" t="str">
        <f>IF(ISERROR(VLOOKUP(D2414,Data!$A$2:$C$223100,3,FALSE)),"INACTIVE",VLOOKUP(D2414,Data!$A$2:$C$223100,3,FALSE))</f>
        <v>60+</v>
      </c>
    </row>
    <row r="2415" spans="1:15" x14ac:dyDescent="0.25">
      <c r="A2415" t="s">
        <v>2117</v>
      </c>
      <c r="B2415" t="s">
        <v>2118</v>
      </c>
      <c r="C2415" t="s">
        <v>2600</v>
      </c>
      <c r="D2415" t="s">
        <v>2601</v>
      </c>
      <c r="E2415" t="s">
        <v>2602</v>
      </c>
      <c r="F2415" t="s">
        <v>2603</v>
      </c>
      <c r="G2415" t="s">
        <v>5</v>
      </c>
      <c r="H2415" t="s">
        <v>5</v>
      </c>
      <c r="I2415" t="s">
        <v>2122</v>
      </c>
      <c r="J2415" t="s">
        <v>40</v>
      </c>
      <c r="K2415" s="3">
        <f t="shared" si="74"/>
        <v>0</v>
      </c>
      <c r="L2415" s="3">
        <f>IF(ISERROR(VLOOKUP(J2415,Lookups!$A$2:$A$16,1,FALSE)),1,0)</f>
        <v>1</v>
      </c>
      <c r="M2415" s="3">
        <f>IF(ISERROR(VLOOKUP(D2415,Data!$A$2:$D$223100,2,FALSE)),0,1)</f>
        <v>1</v>
      </c>
      <c r="N2415" s="3">
        <f t="shared" si="75"/>
        <v>1</v>
      </c>
      <c r="O2415" s="3" t="str">
        <f>IF(ISERROR(VLOOKUP(D2415,Data!$A$2:$C$223100,3,FALSE)),"INACTIVE",VLOOKUP(D2415,Data!$A$2:$C$223100,3,FALSE))</f>
        <v>Demand Letter</v>
      </c>
    </row>
    <row r="2416" spans="1:15" x14ac:dyDescent="0.25">
      <c r="A2416" t="s">
        <v>2117</v>
      </c>
      <c r="B2416" t="s">
        <v>2118</v>
      </c>
      <c r="C2416" t="s">
        <v>2604</v>
      </c>
      <c r="D2416" t="s">
        <v>2605</v>
      </c>
      <c r="E2416" t="s">
        <v>2606</v>
      </c>
      <c r="F2416" t="s">
        <v>2607</v>
      </c>
      <c r="G2416" t="s">
        <v>5</v>
      </c>
      <c r="H2416" t="s">
        <v>5</v>
      </c>
      <c r="I2416" t="s">
        <v>2122</v>
      </c>
      <c r="J2416" t="s">
        <v>40</v>
      </c>
      <c r="K2416" s="3">
        <f t="shared" si="74"/>
        <v>0</v>
      </c>
      <c r="L2416" s="3">
        <f>IF(ISERROR(VLOOKUP(J2416,Lookups!$A$2:$A$16,1,FALSE)),1,0)</f>
        <v>1</v>
      </c>
      <c r="M2416" s="3">
        <f>IF(ISERROR(VLOOKUP(D2416,Data!$A$2:$D$223100,2,FALSE)),0,1)</f>
        <v>1</v>
      </c>
      <c r="N2416" s="3">
        <f t="shared" si="75"/>
        <v>1</v>
      </c>
      <c r="O2416" s="3" t="str">
        <f>IF(ISERROR(VLOOKUP(D2416,Data!$A$2:$C$223100,3,FALSE)),"INACTIVE",VLOOKUP(D2416,Data!$A$2:$C$223100,3,FALSE))</f>
        <v>Current</v>
      </c>
    </row>
    <row r="2417" spans="1:15" x14ac:dyDescent="0.25">
      <c r="A2417" t="s">
        <v>2117</v>
      </c>
      <c r="B2417" t="s">
        <v>2118</v>
      </c>
      <c r="C2417" t="s">
        <v>2608</v>
      </c>
      <c r="D2417" t="s">
        <v>2609</v>
      </c>
      <c r="E2417" t="s">
        <v>2610</v>
      </c>
      <c r="F2417" t="s">
        <v>2610</v>
      </c>
      <c r="G2417" t="s">
        <v>5</v>
      </c>
      <c r="H2417" t="s">
        <v>5</v>
      </c>
      <c r="I2417" t="s">
        <v>2122</v>
      </c>
      <c r="J2417" t="s">
        <v>47</v>
      </c>
      <c r="K2417" s="3">
        <f t="shared" si="74"/>
        <v>0</v>
      </c>
      <c r="L2417" s="3">
        <f>IF(ISERROR(VLOOKUP(J2417,Lookups!$A$2:$A$16,1,FALSE)),1,0)</f>
        <v>1</v>
      </c>
      <c r="M2417" s="3">
        <f>IF(ISERROR(VLOOKUP(D2417,Data!$A$2:$D$223100,2,FALSE)),0,1)</f>
        <v>1</v>
      </c>
      <c r="N2417" s="3">
        <f t="shared" si="75"/>
        <v>1</v>
      </c>
      <c r="O2417" s="3" t="str">
        <f>IF(ISERROR(VLOOKUP(D2417,Data!$A$2:$C$223100,3,FALSE)),"INACTIVE",VLOOKUP(D2417,Data!$A$2:$C$223100,3,FALSE))</f>
        <v>PP</v>
      </c>
    </row>
    <row r="2418" spans="1:15" x14ac:dyDescent="0.25">
      <c r="A2418" t="s">
        <v>2117</v>
      </c>
      <c r="B2418" t="s">
        <v>2118</v>
      </c>
      <c r="C2418" t="s">
        <v>2611</v>
      </c>
      <c r="D2418" t="s">
        <v>2612</v>
      </c>
      <c r="E2418" t="s">
        <v>2613</v>
      </c>
      <c r="F2418" t="s">
        <v>2614</v>
      </c>
      <c r="G2418" t="s">
        <v>5</v>
      </c>
      <c r="H2418" t="s">
        <v>5</v>
      </c>
      <c r="I2418" t="s">
        <v>2122</v>
      </c>
      <c r="J2418" t="s">
        <v>40</v>
      </c>
      <c r="K2418" s="3">
        <f t="shared" si="74"/>
        <v>0</v>
      </c>
      <c r="L2418" s="3">
        <f>IF(ISERROR(VLOOKUP(J2418,Lookups!$A$2:$A$16,1,FALSE)),1,0)</f>
        <v>1</v>
      </c>
      <c r="M2418" s="3">
        <f>IF(ISERROR(VLOOKUP(D2418,Data!$A$2:$D$223100,2,FALSE)),0,1)</f>
        <v>0</v>
      </c>
      <c r="N2418" s="3">
        <f t="shared" si="75"/>
        <v>0</v>
      </c>
      <c r="O2418" s="3" t="str">
        <f>IF(ISERROR(VLOOKUP(D2418,Data!$A$2:$C$223100,3,FALSE)),"INACTIVE",VLOOKUP(D2418,Data!$A$2:$C$223100,3,FALSE))</f>
        <v>INACTIVE</v>
      </c>
    </row>
    <row r="2419" spans="1:15" x14ac:dyDescent="0.25">
      <c r="A2419" t="s">
        <v>2117</v>
      </c>
      <c r="B2419" t="s">
        <v>2118</v>
      </c>
      <c r="C2419" t="s">
        <v>2615</v>
      </c>
      <c r="D2419" t="s">
        <v>2616</v>
      </c>
      <c r="E2419" t="s">
        <v>2617</v>
      </c>
      <c r="F2419" t="s">
        <v>2618</v>
      </c>
      <c r="G2419" t="s">
        <v>5</v>
      </c>
      <c r="H2419" t="s">
        <v>5</v>
      </c>
      <c r="I2419" t="s">
        <v>2122</v>
      </c>
      <c r="J2419" t="s">
        <v>47</v>
      </c>
      <c r="K2419" s="3">
        <f t="shared" si="74"/>
        <v>0</v>
      </c>
      <c r="L2419" s="3">
        <f>IF(ISERROR(VLOOKUP(J2419,Lookups!$A$2:$A$16,1,FALSE)),1,0)</f>
        <v>1</v>
      </c>
      <c r="M2419" s="3">
        <f>IF(ISERROR(VLOOKUP(D2419,Data!$A$2:$D$223100,2,FALSE)),0,1)</f>
        <v>1</v>
      </c>
      <c r="N2419" s="3">
        <f t="shared" si="75"/>
        <v>1</v>
      </c>
      <c r="O2419" s="3" t="str">
        <f>IF(ISERROR(VLOOKUP(D2419,Data!$A$2:$C$223100,3,FALSE)),"INACTIVE",VLOOKUP(D2419,Data!$A$2:$C$223100,3,FALSE))</f>
        <v>FC</v>
      </c>
    </row>
    <row r="2420" spans="1:15" x14ac:dyDescent="0.25">
      <c r="A2420" t="s">
        <v>2117</v>
      </c>
      <c r="B2420" t="s">
        <v>2118</v>
      </c>
      <c r="C2420" t="s">
        <v>2619</v>
      </c>
      <c r="D2420" t="s">
        <v>2620</v>
      </c>
      <c r="E2420" t="s">
        <v>2621</v>
      </c>
      <c r="F2420" t="s">
        <v>2622</v>
      </c>
      <c r="G2420" t="s">
        <v>5</v>
      </c>
      <c r="H2420" t="s">
        <v>5</v>
      </c>
      <c r="I2420" t="s">
        <v>2122</v>
      </c>
      <c r="J2420" t="s">
        <v>40</v>
      </c>
      <c r="K2420" s="3">
        <f t="shared" si="74"/>
        <v>0</v>
      </c>
      <c r="L2420" s="3">
        <f>IF(ISERROR(VLOOKUP(J2420,Lookups!$A$2:$A$16,1,FALSE)),1,0)</f>
        <v>1</v>
      </c>
      <c r="M2420" s="3">
        <f>IF(ISERROR(VLOOKUP(D2420,Data!$A$2:$D$223100,2,FALSE)),0,1)</f>
        <v>1</v>
      </c>
      <c r="N2420" s="3">
        <f t="shared" si="75"/>
        <v>1</v>
      </c>
      <c r="O2420" s="3" t="str">
        <f>IF(ISERROR(VLOOKUP(D2420,Data!$A$2:$C$223100,3,FALSE)),"INACTIVE",VLOOKUP(D2420,Data!$A$2:$C$223100,3,FALSE))</f>
        <v>Current</v>
      </c>
    </row>
    <row r="2421" spans="1:15" x14ac:dyDescent="0.25">
      <c r="A2421" t="s">
        <v>2117</v>
      </c>
      <c r="B2421" t="s">
        <v>2118</v>
      </c>
      <c r="C2421" t="s">
        <v>2623</v>
      </c>
      <c r="D2421" t="s">
        <v>2624</v>
      </c>
      <c r="E2421" t="s">
        <v>2625</v>
      </c>
      <c r="F2421" t="s">
        <v>2626</v>
      </c>
      <c r="G2421" t="s">
        <v>5</v>
      </c>
      <c r="H2421" t="s">
        <v>5</v>
      </c>
      <c r="I2421" t="s">
        <v>2122</v>
      </c>
      <c r="J2421" t="s">
        <v>47</v>
      </c>
      <c r="K2421" s="3">
        <f t="shared" si="74"/>
        <v>0</v>
      </c>
      <c r="L2421" s="3">
        <f>IF(ISERROR(VLOOKUP(J2421,Lookups!$A$2:$A$16,1,FALSE)),1,0)</f>
        <v>1</v>
      </c>
      <c r="M2421" s="3">
        <f>IF(ISERROR(VLOOKUP(D2421,Data!$A$2:$D$223100,2,FALSE)),0,1)</f>
        <v>1</v>
      </c>
      <c r="N2421" s="3">
        <f t="shared" si="75"/>
        <v>1</v>
      </c>
      <c r="O2421" s="3" t="str">
        <f>IF(ISERROR(VLOOKUP(D2421,Data!$A$2:$C$223100,3,FALSE)),"INACTIVE",VLOOKUP(D2421,Data!$A$2:$C$223100,3,FALSE))</f>
        <v>Demand Letter</v>
      </c>
    </row>
    <row r="2422" spans="1:15" x14ac:dyDescent="0.25">
      <c r="A2422" t="s">
        <v>2117</v>
      </c>
      <c r="B2422" t="s">
        <v>2118</v>
      </c>
      <c r="C2422" t="s">
        <v>2627</v>
      </c>
      <c r="D2422" t="s">
        <v>2628</v>
      </c>
      <c r="E2422" t="s">
        <v>2629</v>
      </c>
      <c r="F2422" t="s">
        <v>2630</v>
      </c>
      <c r="G2422" t="s">
        <v>5</v>
      </c>
      <c r="H2422" t="s">
        <v>5</v>
      </c>
      <c r="I2422" t="s">
        <v>2122</v>
      </c>
      <c r="J2422" t="s">
        <v>47</v>
      </c>
      <c r="K2422" s="3">
        <f t="shared" si="74"/>
        <v>0</v>
      </c>
      <c r="L2422" s="3">
        <f>IF(ISERROR(VLOOKUP(J2422,Lookups!$A$2:$A$16,1,FALSE)),1,0)</f>
        <v>1</v>
      </c>
      <c r="M2422" s="3">
        <f>IF(ISERROR(VLOOKUP(D2422,Data!$A$2:$D$223100,2,FALSE)),0,1)</f>
        <v>1</v>
      </c>
      <c r="N2422" s="3">
        <f t="shared" si="75"/>
        <v>1</v>
      </c>
      <c r="O2422" s="3" t="str">
        <f>IF(ISERROR(VLOOKUP(D2422,Data!$A$2:$C$223100,3,FALSE)),"INACTIVE",VLOOKUP(D2422,Data!$A$2:$C$223100,3,FALSE))</f>
        <v>BK13</v>
      </c>
    </row>
    <row r="2423" spans="1:15" x14ac:dyDescent="0.25">
      <c r="A2423" t="s">
        <v>2117</v>
      </c>
      <c r="B2423" t="s">
        <v>2118</v>
      </c>
      <c r="C2423" t="s">
        <v>2176</v>
      </c>
      <c r="D2423" t="s">
        <v>2177</v>
      </c>
      <c r="E2423" t="s">
        <v>2631</v>
      </c>
      <c r="F2423" t="s">
        <v>2631</v>
      </c>
      <c r="G2423" t="s">
        <v>5</v>
      </c>
      <c r="H2423" t="s">
        <v>5</v>
      </c>
      <c r="I2423" t="s">
        <v>2122</v>
      </c>
      <c r="J2423" t="s">
        <v>573</v>
      </c>
      <c r="K2423" s="3">
        <f t="shared" si="74"/>
        <v>0</v>
      </c>
      <c r="L2423" s="3">
        <f>IF(ISERROR(VLOOKUP(J2423,Lookups!$A$2:$A$16,1,FALSE)),1,0)</f>
        <v>1</v>
      </c>
      <c r="M2423" s="3">
        <f>IF(ISERROR(VLOOKUP(D2423,Data!$A$2:$D$223100,2,FALSE)),0,1)</f>
        <v>1</v>
      </c>
      <c r="N2423" s="3">
        <f t="shared" si="75"/>
        <v>1</v>
      </c>
      <c r="O2423" s="3" t="str">
        <f>IF(ISERROR(VLOOKUP(D2423,Data!$A$2:$C$223100,3,FALSE)),"INACTIVE",VLOOKUP(D2423,Data!$A$2:$C$223100,3,FALSE))</f>
        <v>FC</v>
      </c>
    </row>
    <row r="2424" spans="1:15" x14ac:dyDescent="0.25">
      <c r="A2424" t="s">
        <v>2117</v>
      </c>
      <c r="B2424" t="s">
        <v>2118</v>
      </c>
      <c r="C2424" t="s">
        <v>2632</v>
      </c>
      <c r="D2424" t="s">
        <v>2633</v>
      </c>
      <c r="E2424" t="s">
        <v>2634</v>
      </c>
      <c r="F2424" t="s">
        <v>2635</v>
      </c>
      <c r="G2424" t="s">
        <v>5</v>
      </c>
      <c r="H2424" t="s">
        <v>5</v>
      </c>
      <c r="I2424" t="s">
        <v>2122</v>
      </c>
      <c r="J2424" t="s">
        <v>40</v>
      </c>
      <c r="K2424" s="3">
        <f t="shared" si="74"/>
        <v>0</v>
      </c>
      <c r="L2424" s="3">
        <f>IF(ISERROR(VLOOKUP(J2424,Lookups!$A$2:$A$16,1,FALSE)),1,0)</f>
        <v>1</v>
      </c>
      <c r="M2424" s="3">
        <f>IF(ISERROR(VLOOKUP(D2424,Data!$A$2:$D$223100,2,FALSE)),0,1)</f>
        <v>1</v>
      </c>
      <c r="N2424" s="3">
        <f t="shared" si="75"/>
        <v>1</v>
      </c>
      <c r="O2424" s="3" t="str">
        <f>IF(ISERROR(VLOOKUP(D2424,Data!$A$2:$C$223100,3,FALSE)),"INACTIVE",VLOOKUP(D2424,Data!$A$2:$C$223100,3,FALSE))</f>
        <v>60+</v>
      </c>
    </row>
    <row r="2425" spans="1:15" x14ac:dyDescent="0.25">
      <c r="A2425" t="s">
        <v>2117</v>
      </c>
      <c r="B2425" t="s">
        <v>2118</v>
      </c>
      <c r="C2425" t="s">
        <v>2636</v>
      </c>
      <c r="D2425" t="s">
        <v>2637</v>
      </c>
      <c r="E2425" t="s">
        <v>2638</v>
      </c>
      <c r="F2425" t="s">
        <v>2639</v>
      </c>
      <c r="G2425" t="s">
        <v>5</v>
      </c>
      <c r="H2425" t="s">
        <v>5</v>
      </c>
      <c r="I2425" t="s">
        <v>2122</v>
      </c>
      <c r="J2425" t="s">
        <v>40</v>
      </c>
      <c r="K2425" s="3">
        <f t="shared" si="74"/>
        <v>0</v>
      </c>
      <c r="L2425" s="3">
        <f>IF(ISERROR(VLOOKUP(J2425,Lookups!$A$2:$A$16,1,FALSE)),1,0)</f>
        <v>1</v>
      </c>
      <c r="M2425" s="3">
        <f>IF(ISERROR(VLOOKUP(D2425,Data!$A$2:$D$223100,2,FALSE)),0,1)</f>
        <v>1</v>
      </c>
      <c r="N2425" s="3">
        <f t="shared" si="75"/>
        <v>1</v>
      </c>
      <c r="O2425" s="3" t="str">
        <f>IF(ISERROR(VLOOKUP(D2425,Data!$A$2:$C$223100,3,FALSE)),"INACTIVE",VLOOKUP(D2425,Data!$A$2:$C$223100,3,FALSE))</f>
        <v>FC</v>
      </c>
    </row>
    <row r="2426" spans="1:15" x14ac:dyDescent="0.25">
      <c r="A2426" t="s">
        <v>2117</v>
      </c>
      <c r="B2426" t="s">
        <v>2118</v>
      </c>
      <c r="C2426" t="s">
        <v>2640</v>
      </c>
      <c r="D2426" t="s">
        <v>2641</v>
      </c>
      <c r="E2426" t="s">
        <v>2642</v>
      </c>
      <c r="F2426" t="s">
        <v>2643</v>
      </c>
      <c r="G2426" t="s">
        <v>5</v>
      </c>
      <c r="H2426" t="s">
        <v>5</v>
      </c>
      <c r="I2426" t="s">
        <v>2122</v>
      </c>
      <c r="J2426" t="s">
        <v>40</v>
      </c>
      <c r="K2426" s="3">
        <f t="shared" si="74"/>
        <v>0</v>
      </c>
      <c r="L2426" s="3">
        <f>IF(ISERROR(VLOOKUP(J2426,Lookups!$A$2:$A$16,1,FALSE)),1,0)</f>
        <v>1</v>
      </c>
      <c r="M2426" s="3">
        <f>IF(ISERROR(VLOOKUP(D2426,Data!$A$2:$D$223100,2,FALSE)),0,1)</f>
        <v>1</v>
      </c>
      <c r="N2426" s="3">
        <f t="shared" si="75"/>
        <v>1</v>
      </c>
      <c r="O2426" s="3" t="str">
        <f>IF(ISERROR(VLOOKUP(D2426,Data!$A$2:$C$223100,3,FALSE)),"INACTIVE",VLOOKUP(D2426,Data!$A$2:$C$223100,3,FALSE))</f>
        <v>30+</v>
      </c>
    </row>
    <row r="2427" spans="1:15" x14ac:dyDescent="0.25">
      <c r="A2427" t="s">
        <v>2117</v>
      </c>
      <c r="B2427" t="s">
        <v>2118</v>
      </c>
      <c r="C2427" t="s">
        <v>2179</v>
      </c>
      <c r="D2427" t="s">
        <v>2180</v>
      </c>
      <c r="E2427" t="s">
        <v>2644</v>
      </c>
      <c r="F2427" t="s">
        <v>2645</v>
      </c>
      <c r="G2427" t="s">
        <v>5</v>
      </c>
      <c r="H2427" t="s">
        <v>5</v>
      </c>
      <c r="I2427" t="s">
        <v>2122</v>
      </c>
      <c r="J2427" t="s">
        <v>36</v>
      </c>
      <c r="K2427" s="3">
        <f t="shared" si="74"/>
        <v>0</v>
      </c>
      <c r="L2427" s="3">
        <f>IF(ISERROR(VLOOKUP(J2427,Lookups!$A$2:$A$16,1,FALSE)),1,0)</f>
        <v>1</v>
      </c>
      <c r="M2427" s="3">
        <f>IF(ISERROR(VLOOKUP(D2427,Data!$A$2:$D$223100,2,FALSE)),0,1)</f>
        <v>1</v>
      </c>
      <c r="N2427" s="3">
        <f t="shared" si="75"/>
        <v>1</v>
      </c>
      <c r="O2427" s="3" t="str">
        <f>IF(ISERROR(VLOOKUP(D2427,Data!$A$2:$C$223100,3,FALSE)),"INACTIVE",VLOOKUP(D2427,Data!$A$2:$C$223100,3,FALSE))</f>
        <v>Demand Letter</v>
      </c>
    </row>
    <row r="2428" spans="1:15" x14ac:dyDescent="0.25">
      <c r="A2428" t="s">
        <v>2117</v>
      </c>
      <c r="B2428" t="s">
        <v>2118</v>
      </c>
      <c r="C2428" t="s">
        <v>2646</v>
      </c>
      <c r="D2428" t="s">
        <v>2647</v>
      </c>
      <c r="E2428" t="s">
        <v>2648</v>
      </c>
      <c r="F2428" t="s">
        <v>2649</v>
      </c>
      <c r="G2428" t="s">
        <v>5</v>
      </c>
      <c r="H2428" t="s">
        <v>5</v>
      </c>
      <c r="I2428" t="s">
        <v>2122</v>
      </c>
      <c r="J2428" t="s">
        <v>40</v>
      </c>
      <c r="K2428" s="3">
        <f t="shared" si="74"/>
        <v>0</v>
      </c>
      <c r="L2428" s="3">
        <f>IF(ISERROR(VLOOKUP(J2428,Lookups!$A$2:$A$16,1,FALSE)),1,0)</f>
        <v>1</v>
      </c>
      <c r="M2428" s="3">
        <f>IF(ISERROR(VLOOKUP(D2428,Data!$A$2:$D$223100,2,FALSE)),0,1)</f>
        <v>1</v>
      </c>
      <c r="N2428" s="3">
        <f t="shared" si="75"/>
        <v>1</v>
      </c>
      <c r="O2428" s="3" t="str">
        <f>IF(ISERROR(VLOOKUP(D2428,Data!$A$2:$C$223100,3,FALSE)),"INACTIVE",VLOOKUP(D2428,Data!$A$2:$C$223100,3,FALSE))</f>
        <v>Demand Letter</v>
      </c>
    </row>
    <row r="2429" spans="1:15" x14ac:dyDescent="0.25">
      <c r="A2429" t="s">
        <v>2117</v>
      </c>
      <c r="B2429" t="s">
        <v>2118</v>
      </c>
      <c r="C2429" t="s">
        <v>2650</v>
      </c>
      <c r="D2429" t="s">
        <v>2651</v>
      </c>
      <c r="E2429" t="s">
        <v>2652</v>
      </c>
      <c r="F2429" t="s">
        <v>2653</v>
      </c>
      <c r="G2429" t="s">
        <v>5</v>
      </c>
      <c r="H2429" t="s">
        <v>5</v>
      </c>
      <c r="I2429" t="s">
        <v>2122</v>
      </c>
      <c r="J2429" t="s">
        <v>40</v>
      </c>
      <c r="K2429" s="3">
        <f t="shared" si="74"/>
        <v>0</v>
      </c>
      <c r="L2429" s="3">
        <f>IF(ISERROR(VLOOKUP(J2429,Lookups!$A$2:$A$16,1,FALSE)),1,0)</f>
        <v>1</v>
      </c>
      <c r="M2429" s="3">
        <f>IF(ISERROR(VLOOKUP(D2429,Data!$A$2:$D$223100,2,FALSE)),0,1)</f>
        <v>1</v>
      </c>
      <c r="N2429" s="3">
        <f t="shared" si="75"/>
        <v>1</v>
      </c>
      <c r="O2429" s="3" t="str">
        <f>IF(ISERROR(VLOOKUP(D2429,Data!$A$2:$C$223100,3,FALSE)),"INACTIVE",VLOOKUP(D2429,Data!$A$2:$C$223100,3,FALSE))</f>
        <v>Current</v>
      </c>
    </row>
    <row r="2430" spans="1:15" x14ac:dyDescent="0.25">
      <c r="A2430" t="s">
        <v>2117</v>
      </c>
      <c r="B2430" t="s">
        <v>2118</v>
      </c>
      <c r="C2430" t="s">
        <v>2182</v>
      </c>
      <c r="D2430" t="s">
        <v>2183</v>
      </c>
      <c r="E2430" t="s">
        <v>2654</v>
      </c>
      <c r="F2430" t="s">
        <v>2655</v>
      </c>
      <c r="G2430" t="s">
        <v>5</v>
      </c>
      <c r="H2430" t="s">
        <v>5</v>
      </c>
      <c r="I2430" t="s">
        <v>2122</v>
      </c>
      <c r="J2430" t="s">
        <v>7</v>
      </c>
      <c r="K2430" s="3">
        <f t="shared" si="74"/>
        <v>0</v>
      </c>
      <c r="L2430" s="3">
        <f>IF(ISERROR(VLOOKUP(J2430,Lookups!$A$2:$A$16,1,FALSE)),1,0)</f>
        <v>1</v>
      </c>
      <c r="M2430" s="3">
        <f>IF(ISERROR(VLOOKUP(D2430,Data!$A$2:$D$223100,2,FALSE)),0,1)</f>
        <v>1</v>
      </c>
      <c r="N2430" s="3">
        <f t="shared" si="75"/>
        <v>1</v>
      </c>
      <c r="O2430" s="3" t="str">
        <f>IF(ISERROR(VLOOKUP(D2430,Data!$A$2:$C$223100,3,FALSE)),"INACTIVE",VLOOKUP(D2430,Data!$A$2:$C$223100,3,FALSE))</f>
        <v>Current</v>
      </c>
    </row>
    <row r="2431" spans="1:15" x14ac:dyDescent="0.25">
      <c r="A2431" t="s">
        <v>2117</v>
      </c>
      <c r="B2431" t="s">
        <v>2118</v>
      </c>
      <c r="C2431" t="s">
        <v>2656</v>
      </c>
      <c r="D2431" t="s">
        <v>2657</v>
      </c>
      <c r="E2431" t="s">
        <v>2658</v>
      </c>
      <c r="F2431" t="s">
        <v>2659</v>
      </c>
      <c r="G2431" t="s">
        <v>5</v>
      </c>
      <c r="H2431" t="s">
        <v>5</v>
      </c>
      <c r="I2431" t="s">
        <v>2122</v>
      </c>
      <c r="J2431" t="s">
        <v>40</v>
      </c>
      <c r="K2431" s="3">
        <f t="shared" si="74"/>
        <v>0</v>
      </c>
      <c r="L2431" s="3">
        <f>IF(ISERROR(VLOOKUP(J2431,Lookups!$A$2:$A$16,1,FALSE)),1,0)</f>
        <v>1</v>
      </c>
      <c r="M2431" s="3">
        <f>IF(ISERROR(VLOOKUP(D2431,Data!$A$2:$D$223100,2,FALSE)),0,1)</f>
        <v>1</v>
      </c>
      <c r="N2431" s="3">
        <f t="shared" si="75"/>
        <v>1</v>
      </c>
      <c r="O2431" s="3" t="str">
        <f>IF(ISERROR(VLOOKUP(D2431,Data!$A$2:$C$223100,3,FALSE)),"INACTIVE",VLOOKUP(D2431,Data!$A$2:$C$223100,3,FALSE))</f>
        <v>FBA</v>
      </c>
    </row>
    <row r="2432" spans="1:15" x14ac:dyDescent="0.25">
      <c r="A2432" t="s">
        <v>2117</v>
      </c>
      <c r="B2432" t="s">
        <v>2118</v>
      </c>
      <c r="C2432" t="s">
        <v>2660</v>
      </c>
      <c r="D2432" t="s">
        <v>2661</v>
      </c>
      <c r="E2432" t="s">
        <v>2662</v>
      </c>
      <c r="F2432" t="s">
        <v>2663</v>
      </c>
      <c r="G2432" t="s">
        <v>5</v>
      </c>
      <c r="H2432" t="s">
        <v>5</v>
      </c>
      <c r="I2432" t="s">
        <v>2122</v>
      </c>
      <c r="J2432" t="s">
        <v>47</v>
      </c>
      <c r="K2432" s="3">
        <f t="shared" si="74"/>
        <v>0</v>
      </c>
      <c r="L2432" s="3">
        <f>IF(ISERROR(VLOOKUP(J2432,Lookups!$A$2:$A$16,1,FALSE)),1,0)</f>
        <v>1</v>
      </c>
      <c r="M2432" s="3">
        <f>IF(ISERROR(VLOOKUP(D2432,Data!$A$2:$D$223100,2,FALSE)),0,1)</f>
        <v>1</v>
      </c>
      <c r="N2432" s="3">
        <f t="shared" si="75"/>
        <v>1</v>
      </c>
      <c r="O2432" s="3" t="str">
        <f>IF(ISERROR(VLOOKUP(D2432,Data!$A$2:$C$223100,3,FALSE)),"INACTIVE",VLOOKUP(D2432,Data!$A$2:$C$223100,3,FALSE))</f>
        <v>FC</v>
      </c>
    </row>
    <row r="2433" spans="1:15" x14ac:dyDescent="0.25">
      <c r="A2433" t="s">
        <v>2117</v>
      </c>
      <c r="B2433" t="s">
        <v>2118</v>
      </c>
      <c r="C2433" t="s">
        <v>2664</v>
      </c>
      <c r="D2433" t="s">
        <v>2665</v>
      </c>
      <c r="E2433" t="s">
        <v>2666</v>
      </c>
      <c r="F2433" t="s">
        <v>2667</v>
      </c>
      <c r="G2433" t="s">
        <v>5</v>
      </c>
      <c r="H2433" t="s">
        <v>5</v>
      </c>
      <c r="I2433" t="s">
        <v>2122</v>
      </c>
      <c r="J2433" t="s">
        <v>40</v>
      </c>
      <c r="K2433" s="3">
        <f t="shared" si="74"/>
        <v>0</v>
      </c>
      <c r="L2433" s="3">
        <f>IF(ISERROR(VLOOKUP(J2433,Lookups!$A$2:$A$16,1,FALSE)),1,0)</f>
        <v>1</v>
      </c>
      <c r="M2433" s="3">
        <f>IF(ISERROR(VLOOKUP(D2433,Data!$A$2:$D$223100,2,FALSE)),0,1)</f>
        <v>1</v>
      </c>
      <c r="N2433" s="3">
        <f t="shared" si="75"/>
        <v>1</v>
      </c>
      <c r="O2433" s="3" t="str">
        <f>IF(ISERROR(VLOOKUP(D2433,Data!$A$2:$C$223100,3,FALSE)),"INACTIVE",VLOOKUP(D2433,Data!$A$2:$C$223100,3,FALSE))</f>
        <v>PP</v>
      </c>
    </row>
    <row r="2434" spans="1:15" x14ac:dyDescent="0.25">
      <c r="A2434" t="s">
        <v>2117</v>
      </c>
      <c r="B2434" t="s">
        <v>2118</v>
      </c>
      <c r="C2434" t="s">
        <v>2668</v>
      </c>
      <c r="D2434" t="s">
        <v>2669</v>
      </c>
      <c r="E2434" t="s">
        <v>2670</v>
      </c>
      <c r="F2434" t="s">
        <v>2671</v>
      </c>
      <c r="G2434" t="s">
        <v>5</v>
      </c>
      <c r="H2434" t="s">
        <v>5</v>
      </c>
      <c r="I2434" t="s">
        <v>2122</v>
      </c>
      <c r="J2434" t="s">
        <v>40</v>
      </c>
      <c r="K2434" s="3">
        <f t="shared" si="74"/>
        <v>0</v>
      </c>
      <c r="L2434" s="3">
        <f>IF(ISERROR(VLOOKUP(J2434,Lookups!$A$2:$A$16,1,FALSE)),1,0)</f>
        <v>1</v>
      </c>
      <c r="M2434" s="3">
        <f>IF(ISERROR(VLOOKUP(D2434,Data!$A$2:$D$223100,2,FALSE)),0,1)</f>
        <v>1</v>
      </c>
      <c r="N2434" s="3">
        <f t="shared" si="75"/>
        <v>1</v>
      </c>
      <c r="O2434" s="3" t="str">
        <f>IF(ISERROR(VLOOKUP(D2434,Data!$A$2:$C$223100,3,FALSE)),"INACTIVE",VLOOKUP(D2434,Data!$A$2:$C$223100,3,FALSE))</f>
        <v>Current</v>
      </c>
    </row>
    <row r="2435" spans="1:15" x14ac:dyDescent="0.25">
      <c r="A2435" t="s">
        <v>2117</v>
      </c>
      <c r="B2435" t="s">
        <v>2118</v>
      </c>
      <c r="C2435" t="s">
        <v>2672</v>
      </c>
      <c r="D2435" t="s">
        <v>2673</v>
      </c>
      <c r="E2435" t="s">
        <v>2674</v>
      </c>
      <c r="F2435" t="s">
        <v>2675</v>
      </c>
      <c r="G2435" t="s">
        <v>5</v>
      </c>
      <c r="H2435" t="s">
        <v>5</v>
      </c>
      <c r="I2435" t="s">
        <v>2122</v>
      </c>
      <c r="J2435" t="s">
        <v>47</v>
      </c>
      <c r="K2435" s="3">
        <f t="shared" ref="K2435:K2498" si="76">IF(ISERROR(FIND("LIEN",A2435,1)),0,1)</f>
        <v>0</v>
      </c>
      <c r="L2435" s="3">
        <f>IF(ISERROR(VLOOKUP(J2435,Lookups!$A$2:$A$16,1,FALSE)),1,0)</f>
        <v>1</v>
      </c>
      <c r="M2435" s="3">
        <f>IF(ISERROR(VLOOKUP(D2435,Data!$A$2:$D$223100,2,FALSE)),0,1)</f>
        <v>1</v>
      </c>
      <c r="N2435" s="3">
        <f t="shared" ref="N2435:N2498" si="77">IF(M2435=0,0,IF(SUM(K2435:L2435)&gt;0,1,0))</f>
        <v>1</v>
      </c>
      <c r="O2435" s="3" t="str">
        <f>IF(ISERROR(VLOOKUP(D2435,Data!$A$2:$C$223100,3,FALSE)),"INACTIVE",VLOOKUP(D2435,Data!$A$2:$C$223100,3,FALSE))</f>
        <v>Demand Letter</v>
      </c>
    </row>
    <row r="2436" spans="1:15" x14ac:dyDescent="0.25">
      <c r="A2436" t="s">
        <v>2117</v>
      </c>
      <c r="B2436" t="s">
        <v>2118</v>
      </c>
      <c r="C2436" t="s">
        <v>2676</v>
      </c>
      <c r="D2436" t="s">
        <v>2677</v>
      </c>
      <c r="E2436" t="s">
        <v>2678</v>
      </c>
      <c r="F2436" t="s">
        <v>2679</v>
      </c>
      <c r="G2436" t="s">
        <v>5</v>
      </c>
      <c r="H2436" t="s">
        <v>5</v>
      </c>
      <c r="I2436" t="s">
        <v>2122</v>
      </c>
      <c r="J2436" t="s">
        <v>40</v>
      </c>
      <c r="K2436" s="3">
        <f t="shared" si="76"/>
        <v>0</v>
      </c>
      <c r="L2436" s="3">
        <f>IF(ISERROR(VLOOKUP(J2436,Lookups!$A$2:$A$16,1,FALSE)),1,0)</f>
        <v>1</v>
      </c>
      <c r="M2436" s="3">
        <f>IF(ISERROR(VLOOKUP(D2436,Data!$A$2:$D$223100,2,FALSE)),0,1)</f>
        <v>1</v>
      </c>
      <c r="N2436" s="3">
        <f t="shared" si="77"/>
        <v>1</v>
      </c>
      <c r="O2436" s="3" t="str">
        <f>IF(ISERROR(VLOOKUP(D2436,Data!$A$2:$C$223100,3,FALSE)),"INACTIVE",VLOOKUP(D2436,Data!$A$2:$C$223100,3,FALSE))</f>
        <v>Current</v>
      </c>
    </row>
    <row r="2437" spans="1:15" x14ac:dyDescent="0.25">
      <c r="A2437" t="s">
        <v>2117</v>
      </c>
      <c r="B2437" t="s">
        <v>2118</v>
      </c>
      <c r="C2437" t="s">
        <v>2676</v>
      </c>
      <c r="D2437" t="s">
        <v>2680</v>
      </c>
      <c r="E2437" t="s">
        <v>2678</v>
      </c>
      <c r="F2437" t="s">
        <v>2679</v>
      </c>
      <c r="G2437" t="s">
        <v>5</v>
      </c>
      <c r="H2437" t="s">
        <v>5</v>
      </c>
      <c r="I2437" t="s">
        <v>2122</v>
      </c>
      <c r="J2437" t="s">
        <v>40</v>
      </c>
      <c r="K2437" s="3">
        <f t="shared" si="76"/>
        <v>0</v>
      </c>
      <c r="L2437" s="3">
        <f>IF(ISERROR(VLOOKUP(J2437,Lookups!$A$2:$A$16,1,FALSE)),1,0)</f>
        <v>1</v>
      </c>
      <c r="M2437" s="3">
        <f>IF(ISERROR(VLOOKUP(D2437,Data!$A$2:$D$223100,2,FALSE)),0,1)</f>
        <v>1</v>
      </c>
      <c r="N2437" s="3">
        <f t="shared" si="77"/>
        <v>1</v>
      </c>
      <c r="O2437" s="3" t="str">
        <f>IF(ISERROR(VLOOKUP(D2437,Data!$A$2:$C$223100,3,FALSE)),"INACTIVE",VLOOKUP(D2437,Data!$A$2:$C$223100,3,FALSE))</f>
        <v>Current</v>
      </c>
    </row>
    <row r="2438" spans="1:15" x14ac:dyDescent="0.25">
      <c r="A2438" t="s">
        <v>2117</v>
      </c>
      <c r="B2438" t="s">
        <v>2118</v>
      </c>
      <c r="C2438" t="s">
        <v>2681</v>
      </c>
      <c r="D2438" t="s">
        <v>2682</v>
      </c>
      <c r="E2438" t="s">
        <v>2683</v>
      </c>
      <c r="F2438" t="s">
        <v>2684</v>
      </c>
      <c r="G2438" t="s">
        <v>5</v>
      </c>
      <c r="H2438" t="s">
        <v>5</v>
      </c>
      <c r="I2438" t="s">
        <v>2122</v>
      </c>
      <c r="J2438" t="s">
        <v>40</v>
      </c>
      <c r="K2438" s="3">
        <f t="shared" si="76"/>
        <v>0</v>
      </c>
      <c r="L2438" s="3">
        <f>IF(ISERROR(VLOOKUP(J2438,Lookups!$A$2:$A$16,1,FALSE)),1,0)</f>
        <v>1</v>
      </c>
      <c r="M2438" s="3">
        <f>IF(ISERROR(VLOOKUP(D2438,Data!$A$2:$D$223100,2,FALSE)),0,1)</f>
        <v>1</v>
      </c>
      <c r="N2438" s="3">
        <f t="shared" si="77"/>
        <v>1</v>
      </c>
      <c r="O2438" s="3" t="str">
        <f>IF(ISERROR(VLOOKUP(D2438,Data!$A$2:$C$223100,3,FALSE)),"INACTIVE",VLOOKUP(D2438,Data!$A$2:$C$223100,3,FALSE))</f>
        <v>Current</v>
      </c>
    </row>
    <row r="2439" spans="1:15" x14ac:dyDescent="0.25">
      <c r="A2439" t="s">
        <v>2117</v>
      </c>
      <c r="B2439" t="s">
        <v>2118</v>
      </c>
      <c r="C2439" t="s">
        <v>2685</v>
      </c>
      <c r="D2439" t="s">
        <v>2686</v>
      </c>
      <c r="E2439" t="s">
        <v>2687</v>
      </c>
      <c r="F2439" t="s">
        <v>2688</v>
      </c>
      <c r="G2439" t="s">
        <v>5</v>
      </c>
      <c r="H2439" t="s">
        <v>5</v>
      </c>
      <c r="I2439" t="s">
        <v>2122</v>
      </c>
      <c r="J2439" t="s">
        <v>40</v>
      </c>
      <c r="K2439" s="3">
        <f t="shared" si="76"/>
        <v>0</v>
      </c>
      <c r="L2439" s="3">
        <f>IF(ISERROR(VLOOKUP(J2439,Lookups!$A$2:$A$16,1,FALSE)),1,0)</f>
        <v>1</v>
      </c>
      <c r="M2439" s="3">
        <f>IF(ISERROR(VLOOKUP(D2439,Data!$A$2:$D$223100,2,FALSE)),0,1)</f>
        <v>1</v>
      </c>
      <c r="N2439" s="3">
        <f t="shared" si="77"/>
        <v>1</v>
      </c>
      <c r="O2439" s="3" t="str">
        <f>IF(ISERROR(VLOOKUP(D2439,Data!$A$2:$C$223100,3,FALSE)),"INACTIVE",VLOOKUP(D2439,Data!$A$2:$C$223100,3,FALSE))</f>
        <v>BK13</v>
      </c>
    </row>
    <row r="2440" spans="1:15" x14ac:dyDescent="0.25">
      <c r="A2440" t="s">
        <v>2117</v>
      </c>
      <c r="B2440" t="s">
        <v>2118</v>
      </c>
      <c r="C2440" t="s">
        <v>2689</v>
      </c>
      <c r="D2440" t="s">
        <v>2690</v>
      </c>
      <c r="E2440" t="s">
        <v>2691</v>
      </c>
      <c r="F2440" t="s">
        <v>2691</v>
      </c>
      <c r="G2440" t="s">
        <v>5</v>
      </c>
      <c r="H2440" t="s">
        <v>5</v>
      </c>
      <c r="I2440" t="s">
        <v>2122</v>
      </c>
      <c r="J2440" t="s">
        <v>47</v>
      </c>
      <c r="K2440" s="3">
        <f t="shared" si="76"/>
        <v>0</v>
      </c>
      <c r="L2440" s="3">
        <f>IF(ISERROR(VLOOKUP(J2440,Lookups!$A$2:$A$16,1,FALSE)),1,0)</f>
        <v>1</v>
      </c>
      <c r="M2440" s="3">
        <f>IF(ISERROR(VLOOKUP(D2440,Data!$A$2:$D$223100,2,FALSE)),0,1)</f>
        <v>1</v>
      </c>
      <c r="N2440" s="3">
        <f t="shared" si="77"/>
        <v>1</v>
      </c>
      <c r="O2440" s="3" t="str">
        <f>IF(ISERROR(VLOOKUP(D2440,Data!$A$2:$C$223100,3,FALSE)),"INACTIVE",VLOOKUP(D2440,Data!$A$2:$C$223100,3,FALSE))</f>
        <v>FBA</v>
      </c>
    </row>
    <row r="2441" spans="1:15" x14ac:dyDescent="0.25">
      <c r="A2441" t="s">
        <v>2117</v>
      </c>
      <c r="B2441" t="s">
        <v>2118</v>
      </c>
      <c r="C2441" t="s">
        <v>2692</v>
      </c>
      <c r="D2441" t="s">
        <v>2693</v>
      </c>
      <c r="E2441" t="s">
        <v>2694</v>
      </c>
      <c r="F2441" t="s">
        <v>2695</v>
      </c>
      <c r="G2441" t="s">
        <v>5</v>
      </c>
      <c r="H2441" t="s">
        <v>5</v>
      </c>
      <c r="I2441" t="s">
        <v>2122</v>
      </c>
      <c r="J2441" t="s">
        <v>47</v>
      </c>
      <c r="K2441" s="3">
        <f t="shared" si="76"/>
        <v>0</v>
      </c>
      <c r="L2441" s="3">
        <f>IF(ISERROR(VLOOKUP(J2441,Lookups!$A$2:$A$16,1,FALSE)),1,0)</f>
        <v>1</v>
      </c>
      <c r="M2441" s="3">
        <f>IF(ISERROR(VLOOKUP(D2441,Data!$A$2:$D$223100,2,FALSE)),0,1)</f>
        <v>1</v>
      </c>
      <c r="N2441" s="3">
        <f t="shared" si="77"/>
        <v>1</v>
      </c>
      <c r="O2441" s="3" t="str">
        <f>IF(ISERROR(VLOOKUP(D2441,Data!$A$2:$C$223100,3,FALSE)),"INACTIVE",VLOOKUP(D2441,Data!$A$2:$C$223100,3,FALSE))</f>
        <v>Demand Letter</v>
      </c>
    </row>
    <row r="2442" spans="1:15" x14ac:dyDescent="0.25">
      <c r="A2442" t="s">
        <v>2117</v>
      </c>
      <c r="B2442" t="s">
        <v>2118</v>
      </c>
      <c r="C2442" t="s">
        <v>2696</v>
      </c>
      <c r="D2442" t="s">
        <v>2697</v>
      </c>
      <c r="E2442" t="s">
        <v>2698</v>
      </c>
      <c r="F2442" t="s">
        <v>2698</v>
      </c>
      <c r="G2442" t="s">
        <v>5</v>
      </c>
      <c r="H2442" t="s">
        <v>5</v>
      </c>
      <c r="I2442" t="s">
        <v>2122</v>
      </c>
      <c r="J2442" t="s">
        <v>40</v>
      </c>
      <c r="K2442" s="3">
        <f t="shared" si="76"/>
        <v>0</v>
      </c>
      <c r="L2442" s="3">
        <f>IF(ISERROR(VLOOKUP(J2442,Lookups!$A$2:$A$16,1,FALSE)),1,0)</f>
        <v>1</v>
      </c>
      <c r="M2442" s="3">
        <f>IF(ISERROR(VLOOKUP(D2442,Data!$A$2:$D$223100,2,FALSE)),0,1)</f>
        <v>1</v>
      </c>
      <c r="N2442" s="3">
        <f t="shared" si="77"/>
        <v>1</v>
      </c>
      <c r="O2442" s="3" t="str">
        <f>IF(ISERROR(VLOOKUP(D2442,Data!$A$2:$C$223100,3,FALSE)),"INACTIVE",VLOOKUP(D2442,Data!$A$2:$C$223100,3,FALSE))</f>
        <v>30+</v>
      </c>
    </row>
    <row r="2443" spans="1:15" x14ac:dyDescent="0.25">
      <c r="A2443" t="s">
        <v>2117</v>
      </c>
      <c r="B2443" t="s">
        <v>2118</v>
      </c>
      <c r="C2443" t="s">
        <v>2699</v>
      </c>
      <c r="D2443" t="s">
        <v>2700</v>
      </c>
      <c r="E2443" t="s">
        <v>2701</v>
      </c>
      <c r="F2443" t="s">
        <v>2701</v>
      </c>
      <c r="G2443" t="s">
        <v>5</v>
      </c>
      <c r="H2443" t="s">
        <v>5</v>
      </c>
      <c r="I2443" t="s">
        <v>2122</v>
      </c>
      <c r="J2443" t="s">
        <v>40</v>
      </c>
      <c r="K2443" s="3">
        <f t="shared" si="76"/>
        <v>0</v>
      </c>
      <c r="L2443" s="3">
        <f>IF(ISERROR(VLOOKUP(J2443,Lookups!$A$2:$A$16,1,FALSE)),1,0)</f>
        <v>1</v>
      </c>
      <c r="M2443" s="3">
        <f>IF(ISERROR(VLOOKUP(D2443,Data!$A$2:$D$223100,2,FALSE)),0,1)</f>
        <v>1</v>
      </c>
      <c r="N2443" s="3">
        <f t="shared" si="77"/>
        <v>1</v>
      </c>
      <c r="O2443" s="3" t="str">
        <f>IF(ISERROR(VLOOKUP(D2443,Data!$A$2:$C$223100,3,FALSE)),"INACTIVE",VLOOKUP(D2443,Data!$A$2:$C$223100,3,FALSE))</f>
        <v>Current</v>
      </c>
    </row>
    <row r="2444" spans="1:15" x14ac:dyDescent="0.25">
      <c r="A2444" t="s">
        <v>2117</v>
      </c>
      <c r="B2444" t="s">
        <v>2118</v>
      </c>
      <c r="C2444" t="s">
        <v>2702</v>
      </c>
      <c r="D2444" t="s">
        <v>2703</v>
      </c>
      <c r="E2444" t="s">
        <v>2704</v>
      </c>
      <c r="F2444" t="s">
        <v>2705</v>
      </c>
      <c r="G2444" t="s">
        <v>5</v>
      </c>
      <c r="H2444" t="s">
        <v>5</v>
      </c>
      <c r="I2444" t="s">
        <v>2122</v>
      </c>
      <c r="J2444" t="s">
        <v>40</v>
      </c>
      <c r="K2444" s="3">
        <f t="shared" si="76"/>
        <v>0</v>
      </c>
      <c r="L2444" s="3">
        <f>IF(ISERROR(VLOOKUP(J2444,Lookups!$A$2:$A$16,1,FALSE)),1,0)</f>
        <v>1</v>
      </c>
      <c r="M2444" s="3">
        <f>IF(ISERROR(VLOOKUP(D2444,Data!$A$2:$D$223100,2,FALSE)),0,1)</f>
        <v>1</v>
      </c>
      <c r="N2444" s="3">
        <f t="shared" si="77"/>
        <v>1</v>
      </c>
      <c r="O2444" s="3" t="str">
        <f>IF(ISERROR(VLOOKUP(D2444,Data!$A$2:$C$223100,3,FALSE)),"INACTIVE",VLOOKUP(D2444,Data!$A$2:$C$223100,3,FALSE))</f>
        <v>60+</v>
      </c>
    </row>
    <row r="2445" spans="1:15" x14ac:dyDescent="0.25">
      <c r="A2445" t="s">
        <v>2117</v>
      </c>
      <c r="B2445" t="s">
        <v>2118</v>
      </c>
      <c r="C2445" t="s">
        <v>2188</v>
      </c>
      <c r="D2445" t="s">
        <v>2189</v>
      </c>
      <c r="E2445" t="s">
        <v>2706</v>
      </c>
      <c r="F2445" t="s">
        <v>2707</v>
      </c>
      <c r="G2445" t="s">
        <v>5</v>
      </c>
      <c r="H2445" t="s">
        <v>5</v>
      </c>
      <c r="I2445" t="s">
        <v>2122</v>
      </c>
      <c r="J2445" t="s">
        <v>36</v>
      </c>
      <c r="K2445" s="3">
        <f t="shared" si="76"/>
        <v>0</v>
      </c>
      <c r="L2445" s="3">
        <f>IF(ISERROR(VLOOKUP(J2445,Lookups!$A$2:$A$16,1,FALSE)),1,0)</f>
        <v>1</v>
      </c>
      <c r="M2445" s="3">
        <f>IF(ISERROR(VLOOKUP(D2445,Data!$A$2:$D$223100,2,FALSE)),0,1)</f>
        <v>1</v>
      </c>
      <c r="N2445" s="3">
        <f t="shared" si="77"/>
        <v>1</v>
      </c>
      <c r="O2445" s="3" t="str">
        <f>IF(ISERROR(VLOOKUP(D2445,Data!$A$2:$C$223100,3,FALSE)),"INACTIVE",VLOOKUP(D2445,Data!$A$2:$C$223100,3,FALSE))</f>
        <v>60+</v>
      </c>
    </row>
    <row r="2446" spans="1:15" x14ac:dyDescent="0.25">
      <c r="A2446" t="s">
        <v>2117</v>
      </c>
      <c r="B2446" t="s">
        <v>2118</v>
      </c>
      <c r="C2446" t="s">
        <v>2708</v>
      </c>
      <c r="D2446" t="s">
        <v>2709</v>
      </c>
      <c r="E2446" t="s">
        <v>2710</v>
      </c>
      <c r="F2446" t="s">
        <v>2711</v>
      </c>
      <c r="G2446" t="s">
        <v>5</v>
      </c>
      <c r="H2446" t="s">
        <v>5</v>
      </c>
      <c r="I2446" t="s">
        <v>2122</v>
      </c>
      <c r="J2446" t="s">
        <v>40</v>
      </c>
      <c r="K2446" s="3">
        <f t="shared" si="76"/>
        <v>0</v>
      </c>
      <c r="L2446" s="3">
        <f>IF(ISERROR(VLOOKUP(J2446,Lookups!$A$2:$A$16,1,FALSE)),1,0)</f>
        <v>1</v>
      </c>
      <c r="M2446" s="3">
        <f>IF(ISERROR(VLOOKUP(D2446,Data!$A$2:$D$223100,2,FALSE)),0,1)</f>
        <v>1</v>
      </c>
      <c r="N2446" s="3">
        <f t="shared" si="77"/>
        <v>1</v>
      </c>
      <c r="O2446" s="3" t="str">
        <f>IF(ISERROR(VLOOKUP(D2446,Data!$A$2:$C$223100,3,FALSE)),"INACTIVE",VLOOKUP(D2446,Data!$A$2:$C$223100,3,FALSE))</f>
        <v>60+</v>
      </c>
    </row>
    <row r="2447" spans="1:15" x14ac:dyDescent="0.25">
      <c r="A2447" t="s">
        <v>2117</v>
      </c>
      <c r="B2447" t="s">
        <v>2118</v>
      </c>
      <c r="C2447" t="s">
        <v>2712</v>
      </c>
      <c r="D2447" t="s">
        <v>2713</v>
      </c>
      <c r="E2447" t="s">
        <v>2714</v>
      </c>
      <c r="F2447" t="s">
        <v>2715</v>
      </c>
      <c r="G2447" t="s">
        <v>5</v>
      </c>
      <c r="H2447" t="s">
        <v>5</v>
      </c>
      <c r="I2447" t="s">
        <v>2122</v>
      </c>
      <c r="J2447" t="s">
        <v>40</v>
      </c>
      <c r="K2447" s="3">
        <f t="shared" si="76"/>
        <v>0</v>
      </c>
      <c r="L2447" s="3">
        <f>IF(ISERROR(VLOOKUP(J2447,Lookups!$A$2:$A$16,1,FALSE)),1,0)</f>
        <v>1</v>
      </c>
      <c r="M2447" s="3">
        <f>IF(ISERROR(VLOOKUP(D2447,Data!$A$2:$D$223100,2,FALSE)),0,1)</f>
        <v>1</v>
      </c>
      <c r="N2447" s="3">
        <f t="shared" si="77"/>
        <v>1</v>
      </c>
      <c r="O2447" s="3" t="str">
        <f>IF(ISERROR(VLOOKUP(D2447,Data!$A$2:$C$223100,3,FALSE)),"INACTIVE",VLOOKUP(D2447,Data!$A$2:$C$223100,3,FALSE))</f>
        <v>Current</v>
      </c>
    </row>
    <row r="2448" spans="1:15" x14ac:dyDescent="0.25">
      <c r="A2448" t="s">
        <v>2117</v>
      </c>
      <c r="B2448" t="s">
        <v>2118</v>
      </c>
      <c r="C2448" t="s">
        <v>2716</v>
      </c>
      <c r="D2448" t="s">
        <v>2717</v>
      </c>
      <c r="E2448" t="s">
        <v>2718</v>
      </c>
      <c r="F2448" t="s">
        <v>2719</v>
      </c>
      <c r="G2448" t="s">
        <v>5</v>
      </c>
      <c r="H2448" t="s">
        <v>5</v>
      </c>
      <c r="I2448" t="s">
        <v>2122</v>
      </c>
      <c r="J2448" t="s">
        <v>40</v>
      </c>
      <c r="K2448" s="3">
        <f t="shared" si="76"/>
        <v>0</v>
      </c>
      <c r="L2448" s="3">
        <f>IF(ISERROR(VLOOKUP(J2448,Lookups!$A$2:$A$16,1,FALSE)),1,0)</f>
        <v>1</v>
      </c>
      <c r="M2448" s="3">
        <f>IF(ISERROR(VLOOKUP(D2448,Data!$A$2:$D$223100,2,FALSE)),0,1)</f>
        <v>1</v>
      </c>
      <c r="N2448" s="3">
        <f t="shared" si="77"/>
        <v>1</v>
      </c>
      <c r="O2448" s="3" t="str">
        <f>IF(ISERROR(VLOOKUP(D2448,Data!$A$2:$C$223100,3,FALSE)),"INACTIVE",VLOOKUP(D2448,Data!$A$2:$C$223100,3,FALSE))</f>
        <v>30+</v>
      </c>
    </row>
    <row r="2449" spans="1:15" x14ac:dyDescent="0.25">
      <c r="A2449" t="s">
        <v>2117</v>
      </c>
      <c r="B2449" t="s">
        <v>2118</v>
      </c>
      <c r="C2449" t="s">
        <v>2720</v>
      </c>
      <c r="D2449" t="s">
        <v>2721</v>
      </c>
      <c r="E2449" t="s">
        <v>2722</v>
      </c>
      <c r="F2449" t="s">
        <v>2723</v>
      </c>
      <c r="G2449" t="s">
        <v>5</v>
      </c>
      <c r="H2449" t="s">
        <v>5</v>
      </c>
      <c r="I2449" t="s">
        <v>2122</v>
      </c>
      <c r="J2449" t="s">
        <v>40</v>
      </c>
      <c r="K2449" s="3">
        <f t="shared" si="76"/>
        <v>0</v>
      </c>
      <c r="L2449" s="3">
        <f>IF(ISERROR(VLOOKUP(J2449,Lookups!$A$2:$A$16,1,FALSE)),1,0)</f>
        <v>1</v>
      </c>
      <c r="M2449" s="3">
        <f>IF(ISERROR(VLOOKUP(D2449,Data!$A$2:$D$223100,2,FALSE)),0,1)</f>
        <v>1</v>
      </c>
      <c r="N2449" s="3">
        <f t="shared" si="77"/>
        <v>1</v>
      </c>
      <c r="O2449" s="3" t="str">
        <f>IF(ISERROR(VLOOKUP(D2449,Data!$A$2:$C$223100,3,FALSE)),"INACTIVE",VLOOKUP(D2449,Data!$A$2:$C$223100,3,FALSE))</f>
        <v>BK13</v>
      </c>
    </row>
    <row r="2450" spans="1:15" x14ac:dyDescent="0.25">
      <c r="A2450" t="s">
        <v>2117</v>
      </c>
      <c r="B2450" t="s">
        <v>2118</v>
      </c>
      <c r="C2450" t="s">
        <v>2724</v>
      </c>
      <c r="D2450" t="s">
        <v>2725</v>
      </c>
      <c r="E2450" t="s">
        <v>2726</v>
      </c>
      <c r="F2450" t="s">
        <v>2727</v>
      </c>
      <c r="G2450" t="s">
        <v>5</v>
      </c>
      <c r="H2450" t="s">
        <v>5</v>
      </c>
      <c r="I2450" t="s">
        <v>2122</v>
      </c>
      <c r="J2450" t="s">
        <v>40</v>
      </c>
      <c r="K2450" s="3">
        <f t="shared" si="76"/>
        <v>0</v>
      </c>
      <c r="L2450" s="3">
        <f>IF(ISERROR(VLOOKUP(J2450,Lookups!$A$2:$A$16,1,FALSE)),1,0)</f>
        <v>1</v>
      </c>
      <c r="M2450" s="3">
        <f>IF(ISERROR(VLOOKUP(D2450,Data!$A$2:$D$223100,2,FALSE)),0,1)</f>
        <v>1</v>
      </c>
      <c r="N2450" s="3">
        <f t="shared" si="77"/>
        <v>1</v>
      </c>
      <c r="O2450" s="3" t="str">
        <f>IF(ISERROR(VLOOKUP(D2450,Data!$A$2:$C$223100,3,FALSE)),"INACTIVE",VLOOKUP(D2450,Data!$A$2:$C$223100,3,FALSE))</f>
        <v>FBA</v>
      </c>
    </row>
    <row r="2451" spans="1:15" x14ac:dyDescent="0.25">
      <c r="A2451" t="s">
        <v>2117</v>
      </c>
      <c r="B2451" t="s">
        <v>2118</v>
      </c>
      <c r="C2451" t="s">
        <v>2728</v>
      </c>
      <c r="D2451" t="s">
        <v>2729</v>
      </c>
      <c r="E2451" t="s">
        <v>2730</v>
      </c>
      <c r="F2451" t="s">
        <v>2730</v>
      </c>
      <c r="G2451" t="s">
        <v>5</v>
      </c>
      <c r="H2451" t="s">
        <v>5</v>
      </c>
      <c r="I2451" t="s">
        <v>2122</v>
      </c>
      <c r="J2451" t="s">
        <v>40</v>
      </c>
      <c r="K2451" s="3">
        <f t="shared" si="76"/>
        <v>0</v>
      </c>
      <c r="L2451" s="3">
        <f>IF(ISERROR(VLOOKUP(J2451,Lookups!$A$2:$A$16,1,FALSE)),1,0)</f>
        <v>1</v>
      </c>
      <c r="M2451" s="3">
        <f>IF(ISERROR(VLOOKUP(D2451,Data!$A$2:$D$223100,2,FALSE)),0,1)</f>
        <v>1</v>
      </c>
      <c r="N2451" s="3">
        <f t="shared" si="77"/>
        <v>1</v>
      </c>
      <c r="O2451" s="3" t="str">
        <f>IF(ISERROR(VLOOKUP(D2451,Data!$A$2:$C$223100,3,FALSE)),"INACTIVE",VLOOKUP(D2451,Data!$A$2:$C$223100,3,FALSE))</f>
        <v>FBA</v>
      </c>
    </row>
    <row r="2452" spans="1:15" x14ac:dyDescent="0.25">
      <c r="A2452" t="s">
        <v>2117</v>
      </c>
      <c r="B2452" t="s">
        <v>2118</v>
      </c>
      <c r="C2452" t="s">
        <v>2731</v>
      </c>
      <c r="D2452" t="s">
        <v>2732</v>
      </c>
      <c r="E2452" t="s">
        <v>2733</v>
      </c>
      <c r="F2452" t="s">
        <v>2734</v>
      </c>
      <c r="G2452" t="s">
        <v>5</v>
      </c>
      <c r="H2452" t="s">
        <v>5</v>
      </c>
      <c r="I2452" t="s">
        <v>2122</v>
      </c>
      <c r="J2452" t="s">
        <v>40</v>
      </c>
      <c r="K2452" s="3">
        <f t="shared" si="76"/>
        <v>0</v>
      </c>
      <c r="L2452" s="3">
        <f>IF(ISERROR(VLOOKUP(J2452,Lookups!$A$2:$A$16,1,FALSE)),1,0)</f>
        <v>1</v>
      </c>
      <c r="M2452" s="3">
        <f>IF(ISERROR(VLOOKUP(D2452,Data!$A$2:$D$223100,2,FALSE)),0,1)</f>
        <v>1</v>
      </c>
      <c r="N2452" s="3">
        <f t="shared" si="77"/>
        <v>1</v>
      </c>
      <c r="O2452" s="3" t="str">
        <f>IF(ISERROR(VLOOKUP(D2452,Data!$A$2:$C$223100,3,FALSE)),"INACTIVE",VLOOKUP(D2452,Data!$A$2:$C$223100,3,FALSE))</f>
        <v>Demand Letter</v>
      </c>
    </row>
    <row r="2453" spans="1:15" x14ac:dyDescent="0.25">
      <c r="A2453" t="s">
        <v>2117</v>
      </c>
      <c r="B2453" t="s">
        <v>2118</v>
      </c>
      <c r="C2453" t="s">
        <v>2735</v>
      </c>
      <c r="D2453" t="s">
        <v>2736</v>
      </c>
      <c r="E2453" t="s">
        <v>2737</v>
      </c>
      <c r="F2453" t="s">
        <v>2738</v>
      </c>
      <c r="G2453" t="s">
        <v>5</v>
      </c>
      <c r="H2453" t="s">
        <v>5</v>
      </c>
      <c r="I2453" t="s">
        <v>2122</v>
      </c>
      <c r="J2453" t="s">
        <v>40</v>
      </c>
      <c r="K2453" s="3">
        <f t="shared" si="76"/>
        <v>0</v>
      </c>
      <c r="L2453" s="3">
        <f>IF(ISERROR(VLOOKUP(J2453,Lookups!$A$2:$A$16,1,FALSE)),1,0)</f>
        <v>1</v>
      </c>
      <c r="M2453" s="3">
        <f>IF(ISERROR(VLOOKUP(D2453,Data!$A$2:$D$223100,2,FALSE)),0,1)</f>
        <v>1</v>
      </c>
      <c r="N2453" s="3">
        <f t="shared" si="77"/>
        <v>1</v>
      </c>
      <c r="O2453" s="3" t="str">
        <f>IF(ISERROR(VLOOKUP(D2453,Data!$A$2:$C$223100,3,FALSE)),"INACTIVE",VLOOKUP(D2453,Data!$A$2:$C$223100,3,FALSE))</f>
        <v>Demand Letter</v>
      </c>
    </row>
    <row r="2454" spans="1:15" x14ac:dyDescent="0.25">
      <c r="A2454" t="s">
        <v>2117</v>
      </c>
      <c r="B2454" t="s">
        <v>2118</v>
      </c>
      <c r="C2454" t="s">
        <v>2739</v>
      </c>
      <c r="D2454" t="s">
        <v>2740</v>
      </c>
      <c r="E2454" t="s">
        <v>2741</v>
      </c>
      <c r="F2454" t="s">
        <v>2742</v>
      </c>
      <c r="G2454" t="s">
        <v>5</v>
      </c>
      <c r="H2454" t="s">
        <v>5</v>
      </c>
      <c r="I2454" t="s">
        <v>2122</v>
      </c>
      <c r="J2454" t="s">
        <v>40</v>
      </c>
      <c r="K2454" s="3">
        <f t="shared" si="76"/>
        <v>0</v>
      </c>
      <c r="L2454" s="3">
        <f>IF(ISERROR(VLOOKUP(J2454,Lookups!$A$2:$A$16,1,FALSE)),1,0)</f>
        <v>1</v>
      </c>
      <c r="M2454" s="3">
        <f>IF(ISERROR(VLOOKUP(D2454,Data!$A$2:$D$223100,2,FALSE)),0,1)</f>
        <v>1</v>
      </c>
      <c r="N2454" s="3">
        <f t="shared" si="77"/>
        <v>1</v>
      </c>
      <c r="O2454" s="3" t="str">
        <f>IF(ISERROR(VLOOKUP(D2454,Data!$A$2:$C$223100,3,FALSE)),"INACTIVE",VLOOKUP(D2454,Data!$A$2:$C$223100,3,FALSE))</f>
        <v>PP</v>
      </c>
    </row>
    <row r="2455" spans="1:15" x14ac:dyDescent="0.25">
      <c r="A2455" t="s">
        <v>2117</v>
      </c>
      <c r="B2455" t="s">
        <v>2118</v>
      </c>
      <c r="C2455" t="s">
        <v>2739</v>
      </c>
      <c r="D2455" t="s">
        <v>2743</v>
      </c>
      <c r="E2455" t="s">
        <v>2741</v>
      </c>
      <c r="F2455" t="s">
        <v>2742</v>
      </c>
      <c r="G2455" t="s">
        <v>5</v>
      </c>
      <c r="H2455" t="s">
        <v>5</v>
      </c>
      <c r="I2455" t="s">
        <v>2122</v>
      </c>
      <c r="J2455" t="s">
        <v>40</v>
      </c>
      <c r="K2455" s="3">
        <f t="shared" si="76"/>
        <v>0</v>
      </c>
      <c r="L2455" s="3">
        <f>IF(ISERROR(VLOOKUP(J2455,Lookups!$A$2:$A$16,1,FALSE)),1,0)</f>
        <v>1</v>
      </c>
      <c r="M2455" s="3">
        <f>IF(ISERROR(VLOOKUP(D2455,Data!$A$2:$D$223100,2,FALSE)),0,1)</f>
        <v>1</v>
      </c>
      <c r="N2455" s="3">
        <f t="shared" si="77"/>
        <v>1</v>
      </c>
      <c r="O2455" s="3" t="str">
        <f>IF(ISERROR(VLOOKUP(D2455,Data!$A$2:$C$223100,3,FALSE)),"INACTIVE",VLOOKUP(D2455,Data!$A$2:$C$223100,3,FALSE))</f>
        <v>60+</v>
      </c>
    </row>
    <row r="2456" spans="1:15" x14ac:dyDescent="0.25">
      <c r="A2456" t="s">
        <v>2117</v>
      </c>
      <c r="B2456" t="s">
        <v>2118</v>
      </c>
      <c r="C2456" t="s">
        <v>2744</v>
      </c>
      <c r="D2456" t="s">
        <v>2745</v>
      </c>
      <c r="E2456" t="s">
        <v>2746</v>
      </c>
      <c r="F2456" t="s">
        <v>2747</v>
      </c>
      <c r="G2456" t="s">
        <v>5</v>
      </c>
      <c r="H2456" t="s">
        <v>5</v>
      </c>
      <c r="I2456" t="s">
        <v>2122</v>
      </c>
      <c r="J2456" t="s">
        <v>40</v>
      </c>
      <c r="K2456" s="3">
        <f t="shared" si="76"/>
        <v>0</v>
      </c>
      <c r="L2456" s="3">
        <f>IF(ISERROR(VLOOKUP(J2456,Lookups!$A$2:$A$16,1,FALSE)),1,0)</f>
        <v>1</v>
      </c>
      <c r="M2456" s="3">
        <f>IF(ISERROR(VLOOKUP(D2456,Data!$A$2:$D$223100,2,FALSE)),0,1)</f>
        <v>1</v>
      </c>
      <c r="N2456" s="3">
        <f t="shared" si="77"/>
        <v>1</v>
      </c>
      <c r="O2456" s="3" t="str">
        <f>IF(ISERROR(VLOOKUP(D2456,Data!$A$2:$C$223100,3,FALSE)),"INACTIVE",VLOOKUP(D2456,Data!$A$2:$C$223100,3,FALSE))</f>
        <v>FBA</v>
      </c>
    </row>
    <row r="2457" spans="1:15" x14ac:dyDescent="0.25">
      <c r="A2457" t="s">
        <v>2117</v>
      </c>
      <c r="B2457" t="s">
        <v>2118</v>
      </c>
      <c r="C2457" t="s">
        <v>2748</v>
      </c>
      <c r="D2457" t="s">
        <v>2749</v>
      </c>
      <c r="E2457" t="s">
        <v>2750</v>
      </c>
      <c r="F2457" t="s">
        <v>2751</v>
      </c>
      <c r="G2457" t="s">
        <v>5</v>
      </c>
      <c r="H2457" t="s">
        <v>5</v>
      </c>
      <c r="I2457" t="s">
        <v>2122</v>
      </c>
      <c r="J2457" t="s">
        <v>40</v>
      </c>
      <c r="K2457" s="3">
        <f t="shared" si="76"/>
        <v>0</v>
      </c>
      <c r="L2457" s="3">
        <f>IF(ISERROR(VLOOKUP(J2457,Lookups!$A$2:$A$16,1,FALSE)),1,0)</f>
        <v>1</v>
      </c>
      <c r="M2457" s="3">
        <f>IF(ISERROR(VLOOKUP(D2457,Data!$A$2:$D$223100,2,FALSE)),0,1)</f>
        <v>1</v>
      </c>
      <c r="N2457" s="3">
        <f t="shared" si="77"/>
        <v>1</v>
      </c>
      <c r="O2457" s="3" t="str">
        <f>IF(ISERROR(VLOOKUP(D2457,Data!$A$2:$C$223100,3,FALSE)),"INACTIVE",VLOOKUP(D2457,Data!$A$2:$C$223100,3,FALSE))</f>
        <v>Demand Letter</v>
      </c>
    </row>
    <row r="2458" spans="1:15" x14ac:dyDescent="0.25">
      <c r="A2458" t="s">
        <v>2117</v>
      </c>
      <c r="B2458" t="s">
        <v>2118</v>
      </c>
      <c r="C2458" t="s">
        <v>2752</v>
      </c>
      <c r="D2458" t="s">
        <v>2753</v>
      </c>
      <c r="E2458" t="s">
        <v>2754</v>
      </c>
      <c r="F2458" t="s">
        <v>2755</v>
      </c>
      <c r="G2458" t="s">
        <v>5</v>
      </c>
      <c r="H2458" t="s">
        <v>5</v>
      </c>
      <c r="I2458" t="s">
        <v>2122</v>
      </c>
      <c r="J2458" t="s">
        <v>40</v>
      </c>
      <c r="K2458" s="3">
        <f t="shared" si="76"/>
        <v>0</v>
      </c>
      <c r="L2458" s="3">
        <f>IF(ISERROR(VLOOKUP(J2458,Lookups!$A$2:$A$16,1,FALSE)),1,0)</f>
        <v>1</v>
      </c>
      <c r="M2458" s="3">
        <f>IF(ISERROR(VLOOKUP(D2458,Data!$A$2:$D$223100,2,FALSE)),0,1)</f>
        <v>1</v>
      </c>
      <c r="N2458" s="3">
        <f t="shared" si="77"/>
        <v>1</v>
      </c>
      <c r="O2458" s="3" t="str">
        <f>IF(ISERROR(VLOOKUP(D2458,Data!$A$2:$C$223100,3,FALSE)),"INACTIVE",VLOOKUP(D2458,Data!$A$2:$C$223100,3,FALSE))</f>
        <v>Current</v>
      </c>
    </row>
    <row r="2459" spans="1:15" x14ac:dyDescent="0.25">
      <c r="A2459" t="s">
        <v>2117</v>
      </c>
      <c r="B2459" t="s">
        <v>2118</v>
      </c>
      <c r="C2459" t="s">
        <v>2756</v>
      </c>
      <c r="D2459" t="s">
        <v>2757</v>
      </c>
      <c r="E2459" t="s">
        <v>2758</v>
      </c>
      <c r="F2459" t="s">
        <v>2759</v>
      </c>
      <c r="G2459" t="s">
        <v>5</v>
      </c>
      <c r="H2459" t="s">
        <v>5</v>
      </c>
      <c r="I2459" t="s">
        <v>2122</v>
      </c>
      <c r="J2459" t="s">
        <v>47</v>
      </c>
      <c r="K2459" s="3">
        <f t="shared" si="76"/>
        <v>0</v>
      </c>
      <c r="L2459" s="3">
        <f>IF(ISERROR(VLOOKUP(J2459,Lookups!$A$2:$A$16,1,FALSE)),1,0)</f>
        <v>1</v>
      </c>
      <c r="M2459" s="3">
        <f>IF(ISERROR(VLOOKUP(D2459,Data!$A$2:$D$223100,2,FALSE)),0,1)</f>
        <v>1</v>
      </c>
      <c r="N2459" s="3">
        <f t="shared" si="77"/>
        <v>1</v>
      </c>
      <c r="O2459" s="3" t="str">
        <f>IF(ISERROR(VLOOKUP(D2459,Data!$A$2:$C$223100,3,FALSE)),"INACTIVE",VLOOKUP(D2459,Data!$A$2:$C$223100,3,FALSE))</f>
        <v>Demand Letter</v>
      </c>
    </row>
    <row r="2460" spans="1:15" x14ac:dyDescent="0.25">
      <c r="A2460" t="s">
        <v>2117</v>
      </c>
      <c r="B2460" t="s">
        <v>2118</v>
      </c>
      <c r="C2460" t="s">
        <v>2760</v>
      </c>
      <c r="D2460" t="s">
        <v>2761</v>
      </c>
      <c r="E2460" t="s">
        <v>2762</v>
      </c>
      <c r="F2460" t="s">
        <v>2763</v>
      </c>
      <c r="G2460" t="s">
        <v>5</v>
      </c>
      <c r="H2460" t="s">
        <v>5</v>
      </c>
      <c r="I2460" t="s">
        <v>2122</v>
      </c>
      <c r="J2460" t="s">
        <v>40</v>
      </c>
      <c r="K2460" s="3">
        <f t="shared" si="76"/>
        <v>0</v>
      </c>
      <c r="L2460" s="3">
        <f>IF(ISERROR(VLOOKUP(J2460,Lookups!$A$2:$A$16,1,FALSE)),1,0)</f>
        <v>1</v>
      </c>
      <c r="M2460" s="3">
        <f>IF(ISERROR(VLOOKUP(D2460,Data!$A$2:$D$223100,2,FALSE)),0,1)</f>
        <v>1</v>
      </c>
      <c r="N2460" s="3">
        <f t="shared" si="77"/>
        <v>1</v>
      </c>
      <c r="O2460" s="3" t="str">
        <f>IF(ISERROR(VLOOKUP(D2460,Data!$A$2:$C$223100,3,FALSE)),"INACTIVE",VLOOKUP(D2460,Data!$A$2:$C$223100,3,FALSE))</f>
        <v>Current</v>
      </c>
    </row>
    <row r="2461" spans="1:15" x14ac:dyDescent="0.25">
      <c r="A2461" t="s">
        <v>2117</v>
      </c>
      <c r="B2461" t="s">
        <v>2118</v>
      </c>
      <c r="C2461" t="s">
        <v>2764</v>
      </c>
      <c r="D2461" t="s">
        <v>2765</v>
      </c>
      <c r="E2461" t="s">
        <v>2766</v>
      </c>
      <c r="F2461" t="s">
        <v>2767</v>
      </c>
      <c r="G2461" t="s">
        <v>5</v>
      </c>
      <c r="H2461" t="s">
        <v>5</v>
      </c>
      <c r="I2461" t="s">
        <v>2122</v>
      </c>
      <c r="J2461" t="s">
        <v>40</v>
      </c>
      <c r="K2461" s="3">
        <f t="shared" si="76"/>
        <v>0</v>
      </c>
      <c r="L2461" s="3">
        <f>IF(ISERROR(VLOOKUP(J2461,Lookups!$A$2:$A$16,1,FALSE)),1,0)</f>
        <v>1</v>
      </c>
      <c r="M2461" s="3">
        <f>IF(ISERROR(VLOOKUP(D2461,Data!$A$2:$D$223100,2,FALSE)),0,1)</f>
        <v>1</v>
      </c>
      <c r="N2461" s="3">
        <f t="shared" si="77"/>
        <v>1</v>
      </c>
      <c r="O2461" s="3" t="str">
        <f>IF(ISERROR(VLOOKUP(D2461,Data!$A$2:$C$223100,3,FALSE)),"INACTIVE",VLOOKUP(D2461,Data!$A$2:$C$223100,3,FALSE))</f>
        <v>60+</v>
      </c>
    </row>
    <row r="2462" spans="1:15" x14ac:dyDescent="0.25">
      <c r="A2462" t="s">
        <v>2117</v>
      </c>
      <c r="B2462" t="s">
        <v>2118</v>
      </c>
      <c r="C2462" t="s">
        <v>2768</v>
      </c>
      <c r="D2462" t="s">
        <v>2769</v>
      </c>
      <c r="E2462" t="s">
        <v>2770</v>
      </c>
      <c r="F2462" t="s">
        <v>2770</v>
      </c>
      <c r="G2462" t="s">
        <v>5</v>
      </c>
      <c r="H2462" t="s">
        <v>5</v>
      </c>
      <c r="I2462" t="s">
        <v>2122</v>
      </c>
      <c r="J2462" t="s">
        <v>40</v>
      </c>
      <c r="K2462" s="3">
        <f t="shared" si="76"/>
        <v>0</v>
      </c>
      <c r="L2462" s="3">
        <f>IF(ISERROR(VLOOKUP(J2462,Lookups!$A$2:$A$16,1,FALSE)),1,0)</f>
        <v>1</v>
      </c>
      <c r="M2462" s="3">
        <f>IF(ISERROR(VLOOKUP(D2462,Data!$A$2:$D$223100,2,FALSE)),0,1)</f>
        <v>1</v>
      </c>
      <c r="N2462" s="3">
        <f t="shared" si="77"/>
        <v>1</v>
      </c>
      <c r="O2462" s="3" t="str">
        <f>IF(ISERROR(VLOOKUP(D2462,Data!$A$2:$C$223100,3,FALSE)),"INACTIVE",VLOOKUP(D2462,Data!$A$2:$C$223100,3,FALSE))</f>
        <v>Demand Letter</v>
      </c>
    </row>
    <row r="2463" spans="1:15" x14ac:dyDescent="0.25">
      <c r="A2463" t="s">
        <v>2117</v>
      </c>
      <c r="B2463" t="s">
        <v>2118</v>
      </c>
      <c r="C2463" t="s">
        <v>2771</v>
      </c>
      <c r="D2463" t="s">
        <v>2772</v>
      </c>
      <c r="E2463" t="s">
        <v>2773</v>
      </c>
      <c r="F2463" t="s">
        <v>2774</v>
      </c>
      <c r="G2463" t="s">
        <v>5</v>
      </c>
      <c r="H2463" t="s">
        <v>5</v>
      </c>
      <c r="I2463" t="s">
        <v>2122</v>
      </c>
      <c r="J2463" t="s">
        <v>40</v>
      </c>
      <c r="K2463" s="3">
        <f t="shared" si="76"/>
        <v>0</v>
      </c>
      <c r="L2463" s="3">
        <f>IF(ISERROR(VLOOKUP(J2463,Lookups!$A$2:$A$16,1,FALSE)),1,0)</f>
        <v>1</v>
      </c>
      <c r="M2463" s="3">
        <f>IF(ISERROR(VLOOKUP(D2463,Data!$A$2:$D$223100,2,FALSE)),0,1)</f>
        <v>0</v>
      </c>
      <c r="N2463" s="3">
        <f t="shared" si="77"/>
        <v>0</v>
      </c>
      <c r="O2463" s="3" t="str">
        <f>IF(ISERROR(VLOOKUP(D2463,Data!$A$2:$C$223100,3,FALSE)),"INACTIVE",VLOOKUP(D2463,Data!$A$2:$C$223100,3,FALSE))</f>
        <v>INACTIVE</v>
      </c>
    </row>
    <row r="2464" spans="1:15" x14ac:dyDescent="0.25">
      <c r="A2464" t="s">
        <v>2117</v>
      </c>
      <c r="B2464" t="s">
        <v>2118</v>
      </c>
      <c r="C2464" t="s">
        <v>2775</v>
      </c>
      <c r="D2464" t="s">
        <v>2776</v>
      </c>
      <c r="E2464" t="s">
        <v>2777</v>
      </c>
      <c r="F2464" t="s">
        <v>2777</v>
      </c>
      <c r="G2464" t="s">
        <v>5</v>
      </c>
      <c r="H2464" t="s">
        <v>5</v>
      </c>
      <c r="I2464" t="s">
        <v>2122</v>
      </c>
      <c r="J2464" t="s">
        <v>40</v>
      </c>
      <c r="K2464" s="3">
        <f t="shared" si="76"/>
        <v>0</v>
      </c>
      <c r="L2464" s="3">
        <f>IF(ISERROR(VLOOKUP(J2464,Lookups!$A$2:$A$16,1,FALSE)),1,0)</f>
        <v>1</v>
      </c>
      <c r="M2464" s="3">
        <f>IF(ISERROR(VLOOKUP(D2464,Data!$A$2:$D$223100,2,FALSE)),0,1)</f>
        <v>1</v>
      </c>
      <c r="N2464" s="3">
        <f t="shared" si="77"/>
        <v>1</v>
      </c>
      <c r="O2464" s="3" t="str">
        <f>IF(ISERROR(VLOOKUP(D2464,Data!$A$2:$C$223100,3,FALSE)),"INACTIVE",VLOOKUP(D2464,Data!$A$2:$C$223100,3,FALSE))</f>
        <v>FBA</v>
      </c>
    </row>
    <row r="2465" spans="1:15" x14ac:dyDescent="0.25">
      <c r="A2465" t="s">
        <v>2117</v>
      </c>
      <c r="B2465" t="s">
        <v>2118</v>
      </c>
      <c r="C2465" t="s">
        <v>2198</v>
      </c>
      <c r="D2465" t="s">
        <v>2199</v>
      </c>
      <c r="E2465" t="s">
        <v>2778</v>
      </c>
      <c r="F2465" t="s">
        <v>2779</v>
      </c>
      <c r="G2465" t="s">
        <v>5</v>
      </c>
      <c r="H2465" t="s">
        <v>5</v>
      </c>
      <c r="I2465" t="s">
        <v>2122</v>
      </c>
      <c r="J2465" t="s">
        <v>573</v>
      </c>
      <c r="K2465" s="3">
        <f t="shared" si="76"/>
        <v>0</v>
      </c>
      <c r="L2465" s="3">
        <f>IF(ISERROR(VLOOKUP(J2465,Lookups!$A$2:$A$16,1,FALSE)),1,0)</f>
        <v>1</v>
      </c>
      <c r="M2465" s="3">
        <f>IF(ISERROR(VLOOKUP(D2465,Data!$A$2:$D$223100,2,FALSE)),0,1)</f>
        <v>1</v>
      </c>
      <c r="N2465" s="3">
        <f t="shared" si="77"/>
        <v>1</v>
      </c>
      <c r="O2465" s="3" t="str">
        <f>IF(ISERROR(VLOOKUP(D2465,Data!$A$2:$C$223100,3,FALSE)),"INACTIVE",VLOOKUP(D2465,Data!$A$2:$C$223100,3,FALSE))</f>
        <v>Current</v>
      </c>
    </row>
    <row r="2466" spans="1:15" x14ac:dyDescent="0.25">
      <c r="A2466" t="s">
        <v>2117</v>
      </c>
      <c r="B2466" t="s">
        <v>2118</v>
      </c>
      <c r="C2466" t="s">
        <v>2780</v>
      </c>
      <c r="D2466" t="s">
        <v>2781</v>
      </c>
      <c r="E2466" t="s">
        <v>2782</v>
      </c>
      <c r="F2466" t="s">
        <v>2783</v>
      </c>
      <c r="G2466" t="s">
        <v>5</v>
      </c>
      <c r="H2466" t="s">
        <v>5</v>
      </c>
      <c r="I2466" t="s">
        <v>2122</v>
      </c>
      <c r="J2466" t="s">
        <v>40</v>
      </c>
      <c r="K2466" s="3">
        <f t="shared" si="76"/>
        <v>0</v>
      </c>
      <c r="L2466" s="3">
        <f>IF(ISERROR(VLOOKUP(J2466,Lookups!$A$2:$A$16,1,FALSE)),1,0)</f>
        <v>1</v>
      </c>
      <c r="M2466" s="3">
        <f>IF(ISERROR(VLOOKUP(D2466,Data!$A$2:$D$223100,2,FALSE)),0,1)</f>
        <v>1</v>
      </c>
      <c r="N2466" s="3">
        <f t="shared" si="77"/>
        <v>1</v>
      </c>
      <c r="O2466" s="3" t="str">
        <f>IF(ISERROR(VLOOKUP(D2466,Data!$A$2:$C$223100,3,FALSE)),"INACTIVE",VLOOKUP(D2466,Data!$A$2:$C$223100,3,FALSE))</f>
        <v>60+</v>
      </c>
    </row>
    <row r="2467" spans="1:15" x14ac:dyDescent="0.25">
      <c r="A2467" t="s">
        <v>2117</v>
      </c>
      <c r="B2467" t="s">
        <v>2118</v>
      </c>
      <c r="C2467" t="s">
        <v>2784</v>
      </c>
      <c r="D2467" t="s">
        <v>2785</v>
      </c>
      <c r="E2467" t="s">
        <v>2786</v>
      </c>
      <c r="F2467" t="s">
        <v>2787</v>
      </c>
      <c r="G2467" t="s">
        <v>5</v>
      </c>
      <c r="H2467" t="s">
        <v>5</v>
      </c>
      <c r="I2467" t="s">
        <v>2122</v>
      </c>
      <c r="J2467" t="s">
        <v>47</v>
      </c>
      <c r="K2467" s="3">
        <f t="shared" si="76"/>
        <v>0</v>
      </c>
      <c r="L2467" s="3">
        <f>IF(ISERROR(VLOOKUP(J2467,Lookups!$A$2:$A$16,1,FALSE)),1,0)</f>
        <v>1</v>
      </c>
      <c r="M2467" s="3">
        <f>IF(ISERROR(VLOOKUP(D2467,Data!$A$2:$D$223100,2,FALSE)),0,1)</f>
        <v>1</v>
      </c>
      <c r="N2467" s="3">
        <f t="shared" si="77"/>
        <v>1</v>
      </c>
      <c r="O2467" s="3" t="str">
        <f>IF(ISERROR(VLOOKUP(D2467,Data!$A$2:$C$223100,3,FALSE)),"INACTIVE",VLOOKUP(D2467,Data!$A$2:$C$223100,3,FALSE))</f>
        <v>Current</v>
      </c>
    </row>
    <row r="2468" spans="1:15" x14ac:dyDescent="0.25">
      <c r="A2468" t="s">
        <v>2117</v>
      </c>
      <c r="B2468" t="s">
        <v>2118</v>
      </c>
      <c r="C2468" t="s">
        <v>2788</v>
      </c>
      <c r="D2468" t="s">
        <v>2785</v>
      </c>
      <c r="E2468" t="s">
        <v>2789</v>
      </c>
      <c r="F2468" t="s">
        <v>2790</v>
      </c>
      <c r="G2468" t="s">
        <v>5</v>
      </c>
      <c r="H2468" t="s">
        <v>5</v>
      </c>
      <c r="I2468" t="s">
        <v>2122</v>
      </c>
      <c r="J2468" t="s">
        <v>47</v>
      </c>
      <c r="K2468" s="3">
        <f t="shared" si="76"/>
        <v>0</v>
      </c>
      <c r="L2468" s="3">
        <f>IF(ISERROR(VLOOKUP(J2468,Lookups!$A$2:$A$16,1,FALSE)),1,0)</f>
        <v>1</v>
      </c>
      <c r="M2468" s="3">
        <f>IF(ISERROR(VLOOKUP(D2468,Data!$A$2:$D$223100,2,FALSE)),0,1)</f>
        <v>1</v>
      </c>
      <c r="N2468" s="3">
        <f t="shared" si="77"/>
        <v>1</v>
      </c>
      <c r="O2468" s="3" t="str">
        <f>IF(ISERROR(VLOOKUP(D2468,Data!$A$2:$C$223100,3,FALSE)),"INACTIVE",VLOOKUP(D2468,Data!$A$2:$C$223100,3,FALSE))</f>
        <v>Current</v>
      </c>
    </row>
    <row r="2469" spans="1:15" x14ac:dyDescent="0.25">
      <c r="A2469" t="s">
        <v>2117</v>
      </c>
      <c r="B2469" t="s">
        <v>2118</v>
      </c>
      <c r="C2469" t="s">
        <v>2791</v>
      </c>
      <c r="D2469" t="s">
        <v>2785</v>
      </c>
      <c r="E2469" t="s">
        <v>2792</v>
      </c>
      <c r="F2469" t="s">
        <v>2793</v>
      </c>
      <c r="G2469" t="s">
        <v>5</v>
      </c>
      <c r="H2469" t="s">
        <v>5</v>
      </c>
      <c r="I2469" t="s">
        <v>2122</v>
      </c>
      <c r="J2469" t="s">
        <v>47</v>
      </c>
      <c r="K2469" s="3">
        <f t="shared" si="76"/>
        <v>0</v>
      </c>
      <c r="L2469" s="3">
        <f>IF(ISERROR(VLOOKUP(J2469,Lookups!$A$2:$A$16,1,FALSE)),1,0)</f>
        <v>1</v>
      </c>
      <c r="M2469" s="3">
        <f>IF(ISERROR(VLOOKUP(D2469,Data!$A$2:$D$223100,2,FALSE)),0,1)</f>
        <v>1</v>
      </c>
      <c r="N2469" s="3">
        <f t="shared" si="77"/>
        <v>1</v>
      </c>
      <c r="O2469" s="3" t="str">
        <f>IF(ISERROR(VLOOKUP(D2469,Data!$A$2:$C$223100,3,FALSE)),"INACTIVE",VLOOKUP(D2469,Data!$A$2:$C$223100,3,FALSE))</f>
        <v>Current</v>
      </c>
    </row>
    <row r="2470" spans="1:15" x14ac:dyDescent="0.25">
      <c r="A2470" t="s">
        <v>2117</v>
      </c>
      <c r="B2470" t="s">
        <v>2118</v>
      </c>
      <c r="C2470" t="s">
        <v>2794</v>
      </c>
      <c r="D2470" t="s">
        <v>2795</v>
      </c>
      <c r="E2470" t="s">
        <v>2796</v>
      </c>
      <c r="F2470" t="s">
        <v>2797</v>
      </c>
      <c r="G2470" t="s">
        <v>5</v>
      </c>
      <c r="H2470" t="s">
        <v>5</v>
      </c>
      <c r="I2470" t="s">
        <v>2122</v>
      </c>
      <c r="J2470" t="s">
        <v>47</v>
      </c>
      <c r="K2470" s="3">
        <f t="shared" si="76"/>
        <v>0</v>
      </c>
      <c r="L2470" s="3">
        <f>IF(ISERROR(VLOOKUP(J2470,Lookups!$A$2:$A$16,1,FALSE)),1,0)</f>
        <v>1</v>
      </c>
      <c r="M2470" s="3">
        <f>IF(ISERROR(VLOOKUP(D2470,Data!$A$2:$D$223100,2,FALSE)),0,1)</f>
        <v>1</v>
      </c>
      <c r="N2470" s="3">
        <f t="shared" si="77"/>
        <v>1</v>
      </c>
      <c r="O2470" s="3" t="str">
        <f>IF(ISERROR(VLOOKUP(D2470,Data!$A$2:$C$223100,3,FALSE)),"INACTIVE",VLOOKUP(D2470,Data!$A$2:$C$223100,3,FALSE))</f>
        <v>Current</v>
      </c>
    </row>
    <row r="2471" spans="1:15" x14ac:dyDescent="0.25">
      <c r="A2471" t="s">
        <v>2117</v>
      </c>
      <c r="B2471" t="s">
        <v>2118</v>
      </c>
      <c r="C2471" t="s">
        <v>2798</v>
      </c>
      <c r="D2471" t="s">
        <v>2799</v>
      </c>
      <c r="E2471" t="s">
        <v>2800</v>
      </c>
      <c r="F2471" t="s">
        <v>2801</v>
      </c>
      <c r="G2471" t="s">
        <v>5</v>
      </c>
      <c r="H2471" t="s">
        <v>5</v>
      </c>
      <c r="I2471" t="s">
        <v>2122</v>
      </c>
      <c r="J2471" t="s">
        <v>40</v>
      </c>
      <c r="K2471" s="3">
        <f t="shared" si="76"/>
        <v>0</v>
      </c>
      <c r="L2471" s="3">
        <f>IF(ISERROR(VLOOKUP(J2471,Lookups!$A$2:$A$16,1,FALSE)),1,0)</f>
        <v>1</v>
      </c>
      <c r="M2471" s="3">
        <f>IF(ISERROR(VLOOKUP(D2471,Data!$A$2:$D$223100,2,FALSE)),0,1)</f>
        <v>1</v>
      </c>
      <c r="N2471" s="3">
        <f t="shared" si="77"/>
        <v>1</v>
      </c>
      <c r="O2471" s="3" t="str">
        <f>IF(ISERROR(VLOOKUP(D2471,Data!$A$2:$C$223100,3,FALSE)),"INACTIVE",VLOOKUP(D2471,Data!$A$2:$C$223100,3,FALSE))</f>
        <v>90+</v>
      </c>
    </row>
    <row r="2472" spans="1:15" x14ac:dyDescent="0.25">
      <c r="A2472" t="s">
        <v>2117</v>
      </c>
      <c r="B2472" t="s">
        <v>2118</v>
      </c>
      <c r="C2472" t="s">
        <v>2802</v>
      </c>
      <c r="D2472" t="s">
        <v>2803</v>
      </c>
      <c r="E2472" t="s">
        <v>2804</v>
      </c>
      <c r="F2472" t="s">
        <v>2805</v>
      </c>
      <c r="G2472" t="s">
        <v>5</v>
      </c>
      <c r="H2472" t="s">
        <v>5</v>
      </c>
      <c r="I2472" t="s">
        <v>2122</v>
      </c>
      <c r="J2472" t="s">
        <v>47</v>
      </c>
      <c r="K2472" s="3">
        <f t="shared" si="76"/>
        <v>0</v>
      </c>
      <c r="L2472" s="3">
        <f>IF(ISERROR(VLOOKUP(J2472,Lookups!$A$2:$A$16,1,FALSE)),1,0)</f>
        <v>1</v>
      </c>
      <c r="M2472" s="3">
        <f>IF(ISERROR(VLOOKUP(D2472,Data!$A$2:$D$223100,2,FALSE)),0,1)</f>
        <v>1</v>
      </c>
      <c r="N2472" s="3">
        <f t="shared" si="77"/>
        <v>1</v>
      </c>
      <c r="O2472" s="3" t="str">
        <f>IF(ISERROR(VLOOKUP(D2472,Data!$A$2:$C$223100,3,FALSE)),"INACTIVE",VLOOKUP(D2472,Data!$A$2:$C$223100,3,FALSE))</f>
        <v>BK13</v>
      </c>
    </row>
    <row r="2473" spans="1:15" x14ac:dyDescent="0.25">
      <c r="A2473" t="s">
        <v>2117</v>
      </c>
      <c r="B2473" t="s">
        <v>2118</v>
      </c>
      <c r="C2473" t="s">
        <v>2806</v>
      </c>
      <c r="D2473" t="s">
        <v>2807</v>
      </c>
      <c r="E2473" t="s">
        <v>2808</v>
      </c>
      <c r="F2473" t="s">
        <v>2809</v>
      </c>
      <c r="G2473" t="s">
        <v>5</v>
      </c>
      <c r="H2473" t="s">
        <v>5</v>
      </c>
      <c r="I2473" t="s">
        <v>2122</v>
      </c>
      <c r="J2473" t="s">
        <v>47</v>
      </c>
      <c r="K2473" s="3">
        <f t="shared" si="76"/>
        <v>0</v>
      </c>
      <c r="L2473" s="3">
        <f>IF(ISERROR(VLOOKUP(J2473,Lookups!$A$2:$A$16,1,FALSE)),1,0)</f>
        <v>1</v>
      </c>
      <c r="M2473" s="3">
        <f>IF(ISERROR(VLOOKUP(D2473,Data!$A$2:$D$223100,2,FALSE)),0,1)</f>
        <v>1</v>
      </c>
      <c r="N2473" s="3">
        <f t="shared" si="77"/>
        <v>1</v>
      </c>
      <c r="O2473" s="3" t="str">
        <f>IF(ISERROR(VLOOKUP(D2473,Data!$A$2:$C$223100,3,FALSE)),"INACTIVE",VLOOKUP(D2473,Data!$A$2:$C$223100,3,FALSE))</f>
        <v>Demand Letter</v>
      </c>
    </row>
    <row r="2474" spans="1:15" x14ac:dyDescent="0.25">
      <c r="A2474" t="s">
        <v>2117</v>
      </c>
      <c r="B2474" t="s">
        <v>2118</v>
      </c>
      <c r="C2474" t="s">
        <v>2810</v>
      </c>
      <c r="D2474" t="s">
        <v>2811</v>
      </c>
      <c r="E2474" t="s">
        <v>2812</v>
      </c>
      <c r="F2474" t="s">
        <v>2813</v>
      </c>
      <c r="G2474" t="s">
        <v>5</v>
      </c>
      <c r="H2474" t="s">
        <v>5</v>
      </c>
      <c r="I2474" t="s">
        <v>2122</v>
      </c>
      <c r="J2474" t="s">
        <v>40</v>
      </c>
      <c r="K2474" s="3">
        <f t="shared" si="76"/>
        <v>0</v>
      </c>
      <c r="L2474" s="3">
        <f>IF(ISERROR(VLOOKUP(J2474,Lookups!$A$2:$A$16,1,FALSE)),1,0)</f>
        <v>1</v>
      </c>
      <c r="M2474" s="3">
        <f>IF(ISERROR(VLOOKUP(D2474,Data!$A$2:$D$223100,2,FALSE)),0,1)</f>
        <v>1</v>
      </c>
      <c r="N2474" s="3">
        <f t="shared" si="77"/>
        <v>1</v>
      </c>
      <c r="O2474" s="3" t="str">
        <f>IF(ISERROR(VLOOKUP(D2474,Data!$A$2:$C$223100,3,FALSE)),"INACTIVE",VLOOKUP(D2474,Data!$A$2:$C$223100,3,FALSE))</f>
        <v>60+</v>
      </c>
    </row>
    <row r="2475" spans="1:15" x14ac:dyDescent="0.25">
      <c r="A2475" t="s">
        <v>2117</v>
      </c>
      <c r="B2475" t="s">
        <v>2118</v>
      </c>
      <c r="C2475" t="s">
        <v>2814</v>
      </c>
      <c r="D2475" t="s">
        <v>2815</v>
      </c>
      <c r="E2475" t="s">
        <v>2816</v>
      </c>
      <c r="F2475" t="s">
        <v>2817</v>
      </c>
      <c r="G2475" t="s">
        <v>5</v>
      </c>
      <c r="H2475" t="s">
        <v>5</v>
      </c>
      <c r="I2475" t="s">
        <v>2122</v>
      </c>
      <c r="J2475" t="s">
        <v>47</v>
      </c>
      <c r="K2475" s="3">
        <f t="shared" si="76"/>
        <v>0</v>
      </c>
      <c r="L2475" s="3">
        <f>IF(ISERROR(VLOOKUP(J2475,Lookups!$A$2:$A$16,1,FALSE)),1,0)</f>
        <v>1</v>
      </c>
      <c r="M2475" s="3">
        <f>IF(ISERROR(VLOOKUP(D2475,Data!$A$2:$D$223100,2,FALSE)),0,1)</f>
        <v>1</v>
      </c>
      <c r="N2475" s="3">
        <f t="shared" si="77"/>
        <v>1</v>
      </c>
      <c r="O2475" s="3" t="str">
        <f>IF(ISERROR(VLOOKUP(D2475,Data!$A$2:$C$223100,3,FALSE)),"INACTIVE",VLOOKUP(D2475,Data!$A$2:$C$223100,3,FALSE))</f>
        <v>Current</v>
      </c>
    </row>
    <row r="2476" spans="1:15" x14ac:dyDescent="0.25">
      <c r="A2476" t="s">
        <v>2117</v>
      </c>
      <c r="B2476" t="s">
        <v>2118</v>
      </c>
      <c r="C2476" t="s">
        <v>2814</v>
      </c>
      <c r="D2476" t="s">
        <v>2818</v>
      </c>
      <c r="E2476" t="s">
        <v>2816</v>
      </c>
      <c r="F2476" t="s">
        <v>2817</v>
      </c>
      <c r="G2476" t="s">
        <v>5</v>
      </c>
      <c r="H2476" t="s">
        <v>5</v>
      </c>
      <c r="I2476" t="s">
        <v>2122</v>
      </c>
      <c r="J2476" t="s">
        <v>47</v>
      </c>
      <c r="K2476" s="3">
        <f t="shared" si="76"/>
        <v>0</v>
      </c>
      <c r="L2476" s="3">
        <f>IF(ISERROR(VLOOKUP(J2476,Lookups!$A$2:$A$16,1,FALSE)),1,0)</f>
        <v>1</v>
      </c>
      <c r="M2476" s="3">
        <f>IF(ISERROR(VLOOKUP(D2476,Data!$A$2:$D$223100,2,FALSE)),0,1)</f>
        <v>1</v>
      </c>
      <c r="N2476" s="3">
        <f t="shared" si="77"/>
        <v>1</v>
      </c>
      <c r="O2476" s="3" t="str">
        <f>IF(ISERROR(VLOOKUP(D2476,Data!$A$2:$C$223100,3,FALSE)),"INACTIVE",VLOOKUP(D2476,Data!$A$2:$C$223100,3,FALSE))</f>
        <v>Current</v>
      </c>
    </row>
    <row r="2477" spans="1:15" x14ac:dyDescent="0.25">
      <c r="A2477" t="s">
        <v>2117</v>
      </c>
      <c r="B2477" t="s">
        <v>2118</v>
      </c>
      <c r="C2477" t="s">
        <v>2819</v>
      </c>
      <c r="D2477" t="s">
        <v>2820</v>
      </c>
      <c r="E2477" t="s">
        <v>2821</v>
      </c>
      <c r="F2477" t="s">
        <v>2822</v>
      </c>
      <c r="G2477" t="s">
        <v>5</v>
      </c>
      <c r="H2477" t="s">
        <v>5</v>
      </c>
      <c r="I2477" t="s">
        <v>2122</v>
      </c>
      <c r="J2477" t="s">
        <v>40</v>
      </c>
      <c r="K2477" s="3">
        <f t="shared" si="76"/>
        <v>0</v>
      </c>
      <c r="L2477" s="3">
        <f>IF(ISERROR(VLOOKUP(J2477,Lookups!$A$2:$A$16,1,FALSE)),1,0)</f>
        <v>1</v>
      </c>
      <c r="M2477" s="3">
        <f>IF(ISERROR(VLOOKUP(D2477,Data!$A$2:$D$223100,2,FALSE)),0,1)</f>
        <v>1</v>
      </c>
      <c r="N2477" s="3">
        <f t="shared" si="77"/>
        <v>1</v>
      </c>
      <c r="O2477" s="3" t="str">
        <f>IF(ISERROR(VLOOKUP(D2477,Data!$A$2:$C$223100,3,FALSE)),"INACTIVE",VLOOKUP(D2477,Data!$A$2:$C$223100,3,FALSE))</f>
        <v>Demand Letter</v>
      </c>
    </row>
    <row r="2478" spans="1:15" x14ac:dyDescent="0.25">
      <c r="A2478" t="s">
        <v>2117</v>
      </c>
      <c r="B2478" t="s">
        <v>2118</v>
      </c>
      <c r="C2478" t="s">
        <v>2823</v>
      </c>
      <c r="D2478" t="s">
        <v>2824</v>
      </c>
      <c r="E2478" t="s">
        <v>2825</v>
      </c>
      <c r="F2478" t="s">
        <v>2826</v>
      </c>
      <c r="G2478" t="s">
        <v>5</v>
      </c>
      <c r="H2478" t="s">
        <v>5</v>
      </c>
      <c r="I2478" t="s">
        <v>2122</v>
      </c>
      <c r="J2478" t="s">
        <v>40</v>
      </c>
      <c r="K2478" s="3">
        <f t="shared" si="76"/>
        <v>0</v>
      </c>
      <c r="L2478" s="3">
        <f>IF(ISERROR(VLOOKUP(J2478,Lookups!$A$2:$A$16,1,FALSE)),1,0)</f>
        <v>1</v>
      </c>
      <c r="M2478" s="3">
        <f>IF(ISERROR(VLOOKUP(D2478,Data!$A$2:$D$223100,2,FALSE)),0,1)</f>
        <v>1</v>
      </c>
      <c r="N2478" s="3">
        <f t="shared" si="77"/>
        <v>1</v>
      </c>
      <c r="O2478" s="3" t="str">
        <f>IF(ISERROR(VLOOKUP(D2478,Data!$A$2:$C$223100,3,FALSE)),"INACTIVE",VLOOKUP(D2478,Data!$A$2:$C$223100,3,FALSE))</f>
        <v>90+</v>
      </c>
    </row>
    <row r="2479" spans="1:15" x14ac:dyDescent="0.25">
      <c r="A2479" t="s">
        <v>2117</v>
      </c>
      <c r="B2479" t="s">
        <v>2118</v>
      </c>
      <c r="C2479" t="s">
        <v>2827</v>
      </c>
      <c r="D2479" t="s">
        <v>2828</v>
      </c>
      <c r="E2479" t="s">
        <v>2829</v>
      </c>
      <c r="F2479" t="s">
        <v>2830</v>
      </c>
      <c r="G2479" t="s">
        <v>5</v>
      </c>
      <c r="H2479" t="s">
        <v>5</v>
      </c>
      <c r="I2479" t="s">
        <v>2122</v>
      </c>
      <c r="J2479" t="s">
        <v>40</v>
      </c>
      <c r="K2479" s="3">
        <f t="shared" si="76"/>
        <v>0</v>
      </c>
      <c r="L2479" s="3">
        <f>IF(ISERROR(VLOOKUP(J2479,Lookups!$A$2:$A$16,1,FALSE)),1,0)</f>
        <v>1</v>
      </c>
      <c r="M2479" s="3">
        <f>IF(ISERROR(VLOOKUP(D2479,Data!$A$2:$D$223100,2,FALSE)),0,1)</f>
        <v>1</v>
      </c>
      <c r="N2479" s="3">
        <f t="shared" si="77"/>
        <v>1</v>
      </c>
      <c r="O2479" s="3" t="str">
        <f>IF(ISERROR(VLOOKUP(D2479,Data!$A$2:$C$223100,3,FALSE)),"INACTIVE",VLOOKUP(D2479,Data!$A$2:$C$223100,3,FALSE))</f>
        <v>Current</v>
      </c>
    </row>
    <row r="2480" spans="1:15" x14ac:dyDescent="0.25">
      <c r="A2480" t="s">
        <v>2117</v>
      </c>
      <c r="B2480" t="s">
        <v>2118</v>
      </c>
      <c r="C2480" t="s">
        <v>2831</v>
      </c>
      <c r="D2480" t="s">
        <v>2832</v>
      </c>
      <c r="E2480" t="s">
        <v>2833</v>
      </c>
      <c r="F2480" t="s">
        <v>2834</v>
      </c>
      <c r="G2480" t="s">
        <v>5</v>
      </c>
      <c r="H2480" t="s">
        <v>5</v>
      </c>
      <c r="I2480" t="s">
        <v>2122</v>
      </c>
      <c r="J2480" t="s">
        <v>40</v>
      </c>
      <c r="K2480" s="3">
        <f t="shared" si="76"/>
        <v>0</v>
      </c>
      <c r="L2480" s="3">
        <f>IF(ISERROR(VLOOKUP(J2480,Lookups!$A$2:$A$16,1,FALSE)),1,0)</f>
        <v>1</v>
      </c>
      <c r="M2480" s="3">
        <f>IF(ISERROR(VLOOKUP(D2480,Data!$A$2:$D$223100,2,FALSE)),0,1)</f>
        <v>1</v>
      </c>
      <c r="N2480" s="3">
        <f t="shared" si="77"/>
        <v>1</v>
      </c>
      <c r="O2480" s="3" t="str">
        <f>IF(ISERROR(VLOOKUP(D2480,Data!$A$2:$C$223100,3,FALSE)),"INACTIVE",VLOOKUP(D2480,Data!$A$2:$C$223100,3,FALSE))</f>
        <v>30+</v>
      </c>
    </row>
    <row r="2481" spans="1:15" x14ac:dyDescent="0.25">
      <c r="A2481" t="s">
        <v>2117</v>
      </c>
      <c r="B2481" t="s">
        <v>2118</v>
      </c>
      <c r="C2481" t="s">
        <v>2835</v>
      </c>
      <c r="D2481" t="s">
        <v>2836</v>
      </c>
      <c r="E2481" t="s">
        <v>2837</v>
      </c>
      <c r="F2481" t="s">
        <v>2838</v>
      </c>
      <c r="G2481" t="s">
        <v>5</v>
      </c>
      <c r="H2481" t="s">
        <v>5</v>
      </c>
      <c r="I2481" t="s">
        <v>2122</v>
      </c>
      <c r="J2481" t="s">
        <v>47</v>
      </c>
      <c r="K2481" s="3">
        <f t="shared" si="76"/>
        <v>0</v>
      </c>
      <c r="L2481" s="3">
        <f>IF(ISERROR(VLOOKUP(J2481,Lookups!$A$2:$A$16,1,FALSE)),1,0)</f>
        <v>1</v>
      </c>
      <c r="M2481" s="3">
        <f>IF(ISERROR(VLOOKUP(D2481,Data!$A$2:$D$223100,2,FALSE)),0,1)</f>
        <v>1</v>
      </c>
      <c r="N2481" s="3">
        <f t="shared" si="77"/>
        <v>1</v>
      </c>
      <c r="O2481" s="3" t="str">
        <f>IF(ISERROR(VLOOKUP(D2481,Data!$A$2:$C$223100,3,FALSE)),"INACTIVE",VLOOKUP(D2481,Data!$A$2:$C$223100,3,FALSE))</f>
        <v>Current</v>
      </c>
    </row>
    <row r="2482" spans="1:15" x14ac:dyDescent="0.25">
      <c r="A2482" t="s">
        <v>2117</v>
      </c>
      <c r="B2482" t="s">
        <v>2118</v>
      </c>
      <c r="C2482" t="s">
        <v>2839</v>
      </c>
      <c r="D2482" t="s">
        <v>2836</v>
      </c>
      <c r="E2482" t="s">
        <v>2840</v>
      </c>
      <c r="F2482" t="s">
        <v>2841</v>
      </c>
      <c r="G2482" t="s">
        <v>5</v>
      </c>
      <c r="H2482" t="s">
        <v>5</v>
      </c>
      <c r="I2482" t="s">
        <v>2122</v>
      </c>
      <c r="J2482" t="s">
        <v>47</v>
      </c>
      <c r="K2482" s="3">
        <f t="shared" si="76"/>
        <v>0</v>
      </c>
      <c r="L2482" s="3">
        <f>IF(ISERROR(VLOOKUP(J2482,Lookups!$A$2:$A$16,1,FALSE)),1,0)</f>
        <v>1</v>
      </c>
      <c r="M2482" s="3">
        <f>IF(ISERROR(VLOOKUP(D2482,Data!$A$2:$D$223100,2,FALSE)),0,1)</f>
        <v>1</v>
      </c>
      <c r="N2482" s="3">
        <f t="shared" si="77"/>
        <v>1</v>
      </c>
      <c r="O2482" s="3" t="str">
        <f>IF(ISERROR(VLOOKUP(D2482,Data!$A$2:$C$223100,3,FALSE)),"INACTIVE",VLOOKUP(D2482,Data!$A$2:$C$223100,3,FALSE))</f>
        <v>Current</v>
      </c>
    </row>
    <row r="2483" spans="1:15" x14ac:dyDescent="0.25">
      <c r="A2483" t="s">
        <v>2117</v>
      </c>
      <c r="B2483" t="s">
        <v>2118</v>
      </c>
      <c r="C2483" t="s">
        <v>2842</v>
      </c>
      <c r="D2483" t="s">
        <v>2843</v>
      </c>
      <c r="E2483" t="s">
        <v>2844</v>
      </c>
      <c r="F2483" t="s">
        <v>2845</v>
      </c>
      <c r="G2483" t="s">
        <v>5</v>
      </c>
      <c r="H2483" t="s">
        <v>5</v>
      </c>
      <c r="I2483" t="s">
        <v>2122</v>
      </c>
      <c r="J2483" t="s">
        <v>40</v>
      </c>
      <c r="K2483" s="3">
        <f t="shared" si="76"/>
        <v>0</v>
      </c>
      <c r="L2483" s="3">
        <f>IF(ISERROR(VLOOKUP(J2483,Lookups!$A$2:$A$16,1,FALSE)),1,0)</f>
        <v>1</v>
      </c>
      <c r="M2483" s="3">
        <f>IF(ISERROR(VLOOKUP(D2483,Data!$A$2:$D$223100,2,FALSE)),0,1)</f>
        <v>1</v>
      </c>
      <c r="N2483" s="3">
        <f t="shared" si="77"/>
        <v>1</v>
      </c>
      <c r="O2483" s="3" t="str">
        <f>IF(ISERROR(VLOOKUP(D2483,Data!$A$2:$C$223100,3,FALSE)),"INACTIVE",VLOOKUP(D2483,Data!$A$2:$C$223100,3,FALSE))</f>
        <v>Current</v>
      </c>
    </row>
    <row r="2484" spans="1:15" x14ac:dyDescent="0.25">
      <c r="A2484" t="s">
        <v>2117</v>
      </c>
      <c r="B2484" t="s">
        <v>2118</v>
      </c>
      <c r="C2484" t="s">
        <v>2846</v>
      </c>
      <c r="D2484" t="s">
        <v>2847</v>
      </c>
      <c r="E2484" t="s">
        <v>2848</v>
      </c>
      <c r="F2484" t="s">
        <v>2849</v>
      </c>
      <c r="G2484" t="s">
        <v>5</v>
      </c>
      <c r="H2484" t="s">
        <v>5</v>
      </c>
      <c r="I2484" t="s">
        <v>2122</v>
      </c>
      <c r="J2484" t="s">
        <v>47</v>
      </c>
      <c r="K2484" s="3">
        <f t="shared" si="76"/>
        <v>0</v>
      </c>
      <c r="L2484" s="3">
        <f>IF(ISERROR(VLOOKUP(J2484,Lookups!$A$2:$A$16,1,FALSE)),1,0)</f>
        <v>1</v>
      </c>
      <c r="M2484" s="3">
        <f>IF(ISERROR(VLOOKUP(D2484,Data!$A$2:$D$223100,2,FALSE)),0,1)</f>
        <v>1</v>
      </c>
      <c r="N2484" s="3">
        <f t="shared" si="77"/>
        <v>1</v>
      </c>
      <c r="O2484" s="3" t="str">
        <f>IF(ISERROR(VLOOKUP(D2484,Data!$A$2:$C$223100,3,FALSE)),"INACTIVE",VLOOKUP(D2484,Data!$A$2:$C$223100,3,FALSE))</f>
        <v>FC</v>
      </c>
    </row>
    <row r="2485" spans="1:15" x14ac:dyDescent="0.25">
      <c r="A2485" t="s">
        <v>2117</v>
      </c>
      <c r="B2485" t="s">
        <v>2118</v>
      </c>
      <c r="C2485" t="s">
        <v>2850</v>
      </c>
      <c r="D2485" t="s">
        <v>2851</v>
      </c>
      <c r="E2485" t="s">
        <v>2852</v>
      </c>
      <c r="F2485" t="s">
        <v>2853</v>
      </c>
      <c r="G2485" t="s">
        <v>5</v>
      </c>
      <c r="H2485" t="s">
        <v>5</v>
      </c>
      <c r="I2485" t="s">
        <v>2122</v>
      </c>
      <c r="J2485" t="s">
        <v>47</v>
      </c>
      <c r="K2485" s="3">
        <f t="shared" si="76"/>
        <v>0</v>
      </c>
      <c r="L2485" s="3">
        <f>IF(ISERROR(VLOOKUP(J2485,Lookups!$A$2:$A$16,1,FALSE)),1,0)</f>
        <v>1</v>
      </c>
      <c r="M2485" s="3">
        <f>IF(ISERROR(VLOOKUP(D2485,Data!$A$2:$D$223100,2,FALSE)),0,1)</f>
        <v>1</v>
      </c>
      <c r="N2485" s="3">
        <f t="shared" si="77"/>
        <v>1</v>
      </c>
      <c r="O2485" s="3" t="str">
        <f>IF(ISERROR(VLOOKUP(D2485,Data!$A$2:$C$223100,3,FALSE)),"INACTIVE",VLOOKUP(D2485,Data!$A$2:$C$223100,3,FALSE))</f>
        <v>Current</v>
      </c>
    </row>
    <row r="2486" spans="1:15" x14ac:dyDescent="0.25">
      <c r="A2486" t="s">
        <v>2117</v>
      </c>
      <c r="B2486" t="s">
        <v>2118</v>
      </c>
      <c r="C2486" t="s">
        <v>2854</v>
      </c>
      <c r="D2486" t="s">
        <v>2855</v>
      </c>
      <c r="E2486" t="s">
        <v>2856</v>
      </c>
      <c r="F2486" t="s">
        <v>2857</v>
      </c>
      <c r="G2486" t="s">
        <v>5</v>
      </c>
      <c r="H2486" t="s">
        <v>5</v>
      </c>
      <c r="I2486" t="s">
        <v>2122</v>
      </c>
      <c r="J2486" t="s">
        <v>40</v>
      </c>
      <c r="K2486" s="3">
        <f t="shared" si="76"/>
        <v>0</v>
      </c>
      <c r="L2486" s="3">
        <f>IF(ISERROR(VLOOKUP(J2486,Lookups!$A$2:$A$16,1,FALSE)),1,0)</f>
        <v>1</v>
      </c>
      <c r="M2486" s="3">
        <f>IF(ISERROR(VLOOKUP(D2486,Data!$A$2:$D$223100,2,FALSE)),0,1)</f>
        <v>1</v>
      </c>
      <c r="N2486" s="3">
        <f t="shared" si="77"/>
        <v>1</v>
      </c>
      <c r="O2486" s="3" t="str">
        <f>IF(ISERROR(VLOOKUP(D2486,Data!$A$2:$C$223100,3,FALSE)),"INACTIVE",VLOOKUP(D2486,Data!$A$2:$C$223100,3,FALSE))</f>
        <v>60+</v>
      </c>
    </row>
    <row r="2487" spans="1:15" x14ac:dyDescent="0.25">
      <c r="A2487" t="s">
        <v>2117</v>
      </c>
      <c r="B2487" t="s">
        <v>2118</v>
      </c>
      <c r="C2487" t="s">
        <v>2858</v>
      </c>
      <c r="D2487" t="s">
        <v>2859</v>
      </c>
      <c r="E2487" t="s">
        <v>2860</v>
      </c>
      <c r="F2487" t="s">
        <v>2861</v>
      </c>
      <c r="G2487" t="s">
        <v>5</v>
      </c>
      <c r="H2487" t="s">
        <v>5</v>
      </c>
      <c r="I2487" t="s">
        <v>2122</v>
      </c>
      <c r="J2487" t="s">
        <v>40</v>
      </c>
      <c r="K2487" s="3">
        <f t="shared" si="76"/>
        <v>0</v>
      </c>
      <c r="L2487" s="3">
        <f>IF(ISERROR(VLOOKUP(J2487,Lookups!$A$2:$A$16,1,FALSE)),1,0)</f>
        <v>1</v>
      </c>
      <c r="M2487" s="3">
        <f>IF(ISERROR(VLOOKUP(D2487,Data!$A$2:$D$223100,2,FALSE)),0,1)</f>
        <v>1</v>
      </c>
      <c r="N2487" s="3">
        <f t="shared" si="77"/>
        <v>1</v>
      </c>
      <c r="O2487" s="3" t="str">
        <f>IF(ISERROR(VLOOKUP(D2487,Data!$A$2:$C$223100,3,FALSE)),"INACTIVE",VLOOKUP(D2487,Data!$A$2:$C$223100,3,FALSE))</f>
        <v>Demand Letter</v>
      </c>
    </row>
    <row r="2488" spans="1:15" x14ac:dyDescent="0.25">
      <c r="A2488" t="s">
        <v>2117</v>
      </c>
      <c r="B2488" t="s">
        <v>2118</v>
      </c>
      <c r="C2488" t="s">
        <v>2862</v>
      </c>
      <c r="D2488" t="s">
        <v>2863</v>
      </c>
      <c r="E2488" t="s">
        <v>2864</v>
      </c>
      <c r="F2488" t="s">
        <v>2864</v>
      </c>
      <c r="G2488" t="s">
        <v>5</v>
      </c>
      <c r="H2488" t="s">
        <v>5</v>
      </c>
      <c r="I2488" t="s">
        <v>2122</v>
      </c>
      <c r="J2488" t="s">
        <v>40</v>
      </c>
      <c r="K2488" s="3">
        <f t="shared" si="76"/>
        <v>0</v>
      </c>
      <c r="L2488" s="3">
        <f>IF(ISERROR(VLOOKUP(J2488,Lookups!$A$2:$A$16,1,FALSE)),1,0)</f>
        <v>1</v>
      </c>
      <c r="M2488" s="3">
        <f>IF(ISERROR(VLOOKUP(D2488,Data!$A$2:$D$223100,2,FALSE)),0,1)</f>
        <v>1</v>
      </c>
      <c r="N2488" s="3">
        <f t="shared" si="77"/>
        <v>1</v>
      </c>
      <c r="O2488" s="3" t="str">
        <f>IF(ISERROR(VLOOKUP(D2488,Data!$A$2:$C$223100,3,FALSE)),"INACTIVE",VLOOKUP(D2488,Data!$A$2:$C$223100,3,FALSE))</f>
        <v>FBA</v>
      </c>
    </row>
    <row r="2489" spans="1:15" x14ac:dyDescent="0.25">
      <c r="A2489" t="s">
        <v>2117</v>
      </c>
      <c r="B2489" t="s">
        <v>2118</v>
      </c>
      <c r="C2489" t="s">
        <v>2865</v>
      </c>
      <c r="D2489" t="s">
        <v>2866</v>
      </c>
      <c r="E2489" t="s">
        <v>2867</v>
      </c>
      <c r="F2489" t="s">
        <v>2868</v>
      </c>
      <c r="G2489" t="s">
        <v>5</v>
      </c>
      <c r="H2489" t="s">
        <v>5</v>
      </c>
      <c r="I2489" t="s">
        <v>2122</v>
      </c>
      <c r="J2489" t="s">
        <v>47</v>
      </c>
      <c r="K2489" s="3">
        <f t="shared" si="76"/>
        <v>0</v>
      </c>
      <c r="L2489" s="3">
        <f>IF(ISERROR(VLOOKUP(J2489,Lookups!$A$2:$A$16,1,FALSE)),1,0)</f>
        <v>1</v>
      </c>
      <c r="M2489" s="3">
        <f>IF(ISERROR(VLOOKUP(D2489,Data!$A$2:$D$223100,2,FALSE)),0,1)</f>
        <v>1</v>
      </c>
      <c r="N2489" s="3">
        <f t="shared" si="77"/>
        <v>1</v>
      </c>
      <c r="O2489" s="3" t="str">
        <f>IF(ISERROR(VLOOKUP(D2489,Data!$A$2:$C$223100,3,FALSE)),"INACTIVE",VLOOKUP(D2489,Data!$A$2:$C$223100,3,FALSE))</f>
        <v>Current</v>
      </c>
    </row>
    <row r="2490" spans="1:15" x14ac:dyDescent="0.25">
      <c r="A2490" t="s">
        <v>2117</v>
      </c>
      <c r="B2490" t="s">
        <v>2118</v>
      </c>
      <c r="C2490" t="s">
        <v>2869</v>
      </c>
      <c r="D2490" t="s">
        <v>2870</v>
      </c>
      <c r="E2490" t="s">
        <v>2871</v>
      </c>
      <c r="F2490" t="s">
        <v>2872</v>
      </c>
      <c r="G2490" t="s">
        <v>5</v>
      </c>
      <c r="H2490" t="s">
        <v>5</v>
      </c>
      <c r="I2490" t="s">
        <v>2122</v>
      </c>
      <c r="J2490" t="s">
        <v>47</v>
      </c>
      <c r="K2490" s="3">
        <f t="shared" si="76"/>
        <v>0</v>
      </c>
      <c r="L2490" s="3">
        <f>IF(ISERROR(VLOOKUP(J2490,Lookups!$A$2:$A$16,1,FALSE)),1,0)</f>
        <v>1</v>
      </c>
      <c r="M2490" s="3">
        <f>IF(ISERROR(VLOOKUP(D2490,Data!$A$2:$D$223100,2,FALSE)),0,1)</f>
        <v>1</v>
      </c>
      <c r="N2490" s="3">
        <f t="shared" si="77"/>
        <v>1</v>
      </c>
      <c r="O2490" s="3" t="str">
        <f>IF(ISERROR(VLOOKUP(D2490,Data!$A$2:$C$223100,3,FALSE)),"INACTIVE",VLOOKUP(D2490,Data!$A$2:$C$223100,3,FALSE))</f>
        <v>Current</v>
      </c>
    </row>
    <row r="2491" spans="1:15" x14ac:dyDescent="0.25">
      <c r="A2491" t="s">
        <v>2117</v>
      </c>
      <c r="B2491" t="s">
        <v>2118</v>
      </c>
      <c r="C2491" t="s">
        <v>2873</v>
      </c>
      <c r="D2491" t="s">
        <v>2874</v>
      </c>
      <c r="E2491" t="s">
        <v>2875</v>
      </c>
      <c r="F2491" t="s">
        <v>2876</v>
      </c>
      <c r="G2491" t="s">
        <v>5</v>
      </c>
      <c r="H2491" t="s">
        <v>5</v>
      </c>
      <c r="I2491" t="s">
        <v>2122</v>
      </c>
      <c r="J2491" t="s">
        <v>40</v>
      </c>
      <c r="K2491" s="3">
        <f t="shared" si="76"/>
        <v>0</v>
      </c>
      <c r="L2491" s="3">
        <f>IF(ISERROR(VLOOKUP(J2491,Lookups!$A$2:$A$16,1,FALSE)),1,0)</f>
        <v>1</v>
      </c>
      <c r="M2491" s="3">
        <f>IF(ISERROR(VLOOKUP(D2491,Data!$A$2:$D$223100,2,FALSE)),0,1)</f>
        <v>1</v>
      </c>
      <c r="N2491" s="3">
        <f t="shared" si="77"/>
        <v>1</v>
      </c>
      <c r="O2491" s="3" t="str">
        <f>IF(ISERROR(VLOOKUP(D2491,Data!$A$2:$C$223100,3,FALSE)),"INACTIVE",VLOOKUP(D2491,Data!$A$2:$C$223100,3,FALSE))</f>
        <v>BK13</v>
      </c>
    </row>
    <row r="2492" spans="1:15" x14ac:dyDescent="0.25">
      <c r="A2492" t="s">
        <v>2117</v>
      </c>
      <c r="B2492" t="s">
        <v>2118</v>
      </c>
      <c r="C2492" t="s">
        <v>2877</v>
      </c>
      <c r="D2492" t="s">
        <v>2878</v>
      </c>
      <c r="E2492" t="s">
        <v>2879</v>
      </c>
      <c r="F2492" t="s">
        <v>2879</v>
      </c>
      <c r="G2492" t="s">
        <v>5</v>
      </c>
      <c r="H2492" t="s">
        <v>5</v>
      </c>
      <c r="I2492" t="s">
        <v>2122</v>
      </c>
      <c r="J2492" t="s">
        <v>40</v>
      </c>
      <c r="K2492" s="3">
        <f t="shared" si="76"/>
        <v>0</v>
      </c>
      <c r="L2492" s="3">
        <f>IF(ISERROR(VLOOKUP(J2492,Lookups!$A$2:$A$16,1,FALSE)),1,0)</f>
        <v>1</v>
      </c>
      <c r="M2492" s="3">
        <f>IF(ISERROR(VLOOKUP(D2492,Data!$A$2:$D$223100,2,FALSE)),0,1)</f>
        <v>1</v>
      </c>
      <c r="N2492" s="3">
        <f t="shared" si="77"/>
        <v>1</v>
      </c>
      <c r="O2492" s="3" t="str">
        <f>IF(ISERROR(VLOOKUP(D2492,Data!$A$2:$C$223100,3,FALSE)),"INACTIVE",VLOOKUP(D2492,Data!$A$2:$C$223100,3,FALSE))</f>
        <v>180+</v>
      </c>
    </row>
    <row r="2493" spans="1:15" x14ac:dyDescent="0.25">
      <c r="A2493" t="s">
        <v>2117</v>
      </c>
      <c r="B2493" t="s">
        <v>2118</v>
      </c>
      <c r="C2493" t="s">
        <v>2880</v>
      </c>
      <c r="D2493" t="s">
        <v>2881</v>
      </c>
      <c r="E2493" t="s">
        <v>2882</v>
      </c>
      <c r="F2493" t="s">
        <v>2883</v>
      </c>
      <c r="G2493" t="s">
        <v>5</v>
      </c>
      <c r="H2493" t="s">
        <v>5</v>
      </c>
      <c r="I2493" t="s">
        <v>2122</v>
      </c>
      <c r="J2493" t="s">
        <v>40</v>
      </c>
      <c r="K2493" s="3">
        <f t="shared" si="76"/>
        <v>0</v>
      </c>
      <c r="L2493" s="3">
        <f>IF(ISERROR(VLOOKUP(J2493,Lookups!$A$2:$A$16,1,FALSE)),1,0)</f>
        <v>1</v>
      </c>
      <c r="M2493" s="3">
        <f>IF(ISERROR(VLOOKUP(D2493,Data!$A$2:$D$223100,2,FALSE)),0,1)</f>
        <v>1</v>
      </c>
      <c r="N2493" s="3">
        <f t="shared" si="77"/>
        <v>1</v>
      </c>
      <c r="O2493" s="3" t="str">
        <f>IF(ISERROR(VLOOKUP(D2493,Data!$A$2:$C$223100,3,FALSE)),"INACTIVE",VLOOKUP(D2493,Data!$A$2:$C$223100,3,FALSE))</f>
        <v>60+</v>
      </c>
    </row>
    <row r="2494" spans="1:15" x14ac:dyDescent="0.25">
      <c r="A2494" t="s">
        <v>2117</v>
      </c>
      <c r="B2494" t="s">
        <v>2118</v>
      </c>
      <c r="C2494" t="s">
        <v>2884</v>
      </c>
      <c r="D2494" t="s">
        <v>2885</v>
      </c>
      <c r="E2494" t="s">
        <v>2886</v>
      </c>
      <c r="F2494" t="s">
        <v>2887</v>
      </c>
      <c r="G2494" t="s">
        <v>5</v>
      </c>
      <c r="H2494" t="s">
        <v>5</v>
      </c>
      <c r="I2494" t="s">
        <v>2122</v>
      </c>
      <c r="J2494" t="s">
        <v>40</v>
      </c>
      <c r="K2494" s="3">
        <f t="shared" si="76"/>
        <v>0</v>
      </c>
      <c r="L2494" s="3">
        <f>IF(ISERROR(VLOOKUP(J2494,Lookups!$A$2:$A$16,1,FALSE)),1,0)</f>
        <v>1</v>
      </c>
      <c r="M2494" s="3">
        <f>IF(ISERROR(VLOOKUP(D2494,Data!$A$2:$D$223100,2,FALSE)),0,1)</f>
        <v>1</v>
      </c>
      <c r="N2494" s="3">
        <f t="shared" si="77"/>
        <v>1</v>
      </c>
      <c r="O2494" s="3" t="str">
        <f>IF(ISERROR(VLOOKUP(D2494,Data!$A$2:$C$223100,3,FALSE)),"INACTIVE",VLOOKUP(D2494,Data!$A$2:$C$223100,3,FALSE))</f>
        <v>Demand Letter</v>
      </c>
    </row>
    <row r="2495" spans="1:15" x14ac:dyDescent="0.25">
      <c r="A2495" t="s">
        <v>2117</v>
      </c>
      <c r="B2495" t="s">
        <v>2118</v>
      </c>
      <c r="C2495" t="s">
        <v>2888</v>
      </c>
      <c r="D2495" t="s">
        <v>2889</v>
      </c>
      <c r="E2495" t="s">
        <v>2890</v>
      </c>
      <c r="F2495" t="s">
        <v>2891</v>
      </c>
      <c r="G2495" t="s">
        <v>5</v>
      </c>
      <c r="H2495" t="s">
        <v>5</v>
      </c>
      <c r="I2495" t="s">
        <v>2122</v>
      </c>
      <c r="J2495" t="s">
        <v>47</v>
      </c>
      <c r="K2495" s="3">
        <f t="shared" si="76"/>
        <v>0</v>
      </c>
      <c r="L2495" s="3">
        <f>IF(ISERROR(VLOOKUP(J2495,Lookups!$A$2:$A$16,1,FALSE)),1,0)</f>
        <v>1</v>
      </c>
      <c r="M2495" s="3">
        <f>IF(ISERROR(VLOOKUP(D2495,Data!$A$2:$D$223100,2,FALSE)),0,1)</f>
        <v>0</v>
      </c>
      <c r="N2495" s="3">
        <f t="shared" si="77"/>
        <v>0</v>
      </c>
      <c r="O2495" s="3" t="str">
        <f>IF(ISERROR(VLOOKUP(D2495,Data!$A$2:$C$223100,3,FALSE)),"INACTIVE",VLOOKUP(D2495,Data!$A$2:$C$223100,3,FALSE))</f>
        <v>INACTIVE</v>
      </c>
    </row>
    <row r="2496" spans="1:15" x14ac:dyDescent="0.25">
      <c r="A2496" t="s">
        <v>2117</v>
      </c>
      <c r="B2496" t="s">
        <v>2118</v>
      </c>
      <c r="C2496" t="s">
        <v>2892</v>
      </c>
      <c r="D2496" t="s">
        <v>2893</v>
      </c>
      <c r="E2496" t="s">
        <v>2894</v>
      </c>
      <c r="F2496" t="s">
        <v>2895</v>
      </c>
      <c r="G2496" t="s">
        <v>5</v>
      </c>
      <c r="H2496" t="s">
        <v>5</v>
      </c>
      <c r="I2496" t="s">
        <v>2122</v>
      </c>
      <c r="J2496" t="s">
        <v>40</v>
      </c>
      <c r="K2496" s="3">
        <f t="shared" si="76"/>
        <v>0</v>
      </c>
      <c r="L2496" s="3">
        <f>IF(ISERROR(VLOOKUP(J2496,Lookups!$A$2:$A$16,1,FALSE)),1,0)</f>
        <v>1</v>
      </c>
      <c r="M2496" s="3">
        <f>IF(ISERROR(VLOOKUP(D2496,Data!$A$2:$D$223100,2,FALSE)),0,1)</f>
        <v>1</v>
      </c>
      <c r="N2496" s="3">
        <f t="shared" si="77"/>
        <v>1</v>
      </c>
      <c r="O2496" s="3" t="str">
        <f>IF(ISERROR(VLOOKUP(D2496,Data!$A$2:$C$223100,3,FALSE)),"INACTIVE",VLOOKUP(D2496,Data!$A$2:$C$223100,3,FALSE))</f>
        <v>30+</v>
      </c>
    </row>
    <row r="2497" spans="1:15" x14ac:dyDescent="0.25">
      <c r="A2497" t="s">
        <v>2117</v>
      </c>
      <c r="B2497" t="s">
        <v>2118</v>
      </c>
      <c r="C2497" t="s">
        <v>2896</v>
      </c>
      <c r="D2497" t="s">
        <v>2897</v>
      </c>
      <c r="E2497" t="s">
        <v>2898</v>
      </c>
      <c r="F2497" t="s">
        <v>2899</v>
      </c>
      <c r="G2497" t="s">
        <v>5</v>
      </c>
      <c r="H2497" t="s">
        <v>5</v>
      </c>
      <c r="I2497" t="s">
        <v>2122</v>
      </c>
      <c r="J2497" t="s">
        <v>40</v>
      </c>
      <c r="K2497" s="3">
        <f t="shared" si="76"/>
        <v>0</v>
      </c>
      <c r="L2497" s="3">
        <f>IF(ISERROR(VLOOKUP(J2497,Lookups!$A$2:$A$16,1,FALSE)),1,0)</f>
        <v>1</v>
      </c>
      <c r="M2497" s="3">
        <f>IF(ISERROR(VLOOKUP(D2497,Data!$A$2:$D$223100,2,FALSE)),0,1)</f>
        <v>1</v>
      </c>
      <c r="N2497" s="3">
        <f t="shared" si="77"/>
        <v>1</v>
      </c>
      <c r="O2497" s="3" t="str">
        <f>IF(ISERROR(VLOOKUP(D2497,Data!$A$2:$C$223100,3,FALSE)),"INACTIVE",VLOOKUP(D2497,Data!$A$2:$C$223100,3,FALSE))</f>
        <v>Demand Letter</v>
      </c>
    </row>
    <row r="2498" spans="1:15" x14ac:dyDescent="0.25">
      <c r="A2498" t="s">
        <v>2117</v>
      </c>
      <c r="B2498" t="s">
        <v>2118</v>
      </c>
      <c r="C2498" t="s">
        <v>2900</v>
      </c>
      <c r="D2498" t="s">
        <v>2901</v>
      </c>
      <c r="E2498" t="s">
        <v>2902</v>
      </c>
      <c r="F2498" t="s">
        <v>2903</v>
      </c>
      <c r="G2498" t="s">
        <v>5</v>
      </c>
      <c r="H2498" t="s">
        <v>5</v>
      </c>
      <c r="I2498" t="s">
        <v>2122</v>
      </c>
      <c r="J2498" t="s">
        <v>40</v>
      </c>
      <c r="K2498" s="3">
        <f t="shared" si="76"/>
        <v>0</v>
      </c>
      <c r="L2498" s="3">
        <f>IF(ISERROR(VLOOKUP(J2498,Lookups!$A$2:$A$16,1,FALSE)),1,0)</f>
        <v>1</v>
      </c>
      <c r="M2498" s="3">
        <f>IF(ISERROR(VLOOKUP(D2498,Data!$A$2:$D$223100,2,FALSE)),0,1)</f>
        <v>1</v>
      </c>
      <c r="N2498" s="3">
        <f t="shared" si="77"/>
        <v>1</v>
      </c>
      <c r="O2498" s="3" t="str">
        <f>IF(ISERROR(VLOOKUP(D2498,Data!$A$2:$C$223100,3,FALSE)),"INACTIVE",VLOOKUP(D2498,Data!$A$2:$C$223100,3,FALSE))</f>
        <v>Demand Letter</v>
      </c>
    </row>
    <row r="2499" spans="1:15" x14ac:dyDescent="0.25">
      <c r="A2499" t="s">
        <v>2117</v>
      </c>
      <c r="B2499" t="s">
        <v>2118</v>
      </c>
      <c r="C2499" t="s">
        <v>2904</v>
      </c>
      <c r="D2499" t="s">
        <v>2905</v>
      </c>
      <c r="E2499" t="s">
        <v>2906</v>
      </c>
      <c r="F2499" t="s">
        <v>2907</v>
      </c>
      <c r="G2499" t="s">
        <v>5</v>
      </c>
      <c r="H2499" t="s">
        <v>5</v>
      </c>
      <c r="I2499" t="s">
        <v>2122</v>
      </c>
      <c r="J2499" t="s">
        <v>40</v>
      </c>
      <c r="K2499" s="3">
        <f t="shared" ref="K2499:K2562" si="78">IF(ISERROR(FIND("LIEN",A2499,1)),0,1)</f>
        <v>0</v>
      </c>
      <c r="L2499" s="3">
        <f>IF(ISERROR(VLOOKUP(J2499,Lookups!$A$2:$A$16,1,FALSE)),1,0)</f>
        <v>1</v>
      </c>
      <c r="M2499" s="3">
        <f>IF(ISERROR(VLOOKUP(D2499,Data!$A$2:$D$223100,2,FALSE)),0,1)</f>
        <v>1</v>
      </c>
      <c r="N2499" s="3">
        <f t="shared" ref="N2499:N2562" si="79">IF(M2499=0,0,IF(SUM(K2499:L2499)&gt;0,1,0))</f>
        <v>1</v>
      </c>
      <c r="O2499" s="3" t="str">
        <f>IF(ISERROR(VLOOKUP(D2499,Data!$A$2:$C$223100,3,FALSE)),"INACTIVE",VLOOKUP(D2499,Data!$A$2:$C$223100,3,FALSE))</f>
        <v>60+</v>
      </c>
    </row>
    <row r="2500" spans="1:15" x14ac:dyDescent="0.25">
      <c r="A2500" t="s">
        <v>2117</v>
      </c>
      <c r="B2500" t="s">
        <v>2118</v>
      </c>
      <c r="C2500" t="s">
        <v>2908</v>
      </c>
      <c r="D2500" t="s">
        <v>2909</v>
      </c>
      <c r="E2500" t="s">
        <v>2910</v>
      </c>
      <c r="F2500" t="s">
        <v>2911</v>
      </c>
      <c r="G2500" t="s">
        <v>5</v>
      </c>
      <c r="H2500" t="s">
        <v>5</v>
      </c>
      <c r="I2500" t="s">
        <v>2122</v>
      </c>
      <c r="J2500" t="s">
        <v>40</v>
      </c>
      <c r="K2500" s="3">
        <f t="shared" si="78"/>
        <v>0</v>
      </c>
      <c r="L2500" s="3">
        <f>IF(ISERROR(VLOOKUP(J2500,Lookups!$A$2:$A$16,1,FALSE)),1,0)</f>
        <v>1</v>
      </c>
      <c r="M2500" s="3">
        <f>IF(ISERROR(VLOOKUP(D2500,Data!$A$2:$D$223100,2,FALSE)),0,1)</f>
        <v>1</v>
      </c>
      <c r="N2500" s="3">
        <f t="shared" si="79"/>
        <v>1</v>
      </c>
      <c r="O2500" s="3" t="str">
        <f>IF(ISERROR(VLOOKUP(D2500,Data!$A$2:$C$223100,3,FALSE)),"INACTIVE",VLOOKUP(D2500,Data!$A$2:$C$223100,3,FALSE))</f>
        <v>90+</v>
      </c>
    </row>
    <row r="2501" spans="1:15" x14ac:dyDescent="0.25">
      <c r="A2501" t="s">
        <v>2117</v>
      </c>
      <c r="B2501" t="s">
        <v>2118</v>
      </c>
      <c r="C2501" t="s">
        <v>2912</v>
      </c>
      <c r="D2501" t="s">
        <v>2913</v>
      </c>
      <c r="E2501" t="s">
        <v>2914</v>
      </c>
      <c r="F2501" t="s">
        <v>2915</v>
      </c>
      <c r="G2501" t="s">
        <v>5</v>
      </c>
      <c r="H2501" t="s">
        <v>5</v>
      </c>
      <c r="I2501" t="s">
        <v>2122</v>
      </c>
      <c r="J2501" t="s">
        <v>40</v>
      </c>
      <c r="K2501" s="3">
        <f t="shared" si="78"/>
        <v>0</v>
      </c>
      <c r="L2501" s="3">
        <f>IF(ISERROR(VLOOKUP(J2501,Lookups!$A$2:$A$16,1,FALSE)),1,0)</f>
        <v>1</v>
      </c>
      <c r="M2501" s="3">
        <f>IF(ISERROR(VLOOKUP(D2501,Data!$A$2:$D$223100,2,FALSE)),0,1)</f>
        <v>1</v>
      </c>
      <c r="N2501" s="3">
        <f t="shared" si="79"/>
        <v>1</v>
      </c>
      <c r="O2501" s="3" t="str">
        <f>IF(ISERROR(VLOOKUP(D2501,Data!$A$2:$C$223100,3,FALSE)),"INACTIVE",VLOOKUP(D2501,Data!$A$2:$C$223100,3,FALSE))</f>
        <v>60+</v>
      </c>
    </row>
    <row r="2502" spans="1:15" x14ac:dyDescent="0.25">
      <c r="A2502" t="s">
        <v>2117</v>
      </c>
      <c r="B2502" t="s">
        <v>2118</v>
      </c>
      <c r="C2502" t="s">
        <v>2916</v>
      </c>
      <c r="D2502" t="s">
        <v>2917</v>
      </c>
      <c r="E2502" t="s">
        <v>2918</v>
      </c>
      <c r="F2502" t="s">
        <v>2919</v>
      </c>
      <c r="G2502" t="s">
        <v>5</v>
      </c>
      <c r="H2502" t="s">
        <v>5</v>
      </c>
      <c r="I2502" t="s">
        <v>2122</v>
      </c>
      <c r="J2502" t="s">
        <v>40</v>
      </c>
      <c r="K2502" s="3">
        <f t="shared" si="78"/>
        <v>0</v>
      </c>
      <c r="L2502" s="3">
        <f>IF(ISERROR(VLOOKUP(J2502,Lookups!$A$2:$A$16,1,FALSE)),1,0)</f>
        <v>1</v>
      </c>
      <c r="M2502" s="3">
        <f>IF(ISERROR(VLOOKUP(D2502,Data!$A$2:$D$223100,2,FALSE)),0,1)</f>
        <v>1</v>
      </c>
      <c r="N2502" s="3">
        <f t="shared" si="79"/>
        <v>1</v>
      </c>
      <c r="O2502" s="3" t="str">
        <f>IF(ISERROR(VLOOKUP(D2502,Data!$A$2:$C$223100,3,FALSE)),"INACTIVE",VLOOKUP(D2502,Data!$A$2:$C$223100,3,FALSE))</f>
        <v>PP</v>
      </c>
    </row>
    <row r="2503" spans="1:15" x14ac:dyDescent="0.25">
      <c r="A2503" t="s">
        <v>2117</v>
      </c>
      <c r="B2503" t="s">
        <v>2118</v>
      </c>
      <c r="C2503" t="s">
        <v>2920</v>
      </c>
      <c r="D2503" t="s">
        <v>2921</v>
      </c>
      <c r="E2503" t="s">
        <v>2922</v>
      </c>
      <c r="F2503" t="s">
        <v>2923</v>
      </c>
      <c r="G2503" t="s">
        <v>5</v>
      </c>
      <c r="H2503" t="s">
        <v>5</v>
      </c>
      <c r="I2503" t="s">
        <v>2122</v>
      </c>
      <c r="J2503" t="s">
        <v>40</v>
      </c>
      <c r="K2503" s="3">
        <f t="shared" si="78"/>
        <v>0</v>
      </c>
      <c r="L2503" s="3">
        <f>IF(ISERROR(VLOOKUP(J2503,Lookups!$A$2:$A$16,1,FALSE)),1,0)</f>
        <v>1</v>
      </c>
      <c r="M2503" s="3">
        <f>IF(ISERROR(VLOOKUP(D2503,Data!$A$2:$D$223100,2,FALSE)),0,1)</f>
        <v>1</v>
      </c>
      <c r="N2503" s="3">
        <f t="shared" si="79"/>
        <v>1</v>
      </c>
      <c r="O2503" s="3" t="str">
        <f>IF(ISERROR(VLOOKUP(D2503,Data!$A$2:$C$223100,3,FALSE)),"INACTIVE",VLOOKUP(D2503,Data!$A$2:$C$223100,3,FALSE))</f>
        <v>Current</v>
      </c>
    </row>
    <row r="2504" spans="1:15" x14ac:dyDescent="0.25">
      <c r="A2504" t="s">
        <v>2117</v>
      </c>
      <c r="B2504" t="s">
        <v>2118</v>
      </c>
      <c r="C2504" t="s">
        <v>2924</v>
      </c>
      <c r="D2504" t="s">
        <v>2925</v>
      </c>
      <c r="E2504" t="s">
        <v>2926</v>
      </c>
      <c r="F2504" t="s">
        <v>2927</v>
      </c>
      <c r="G2504" t="s">
        <v>5</v>
      </c>
      <c r="H2504" t="s">
        <v>5</v>
      </c>
      <c r="I2504" t="s">
        <v>2122</v>
      </c>
      <c r="J2504" t="s">
        <v>40</v>
      </c>
      <c r="K2504" s="3">
        <f t="shared" si="78"/>
        <v>0</v>
      </c>
      <c r="L2504" s="3">
        <f>IF(ISERROR(VLOOKUP(J2504,Lookups!$A$2:$A$16,1,FALSE)),1,0)</f>
        <v>1</v>
      </c>
      <c r="M2504" s="3">
        <f>IF(ISERROR(VLOOKUP(D2504,Data!$A$2:$D$223100,2,FALSE)),0,1)</f>
        <v>1</v>
      </c>
      <c r="N2504" s="3">
        <f t="shared" si="79"/>
        <v>1</v>
      </c>
      <c r="O2504" s="3" t="str">
        <f>IF(ISERROR(VLOOKUP(D2504,Data!$A$2:$C$223100,3,FALSE)),"INACTIVE",VLOOKUP(D2504,Data!$A$2:$C$223100,3,FALSE))</f>
        <v>Demand Letter</v>
      </c>
    </row>
    <row r="2505" spans="1:15" x14ac:dyDescent="0.25">
      <c r="A2505" t="s">
        <v>2117</v>
      </c>
      <c r="B2505" t="s">
        <v>2118</v>
      </c>
      <c r="C2505" t="s">
        <v>2928</v>
      </c>
      <c r="D2505" t="s">
        <v>2929</v>
      </c>
      <c r="E2505" t="s">
        <v>2930</v>
      </c>
      <c r="F2505" t="s">
        <v>2930</v>
      </c>
      <c r="G2505" t="s">
        <v>5</v>
      </c>
      <c r="H2505" t="s">
        <v>5</v>
      </c>
      <c r="I2505" t="s">
        <v>2122</v>
      </c>
      <c r="J2505" t="s">
        <v>40</v>
      </c>
      <c r="K2505" s="3">
        <f t="shared" si="78"/>
        <v>0</v>
      </c>
      <c r="L2505" s="3">
        <f>IF(ISERROR(VLOOKUP(J2505,Lookups!$A$2:$A$16,1,FALSE)),1,0)</f>
        <v>1</v>
      </c>
      <c r="M2505" s="3">
        <f>IF(ISERROR(VLOOKUP(D2505,Data!$A$2:$D$223100,2,FALSE)),0,1)</f>
        <v>1</v>
      </c>
      <c r="N2505" s="3">
        <f t="shared" si="79"/>
        <v>1</v>
      </c>
      <c r="O2505" s="3" t="str">
        <f>IF(ISERROR(VLOOKUP(D2505,Data!$A$2:$C$223100,3,FALSE)),"INACTIVE",VLOOKUP(D2505,Data!$A$2:$C$223100,3,FALSE))</f>
        <v>Demand Letter</v>
      </c>
    </row>
    <row r="2506" spans="1:15" x14ac:dyDescent="0.25">
      <c r="A2506" t="s">
        <v>2117</v>
      </c>
      <c r="B2506" t="s">
        <v>2118</v>
      </c>
      <c r="C2506" t="s">
        <v>2931</v>
      </c>
      <c r="D2506" t="s">
        <v>2932</v>
      </c>
      <c r="E2506" t="s">
        <v>612</v>
      </c>
      <c r="F2506" t="s">
        <v>2933</v>
      </c>
      <c r="G2506" t="s">
        <v>5</v>
      </c>
      <c r="H2506" t="s">
        <v>5</v>
      </c>
      <c r="I2506" t="s">
        <v>2122</v>
      </c>
      <c r="J2506" t="s">
        <v>47</v>
      </c>
      <c r="K2506" s="3">
        <f t="shared" si="78"/>
        <v>0</v>
      </c>
      <c r="L2506" s="3">
        <f>IF(ISERROR(VLOOKUP(J2506,Lookups!$A$2:$A$16,1,FALSE)),1,0)</f>
        <v>1</v>
      </c>
      <c r="M2506" s="3">
        <f>IF(ISERROR(VLOOKUP(D2506,Data!$A$2:$D$223100,2,FALSE)),0,1)</f>
        <v>1</v>
      </c>
      <c r="N2506" s="3">
        <f t="shared" si="79"/>
        <v>1</v>
      </c>
      <c r="O2506" s="3" t="str">
        <f>IF(ISERROR(VLOOKUP(D2506,Data!$A$2:$C$223100,3,FALSE)),"INACTIVE",VLOOKUP(D2506,Data!$A$2:$C$223100,3,FALSE))</f>
        <v>Current</v>
      </c>
    </row>
    <row r="2507" spans="1:15" x14ac:dyDescent="0.25">
      <c r="A2507" t="s">
        <v>2117</v>
      </c>
      <c r="B2507" t="s">
        <v>2118</v>
      </c>
      <c r="C2507" t="s">
        <v>2934</v>
      </c>
      <c r="D2507" t="s">
        <v>2935</v>
      </c>
      <c r="E2507" t="s">
        <v>2936</v>
      </c>
      <c r="F2507" t="s">
        <v>2937</v>
      </c>
      <c r="G2507" t="s">
        <v>5</v>
      </c>
      <c r="H2507" t="s">
        <v>5</v>
      </c>
      <c r="I2507" t="s">
        <v>2122</v>
      </c>
      <c r="J2507" t="s">
        <v>40</v>
      </c>
      <c r="K2507" s="3">
        <f t="shared" si="78"/>
        <v>0</v>
      </c>
      <c r="L2507" s="3">
        <f>IF(ISERROR(VLOOKUP(J2507,Lookups!$A$2:$A$16,1,FALSE)),1,0)</f>
        <v>1</v>
      </c>
      <c r="M2507" s="3">
        <f>IF(ISERROR(VLOOKUP(D2507,Data!$A$2:$D$223100,2,FALSE)),0,1)</f>
        <v>1</v>
      </c>
      <c r="N2507" s="3">
        <f t="shared" si="79"/>
        <v>1</v>
      </c>
      <c r="O2507" s="3" t="str">
        <f>IF(ISERROR(VLOOKUP(D2507,Data!$A$2:$C$223100,3,FALSE)),"INACTIVE",VLOOKUP(D2507,Data!$A$2:$C$223100,3,FALSE))</f>
        <v>Current</v>
      </c>
    </row>
    <row r="2508" spans="1:15" x14ac:dyDescent="0.25">
      <c r="A2508" t="s">
        <v>2117</v>
      </c>
      <c r="B2508" t="s">
        <v>2118</v>
      </c>
      <c r="C2508" t="s">
        <v>2938</v>
      </c>
      <c r="D2508" t="s">
        <v>2939</v>
      </c>
      <c r="E2508" t="s">
        <v>2940</v>
      </c>
      <c r="F2508" t="s">
        <v>2941</v>
      </c>
      <c r="G2508" t="s">
        <v>5</v>
      </c>
      <c r="H2508" t="s">
        <v>5</v>
      </c>
      <c r="I2508" t="s">
        <v>2122</v>
      </c>
      <c r="J2508" t="s">
        <v>40</v>
      </c>
      <c r="K2508" s="3">
        <f t="shared" si="78"/>
        <v>0</v>
      </c>
      <c r="L2508" s="3">
        <f>IF(ISERROR(VLOOKUP(J2508,Lookups!$A$2:$A$16,1,FALSE)),1,0)</f>
        <v>1</v>
      </c>
      <c r="M2508" s="3">
        <f>IF(ISERROR(VLOOKUP(D2508,Data!$A$2:$D$223100,2,FALSE)),0,1)</f>
        <v>1</v>
      </c>
      <c r="N2508" s="3">
        <f t="shared" si="79"/>
        <v>1</v>
      </c>
      <c r="O2508" s="3" t="str">
        <f>IF(ISERROR(VLOOKUP(D2508,Data!$A$2:$C$223100,3,FALSE)),"INACTIVE",VLOOKUP(D2508,Data!$A$2:$C$223100,3,FALSE))</f>
        <v>Demand Letter</v>
      </c>
    </row>
    <row r="2509" spans="1:15" x14ac:dyDescent="0.25">
      <c r="A2509" t="s">
        <v>2117</v>
      </c>
      <c r="B2509" t="s">
        <v>2118</v>
      </c>
      <c r="C2509" t="s">
        <v>2942</v>
      </c>
      <c r="D2509" t="s">
        <v>2943</v>
      </c>
      <c r="E2509" t="s">
        <v>2944</v>
      </c>
      <c r="F2509" t="s">
        <v>2945</v>
      </c>
      <c r="G2509" t="s">
        <v>5</v>
      </c>
      <c r="H2509" t="s">
        <v>5</v>
      </c>
      <c r="I2509" t="s">
        <v>2122</v>
      </c>
      <c r="J2509" t="s">
        <v>40</v>
      </c>
      <c r="K2509" s="3">
        <f t="shared" si="78"/>
        <v>0</v>
      </c>
      <c r="L2509" s="3">
        <f>IF(ISERROR(VLOOKUP(J2509,Lookups!$A$2:$A$16,1,FALSE)),1,0)</f>
        <v>1</v>
      </c>
      <c r="M2509" s="3">
        <f>IF(ISERROR(VLOOKUP(D2509,Data!$A$2:$D$223100,2,FALSE)),0,1)</f>
        <v>1</v>
      </c>
      <c r="N2509" s="3">
        <f t="shared" si="79"/>
        <v>1</v>
      </c>
      <c r="O2509" s="3" t="str">
        <f>IF(ISERROR(VLOOKUP(D2509,Data!$A$2:$C$223100,3,FALSE)),"INACTIVE",VLOOKUP(D2509,Data!$A$2:$C$223100,3,FALSE))</f>
        <v>Demand Letter</v>
      </c>
    </row>
    <row r="2510" spans="1:15" x14ac:dyDescent="0.25">
      <c r="A2510" t="s">
        <v>2117</v>
      </c>
      <c r="B2510" t="s">
        <v>2118</v>
      </c>
      <c r="C2510" t="s">
        <v>2946</v>
      </c>
      <c r="D2510" t="s">
        <v>2947</v>
      </c>
      <c r="E2510" t="s">
        <v>2948</v>
      </c>
      <c r="F2510" t="s">
        <v>2949</v>
      </c>
      <c r="G2510" t="s">
        <v>5</v>
      </c>
      <c r="H2510" t="s">
        <v>5</v>
      </c>
      <c r="I2510" t="s">
        <v>2122</v>
      </c>
      <c r="J2510" t="s">
        <v>40</v>
      </c>
      <c r="K2510" s="3">
        <f t="shared" si="78"/>
        <v>0</v>
      </c>
      <c r="L2510" s="3">
        <f>IF(ISERROR(VLOOKUP(J2510,Lookups!$A$2:$A$16,1,FALSE)),1,0)</f>
        <v>1</v>
      </c>
      <c r="M2510" s="3">
        <f>IF(ISERROR(VLOOKUP(D2510,Data!$A$2:$D$223100,2,FALSE)),0,1)</f>
        <v>1</v>
      </c>
      <c r="N2510" s="3">
        <f t="shared" si="79"/>
        <v>1</v>
      </c>
      <c r="O2510" s="3" t="str">
        <f>IF(ISERROR(VLOOKUP(D2510,Data!$A$2:$C$223100,3,FALSE)),"INACTIVE",VLOOKUP(D2510,Data!$A$2:$C$223100,3,FALSE))</f>
        <v>90+</v>
      </c>
    </row>
    <row r="2511" spans="1:15" x14ac:dyDescent="0.25">
      <c r="A2511" t="s">
        <v>2117</v>
      </c>
      <c r="B2511" t="s">
        <v>2118</v>
      </c>
      <c r="C2511" t="s">
        <v>2950</v>
      </c>
      <c r="D2511" t="s">
        <v>2951</v>
      </c>
      <c r="E2511" t="s">
        <v>2952</v>
      </c>
      <c r="F2511" t="s">
        <v>2952</v>
      </c>
      <c r="G2511" t="s">
        <v>5</v>
      </c>
      <c r="H2511" t="s">
        <v>5</v>
      </c>
      <c r="I2511" t="s">
        <v>2122</v>
      </c>
      <c r="J2511" t="s">
        <v>47</v>
      </c>
      <c r="K2511" s="3">
        <f t="shared" si="78"/>
        <v>0</v>
      </c>
      <c r="L2511" s="3">
        <f>IF(ISERROR(VLOOKUP(J2511,Lookups!$A$2:$A$16,1,FALSE)),1,0)</f>
        <v>1</v>
      </c>
      <c r="M2511" s="3">
        <f>IF(ISERROR(VLOOKUP(D2511,Data!$A$2:$D$223100,2,FALSE)),0,1)</f>
        <v>1</v>
      </c>
      <c r="N2511" s="3">
        <f t="shared" si="79"/>
        <v>1</v>
      </c>
      <c r="O2511" s="3" t="str">
        <f>IF(ISERROR(VLOOKUP(D2511,Data!$A$2:$C$223100,3,FALSE)),"INACTIVE",VLOOKUP(D2511,Data!$A$2:$C$223100,3,FALSE))</f>
        <v>FC</v>
      </c>
    </row>
    <row r="2512" spans="1:15" x14ac:dyDescent="0.25">
      <c r="A2512" t="s">
        <v>2117</v>
      </c>
      <c r="B2512" t="s">
        <v>2118</v>
      </c>
      <c r="C2512" t="s">
        <v>2953</v>
      </c>
      <c r="D2512" t="s">
        <v>2954</v>
      </c>
      <c r="E2512" t="s">
        <v>2955</v>
      </c>
      <c r="F2512" t="s">
        <v>2956</v>
      </c>
      <c r="G2512" t="s">
        <v>5</v>
      </c>
      <c r="H2512" t="s">
        <v>5</v>
      </c>
      <c r="I2512" t="s">
        <v>2122</v>
      </c>
      <c r="J2512" t="s">
        <v>40</v>
      </c>
      <c r="K2512" s="3">
        <f t="shared" si="78"/>
        <v>0</v>
      </c>
      <c r="L2512" s="3">
        <f>IF(ISERROR(VLOOKUP(J2512,Lookups!$A$2:$A$16,1,FALSE)),1,0)</f>
        <v>1</v>
      </c>
      <c r="M2512" s="3">
        <f>IF(ISERROR(VLOOKUP(D2512,Data!$A$2:$D$223100,2,FALSE)),0,1)</f>
        <v>1</v>
      </c>
      <c r="N2512" s="3">
        <f t="shared" si="79"/>
        <v>1</v>
      </c>
      <c r="O2512" s="3" t="str">
        <f>IF(ISERROR(VLOOKUP(D2512,Data!$A$2:$C$223100,3,FALSE)),"INACTIVE",VLOOKUP(D2512,Data!$A$2:$C$223100,3,FALSE))</f>
        <v>FBA</v>
      </c>
    </row>
    <row r="2513" spans="1:15" x14ac:dyDescent="0.25">
      <c r="A2513" t="s">
        <v>2117</v>
      </c>
      <c r="B2513" t="s">
        <v>2118</v>
      </c>
      <c r="C2513" t="s">
        <v>2957</v>
      </c>
      <c r="D2513" t="s">
        <v>2958</v>
      </c>
      <c r="E2513" t="s">
        <v>2959</v>
      </c>
      <c r="F2513" t="s">
        <v>2960</v>
      </c>
      <c r="G2513" t="s">
        <v>5</v>
      </c>
      <c r="H2513" t="s">
        <v>5</v>
      </c>
      <c r="I2513" t="s">
        <v>2122</v>
      </c>
      <c r="J2513" t="s">
        <v>47</v>
      </c>
      <c r="K2513" s="3">
        <f t="shared" si="78"/>
        <v>0</v>
      </c>
      <c r="L2513" s="3">
        <f>IF(ISERROR(VLOOKUP(J2513,Lookups!$A$2:$A$16,1,FALSE)),1,0)</f>
        <v>1</v>
      </c>
      <c r="M2513" s="3">
        <f>IF(ISERROR(VLOOKUP(D2513,Data!$A$2:$D$223100,2,FALSE)),0,1)</f>
        <v>1</v>
      </c>
      <c r="N2513" s="3">
        <f t="shared" si="79"/>
        <v>1</v>
      </c>
      <c r="O2513" s="3" t="str">
        <f>IF(ISERROR(VLOOKUP(D2513,Data!$A$2:$C$223100,3,FALSE)),"INACTIVE",VLOOKUP(D2513,Data!$A$2:$C$223100,3,FALSE))</f>
        <v>60+</v>
      </c>
    </row>
    <row r="2514" spans="1:15" x14ac:dyDescent="0.25">
      <c r="A2514" t="s">
        <v>2117</v>
      </c>
      <c r="B2514" t="s">
        <v>2118</v>
      </c>
      <c r="C2514" t="s">
        <v>2961</v>
      </c>
      <c r="D2514" t="s">
        <v>2962</v>
      </c>
      <c r="E2514" t="s">
        <v>2963</v>
      </c>
      <c r="F2514" t="s">
        <v>2964</v>
      </c>
      <c r="G2514" t="s">
        <v>5</v>
      </c>
      <c r="H2514" t="s">
        <v>5</v>
      </c>
      <c r="I2514" t="s">
        <v>2122</v>
      </c>
      <c r="J2514" t="s">
        <v>40</v>
      </c>
      <c r="K2514" s="3">
        <f t="shared" si="78"/>
        <v>0</v>
      </c>
      <c r="L2514" s="3">
        <f>IF(ISERROR(VLOOKUP(J2514,Lookups!$A$2:$A$16,1,FALSE)),1,0)</f>
        <v>1</v>
      </c>
      <c r="M2514" s="3">
        <f>IF(ISERROR(VLOOKUP(D2514,Data!$A$2:$D$223100,2,FALSE)),0,1)</f>
        <v>1</v>
      </c>
      <c r="N2514" s="3">
        <f t="shared" si="79"/>
        <v>1</v>
      </c>
      <c r="O2514" s="3" t="str">
        <f>IF(ISERROR(VLOOKUP(D2514,Data!$A$2:$C$223100,3,FALSE)),"INACTIVE",VLOOKUP(D2514,Data!$A$2:$C$223100,3,FALSE))</f>
        <v>Current</v>
      </c>
    </row>
    <row r="2515" spans="1:15" x14ac:dyDescent="0.25">
      <c r="A2515" t="s">
        <v>2117</v>
      </c>
      <c r="B2515" t="s">
        <v>2118</v>
      </c>
      <c r="C2515" t="s">
        <v>2205</v>
      </c>
      <c r="D2515" t="s">
        <v>2206</v>
      </c>
      <c r="E2515" t="s">
        <v>2965</v>
      </c>
      <c r="F2515" t="s">
        <v>2966</v>
      </c>
      <c r="G2515" t="s">
        <v>5</v>
      </c>
      <c r="H2515" t="s">
        <v>5</v>
      </c>
      <c r="I2515" t="s">
        <v>2122</v>
      </c>
      <c r="J2515" t="s">
        <v>573</v>
      </c>
      <c r="K2515" s="3">
        <f t="shared" si="78"/>
        <v>0</v>
      </c>
      <c r="L2515" s="3">
        <f>IF(ISERROR(VLOOKUP(J2515,Lookups!$A$2:$A$16,1,FALSE)),1,0)</f>
        <v>1</v>
      </c>
      <c r="M2515" s="3">
        <f>IF(ISERROR(VLOOKUP(D2515,Data!$A$2:$D$223100,2,FALSE)),0,1)</f>
        <v>1</v>
      </c>
      <c r="N2515" s="3">
        <f t="shared" si="79"/>
        <v>1</v>
      </c>
      <c r="O2515" s="3" t="str">
        <f>IF(ISERROR(VLOOKUP(D2515,Data!$A$2:$C$223100,3,FALSE)),"INACTIVE",VLOOKUP(D2515,Data!$A$2:$C$223100,3,FALSE))</f>
        <v>Demand Letter</v>
      </c>
    </row>
    <row r="2516" spans="1:15" x14ac:dyDescent="0.25">
      <c r="A2516" t="s">
        <v>2117</v>
      </c>
      <c r="B2516" t="s">
        <v>2118</v>
      </c>
      <c r="C2516" t="s">
        <v>2967</v>
      </c>
      <c r="D2516" t="s">
        <v>2968</v>
      </c>
      <c r="E2516" t="s">
        <v>2969</v>
      </c>
      <c r="F2516" t="s">
        <v>2970</v>
      </c>
      <c r="G2516" t="s">
        <v>5</v>
      </c>
      <c r="H2516" t="s">
        <v>5</v>
      </c>
      <c r="I2516" t="s">
        <v>2122</v>
      </c>
      <c r="J2516" t="s">
        <v>40</v>
      </c>
      <c r="K2516" s="3">
        <f t="shared" si="78"/>
        <v>0</v>
      </c>
      <c r="L2516" s="3">
        <f>IF(ISERROR(VLOOKUP(J2516,Lookups!$A$2:$A$16,1,FALSE)),1,0)</f>
        <v>1</v>
      </c>
      <c r="M2516" s="3">
        <f>IF(ISERROR(VLOOKUP(D2516,Data!$A$2:$D$223100,2,FALSE)),0,1)</f>
        <v>1</v>
      </c>
      <c r="N2516" s="3">
        <f t="shared" si="79"/>
        <v>1</v>
      </c>
      <c r="O2516" s="3" t="str">
        <f>IF(ISERROR(VLOOKUP(D2516,Data!$A$2:$C$223100,3,FALSE)),"INACTIVE",VLOOKUP(D2516,Data!$A$2:$C$223100,3,FALSE))</f>
        <v>120+</v>
      </c>
    </row>
    <row r="2517" spans="1:15" x14ac:dyDescent="0.25">
      <c r="A2517" t="s">
        <v>2117</v>
      </c>
      <c r="B2517" t="s">
        <v>2118</v>
      </c>
      <c r="C2517" t="s">
        <v>2971</v>
      </c>
      <c r="D2517" t="s">
        <v>2972</v>
      </c>
      <c r="E2517" t="s">
        <v>2973</v>
      </c>
      <c r="F2517" t="s">
        <v>2974</v>
      </c>
      <c r="G2517" t="s">
        <v>5</v>
      </c>
      <c r="H2517" t="s">
        <v>5</v>
      </c>
      <c r="I2517" t="s">
        <v>2122</v>
      </c>
      <c r="J2517" t="s">
        <v>40</v>
      </c>
      <c r="K2517" s="3">
        <f t="shared" si="78"/>
        <v>0</v>
      </c>
      <c r="L2517" s="3">
        <f>IF(ISERROR(VLOOKUP(J2517,Lookups!$A$2:$A$16,1,FALSE)),1,0)</f>
        <v>1</v>
      </c>
      <c r="M2517" s="3">
        <f>IF(ISERROR(VLOOKUP(D2517,Data!$A$2:$D$223100,2,FALSE)),0,1)</f>
        <v>1</v>
      </c>
      <c r="N2517" s="3">
        <f t="shared" si="79"/>
        <v>1</v>
      </c>
      <c r="O2517" s="3" t="str">
        <f>IF(ISERROR(VLOOKUP(D2517,Data!$A$2:$C$223100,3,FALSE)),"INACTIVE",VLOOKUP(D2517,Data!$A$2:$C$223100,3,FALSE))</f>
        <v>FBA</v>
      </c>
    </row>
    <row r="2518" spans="1:15" x14ac:dyDescent="0.25">
      <c r="A2518" t="s">
        <v>2117</v>
      </c>
      <c r="B2518" t="s">
        <v>2118</v>
      </c>
      <c r="C2518" t="s">
        <v>2975</v>
      </c>
      <c r="D2518" t="s">
        <v>2976</v>
      </c>
      <c r="E2518" t="s">
        <v>2977</v>
      </c>
      <c r="F2518" t="s">
        <v>2978</v>
      </c>
      <c r="G2518" t="s">
        <v>5</v>
      </c>
      <c r="H2518" t="s">
        <v>5</v>
      </c>
      <c r="I2518" t="s">
        <v>2122</v>
      </c>
      <c r="J2518" t="s">
        <v>47</v>
      </c>
      <c r="K2518" s="3">
        <f t="shared" si="78"/>
        <v>0</v>
      </c>
      <c r="L2518" s="3">
        <f>IF(ISERROR(VLOOKUP(J2518,Lookups!$A$2:$A$16,1,FALSE)),1,0)</f>
        <v>1</v>
      </c>
      <c r="M2518" s="3">
        <f>IF(ISERROR(VLOOKUP(D2518,Data!$A$2:$D$223100,2,FALSE)),0,1)</f>
        <v>1</v>
      </c>
      <c r="N2518" s="3">
        <f t="shared" si="79"/>
        <v>1</v>
      </c>
      <c r="O2518" s="3" t="str">
        <f>IF(ISERROR(VLOOKUP(D2518,Data!$A$2:$C$223100,3,FALSE)),"INACTIVE",VLOOKUP(D2518,Data!$A$2:$C$223100,3,FALSE))</f>
        <v>FC</v>
      </c>
    </row>
    <row r="2519" spans="1:15" x14ac:dyDescent="0.25">
      <c r="A2519" t="s">
        <v>2117</v>
      </c>
      <c r="B2519" t="s">
        <v>2118</v>
      </c>
      <c r="C2519" t="s">
        <v>2979</v>
      </c>
      <c r="D2519" t="s">
        <v>2980</v>
      </c>
      <c r="E2519" t="s">
        <v>2981</v>
      </c>
      <c r="F2519" t="s">
        <v>2982</v>
      </c>
      <c r="G2519" t="s">
        <v>5</v>
      </c>
      <c r="H2519" t="s">
        <v>5</v>
      </c>
      <c r="I2519" t="s">
        <v>2122</v>
      </c>
      <c r="J2519" t="s">
        <v>40</v>
      </c>
      <c r="K2519" s="3">
        <f t="shared" si="78"/>
        <v>0</v>
      </c>
      <c r="L2519" s="3">
        <f>IF(ISERROR(VLOOKUP(J2519,Lookups!$A$2:$A$16,1,FALSE)),1,0)</f>
        <v>1</v>
      </c>
      <c r="M2519" s="3">
        <f>IF(ISERROR(VLOOKUP(D2519,Data!$A$2:$D$223100,2,FALSE)),0,1)</f>
        <v>1</v>
      </c>
      <c r="N2519" s="3">
        <f t="shared" si="79"/>
        <v>1</v>
      </c>
      <c r="O2519" s="3" t="str">
        <f>IF(ISERROR(VLOOKUP(D2519,Data!$A$2:$C$223100,3,FALSE)),"INACTIVE",VLOOKUP(D2519,Data!$A$2:$C$223100,3,FALSE))</f>
        <v>Current</v>
      </c>
    </row>
    <row r="2520" spans="1:15" x14ac:dyDescent="0.25">
      <c r="A2520" t="s">
        <v>2117</v>
      </c>
      <c r="B2520" t="s">
        <v>2118</v>
      </c>
      <c r="C2520" t="s">
        <v>2983</v>
      </c>
      <c r="D2520" t="s">
        <v>2984</v>
      </c>
      <c r="E2520" t="s">
        <v>2985</v>
      </c>
      <c r="F2520" t="s">
        <v>2986</v>
      </c>
      <c r="G2520" t="s">
        <v>5</v>
      </c>
      <c r="H2520" t="s">
        <v>5</v>
      </c>
      <c r="I2520" t="s">
        <v>2122</v>
      </c>
      <c r="J2520" t="s">
        <v>40</v>
      </c>
      <c r="K2520" s="3">
        <f t="shared" si="78"/>
        <v>0</v>
      </c>
      <c r="L2520" s="3">
        <f>IF(ISERROR(VLOOKUP(J2520,Lookups!$A$2:$A$16,1,FALSE)),1,0)</f>
        <v>1</v>
      </c>
      <c r="M2520" s="3">
        <f>IF(ISERROR(VLOOKUP(D2520,Data!$A$2:$D$223100,2,FALSE)),0,1)</f>
        <v>1</v>
      </c>
      <c r="N2520" s="3">
        <f t="shared" si="79"/>
        <v>1</v>
      </c>
      <c r="O2520" s="3" t="str">
        <f>IF(ISERROR(VLOOKUP(D2520,Data!$A$2:$C$223100,3,FALSE)),"INACTIVE",VLOOKUP(D2520,Data!$A$2:$C$223100,3,FALSE))</f>
        <v>FBA</v>
      </c>
    </row>
    <row r="2521" spans="1:15" x14ac:dyDescent="0.25">
      <c r="A2521" t="s">
        <v>2117</v>
      </c>
      <c r="B2521" t="s">
        <v>2118</v>
      </c>
      <c r="C2521" t="s">
        <v>2987</v>
      </c>
      <c r="D2521" t="s">
        <v>2988</v>
      </c>
      <c r="E2521" t="s">
        <v>2989</v>
      </c>
      <c r="F2521" t="s">
        <v>2990</v>
      </c>
      <c r="G2521" t="s">
        <v>5</v>
      </c>
      <c r="H2521" t="s">
        <v>5</v>
      </c>
      <c r="I2521" t="s">
        <v>2122</v>
      </c>
      <c r="J2521" t="s">
        <v>40</v>
      </c>
      <c r="K2521" s="3">
        <f t="shared" si="78"/>
        <v>0</v>
      </c>
      <c r="L2521" s="3">
        <f>IF(ISERROR(VLOOKUP(J2521,Lookups!$A$2:$A$16,1,FALSE)),1,0)</f>
        <v>1</v>
      </c>
      <c r="M2521" s="3">
        <f>IF(ISERROR(VLOOKUP(D2521,Data!$A$2:$D$223100,2,FALSE)),0,1)</f>
        <v>1</v>
      </c>
      <c r="N2521" s="3">
        <f t="shared" si="79"/>
        <v>1</v>
      </c>
      <c r="O2521" s="3" t="str">
        <f>IF(ISERROR(VLOOKUP(D2521,Data!$A$2:$C$223100,3,FALSE)),"INACTIVE",VLOOKUP(D2521,Data!$A$2:$C$223100,3,FALSE))</f>
        <v>FBA</v>
      </c>
    </row>
    <row r="2522" spans="1:15" x14ac:dyDescent="0.25">
      <c r="A2522" t="s">
        <v>2117</v>
      </c>
      <c r="B2522" t="s">
        <v>2118</v>
      </c>
      <c r="C2522" t="s">
        <v>2991</v>
      </c>
      <c r="D2522" t="s">
        <v>2992</v>
      </c>
      <c r="E2522" t="s">
        <v>2993</v>
      </c>
      <c r="F2522" t="s">
        <v>2994</v>
      </c>
      <c r="G2522" t="s">
        <v>5</v>
      </c>
      <c r="H2522" t="s">
        <v>5</v>
      </c>
      <c r="I2522" t="s">
        <v>2122</v>
      </c>
      <c r="J2522" t="s">
        <v>40</v>
      </c>
      <c r="K2522" s="3">
        <f t="shared" si="78"/>
        <v>0</v>
      </c>
      <c r="L2522" s="3">
        <f>IF(ISERROR(VLOOKUP(J2522,Lookups!$A$2:$A$16,1,FALSE)),1,0)</f>
        <v>1</v>
      </c>
      <c r="M2522" s="3">
        <f>IF(ISERROR(VLOOKUP(D2522,Data!$A$2:$D$223100,2,FALSE)),0,1)</f>
        <v>1</v>
      </c>
      <c r="N2522" s="3">
        <f t="shared" si="79"/>
        <v>1</v>
      </c>
      <c r="O2522" s="3" t="str">
        <f>IF(ISERROR(VLOOKUP(D2522,Data!$A$2:$C$223100,3,FALSE)),"INACTIVE",VLOOKUP(D2522,Data!$A$2:$C$223100,3,FALSE))</f>
        <v>Current</v>
      </c>
    </row>
    <row r="2523" spans="1:15" x14ac:dyDescent="0.25">
      <c r="A2523" t="s">
        <v>2117</v>
      </c>
      <c r="B2523" t="s">
        <v>2118</v>
      </c>
      <c r="C2523" t="s">
        <v>2995</v>
      </c>
      <c r="D2523" t="s">
        <v>2996</v>
      </c>
      <c r="E2523" t="s">
        <v>2997</v>
      </c>
      <c r="F2523" t="s">
        <v>2998</v>
      </c>
      <c r="G2523" t="s">
        <v>5</v>
      </c>
      <c r="H2523" t="s">
        <v>5</v>
      </c>
      <c r="I2523" t="s">
        <v>2122</v>
      </c>
      <c r="J2523" t="s">
        <v>40</v>
      </c>
      <c r="K2523" s="3">
        <f t="shared" si="78"/>
        <v>0</v>
      </c>
      <c r="L2523" s="3">
        <f>IF(ISERROR(VLOOKUP(J2523,Lookups!$A$2:$A$16,1,FALSE)),1,0)</f>
        <v>1</v>
      </c>
      <c r="M2523" s="3">
        <f>IF(ISERROR(VLOOKUP(D2523,Data!$A$2:$D$223100,2,FALSE)),0,1)</f>
        <v>1</v>
      </c>
      <c r="N2523" s="3">
        <f t="shared" si="79"/>
        <v>1</v>
      </c>
      <c r="O2523" s="3" t="str">
        <f>IF(ISERROR(VLOOKUP(D2523,Data!$A$2:$C$223100,3,FALSE)),"INACTIVE",VLOOKUP(D2523,Data!$A$2:$C$223100,3,FALSE))</f>
        <v>30+</v>
      </c>
    </row>
    <row r="2524" spans="1:15" x14ac:dyDescent="0.25">
      <c r="A2524" t="s">
        <v>2117</v>
      </c>
      <c r="B2524" t="s">
        <v>2118</v>
      </c>
      <c r="C2524" t="s">
        <v>2208</v>
      </c>
      <c r="D2524" t="s">
        <v>2209</v>
      </c>
      <c r="E2524" t="s">
        <v>2999</v>
      </c>
      <c r="F2524" t="s">
        <v>3000</v>
      </c>
      <c r="G2524" t="s">
        <v>5</v>
      </c>
      <c r="H2524" t="s">
        <v>5</v>
      </c>
      <c r="I2524" t="s">
        <v>2122</v>
      </c>
      <c r="J2524" t="s">
        <v>7</v>
      </c>
      <c r="K2524" s="3">
        <f t="shared" si="78"/>
        <v>0</v>
      </c>
      <c r="L2524" s="3">
        <f>IF(ISERROR(VLOOKUP(J2524,Lookups!$A$2:$A$16,1,FALSE)),1,0)</f>
        <v>1</v>
      </c>
      <c r="M2524" s="3">
        <f>IF(ISERROR(VLOOKUP(D2524,Data!$A$2:$D$223100,2,FALSE)),0,1)</f>
        <v>1</v>
      </c>
      <c r="N2524" s="3">
        <f t="shared" si="79"/>
        <v>1</v>
      </c>
      <c r="O2524" s="3" t="str">
        <f>IF(ISERROR(VLOOKUP(D2524,Data!$A$2:$C$223100,3,FALSE)),"INACTIVE",VLOOKUP(D2524,Data!$A$2:$C$223100,3,FALSE))</f>
        <v>90+</v>
      </c>
    </row>
    <row r="2525" spans="1:15" x14ac:dyDescent="0.25">
      <c r="A2525" t="s">
        <v>3001</v>
      </c>
      <c r="B2525" t="s">
        <v>3002</v>
      </c>
      <c r="C2525" t="s">
        <v>3003</v>
      </c>
      <c r="D2525" t="s">
        <v>3004</v>
      </c>
      <c r="E2525" t="s">
        <v>3005</v>
      </c>
      <c r="F2525" t="s">
        <v>3005</v>
      </c>
      <c r="G2525" t="s">
        <v>5</v>
      </c>
      <c r="H2525" t="s">
        <v>5</v>
      </c>
      <c r="I2525" t="s">
        <v>2122</v>
      </c>
      <c r="J2525" t="s">
        <v>573</v>
      </c>
      <c r="K2525" s="3">
        <f t="shared" si="78"/>
        <v>0</v>
      </c>
      <c r="L2525" s="3">
        <f>IF(ISERROR(VLOOKUP(J2525,Lookups!$A$2:$A$16,1,FALSE)),1,0)</f>
        <v>1</v>
      </c>
      <c r="M2525" s="3">
        <f>IF(ISERROR(VLOOKUP(D2525,Data!$A$2:$D$223100,2,FALSE)),0,1)</f>
        <v>1</v>
      </c>
      <c r="N2525" s="3">
        <f t="shared" si="79"/>
        <v>1</v>
      </c>
      <c r="O2525" s="3" t="str">
        <f>IF(ISERROR(VLOOKUP(D2525,Data!$A$2:$C$223100,3,FALSE)),"INACTIVE",VLOOKUP(D2525,Data!$A$2:$C$223100,3,FALSE))</f>
        <v>60+</v>
      </c>
    </row>
    <row r="2526" spans="1:15" x14ac:dyDescent="0.25">
      <c r="A2526" t="s">
        <v>3001</v>
      </c>
      <c r="B2526" t="s">
        <v>3002</v>
      </c>
      <c r="C2526" t="s">
        <v>3006</v>
      </c>
      <c r="D2526" t="s">
        <v>3007</v>
      </c>
      <c r="E2526" t="s">
        <v>3008</v>
      </c>
      <c r="F2526" t="s">
        <v>3008</v>
      </c>
      <c r="G2526" t="s">
        <v>5</v>
      </c>
      <c r="H2526" t="s">
        <v>5</v>
      </c>
      <c r="I2526" t="s">
        <v>2122</v>
      </c>
      <c r="J2526" t="s">
        <v>40</v>
      </c>
      <c r="K2526" s="3">
        <f t="shared" si="78"/>
        <v>0</v>
      </c>
      <c r="L2526" s="3">
        <f>IF(ISERROR(VLOOKUP(J2526,Lookups!$A$2:$A$16,1,FALSE)),1,0)</f>
        <v>1</v>
      </c>
      <c r="M2526" s="3">
        <f>IF(ISERROR(VLOOKUP(D2526,Data!$A$2:$D$223100,2,FALSE)),0,1)</f>
        <v>1</v>
      </c>
      <c r="N2526" s="3">
        <f t="shared" si="79"/>
        <v>1</v>
      </c>
      <c r="O2526" s="3" t="str">
        <f>IF(ISERROR(VLOOKUP(D2526,Data!$A$2:$C$223100,3,FALSE)),"INACTIVE",VLOOKUP(D2526,Data!$A$2:$C$223100,3,FALSE))</f>
        <v>Demand Letter</v>
      </c>
    </row>
    <row r="2527" spans="1:15" x14ac:dyDescent="0.25">
      <c r="A2527" t="s">
        <v>3001</v>
      </c>
      <c r="B2527" t="s">
        <v>3002</v>
      </c>
      <c r="C2527" t="s">
        <v>3009</v>
      </c>
      <c r="D2527" t="s">
        <v>3010</v>
      </c>
      <c r="E2527" t="s">
        <v>3011</v>
      </c>
      <c r="F2527" t="s">
        <v>3011</v>
      </c>
      <c r="G2527" t="s">
        <v>5</v>
      </c>
      <c r="H2527" t="s">
        <v>5</v>
      </c>
      <c r="I2527" t="s">
        <v>2122</v>
      </c>
      <c r="J2527" t="s">
        <v>40</v>
      </c>
      <c r="K2527" s="3">
        <f t="shared" si="78"/>
        <v>0</v>
      </c>
      <c r="L2527" s="3">
        <f>IF(ISERROR(VLOOKUP(J2527,Lookups!$A$2:$A$16,1,FALSE)),1,0)</f>
        <v>1</v>
      </c>
      <c r="M2527" s="3">
        <f>IF(ISERROR(VLOOKUP(D2527,Data!$A$2:$D$223100,2,FALSE)),0,1)</f>
        <v>1</v>
      </c>
      <c r="N2527" s="3">
        <f t="shared" si="79"/>
        <v>1</v>
      </c>
      <c r="O2527" s="3" t="str">
        <f>IF(ISERROR(VLOOKUP(D2527,Data!$A$2:$C$223100,3,FALSE)),"INACTIVE",VLOOKUP(D2527,Data!$A$2:$C$223100,3,FALSE))</f>
        <v>Current</v>
      </c>
    </row>
    <row r="2528" spans="1:15" x14ac:dyDescent="0.25">
      <c r="A2528" t="s">
        <v>3001</v>
      </c>
      <c r="B2528" t="s">
        <v>3002</v>
      </c>
      <c r="C2528" t="s">
        <v>3012</v>
      </c>
      <c r="D2528" t="s">
        <v>3013</v>
      </c>
      <c r="E2528" t="s">
        <v>3014</v>
      </c>
      <c r="F2528" t="s">
        <v>3014</v>
      </c>
      <c r="G2528" t="s">
        <v>5</v>
      </c>
      <c r="H2528" t="s">
        <v>5</v>
      </c>
      <c r="I2528" t="s">
        <v>2122</v>
      </c>
      <c r="J2528" t="s">
        <v>40</v>
      </c>
      <c r="K2528" s="3">
        <f t="shared" si="78"/>
        <v>0</v>
      </c>
      <c r="L2528" s="3">
        <f>IF(ISERROR(VLOOKUP(J2528,Lookups!$A$2:$A$16,1,FALSE)),1,0)</f>
        <v>1</v>
      </c>
      <c r="M2528" s="3">
        <f>IF(ISERROR(VLOOKUP(D2528,Data!$A$2:$D$223100,2,FALSE)),0,1)</f>
        <v>1</v>
      </c>
      <c r="N2528" s="3">
        <f t="shared" si="79"/>
        <v>1</v>
      </c>
      <c r="O2528" s="3" t="str">
        <f>IF(ISERROR(VLOOKUP(D2528,Data!$A$2:$C$223100,3,FALSE)),"INACTIVE",VLOOKUP(D2528,Data!$A$2:$C$223100,3,FALSE))</f>
        <v>30+</v>
      </c>
    </row>
    <row r="2529" spans="1:15" x14ac:dyDescent="0.25">
      <c r="A2529" t="s">
        <v>3001</v>
      </c>
      <c r="B2529" t="s">
        <v>3002</v>
      </c>
      <c r="C2529" t="s">
        <v>3003</v>
      </c>
      <c r="D2529" t="s">
        <v>3004</v>
      </c>
      <c r="E2529" t="s">
        <v>3015</v>
      </c>
      <c r="F2529" t="s">
        <v>3015</v>
      </c>
      <c r="G2529" t="s">
        <v>5</v>
      </c>
      <c r="H2529" t="s">
        <v>5</v>
      </c>
      <c r="I2529" t="s">
        <v>2122</v>
      </c>
      <c r="J2529" t="s">
        <v>573</v>
      </c>
      <c r="K2529" s="3">
        <f t="shared" si="78"/>
        <v>0</v>
      </c>
      <c r="L2529" s="3">
        <f>IF(ISERROR(VLOOKUP(J2529,Lookups!$A$2:$A$16,1,FALSE)),1,0)</f>
        <v>1</v>
      </c>
      <c r="M2529" s="3">
        <f>IF(ISERROR(VLOOKUP(D2529,Data!$A$2:$D$223100,2,FALSE)),0,1)</f>
        <v>1</v>
      </c>
      <c r="N2529" s="3">
        <f t="shared" si="79"/>
        <v>1</v>
      </c>
      <c r="O2529" s="3" t="str">
        <f>IF(ISERROR(VLOOKUP(D2529,Data!$A$2:$C$223100,3,FALSE)),"INACTIVE",VLOOKUP(D2529,Data!$A$2:$C$223100,3,FALSE))</f>
        <v>60+</v>
      </c>
    </row>
    <row r="2530" spans="1:15" x14ac:dyDescent="0.25">
      <c r="A2530" t="s">
        <v>3021</v>
      </c>
      <c r="B2530" t="s">
        <v>3022</v>
      </c>
      <c r="C2530" t="s">
        <v>3023</v>
      </c>
      <c r="D2530" t="s">
        <v>3024</v>
      </c>
      <c r="E2530" t="s">
        <v>3025</v>
      </c>
      <c r="F2530" t="s">
        <v>3025</v>
      </c>
      <c r="G2530" t="s">
        <v>5</v>
      </c>
      <c r="H2530" t="s">
        <v>5</v>
      </c>
      <c r="I2530" t="s">
        <v>2122</v>
      </c>
      <c r="J2530" t="s">
        <v>40</v>
      </c>
      <c r="K2530" s="3">
        <f t="shared" si="78"/>
        <v>0</v>
      </c>
      <c r="L2530" s="3">
        <f>IF(ISERROR(VLOOKUP(J2530,Lookups!$A$2:$A$16,1,FALSE)),1,0)</f>
        <v>1</v>
      </c>
      <c r="M2530" s="3">
        <f>IF(ISERROR(VLOOKUP(D2530,Data!$A$2:$D$223100,2,FALSE)),0,1)</f>
        <v>1</v>
      </c>
      <c r="N2530" s="3">
        <f t="shared" si="79"/>
        <v>1</v>
      </c>
      <c r="O2530" s="3" t="str">
        <f>IF(ISERROR(VLOOKUP(D2530,Data!$A$2:$C$223100,3,FALSE)),"INACTIVE",VLOOKUP(D2530,Data!$A$2:$C$223100,3,FALSE))</f>
        <v>Demand Letter</v>
      </c>
    </row>
    <row r="2531" spans="1:15" x14ac:dyDescent="0.25">
      <c r="A2531" t="s">
        <v>3434</v>
      </c>
      <c r="B2531" t="s">
        <v>3435</v>
      </c>
      <c r="C2531" t="s">
        <v>3436</v>
      </c>
      <c r="D2531" t="s">
        <v>3437</v>
      </c>
      <c r="E2531" t="s">
        <v>3438</v>
      </c>
      <c r="F2531" t="s">
        <v>3438</v>
      </c>
      <c r="G2531" t="s">
        <v>5</v>
      </c>
      <c r="H2531" t="s">
        <v>5</v>
      </c>
      <c r="I2531" t="s">
        <v>2122</v>
      </c>
      <c r="J2531" t="s">
        <v>40</v>
      </c>
      <c r="K2531" s="3">
        <f t="shared" si="78"/>
        <v>0</v>
      </c>
      <c r="L2531" s="3">
        <f>IF(ISERROR(VLOOKUP(J2531,Lookups!$A$2:$A$16,1,FALSE)),1,0)</f>
        <v>1</v>
      </c>
      <c r="M2531" s="3">
        <f>IF(ISERROR(VLOOKUP(D2531,Data!$A$2:$D$223100,2,FALSE)),0,1)</f>
        <v>1</v>
      </c>
      <c r="N2531" s="3">
        <f t="shared" si="79"/>
        <v>1</v>
      </c>
      <c r="O2531" s="3" t="str">
        <f>IF(ISERROR(VLOOKUP(D2531,Data!$A$2:$C$223100,3,FALSE)),"INACTIVE",VLOOKUP(D2531,Data!$A$2:$C$223100,3,FALSE))</f>
        <v>Demand Letter</v>
      </c>
    </row>
    <row r="2532" spans="1:15" x14ac:dyDescent="0.25">
      <c r="A2532" t="s">
        <v>3434</v>
      </c>
      <c r="B2532" t="s">
        <v>3435</v>
      </c>
      <c r="C2532" t="s">
        <v>3439</v>
      </c>
      <c r="D2532" t="s">
        <v>3440</v>
      </c>
      <c r="E2532" t="s">
        <v>3441</v>
      </c>
      <c r="F2532" t="s">
        <v>3441</v>
      </c>
      <c r="G2532" t="s">
        <v>5</v>
      </c>
      <c r="H2532" t="s">
        <v>5</v>
      </c>
      <c r="I2532" t="s">
        <v>2122</v>
      </c>
      <c r="J2532" t="s">
        <v>40</v>
      </c>
      <c r="K2532" s="3">
        <f t="shared" si="78"/>
        <v>0</v>
      </c>
      <c r="L2532" s="3">
        <f>IF(ISERROR(VLOOKUP(J2532,Lookups!$A$2:$A$16,1,FALSE)),1,0)</f>
        <v>1</v>
      </c>
      <c r="M2532" s="3">
        <f>IF(ISERROR(VLOOKUP(D2532,Data!$A$2:$D$223100,2,FALSE)),0,1)</f>
        <v>1</v>
      </c>
      <c r="N2532" s="3">
        <f t="shared" si="79"/>
        <v>1</v>
      </c>
      <c r="O2532" s="3" t="str">
        <f>IF(ISERROR(VLOOKUP(D2532,Data!$A$2:$C$223100,3,FALSE)),"INACTIVE",VLOOKUP(D2532,Data!$A$2:$C$223100,3,FALSE))</f>
        <v>Current</v>
      </c>
    </row>
    <row r="2533" spans="1:15" x14ac:dyDescent="0.25">
      <c r="A2533" t="s">
        <v>3434</v>
      </c>
      <c r="B2533" t="s">
        <v>3435</v>
      </c>
      <c r="C2533" t="s">
        <v>3442</v>
      </c>
      <c r="D2533" t="s">
        <v>3443</v>
      </c>
      <c r="E2533" t="s">
        <v>3444</v>
      </c>
      <c r="F2533" t="s">
        <v>3444</v>
      </c>
      <c r="G2533" t="s">
        <v>5</v>
      </c>
      <c r="H2533" t="s">
        <v>5</v>
      </c>
      <c r="I2533" t="s">
        <v>2122</v>
      </c>
      <c r="J2533" t="s">
        <v>40</v>
      </c>
      <c r="K2533" s="3">
        <f t="shared" si="78"/>
        <v>0</v>
      </c>
      <c r="L2533" s="3">
        <f>IF(ISERROR(VLOOKUP(J2533,Lookups!$A$2:$A$16,1,FALSE)),1,0)</f>
        <v>1</v>
      </c>
      <c r="M2533" s="3">
        <f>IF(ISERROR(VLOOKUP(D2533,Data!$A$2:$D$223100,2,FALSE)),0,1)</f>
        <v>1</v>
      </c>
      <c r="N2533" s="3">
        <f t="shared" si="79"/>
        <v>1</v>
      </c>
      <c r="O2533" s="3" t="str">
        <f>IF(ISERROR(VLOOKUP(D2533,Data!$A$2:$C$223100,3,FALSE)),"INACTIVE",VLOOKUP(D2533,Data!$A$2:$C$223100,3,FALSE))</f>
        <v>Demand Letter</v>
      </c>
    </row>
    <row r="2534" spans="1:15" x14ac:dyDescent="0.25">
      <c r="A2534" t="s">
        <v>3434</v>
      </c>
      <c r="B2534" t="s">
        <v>3435</v>
      </c>
      <c r="C2534" t="s">
        <v>3445</v>
      </c>
      <c r="D2534" t="s">
        <v>3446</v>
      </c>
      <c r="E2534" t="s">
        <v>3447</v>
      </c>
      <c r="F2534" t="s">
        <v>3447</v>
      </c>
      <c r="G2534" t="s">
        <v>5</v>
      </c>
      <c r="H2534" t="s">
        <v>5</v>
      </c>
      <c r="I2534" t="s">
        <v>2122</v>
      </c>
      <c r="J2534" t="s">
        <v>96</v>
      </c>
      <c r="K2534" s="3">
        <f t="shared" si="78"/>
        <v>0</v>
      </c>
      <c r="L2534" s="3">
        <f>IF(ISERROR(VLOOKUP(J2534,Lookups!$A$2:$A$16,1,FALSE)),1,0)</f>
        <v>0</v>
      </c>
      <c r="M2534" s="3">
        <f>IF(ISERROR(VLOOKUP(D2534,Data!$A$2:$D$223100,2,FALSE)),0,1)</f>
        <v>1</v>
      </c>
      <c r="N2534" s="3">
        <f t="shared" si="79"/>
        <v>0</v>
      </c>
      <c r="O2534" s="3" t="str">
        <f>IF(ISERROR(VLOOKUP(D2534,Data!$A$2:$C$223100,3,FALSE)),"INACTIVE",VLOOKUP(D2534,Data!$A$2:$C$223100,3,FALSE))</f>
        <v>Demand Letter</v>
      </c>
    </row>
    <row r="2535" spans="1:15" x14ac:dyDescent="0.25">
      <c r="A2535" t="s">
        <v>3434</v>
      </c>
      <c r="B2535" t="s">
        <v>3435</v>
      </c>
      <c r="C2535" t="s">
        <v>3448</v>
      </c>
      <c r="D2535" t="s">
        <v>3449</v>
      </c>
      <c r="E2535" t="s">
        <v>3450</v>
      </c>
      <c r="F2535" t="s">
        <v>3450</v>
      </c>
      <c r="G2535" t="s">
        <v>5</v>
      </c>
      <c r="H2535" t="s">
        <v>5</v>
      </c>
      <c r="I2535" t="s">
        <v>2122</v>
      </c>
      <c r="J2535" t="s">
        <v>40</v>
      </c>
      <c r="K2535" s="3">
        <f t="shared" si="78"/>
        <v>0</v>
      </c>
      <c r="L2535" s="3">
        <f>IF(ISERROR(VLOOKUP(J2535,Lookups!$A$2:$A$16,1,FALSE)),1,0)</f>
        <v>1</v>
      </c>
      <c r="M2535" s="3">
        <f>IF(ISERROR(VLOOKUP(D2535,Data!$A$2:$D$223100,2,FALSE)),0,1)</f>
        <v>1</v>
      </c>
      <c r="N2535" s="3">
        <f t="shared" si="79"/>
        <v>1</v>
      </c>
      <c r="O2535" s="3" t="str">
        <f>IF(ISERROR(VLOOKUP(D2535,Data!$A$2:$C$223100,3,FALSE)),"INACTIVE",VLOOKUP(D2535,Data!$A$2:$C$223100,3,FALSE))</f>
        <v>Demand Letter</v>
      </c>
    </row>
    <row r="2536" spans="1:15" x14ac:dyDescent="0.25">
      <c r="A2536" t="s">
        <v>3434</v>
      </c>
      <c r="B2536" t="s">
        <v>3435</v>
      </c>
      <c r="C2536" t="s">
        <v>3451</v>
      </c>
      <c r="D2536" t="s">
        <v>3452</v>
      </c>
      <c r="E2536" t="s">
        <v>3453</v>
      </c>
      <c r="F2536" t="s">
        <v>3453</v>
      </c>
      <c r="G2536" t="s">
        <v>5</v>
      </c>
      <c r="H2536" t="s">
        <v>5</v>
      </c>
      <c r="I2536" t="s">
        <v>2122</v>
      </c>
      <c r="J2536" t="s">
        <v>40</v>
      </c>
      <c r="K2536" s="3">
        <f t="shared" si="78"/>
        <v>0</v>
      </c>
      <c r="L2536" s="3">
        <f>IF(ISERROR(VLOOKUP(J2536,Lookups!$A$2:$A$16,1,FALSE)),1,0)</f>
        <v>1</v>
      </c>
      <c r="M2536" s="3">
        <f>IF(ISERROR(VLOOKUP(D2536,Data!$A$2:$D$223100,2,FALSE)),0,1)</f>
        <v>1</v>
      </c>
      <c r="N2536" s="3">
        <f t="shared" si="79"/>
        <v>1</v>
      </c>
      <c r="O2536" s="3" t="str">
        <f>IF(ISERROR(VLOOKUP(D2536,Data!$A$2:$C$223100,3,FALSE)),"INACTIVE",VLOOKUP(D2536,Data!$A$2:$C$223100,3,FALSE))</f>
        <v>Current</v>
      </c>
    </row>
    <row r="2537" spans="1:15" x14ac:dyDescent="0.25">
      <c r="A2537" t="s">
        <v>3434</v>
      </c>
      <c r="B2537" t="s">
        <v>3435</v>
      </c>
      <c r="C2537" t="s">
        <v>3454</v>
      </c>
      <c r="D2537" t="s">
        <v>3455</v>
      </c>
      <c r="E2537" t="s">
        <v>3456</v>
      </c>
      <c r="F2537" t="s">
        <v>3456</v>
      </c>
      <c r="G2537" t="s">
        <v>5</v>
      </c>
      <c r="H2537" t="s">
        <v>5</v>
      </c>
      <c r="I2537" t="s">
        <v>2122</v>
      </c>
      <c r="J2537" t="s">
        <v>40</v>
      </c>
      <c r="K2537" s="3">
        <f t="shared" si="78"/>
        <v>0</v>
      </c>
      <c r="L2537" s="3">
        <f>IF(ISERROR(VLOOKUP(J2537,Lookups!$A$2:$A$16,1,FALSE)),1,0)</f>
        <v>1</v>
      </c>
      <c r="M2537" s="3">
        <f>IF(ISERROR(VLOOKUP(D2537,Data!$A$2:$D$223100,2,FALSE)),0,1)</f>
        <v>1</v>
      </c>
      <c r="N2537" s="3">
        <f t="shared" si="79"/>
        <v>1</v>
      </c>
      <c r="O2537" s="3" t="str">
        <f>IF(ISERROR(VLOOKUP(D2537,Data!$A$2:$C$223100,3,FALSE)),"INACTIVE",VLOOKUP(D2537,Data!$A$2:$C$223100,3,FALSE))</f>
        <v>Current</v>
      </c>
    </row>
    <row r="2538" spans="1:15" x14ac:dyDescent="0.25">
      <c r="A2538" t="s">
        <v>3434</v>
      </c>
      <c r="B2538" t="s">
        <v>3435</v>
      </c>
      <c r="C2538" t="s">
        <v>3457</v>
      </c>
      <c r="D2538" t="s">
        <v>3458</v>
      </c>
      <c r="E2538" t="s">
        <v>3459</v>
      </c>
      <c r="F2538" t="s">
        <v>3459</v>
      </c>
      <c r="G2538" t="s">
        <v>5</v>
      </c>
      <c r="H2538" t="s">
        <v>5</v>
      </c>
      <c r="I2538" t="s">
        <v>2122</v>
      </c>
      <c r="J2538" t="s">
        <v>47</v>
      </c>
      <c r="K2538" s="3">
        <f t="shared" si="78"/>
        <v>0</v>
      </c>
      <c r="L2538" s="3">
        <f>IF(ISERROR(VLOOKUP(J2538,Lookups!$A$2:$A$16,1,FALSE)),1,0)</f>
        <v>1</v>
      </c>
      <c r="M2538" s="3">
        <f>IF(ISERROR(VLOOKUP(D2538,Data!$A$2:$D$223100,2,FALSE)),0,1)</f>
        <v>0</v>
      </c>
      <c r="N2538" s="3">
        <f t="shared" si="79"/>
        <v>0</v>
      </c>
      <c r="O2538" s="3" t="str">
        <f>IF(ISERROR(VLOOKUP(D2538,Data!$A$2:$C$223100,3,FALSE)),"INACTIVE",VLOOKUP(D2538,Data!$A$2:$C$223100,3,FALSE))</f>
        <v>INACTIVE</v>
      </c>
    </row>
    <row r="2539" spans="1:15" x14ac:dyDescent="0.25">
      <c r="A2539" t="s">
        <v>3434</v>
      </c>
      <c r="B2539" t="s">
        <v>3435</v>
      </c>
      <c r="C2539" t="s">
        <v>3460</v>
      </c>
      <c r="D2539" t="s">
        <v>3461</v>
      </c>
      <c r="E2539" t="s">
        <v>3462</v>
      </c>
      <c r="F2539" t="s">
        <v>3462</v>
      </c>
      <c r="G2539" t="s">
        <v>5</v>
      </c>
      <c r="H2539" t="s">
        <v>5</v>
      </c>
      <c r="I2539" t="s">
        <v>2122</v>
      </c>
      <c r="J2539" t="s">
        <v>40</v>
      </c>
      <c r="K2539" s="3">
        <f t="shared" si="78"/>
        <v>0</v>
      </c>
      <c r="L2539" s="3">
        <f>IF(ISERROR(VLOOKUP(J2539,Lookups!$A$2:$A$16,1,FALSE)),1,0)</f>
        <v>1</v>
      </c>
      <c r="M2539" s="3">
        <f>IF(ISERROR(VLOOKUP(D2539,Data!$A$2:$D$223100,2,FALSE)),0,1)</f>
        <v>1</v>
      </c>
      <c r="N2539" s="3">
        <f t="shared" si="79"/>
        <v>1</v>
      </c>
      <c r="O2539" s="3" t="str">
        <f>IF(ISERROR(VLOOKUP(D2539,Data!$A$2:$C$223100,3,FALSE)),"INACTIVE",VLOOKUP(D2539,Data!$A$2:$C$223100,3,FALSE))</f>
        <v>180+</v>
      </c>
    </row>
    <row r="2540" spans="1:15" x14ac:dyDescent="0.25">
      <c r="A2540" t="s">
        <v>3434</v>
      </c>
      <c r="B2540" t="s">
        <v>3435</v>
      </c>
      <c r="C2540" t="s">
        <v>3463</v>
      </c>
      <c r="D2540" t="s">
        <v>3464</v>
      </c>
      <c r="E2540" t="s">
        <v>3465</v>
      </c>
      <c r="F2540" t="s">
        <v>3465</v>
      </c>
      <c r="G2540" t="s">
        <v>5</v>
      </c>
      <c r="H2540" t="s">
        <v>5</v>
      </c>
      <c r="I2540" t="s">
        <v>2122</v>
      </c>
      <c r="J2540" t="s">
        <v>40</v>
      </c>
      <c r="K2540" s="3">
        <f t="shared" si="78"/>
        <v>0</v>
      </c>
      <c r="L2540" s="3">
        <f>IF(ISERROR(VLOOKUP(J2540,Lookups!$A$2:$A$16,1,FALSE)),1,0)</f>
        <v>1</v>
      </c>
      <c r="M2540" s="3">
        <f>IF(ISERROR(VLOOKUP(D2540,Data!$A$2:$D$223100,2,FALSE)),0,1)</f>
        <v>1</v>
      </c>
      <c r="N2540" s="3">
        <f t="shared" si="79"/>
        <v>1</v>
      </c>
      <c r="O2540" s="3" t="str">
        <f>IF(ISERROR(VLOOKUP(D2540,Data!$A$2:$C$223100,3,FALSE)),"INACTIVE",VLOOKUP(D2540,Data!$A$2:$C$223100,3,FALSE))</f>
        <v>120+</v>
      </c>
    </row>
    <row r="2541" spans="1:15" x14ac:dyDescent="0.25">
      <c r="A2541" t="s">
        <v>3434</v>
      </c>
      <c r="B2541" t="s">
        <v>3435</v>
      </c>
      <c r="C2541" t="s">
        <v>3466</v>
      </c>
      <c r="D2541" t="s">
        <v>3467</v>
      </c>
      <c r="E2541" t="s">
        <v>3468</v>
      </c>
      <c r="F2541" t="s">
        <v>3468</v>
      </c>
      <c r="G2541" t="s">
        <v>5</v>
      </c>
      <c r="H2541" t="s">
        <v>5</v>
      </c>
      <c r="I2541" t="s">
        <v>2122</v>
      </c>
      <c r="J2541" t="s">
        <v>40</v>
      </c>
      <c r="K2541" s="3">
        <f t="shared" si="78"/>
        <v>0</v>
      </c>
      <c r="L2541" s="3">
        <f>IF(ISERROR(VLOOKUP(J2541,Lookups!$A$2:$A$16,1,FALSE)),1,0)</f>
        <v>1</v>
      </c>
      <c r="M2541" s="3">
        <f>IF(ISERROR(VLOOKUP(D2541,Data!$A$2:$D$223100,2,FALSE)),0,1)</f>
        <v>1</v>
      </c>
      <c r="N2541" s="3">
        <f t="shared" si="79"/>
        <v>1</v>
      </c>
      <c r="O2541" s="3" t="str">
        <f>IF(ISERROR(VLOOKUP(D2541,Data!$A$2:$C$223100,3,FALSE)),"INACTIVE",VLOOKUP(D2541,Data!$A$2:$C$223100,3,FALSE))</f>
        <v>Demand Letter</v>
      </c>
    </row>
    <row r="2542" spans="1:15" x14ac:dyDescent="0.25">
      <c r="A2542" t="s">
        <v>3434</v>
      </c>
      <c r="B2542" t="s">
        <v>3435</v>
      </c>
      <c r="C2542" t="s">
        <v>3469</v>
      </c>
      <c r="D2542" t="s">
        <v>3470</v>
      </c>
      <c r="E2542" t="s">
        <v>3471</v>
      </c>
      <c r="F2542" t="s">
        <v>3471</v>
      </c>
      <c r="G2542" t="s">
        <v>5</v>
      </c>
      <c r="H2542" t="s">
        <v>5</v>
      </c>
      <c r="I2542" t="s">
        <v>2122</v>
      </c>
      <c r="J2542" t="s">
        <v>47</v>
      </c>
      <c r="K2542" s="3">
        <f t="shared" si="78"/>
        <v>0</v>
      </c>
      <c r="L2542" s="3">
        <f>IF(ISERROR(VLOOKUP(J2542,Lookups!$A$2:$A$16,1,FALSE)),1,0)</f>
        <v>1</v>
      </c>
      <c r="M2542" s="3">
        <f>IF(ISERROR(VLOOKUP(D2542,Data!$A$2:$D$223100,2,FALSE)),0,1)</f>
        <v>1</v>
      </c>
      <c r="N2542" s="3">
        <f t="shared" si="79"/>
        <v>1</v>
      </c>
      <c r="O2542" s="3" t="str">
        <f>IF(ISERROR(VLOOKUP(D2542,Data!$A$2:$C$223100,3,FALSE)),"INACTIVE",VLOOKUP(D2542,Data!$A$2:$C$223100,3,FALSE))</f>
        <v>BK7</v>
      </c>
    </row>
    <row r="2543" spans="1:15" x14ac:dyDescent="0.25">
      <c r="A2543" t="s">
        <v>3434</v>
      </c>
      <c r="B2543" t="s">
        <v>3435</v>
      </c>
      <c r="C2543" t="s">
        <v>3472</v>
      </c>
      <c r="D2543" t="s">
        <v>3473</v>
      </c>
      <c r="E2543" t="s">
        <v>3474</v>
      </c>
      <c r="F2543" t="s">
        <v>3474</v>
      </c>
      <c r="G2543" t="s">
        <v>5</v>
      </c>
      <c r="H2543" t="s">
        <v>5</v>
      </c>
      <c r="I2543" t="s">
        <v>2122</v>
      </c>
      <c r="J2543" t="s">
        <v>40</v>
      </c>
      <c r="K2543" s="3">
        <f t="shared" si="78"/>
        <v>0</v>
      </c>
      <c r="L2543" s="3">
        <f>IF(ISERROR(VLOOKUP(J2543,Lookups!$A$2:$A$16,1,FALSE)),1,0)</f>
        <v>1</v>
      </c>
      <c r="M2543" s="3">
        <f>IF(ISERROR(VLOOKUP(D2543,Data!$A$2:$D$223100,2,FALSE)),0,1)</f>
        <v>1</v>
      </c>
      <c r="N2543" s="3">
        <f t="shared" si="79"/>
        <v>1</v>
      </c>
      <c r="O2543" s="3" t="str">
        <f>IF(ISERROR(VLOOKUP(D2543,Data!$A$2:$C$223100,3,FALSE)),"INACTIVE",VLOOKUP(D2543,Data!$A$2:$C$223100,3,FALSE))</f>
        <v>60+</v>
      </c>
    </row>
    <row r="2544" spans="1:15" x14ac:dyDescent="0.25">
      <c r="A2544" t="s">
        <v>3434</v>
      </c>
      <c r="B2544" t="s">
        <v>3435</v>
      </c>
      <c r="C2544" t="s">
        <v>3475</v>
      </c>
      <c r="D2544" t="s">
        <v>3476</v>
      </c>
      <c r="E2544" t="s">
        <v>3477</v>
      </c>
      <c r="F2544" t="s">
        <v>3477</v>
      </c>
      <c r="G2544" t="s">
        <v>5</v>
      </c>
      <c r="H2544" t="s">
        <v>5</v>
      </c>
      <c r="I2544" t="s">
        <v>2122</v>
      </c>
      <c r="J2544" t="s">
        <v>40</v>
      </c>
      <c r="K2544" s="3">
        <f t="shared" si="78"/>
        <v>0</v>
      </c>
      <c r="L2544" s="3">
        <f>IF(ISERROR(VLOOKUP(J2544,Lookups!$A$2:$A$16,1,FALSE)),1,0)</f>
        <v>1</v>
      </c>
      <c r="M2544" s="3">
        <f>IF(ISERROR(VLOOKUP(D2544,Data!$A$2:$D$223100,2,FALSE)),0,1)</f>
        <v>1</v>
      </c>
      <c r="N2544" s="3">
        <f t="shared" si="79"/>
        <v>1</v>
      </c>
      <c r="O2544" s="3" t="str">
        <f>IF(ISERROR(VLOOKUP(D2544,Data!$A$2:$C$223100,3,FALSE)),"INACTIVE",VLOOKUP(D2544,Data!$A$2:$C$223100,3,FALSE))</f>
        <v>FBA</v>
      </c>
    </row>
    <row r="2545" spans="1:15" x14ac:dyDescent="0.25">
      <c r="A2545" t="s">
        <v>3434</v>
      </c>
      <c r="B2545" t="s">
        <v>3435</v>
      </c>
      <c r="C2545" t="s">
        <v>3478</v>
      </c>
      <c r="D2545" t="s">
        <v>3479</v>
      </c>
      <c r="E2545" t="s">
        <v>3480</v>
      </c>
      <c r="F2545" t="s">
        <v>3480</v>
      </c>
      <c r="G2545" t="s">
        <v>5</v>
      </c>
      <c r="H2545" t="s">
        <v>5</v>
      </c>
      <c r="I2545" t="s">
        <v>2122</v>
      </c>
      <c r="J2545" t="s">
        <v>96</v>
      </c>
      <c r="K2545" s="3">
        <f t="shared" si="78"/>
        <v>0</v>
      </c>
      <c r="L2545" s="3">
        <f>IF(ISERROR(VLOOKUP(J2545,Lookups!$A$2:$A$16,1,FALSE)),1,0)</f>
        <v>0</v>
      </c>
      <c r="M2545" s="3">
        <f>IF(ISERROR(VLOOKUP(D2545,Data!$A$2:$D$223100,2,FALSE)),0,1)</f>
        <v>1</v>
      </c>
      <c r="N2545" s="3">
        <f t="shared" si="79"/>
        <v>0</v>
      </c>
      <c r="O2545" s="3" t="str">
        <f>IF(ISERROR(VLOOKUP(D2545,Data!$A$2:$C$223100,3,FALSE)),"INACTIVE",VLOOKUP(D2545,Data!$A$2:$C$223100,3,FALSE))</f>
        <v>Current</v>
      </c>
    </row>
    <row r="2546" spans="1:15" x14ac:dyDescent="0.25">
      <c r="A2546" t="s">
        <v>3434</v>
      </c>
      <c r="B2546" t="s">
        <v>3435</v>
      </c>
      <c r="C2546" t="s">
        <v>3481</v>
      </c>
      <c r="D2546" t="s">
        <v>3482</v>
      </c>
      <c r="E2546" t="s">
        <v>3483</v>
      </c>
      <c r="F2546" t="s">
        <v>3483</v>
      </c>
      <c r="G2546" t="s">
        <v>5</v>
      </c>
      <c r="H2546" t="s">
        <v>5</v>
      </c>
      <c r="I2546" t="s">
        <v>2122</v>
      </c>
      <c r="J2546" t="s">
        <v>40</v>
      </c>
      <c r="K2546" s="3">
        <f t="shared" si="78"/>
        <v>0</v>
      </c>
      <c r="L2546" s="3">
        <f>IF(ISERROR(VLOOKUP(J2546,Lookups!$A$2:$A$16,1,FALSE)),1,0)</f>
        <v>1</v>
      </c>
      <c r="M2546" s="3">
        <f>IF(ISERROR(VLOOKUP(D2546,Data!$A$2:$D$223100,2,FALSE)),0,1)</f>
        <v>1</v>
      </c>
      <c r="N2546" s="3">
        <f t="shared" si="79"/>
        <v>1</v>
      </c>
      <c r="O2546" s="3" t="str">
        <f>IF(ISERROR(VLOOKUP(D2546,Data!$A$2:$C$223100,3,FALSE)),"INACTIVE",VLOOKUP(D2546,Data!$A$2:$C$223100,3,FALSE))</f>
        <v>Demand Letter</v>
      </c>
    </row>
    <row r="2547" spans="1:15" x14ac:dyDescent="0.25">
      <c r="A2547" t="s">
        <v>3434</v>
      </c>
      <c r="B2547" t="s">
        <v>3435</v>
      </c>
      <c r="C2547" t="s">
        <v>3484</v>
      </c>
      <c r="D2547" t="s">
        <v>3485</v>
      </c>
      <c r="E2547" t="s">
        <v>3486</v>
      </c>
      <c r="F2547" t="s">
        <v>3486</v>
      </c>
      <c r="G2547" t="s">
        <v>5</v>
      </c>
      <c r="H2547" t="s">
        <v>5</v>
      </c>
      <c r="I2547" t="s">
        <v>2122</v>
      </c>
      <c r="J2547" t="s">
        <v>40</v>
      </c>
      <c r="K2547" s="3">
        <f t="shared" si="78"/>
        <v>0</v>
      </c>
      <c r="L2547" s="3">
        <f>IF(ISERROR(VLOOKUP(J2547,Lookups!$A$2:$A$16,1,FALSE)),1,0)</f>
        <v>1</v>
      </c>
      <c r="M2547" s="3">
        <f>IF(ISERROR(VLOOKUP(D2547,Data!$A$2:$D$223100,2,FALSE)),0,1)</f>
        <v>1</v>
      </c>
      <c r="N2547" s="3">
        <f t="shared" si="79"/>
        <v>1</v>
      </c>
      <c r="O2547" s="3" t="str">
        <f>IF(ISERROR(VLOOKUP(D2547,Data!$A$2:$C$223100,3,FALSE)),"INACTIVE",VLOOKUP(D2547,Data!$A$2:$C$223100,3,FALSE))</f>
        <v>Current</v>
      </c>
    </row>
    <row r="2548" spans="1:15" x14ac:dyDescent="0.25">
      <c r="A2548" t="s">
        <v>3434</v>
      </c>
      <c r="B2548" t="s">
        <v>3435</v>
      </c>
      <c r="C2548" t="s">
        <v>3487</v>
      </c>
      <c r="D2548" t="s">
        <v>3488</v>
      </c>
      <c r="E2548" t="s">
        <v>3489</v>
      </c>
      <c r="F2548" t="s">
        <v>3489</v>
      </c>
      <c r="G2548" t="s">
        <v>5</v>
      </c>
      <c r="H2548" t="s">
        <v>5</v>
      </c>
      <c r="I2548" t="s">
        <v>2122</v>
      </c>
      <c r="J2548" t="s">
        <v>40</v>
      </c>
      <c r="K2548" s="3">
        <f t="shared" si="78"/>
        <v>0</v>
      </c>
      <c r="L2548" s="3">
        <f>IF(ISERROR(VLOOKUP(J2548,Lookups!$A$2:$A$16,1,FALSE)),1,0)</f>
        <v>1</v>
      </c>
      <c r="M2548" s="3">
        <f>IF(ISERROR(VLOOKUP(D2548,Data!$A$2:$D$223100,2,FALSE)),0,1)</f>
        <v>1</v>
      </c>
      <c r="N2548" s="3">
        <f t="shared" si="79"/>
        <v>1</v>
      </c>
      <c r="O2548" s="3" t="str">
        <f>IF(ISERROR(VLOOKUP(D2548,Data!$A$2:$C$223100,3,FALSE)),"INACTIVE",VLOOKUP(D2548,Data!$A$2:$C$223100,3,FALSE))</f>
        <v>30+</v>
      </c>
    </row>
    <row r="2549" spans="1:15" x14ac:dyDescent="0.25">
      <c r="A2549" t="s">
        <v>3434</v>
      </c>
      <c r="B2549" t="s">
        <v>3435</v>
      </c>
      <c r="C2549" t="s">
        <v>3490</v>
      </c>
      <c r="D2549" t="s">
        <v>3491</v>
      </c>
      <c r="E2549" t="s">
        <v>3492</v>
      </c>
      <c r="F2549" t="s">
        <v>3492</v>
      </c>
      <c r="G2549" t="s">
        <v>5</v>
      </c>
      <c r="H2549" t="s">
        <v>5</v>
      </c>
      <c r="I2549" t="s">
        <v>2122</v>
      </c>
      <c r="J2549" t="s">
        <v>96</v>
      </c>
      <c r="K2549" s="3">
        <f t="shared" si="78"/>
        <v>0</v>
      </c>
      <c r="L2549" s="3">
        <f>IF(ISERROR(VLOOKUP(J2549,Lookups!$A$2:$A$16,1,FALSE)),1,0)</f>
        <v>0</v>
      </c>
      <c r="M2549" s="3">
        <f>IF(ISERROR(VLOOKUP(D2549,Data!$A$2:$D$223100,2,FALSE)),0,1)</f>
        <v>1</v>
      </c>
      <c r="N2549" s="3">
        <f t="shared" si="79"/>
        <v>0</v>
      </c>
      <c r="O2549" s="3" t="str">
        <f>IF(ISERROR(VLOOKUP(D2549,Data!$A$2:$C$223100,3,FALSE)),"INACTIVE",VLOOKUP(D2549,Data!$A$2:$C$223100,3,FALSE))</f>
        <v>FC</v>
      </c>
    </row>
    <row r="2550" spans="1:15" x14ac:dyDescent="0.25">
      <c r="A2550" t="s">
        <v>3434</v>
      </c>
      <c r="B2550" t="s">
        <v>3435</v>
      </c>
      <c r="C2550" t="s">
        <v>3490</v>
      </c>
      <c r="D2550" t="s">
        <v>3491</v>
      </c>
      <c r="E2550" t="s">
        <v>5</v>
      </c>
      <c r="F2550" t="s">
        <v>3493</v>
      </c>
      <c r="G2550" t="s">
        <v>5</v>
      </c>
      <c r="H2550" t="s">
        <v>5</v>
      </c>
      <c r="I2550" t="s">
        <v>2122</v>
      </c>
      <c r="J2550" t="s">
        <v>96</v>
      </c>
      <c r="K2550" s="3">
        <f t="shared" si="78"/>
        <v>0</v>
      </c>
      <c r="L2550" s="3">
        <f>IF(ISERROR(VLOOKUP(J2550,Lookups!$A$2:$A$16,1,FALSE)),1,0)</f>
        <v>0</v>
      </c>
      <c r="M2550" s="3">
        <f>IF(ISERROR(VLOOKUP(D2550,Data!$A$2:$D$223100,2,FALSE)),0,1)</f>
        <v>1</v>
      </c>
      <c r="N2550" s="3">
        <f t="shared" si="79"/>
        <v>0</v>
      </c>
      <c r="O2550" s="3" t="str">
        <f>IF(ISERROR(VLOOKUP(D2550,Data!$A$2:$C$223100,3,FALSE)),"INACTIVE",VLOOKUP(D2550,Data!$A$2:$C$223100,3,FALSE))</f>
        <v>FC</v>
      </c>
    </row>
    <row r="2551" spans="1:15" x14ac:dyDescent="0.25">
      <c r="A2551" t="s">
        <v>3847</v>
      </c>
      <c r="B2551" t="s">
        <v>3848</v>
      </c>
      <c r="C2551" t="s">
        <v>3849</v>
      </c>
      <c r="D2551" t="s">
        <v>3850</v>
      </c>
      <c r="E2551" t="s">
        <v>3851</v>
      </c>
      <c r="F2551" t="s">
        <v>5</v>
      </c>
      <c r="G2551" t="s">
        <v>5</v>
      </c>
      <c r="H2551" t="s">
        <v>5</v>
      </c>
      <c r="I2551" t="s">
        <v>2122</v>
      </c>
      <c r="J2551" t="s">
        <v>90</v>
      </c>
      <c r="K2551" s="3">
        <f t="shared" si="78"/>
        <v>0</v>
      </c>
      <c r="L2551" s="3">
        <f>IF(ISERROR(VLOOKUP(J2551,Lookups!$A$2:$A$16,1,FALSE)),1,0)</f>
        <v>0</v>
      </c>
      <c r="M2551" s="3">
        <f>IF(ISERROR(VLOOKUP(D2551,Data!$A$2:$D$223100,2,FALSE)),0,1)</f>
        <v>1</v>
      </c>
      <c r="N2551" s="3">
        <f t="shared" si="79"/>
        <v>0</v>
      </c>
      <c r="O2551" s="3" t="str">
        <f>IF(ISERROR(VLOOKUP(D2551,Data!$A$2:$C$223100,3,FALSE)),"INACTIVE",VLOOKUP(D2551,Data!$A$2:$C$223100,3,FALSE))</f>
        <v>FC</v>
      </c>
    </row>
    <row r="2552" spans="1:15" x14ac:dyDescent="0.25">
      <c r="A2552" t="s">
        <v>3860</v>
      </c>
      <c r="B2552" t="s">
        <v>3861</v>
      </c>
      <c r="C2552" t="s">
        <v>3862</v>
      </c>
      <c r="D2552" t="s">
        <v>3863</v>
      </c>
      <c r="E2552" t="s">
        <v>3864</v>
      </c>
      <c r="F2552" t="s">
        <v>5</v>
      </c>
      <c r="G2552" t="s">
        <v>5</v>
      </c>
      <c r="H2552" t="s">
        <v>5</v>
      </c>
      <c r="I2552" t="s">
        <v>2122</v>
      </c>
      <c r="J2552" t="s">
        <v>90</v>
      </c>
      <c r="K2552" s="3">
        <f t="shared" si="78"/>
        <v>0</v>
      </c>
      <c r="L2552" s="3">
        <f>IF(ISERROR(VLOOKUP(J2552,Lookups!$A$2:$A$16,1,FALSE)),1,0)</f>
        <v>0</v>
      </c>
      <c r="M2552" s="3">
        <f>IF(ISERROR(VLOOKUP(D2552,Data!$A$2:$D$223100,2,FALSE)),0,1)</f>
        <v>1</v>
      </c>
      <c r="N2552" s="3">
        <f t="shared" si="79"/>
        <v>0</v>
      </c>
      <c r="O2552" s="3" t="str">
        <f>IF(ISERROR(VLOOKUP(D2552,Data!$A$2:$C$223100,3,FALSE)),"INACTIVE",VLOOKUP(D2552,Data!$A$2:$C$223100,3,FALSE))</f>
        <v>FBA</v>
      </c>
    </row>
    <row r="2553" spans="1:15" x14ac:dyDescent="0.25">
      <c r="A2553" t="s">
        <v>1466</v>
      </c>
      <c r="B2553" t="s">
        <v>1467</v>
      </c>
      <c r="C2553" t="s">
        <v>1468</v>
      </c>
      <c r="D2553" t="s">
        <v>1469</v>
      </c>
      <c r="E2553" t="s">
        <v>1470</v>
      </c>
      <c r="F2553" t="s">
        <v>1470</v>
      </c>
      <c r="G2553" t="s">
        <v>5</v>
      </c>
      <c r="H2553" t="s">
        <v>5</v>
      </c>
      <c r="I2553" t="s">
        <v>1471</v>
      </c>
      <c r="J2553" t="s">
        <v>47</v>
      </c>
      <c r="K2553" s="3">
        <f t="shared" si="78"/>
        <v>0</v>
      </c>
      <c r="L2553" s="3">
        <f>IF(ISERROR(VLOOKUP(J2553,Lookups!$A$2:$A$16,1,FALSE)),1,0)</f>
        <v>1</v>
      </c>
      <c r="M2553" s="3">
        <f>IF(ISERROR(VLOOKUP(D2553,Data!$A$2:$D$223100,2,FALSE)),0,1)</f>
        <v>1</v>
      </c>
      <c r="N2553" s="3">
        <f t="shared" si="79"/>
        <v>1</v>
      </c>
      <c r="O2553" s="3" t="str">
        <f>IF(ISERROR(VLOOKUP(D2553,Data!$A$2:$C$223100,3,FALSE)),"INACTIVE",VLOOKUP(D2553,Data!$A$2:$C$223100,3,FALSE))</f>
        <v>FBA</v>
      </c>
    </row>
    <row r="2554" spans="1:15" x14ac:dyDescent="0.25">
      <c r="A2554" t="s">
        <v>1466</v>
      </c>
      <c r="B2554" t="s">
        <v>1467</v>
      </c>
      <c r="C2554" t="s">
        <v>1472</v>
      </c>
      <c r="D2554" t="s">
        <v>1473</v>
      </c>
      <c r="E2554" t="s">
        <v>1474</v>
      </c>
      <c r="F2554" t="s">
        <v>1474</v>
      </c>
      <c r="G2554" t="s">
        <v>5</v>
      </c>
      <c r="H2554" t="s">
        <v>5</v>
      </c>
      <c r="I2554" t="s">
        <v>1471</v>
      </c>
      <c r="J2554" t="s">
        <v>40</v>
      </c>
      <c r="K2554" s="3">
        <f t="shared" si="78"/>
        <v>0</v>
      </c>
      <c r="L2554" s="3">
        <f>IF(ISERROR(VLOOKUP(J2554,Lookups!$A$2:$A$16,1,FALSE)),1,0)</f>
        <v>1</v>
      </c>
      <c r="M2554" s="3">
        <f>IF(ISERROR(VLOOKUP(D2554,Data!$A$2:$D$223100,2,FALSE)),0,1)</f>
        <v>1</v>
      </c>
      <c r="N2554" s="3">
        <f t="shared" si="79"/>
        <v>1</v>
      </c>
      <c r="O2554" s="3" t="str">
        <f>IF(ISERROR(VLOOKUP(D2554,Data!$A$2:$C$223100,3,FALSE)),"INACTIVE",VLOOKUP(D2554,Data!$A$2:$C$223100,3,FALSE))</f>
        <v>PP</v>
      </c>
    </row>
    <row r="2555" spans="1:15" x14ac:dyDescent="0.25">
      <c r="A2555" t="s">
        <v>1466</v>
      </c>
      <c r="B2555" t="s">
        <v>1467</v>
      </c>
      <c r="C2555" t="s">
        <v>1475</v>
      </c>
      <c r="D2555" t="s">
        <v>1476</v>
      </c>
      <c r="E2555" t="s">
        <v>1477</v>
      </c>
      <c r="F2555" t="s">
        <v>1477</v>
      </c>
      <c r="G2555" t="s">
        <v>5</v>
      </c>
      <c r="H2555" t="s">
        <v>5</v>
      </c>
      <c r="I2555" t="s">
        <v>1471</v>
      </c>
      <c r="J2555" t="s">
        <v>40</v>
      </c>
      <c r="K2555" s="3">
        <f t="shared" si="78"/>
        <v>0</v>
      </c>
      <c r="L2555" s="3">
        <f>IF(ISERROR(VLOOKUP(J2555,Lookups!$A$2:$A$16,1,FALSE)),1,0)</f>
        <v>1</v>
      </c>
      <c r="M2555" s="3">
        <f>IF(ISERROR(VLOOKUP(D2555,Data!$A$2:$D$223100,2,FALSE)),0,1)</f>
        <v>1</v>
      </c>
      <c r="N2555" s="3">
        <f t="shared" si="79"/>
        <v>1</v>
      </c>
      <c r="O2555" s="3" t="str">
        <f>IF(ISERROR(VLOOKUP(D2555,Data!$A$2:$C$223100,3,FALSE)),"INACTIVE",VLOOKUP(D2555,Data!$A$2:$C$223100,3,FALSE))</f>
        <v>30+</v>
      </c>
    </row>
    <row r="2556" spans="1:15" x14ac:dyDescent="0.25">
      <c r="A2556" t="s">
        <v>1466</v>
      </c>
      <c r="B2556" t="s">
        <v>1467</v>
      </c>
      <c r="C2556" t="s">
        <v>1478</v>
      </c>
      <c r="D2556" t="s">
        <v>1479</v>
      </c>
      <c r="E2556" t="s">
        <v>1480</v>
      </c>
      <c r="F2556" t="s">
        <v>1480</v>
      </c>
      <c r="G2556" t="s">
        <v>5</v>
      </c>
      <c r="H2556" t="s">
        <v>5</v>
      </c>
      <c r="I2556" t="s">
        <v>1471</v>
      </c>
      <c r="J2556" t="s">
        <v>47</v>
      </c>
      <c r="K2556" s="3">
        <f t="shared" si="78"/>
        <v>0</v>
      </c>
      <c r="L2556" s="3">
        <f>IF(ISERROR(VLOOKUP(J2556,Lookups!$A$2:$A$16,1,FALSE)),1,0)</f>
        <v>1</v>
      </c>
      <c r="M2556" s="3">
        <f>IF(ISERROR(VLOOKUP(D2556,Data!$A$2:$D$223100,2,FALSE)),0,1)</f>
        <v>1</v>
      </c>
      <c r="N2556" s="3">
        <f t="shared" si="79"/>
        <v>1</v>
      </c>
      <c r="O2556" s="3" t="str">
        <f>IF(ISERROR(VLOOKUP(D2556,Data!$A$2:$C$223100,3,FALSE)),"INACTIVE",VLOOKUP(D2556,Data!$A$2:$C$223100,3,FALSE))</f>
        <v>Demand Letter</v>
      </c>
    </row>
    <row r="2557" spans="1:15" x14ac:dyDescent="0.25">
      <c r="A2557" t="s">
        <v>1466</v>
      </c>
      <c r="B2557" t="s">
        <v>1467</v>
      </c>
      <c r="C2557" t="s">
        <v>1481</v>
      </c>
      <c r="D2557" t="s">
        <v>1482</v>
      </c>
      <c r="E2557" t="s">
        <v>1483</v>
      </c>
      <c r="F2557" t="s">
        <v>1483</v>
      </c>
      <c r="G2557" t="s">
        <v>5</v>
      </c>
      <c r="H2557" t="s">
        <v>5</v>
      </c>
      <c r="I2557" t="s">
        <v>1471</v>
      </c>
      <c r="J2557" t="s">
        <v>47</v>
      </c>
      <c r="K2557" s="3">
        <f t="shared" si="78"/>
        <v>0</v>
      </c>
      <c r="L2557" s="3">
        <f>IF(ISERROR(VLOOKUP(J2557,Lookups!$A$2:$A$16,1,FALSE)),1,0)</f>
        <v>1</v>
      </c>
      <c r="M2557" s="3">
        <f>IF(ISERROR(VLOOKUP(D2557,Data!$A$2:$D$223100,2,FALSE)),0,1)</f>
        <v>1</v>
      </c>
      <c r="N2557" s="3">
        <f t="shared" si="79"/>
        <v>1</v>
      </c>
      <c r="O2557" s="3" t="str">
        <f>IF(ISERROR(VLOOKUP(D2557,Data!$A$2:$C$223100,3,FALSE)),"INACTIVE",VLOOKUP(D2557,Data!$A$2:$C$223100,3,FALSE))</f>
        <v>FC</v>
      </c>
    </row>
    <row r="2558" spans="1:15" x14ac:dyDescent="0.25">
      <c r="A2558" t="s">
        <v>1466</v>
      </c>
      <c r="B2558" t="s">
        <v>1467</v>
      </c>
      <c r="C2558" t="s">
        <v>1484</v>
      </c>
      <c r="D2558" t="s">
        <v>1485</v>
      </c>
      <c r="E2558" t="s">
        <v>1486</v>
      </c>
      <c r="F2558" t="s">
        <v>1486</v>
      </c>
      <c r="G2558" t="s">
        <v>5</v>
      </c>
      <c r="H2558" t="s">
        <v>5</v>
      </c>
      <c r="I2558" t="s">
        <v>1471</v>
      </c>
      <c r="J2558" t="s">
        <v>40</v>
      </c>
      <c r="K2558" s="3">
        <f t="shared" si="78"/>
        <v>0</v>
      </c>
      <c r="L2558" s="3">
        <f>IF(ISERROR(VLOOKUP(J2558,Lookups!$A$2:$A$16,1,FALSE)),1,0)</f>
        <v>1</v>
      </c>
      <c r="M2558" s="3">
        <f>IF(ISERROR(VLOOKUP(D2558,Data!$A$2:$D$223100,2,FALSE)),0,1)</f>
        <v>1</v>
      </c>
      <c r="N2558" s="3">
        <f t="shared" si="79"/>
        <v>1</v>
      </c>
      <c r="O2558" s="3" t="str">
        <f>IF(ISERROR(VLOOKUP(D2558,Data!$A$2:$C$223100,3,FALSE)),"INACTIVE",VLOOKUP(D2558,Data!$A$2:$C$223100,3,FALSE))</f>
        <v>Demand Letter</v>
      </c>
    </row>
    <row r="2559" spans="1:15" x14ac:dyDescent="0.25">
      <c r="A2559" t="s">
        <v>1466</v>
      </c>
      <c r="B2559" t="s">
        <v>1467</v>
      </c>
      <c r="C2559" t="s">
        <v>1487</v>
      </c>
      <c r="D2559" t="s">
        <v>1488</v>
      </c>
      <c r="E2559" t="s">
        <v>1489</v>
      </c>
      <c r="F2559" t="s">
        <v>1489</v>
      </c>
      <c r="G2559" t="s">
        <v>5</v>
      </c>
      <c r="H2559" t="s">
        <v>5</v>
      </c>
      <c r="I2559" t="s">
        <v>1471</v>
      </c>
      <c r="J2559" t="s">
        <v>47</v>
      </c>
      <c r="K2559" s="3">
        <f t="shared" si="78"/>
        <v>0</v>
      </c>
      <c r="L2559" s="3">
        <f>IF(ISERROR(VLOOKUP(J2559,Lookups!$A$2:$A$16,1,FALSE)),1,0)</f>
        <v>1</v>
      </c>
      <c r="M2559" s="3">
        <f>IF(ISERROR(VLOOKUP(D2559,Data!$A$2:$D$223100,2,FALSE)),0,1)</f>
        <v>1</v>
      </c>
      <c r="N2559" s="3">
        <f t="shared" si="79"/>
        <v>1</v>
      </c>
      <c r="O2559" s="3" t="str">
        <f>IF(ISERROR(VLOOKUP(D2559,Data!$A$2:$C$223100,3,FALSE)),"INACTIVE",VLOOKUP(D2559,Data!$A$2:$C$223100,3,FALSE))</f>
        <v>30+</v>
      </c>
    </row>
    <row r="2560" spans="1:15" x14ac:dyDescent="0.25">
      <c r="A2560" t="s">
        <v>1600</v>
      </c>
      <c r="B2560" t="s">
        <v>1601</v>
      </c>
      <c r="C2560" t="s">
        <v>1602</v>
      </c>
      <c r="D2560" t="s">
        <v>1603</v>
      </c>
      <c r="E2560" t="s">
        <v>1604</v>
      </c>
      <c r="F2560" t="s">
        <v>5</v>
      </c>
      <c r="G2560" t="s">
        <v>5</v>
      </c>
      <c r="H2560" t="s">
        <v>5</v>
      </c>
      <c r="I2560" t="s">
        <v>1471</v>
      </c>
      <c r="J2560" t="s">
        <v>14</v>
      </c>
      <c r="K2560" s="3">
        <f t="shared" si="78"/>
        <v>0</v>
      </c>
      <c r="L2560" s="3">
        <f>IF(ISERROR(VLOOKUP(J2560,Lookups!$A$2:$A$16,1,FALSE)),1,0)</f>
        <v>1</v>
      </c>
      <c r="M2560" s="3">
        <f>IF(ISERROR(VLOOKUP(D2560,Data!$A$2:$D$223100,2,FALSE)),0,1)</f>
        <v>1</v>
      </c>
      <c r="N2560" s="3">
        <f t="shared" si="79"/>
        <v>1</v>
      </c>
      <c r="O2560" s="3" t="str">
        <f>IF(ISERROR(VLOOKUP(D2560,Data!$A$2:$C$223100,3,FALSE)),"INACTIVE",VLOOKUP(D2560,Data!$A$2:$C$223100,3,FALSE))</f>
        <v>30+</v>
      </c>
    </row>
    <row r="2561" spans="1:15" x14ac:dyDescent="0.25">
      <c r="A2561" t="s">
        <v>1600</v>
      </c>
      <c r="B2561" t="s">
        <v>1601</v>
      </c>
      <c r="C2561" t="s">
        <v>1605</v>
      </c>
      <c r="D2561" t="s">
        <v>1606</v>
      </c>
      <c r="E2561" t="s">
        <v>1607</v>
      </c>
      <c r="F2561" t="s">
        <v>5</v>
      </c>
      <c r="G2561" t="s">
        <v>5</v>
      </c>
      <c r="H2561" t="s">
        <v>5</v>
      </c>
      <c r="I2561" t="s">
        <v>1471</v>
      </c>
      <c r="J2561" t="s">
        <v>14</v>
      </c>
      <c r="K2561" s="3">
        <f t="shared" si="78"/>
        <v>0</v>
      </c>
      <c r="L2561" s="3">
        <f>IF(ISERROR(VLOOKUP(J2561,Lookups!$A$2:$A$16,1,FALSE)),1,0)</f>
        <v>1</v>
      </c>
      <c r="M2561" s="3">
        <f>IF(ISERROR(VLOOKUP(D2561,Data!$A$2:$D$223100,2,FALSE)),0,1)</f>
        <v>1</v>
      </c>
      <c r="N2561" s="3">
        <f t="shared" si="79"/>
        <v>1</v>
      </c>
      <c r="O2561" s="3" t="str">
        <f>IF(ISERROR(VLOOKUP(D2561,Data!$A$2:$C$223100,3,FALSE)),"INACTIVE",VLOOKUP(D2561,Data!$A$2:$C$223100,3,FALSE))</f>
        <v>Current</v>
      </c>
    </row>
    <row r="2562" spans="1:15" x14ac:dyDescent="0.25">
      <c r="A2562" t="s">
        <v>1634</v>
      </c>
      <c r="B2562" t="s">
        <v>1635</v>
      </c>
      <c r="C2562" t="s">
        <v>1636</v>
      </c>
      <c r="D2562" t="s">
        <v>1637</v>
      </c>
      <c r="E2562" t="s">
        <v>1638</v>
      </c>
      <c r="F2562" t="s">
        <v>5</v>
      </c>
      <c r="G2562" t="s">
        <v>5</v>
      </c>
      <c r="H2562" t="s">
        <v>5</v>
      </c>
      <c r="I2562" t="s">
        <v>1471</v>
      </c>
      <c r="J2562" t="s">
        <v>7</v>
      </c>
      <c r="K2562" s="3">
        <f t="shared" si="78"/>
        <v>0</v>
      </c>
      <c r="L2562" s="3">
        <f>IF(ISERROR(VLOOKUP(J2562,Lookups!$A$2:$A$16,1,FALSE)),1,0)</f>
        <v>1</v>
      </c>
      <c r="M2562" s="3">
        <f>IF(ISERROR(VLOOKUP(D2562,Data!$A$2:$D$223100,2,FALSE)),0,1)</f>
        <v>1</v>
      </c>
      <c r="N2562" s="3">
        <f t="shared" si="79"/>
        <v>1</v>
      </c>
      <c r="O2562" s="3" t="str">
        <f>IF(ISERROR(VLOOKUP(D2562,Data!$A$2:$C$223100,3,FALSE)),"INACTIVE",VLOOKUP(D2562,Data!$A$2:$C$223100,3,FALSE))</f>
        <v>150+</v>
      </c>
    </row>
    <row r="2563" spans="1:15" x14ac:dyDescent="0.25">
      <c r="A2563" t="s">
        <v>1634</v>
      </c>
      <c r="B2563" t="s">
        <v>1635</v>
      </c>
      <c r="C2563" t="s">
        <v>1639</v>
      </c>
      <c r="D2563" t="s">
        <v>1640</v>
      </c>
      <c r="E2563" t="s">
        <v>1641</v>
      </c>
      <c r="F2563" t="s">
        <v>5</v>
      </c>
      <c r="G2563" t="s">
        <v>5</v>
      </c>
      <c r="H2563" t="s">
        <v>5</v>
      </c>
      <c r="I2563" t="s">
        <v>1471</v>
      </c>
      <c r="J2563" t="s">
        <v>7</v>
      </c>
      <c r="K2563" s="3">
        <f t="shared" ref="K2563:K2626" si="80">IF(ISERROR(FIND("LIEN",A2563,1)),0,1)</f>
        <v>0</v>
      </c>
      <c r="L2563" s="3">
        <f>IF(ISERROR(VLOOKUP(J2563,Lookups!$A$2:$A$16,1,FALSE)),1,0)</f>
        <v>1</v>
      </c>
      <c r="M2563" s="3">
        <f>IF(ISERROR(VLOOKUP(D2563,Data!$A$2:$D$223100,2,FALSE)),0,1)</f>
        <v>1</v>
      </c>
      <c r="N2563" s="3">
        <f t="shared" ref="N2563:N2626" si="81">IF(M2563=0,0,IF(SUM(K2563:L2563)&gt;0,1,0))</f>
        <v>1</v>
      </c>
      <c r="O2563" s="3" t="str">
        <f>IF(ISERROR(VLOOKUP(D2563,Data!$A$2:$C$223100,3,FALSE)),"INACTIVE",VLOOKUP(D2563,Data!$A$2:$C$223100,3,FALSE))</f>
        <v>Current</v>
      </c>
    </row>
    <row r="2564" spans="1:15" x14ac:dyDescent="0.25">
      <c r="A2564" t="s">
        <v>1634</v>
      </c>
      <c r="B2564" t="s">
        <v>1635</v>
      </c>
      <c r="C2564" t="s">
        <v>1642</v>
      </c>
      <c r="D2564" t="s">
        <v>1643</v>
      </c>
      <c r="E2564" t="s">
        <v>1644</v>
      </c>
      <c r="F2564" t="s">
        <v>5</v>
      </c>
      <c r="G2564" t="s">
        <v>5</v>
      </c>
      <c r="H2564" t="s">
        <v>5</v>
      </c>
      <c r="I2564" t="s">
        <v>1471</v>
      </c>
      <c r="J2564" t="s">
        <v>7</v>
      </c>
      <c r="K2564" s="3">
        <f t="shared" si="80"/>
        <v>0</v>
      </c>
      <c r="L2564" s="3">
        <f>IF(ISERROR(VLOOKUP(J2564,Lookups!$A$2:$A$16,1,FALSE)),1,0)</f>
        <v>1</v>
      </c>
      <c r="M2564" s="3">
        <f>IF(ISERROR(VLOOKUP(D2564,Data!$A$2:$D$223100,2,FALSE)),0,1)</f>
        <v>1</v>
      </c>
      <c r="N2564" s="3">
        <f t="shared" si="81"/>
        <v>1</v>
      </c>
      <c r="O2564" s="3" t="str">
        <f>IF(ISERROR(VLOOKUP(D2564,Data!$A$2:$C$223100,3,FALSE)),"INACTIVE",VLOOKUP(D2564,Data!$A$2:$C$223100,3,FALSE))</f>
        <v>FC</v>
      </c>
    </row>
    <row r="2565" spans="1:15" x14ac:dyDescent="0.25">
      <c r="A2565" t="s">
        <v>1634</v>
      </c>
      <c r="B2565" t="s">
        <v>1635</v>
      </c>
      <c r="C2565" t="s">
        <v>1645</v>
      </c>
      <c r="D2565" t="s">
        <v>1646</v>
      </c>
      <c r="E2565" t="s">
        <v>1647</v>
      </c>
      <c r="F2565" t="s">
        <v>5</v>
      </c>
      <c r="G2565" t="s">
        <v>5</v>
      </c>
      <c r="H2565" t="s">
        <v>5</v>
      </c>
      <c r="I2565" t="s">
        <v>1471</v>
      </c>
      <c r="J2565" t="s">
        <v>7</v>
      </c>
      <c r="K2565" s="3">
        <f t="shared" si="80"/>
        <v>0</v>
      </c>
      <c r="L2565" s="3">
        <f>IF(ISERROR(VLOOKUP(J2565,Lookups!$A$2:$A$16,1,FALSE)),1,0)</f>
        <v>1</v>
      </c>
      <c r="M2565" s="3">
        <f>IF(ISERROR(VLOOKUP(D2565,Data!$A$2:$D$223100,2,FALSE)),0,1)</f>
        <v>1</v>
      </c>
      <c r="N2565" s="3">
        <f t="shared" si="81"/>
        <v>1</v>
      </c>
      <c r="O2565" s="3" t="str">
        <f>IF(ISERROR(VLOOKUP(D2565,Data!$A$2:$C$223100,3,FALSE)),"INACTIVE",VLOOKUP(D2565,Data!$A$2:$C$223100,3,FALSE))</f>
        <v>60+</v>
      </c>
    </row>
    <row r="2566" spans="1:15" x14ac:dyDescent="0.25">
      <c r="A2566" t="s">
        <v>1889</v>
      </c>
      <c r="B2566" t="s">
        <v>1890</v>
      </c>
      <c r="C2566" t="s">
        <v>1891</v>
      </c>
      <c r="D2566" t="s">
        <v>1892</v>
      </c>
      <c r="E2566" t="s">
        <v>1840</v>
      </c>
      <c r="F2566" t="s">
        <v>1840</v>
      </c>
      <c r="G2566" t="s">
        <v>5</v>
      </c>
      <c r="H2566" t="s">
        <v>5</v>
      </c>
      <c r="I2566" t="s">
        <v>1471</v>
      </c>
      <c r="J2566" t="s">
        <v>40</v>
      </c>
      <c r="K2566" s="3">
        <f t="shared" si="80"/>
        <v>0</v>
      </c>
      <c r="L2566" s="3">
        <f>IF(ISERROR(VLOOKUP(J2566,Lookups!$A$2:$A$16,1,FALSE)),1,0)</f>
        <v>1</v>
      </c>
      <c r="M2566" s="3">
        <f>IF(ISERROR(VLOOKUP(D2566,Data!$A$2:$D$223100,2,FALSE)),0,1)</f>
        <v>1</v>
      </c>
      <c r="N2566" s="3">
        <f t="shared" si="81"/>
        <v>1</v>
      </c>
      <c r="O2566" s="3" t="str">
        <f>IF(ISERROR(VLOOKUP(D2566,Data!$A$2:$C$223100,3,FALSE)),"INACTIVE",VLOOKUP(D2566,Data!$A$2:$C$223100,3,FALSE))</f>
        <v>Current</v>
      </c>
    </row>
    <row r="2567" spans="1:15" x14ac:dyDescent="0.25">
      <c r="A2567" t="s">
        <v>3548</v>
      </c>
      <c r="B2567" t="s">
        <v>3549</v>
      </c>
      <c r="C2567" t="s">
        <v>3550</v>
      </c>
      <c r="D2567" t="s">
        <v>3551</v>
      </c>
      <c r="E2567" t="s">
        <v>3552</v>
      </c>
      <c r="F2567" t="s">
        <v>3552</v>
      </c>
      <c r="G2567" t="s">
        <v>5</v>
      </c>
      <c r="H2567" t="s">
        <v>5</v>
      </c>
      <c r="I2567" t="s">
        <v>1471</v>
      </c>
      <c r="J2567" t="s">
        <v>47</v>
      </c>
      <c r="K2567" s="3">
        <f t="shared" si="80"/>
        <v>0</v>
      </c>
      <c r="L2567" s="3">
        <f>IF(ISERROR(VLOOKUP(J2567,Lookups!$A$2:$A$16,1,FALSE)),1,0)</f>
        <v>1</v>
      </c>
      <c r="M2567" s="3">
        <f>IF(ISERROR(VLOOKUP(D2567,Data!$A$2:$D$223100,2,FALSE)),0,1)</f>
        <v>1</v>
      </c>
      <c r="N2567" s="3">
        <f t="shared" si="81"/>
        <v>1</v>
      </c>
      <c r="O2567" s="3" t="str">
        <f>IF(ISERROR(VLOOKUP(D2567,Data!$A$2:$C$223100,3,FALSE)),"INACTIVE",VLOOKUP(D2567,Data!$A$2:$C$223100,3,FALSE))</f>
        <v>Current</v>
      </c>
    </row>
    <row r="2568" spans="1:15" x14ac:dyDescent="0.25">
      <c r="A2568" t="s">
        <v>3930</v>
      </c>
      <c r="B2568" t="s">
        <v>3931</v>
      </c>
      <c r="C2568" t="s">
        <v>3932</v>
      </c>
      <c r="D2568" t="s">
        <v>3933</v>
      </c>
      <c r="E2568" t="s">
        <v>3934</v>
      </c>
      <c r="F2568" t="s">
        <v>5</v>
      </c>
      <c r="G2568" t="s">
        <v>5</v>
      </c>
      <c r="H2568" t="s">
        <v>5</v>
      </c>
      <c r="I2568" t="s">
        <v>1471</v>
      </c>
      <c r="J2568" t="s">
        <v>7</v>
      </c>
      <c r="K2568" s="3">
        <f t="shared" si="80"/>
        <v>0</v>
      </c>
      <c r="L2568" s="3">
        <f>IF(ISERROR(VLOOKUP(J2568,Lookups!$A$2:$A$16,1,FALSE)),1,0)</f>
        <v>1</v>
      </c>
      <c r="M2568" s="3">
        <f>IF(ISERROR(VLOOKUP(D2568,Data!$A$2:$D$223100,2,FALSE)),0,1)</f>
        <v>1</v>
      </c>
      <c r="N2568" s="3">
        <f t="shared" si="81"/>
        <v>1</v>
      </c>
      <c r="O2568" s="3" t="str">
        <f>IF(ISERROR(VLOOKUP(D2568,Data!$A$2:$C$223100,3,FALSE)),"INACTIVE",VLOOKUP(D2568,Data!$A$2:$C$223100,3,FALSE))</f>
        <v>Current</v>
      </c>
    </row>
    <row r="2569" spans="1:15" x14ac:dyDescent="0.25">
      <c r="A2569" t="s">
        <v>4124</v>
      </c>
      <c r="B2569" t="s">
        <v>4125</v>
      </c>
      <c r="C2569" t="s">
        <v>4126</v>
      </c>
      <c r="D2569" t="s">
        <v>4127</v>
      </c>
      <c r="E2569" t="s">
        <v>4128</v>
      </c>
      <c r="F2569" t="s">
        <v>5</v>
      </c>
      <c r="G2569" t="s">
        <v>5</v>
      </c>
      <c r="H2569" t="s">
        <v>5</v>
      </c>
      <c r="I2569" t="s">
        <v>1471</v>
      </c>
      <c r="J2569" t="s">
        <v>7</v>
      </c>
      <c r="K2569" s="3">
        <f t="shared" si="80"/>
        <v>0</v>
      </c>
      <c r="L2569" s="3">
        <f>IF(ISERROR(VLOOKUP(J2569,Lookups!$A$2:$A$16,1,FALSE)),1,0)</f>
        <v>1</v>
      </c>
      <c r="M2569" s="3">
        <f>IF(ISERROR(VLOOKUP(D2569,Data!$A$2:$D$223100,2,FALSE)),0,1)</f>
        <v>1</v>
      </c>
      <c r="N2569" s="3">
        <f t="shared" si="81"/>
        <v>1</v>
      </c>
      <c r="O2569" s="3" t="str">
        <f>IF(ISERROR(VLOOKUP(D2569,Data!$A$2:$C$223100,3,FALSE)),"INACTIVE",VLOOKUP(D2569,Data!$A$2:$C$223100,3,FALSE))</f>
        <v>Current</v>
      </c>
    </row>
    <row r="2570" spans="1:15" x14ac:dyDescent="0.25">
      <c r="A2570" t="s">
        <v>4124</v>
      </c>
      <c r="B2570" t="s">
        <v>4125</v>
      </c>
      <c r="C2570" t="s">
        <v>4129</v>
      </c>
      <c r="D2570" t="s">
        <v>4130</v>
      </c>
      <c r="E2570" t="s">
        <v>4131</v>
      </c>
      <c r="F2570" t="s">
        <v>5</v>
      </c>
      <c r="G2570" t="s">
        <v>5</v>
      </c>
      <c r="H2570" t="s">
        <v>5</v>
      </c>
      <c r="I2570" t="s">
        <v>1471</v>
      </c>
      <c r="J2570" t="s">
        <v>7</v>
      </c>
      <c r="K2570" s="3">
        <f t="shared" si="80"/>
        <v>0</v>
      </c>
      <c r="L2570" s="3">
        <f>IF(ISERROR(VLOOKUP(J2570,Lookups!$A$2:$A$16,1,FALSE)),1,0)</f>
        <v>1</v>
      </c>
      <c r="M2570" s="3">
        <f>IF(ISERROR(VLOOKUP(D2570,Data!$A$2:$D$223100,2,FALSE)),0,1)</f>
        <v>1</v>
      </c>
      <c r="N2570" s="3">
        <f t="shared" si="81"/>
        <v>1</v>
      </c>
      <c r="O2570" s="3" t="str">
        <f>IF(ISERROR(VLOOKUP(D2570,Data!$A$2:$C$223100,3,FALSE)),"INACTIVE",VLOOKUP(D2570,Data!$A$2:$C$223100,3,FALSE))</f>
        <v>BK11</v>
      </c>
    </row>
    <row r="2571" spans="1:15" x14ac:dyDescent="0.25">
      <c r="A2571" t="s">
        <v>4124</v>
      </c>
      <c r="B2571" t="s">
        <v>4125</v>
      </c>
      <c r="C2571" t="s">
        <v>4132</v>
      </c>
      <c r="D2571" t="s">
        <v>4133</v>
      </c>
      <c r="E2571" t="s">
        <v>4134</v>
      </c>
      <c r="F2571" t="s">
        <v>5</v>
      </c>
      <c r="G2571" t="s">
        <v>5</v>
      </c>
      <c r="H2571" t="s">
        <v>5</v>
      </c>
      <c r="I2571" t="s">
        <v>1471</v>
      </c>
      <c r="J2571" t="s">
        <v>7</v>
      </c>
      <c r="K2571" s="3">
        <f t="shared" si="80"/>
        <v>0</v>
      </c>
      <c r="L2571" s="3">
        <f>IF(ISERROR(VLOOKUP(J2571,Lookups!$A$2:$A$16,1,FALSE)),1,0)</f>
        <v>1</v>
      </c>
      <c r="M2571" s="3">
        <f>IF(ISERROR(VLOOKUP(D2571,Data!$A$2:$D$223100,2,FALSE)),0,1)</f>
        <v>0</v>
      </c>
      <c r="N2571" s="3">
        <f t="shared" si="81"/>
        <v>0</v>
      </c>
      <c r="O2571" s="3" t="str">
        <f>IF(ISERROR(VLOOKUP(D2571,Data!$A$2:$C$223100,3,FALSE)),"INACTIVE",VLOOKUP(D2571,Data!$A$2:$C$223100,3,FALSE))</f>
        <v>INACTIVE</v>
      </c>
    </row>
    <row r="2572" spans="1:15" x14ac:dyDescent="0.25">
      <c r="A2572" t="s">
        <v>4124</v>
      </c>
      <c r="B2572" t="s">
        <v>4125</v>
      </c>
      <c r="C2572" t="s">
        <v>4135</v>
      </c>
      <c r="D2572" t="s">
        <v>4136</v>
      </c>
      <c r="E2572" t="s">
        <v>4137</v>
      </c>
      <c r="F2572" t="s">
        <v>5</v>
      </c>
      <c r="G2572" t="s">
        <v>5</v>
      </c>
      <c r="H2572" t="s">
        <v>5</v>
      </c>
      <c r="I2572" t="s">
        <v>1471</v>
      </c>
      <c r="J2572" t="s">
        <v>7</v>
      </c>
      <c r="K2572" s="3">
        <f t="shared" si="80"/>
        <v>0</v>
      </c>
      <c r="L2572" s="3">
        <f>IF(ISERROR(VLOOKUP(J2572,Lookups!$A$2:$A$16,1,FALSE)),1,0)</f>
        <v>1</v>
      </c>
      <c r="M2572" s="3">
        <f>IF(ISERROR(VLOOKUP(D2572,Data!$A$2:$D$223100,2,FALSE)),0,1)</f>
        <v>1</v>
      </c>
      <c r="N2572" s="3">
        <f t="shared" si="81"/>
        <v>1</v>
      </c>
      <c r="O2572" s="3" t="str">
        <f>IF(ISERROR(VLOOKUP(D2572,Data!$A$2:$C$223100,3,FALSE)),"INACTIVE",VLOOKUP(D2572,Data!$A$2:$C$223100,3,FALSE))</f>
        <v>FC</v>
      </c>
    </row>
    <row r="2573" spans="1:15" x14ac:dyDescent="0.25">
      <c r="A2573" t="s">
        <v>4124</v>
      </c>
      <c r="B2573" t="s">
        <v>4125</v>
      </c>
      <c r="C2573" t="s">
        <v>4138</v>
      </c>
      <c r="D2573" t="s">
        <v>4139</v>
      </c>
      <c r="E2573" t="s">
        <v>4140</v>
      </c>
      <c r="F2573" t="s">
        <v>5</v>
      </c>
      <c r="G2573" t="s">
        <v>5</v>
      </c>
      <c r="H2573" t="s">
        <v>5</v>
      </c>
      <c r="I2573" t="s">
        <v>1471</v>
      </c>
      <c r="J2573" t="s">
        <v>7</v>
      </c>
      <c r="K2573" s="3">
        <f t="shared" si="80"/>
        <v>0</v>
      </c>
      <c r="L2573" s="3">
        <f>IF(ISERROR(VLOOKUP(J2573,Lookups!$A$2:$A$16,1,FALSE)),1,0)</f>
        <v>1</v>
      </c>
      <c r="M2573" s="3">
        <f>IF(ISERROR(VLOOKUP(D2573,Data!$A$2:$D$223100,2,FALSE)),0,1)</f>
        <v>1</v>
      </c>
      <c r="N2573" s="3">
        <f t="shared" si="81"/>
        <v>1</v>
      </c>
      <c r="O2573" s="3" t="str">
        <f>IF(ISERROR(VLOOKUP(D2573,Data!$A$2:$C$223100,3,FALSE)),"INACTIVE",VLOOKUP(D2573,Data!$A$2:$C$223100,3,FALSE))</f>
        <v>FC</v>
      </c>
    </row>
    <row r="2574" spans="1:15" x14ac:dyDescent="0.25">
      <c r="A2574" t="s">
        <v>4124</v>
      </c>
      <c r="B2574" t="s">
        <v>4125</v>
      </c>
      <c r="C2574" t="s">
        <v>4141</v>
      </c>
      <c r="D2574" t="s">
        <v>4142</v>
      </c>
      <c r="E2574" t="s">
        <v>4143</v>
      </c>
      <c r="F2574" t="s">
        <v>5</v>
      </c>
      <c r="G2574" t="s">
        <v>5</v>
      </c>
      <c r="H2574" t="s">
        <v>5</v>
      </c>
      <c r="I2574" t="s">
        <v>1471</v>
      </c>
      <c r="J2574" t="s">
        <v>7</v>
      </c>
      <c r="K2574" s="3">
        <f t="shared" si="80"/>
        <v>0</v>
      </c>
      <c r="L2574" s="3">
        <f>IF(ISERROR(VLOOKUP(J2574,Lookups!$A$2:$A$16,1,FALSE)),1,0)</f>
        <v>1</v>
      </c>
      <c r="M2574" s="3">
        <f>IF(ISERROR(VLOOKUP(D2574,Data!$A$2:$D$223100,2,FALSE)),0,1)</f>
        <v>1</v>
      </c>
      <c r="N2574" s="3">
        <f t="shared" si="81"/>
        <v>1</v>
      </c>
      <c r="O2574" s="3" t="str">
        <f>IF(ISERROR(VLOOKUP(D2574,Data!$A$2:$C$223100,3,FALSE)),"INACTIVE",VLOOKUP(D2574,Data!$A$2:$C$223100,3,FALSE))</f>
        <v>Current</v>
      </c>
    </row>
    <row r="2575" spans="1:15" x14ac:dyDescent="0.25">
      <c r="A2575" t="s">
        <v>4124</v>
      </c>
      <c r="B2575" t="s">
        <v>4125</v>
      </c>
      <c r="C2575" t="s">
        <v>4144</v>
      </c>
      <c r="D2575" t="s">
        <v>4145</v>
      </c>
      <c r="E2575" t="s">
        <v>4146</v>
      </c>
      <c r="F2575" t="s">
        <v>5</v>
      </c>
      <c r="G2575" t="s">
        <v>5</v>
      </c>
      <c r="H2575" t="s">
        <v>5</v>
      </c>
      <c r="I2575" t="s">
        <v>1471</v>
      </c>
      <c r="J2575" t="s">
        <v>7</v>
      </c>
      <c r="K2575" s="3">
        <f t="shared" si="80"/>
        <v>0</v>
      </c>
      <c r="L2575" s="3">
        <f>IF(ISERROR(VLOOKUP(J2575,Lookups!$A$2:$A$16,1,FALSE)),1,0)</f>
        <v>1</v>
      </c>
      <c r="M2575" s="3">
        <f>IF(ISERROR(VLOOKUP(D2575,Data!$A$2:$D$223100,2,FALSE)),0,1)</f>
        <v>1</v>
      </c>
      <c r="N2575" s="3">
        <f t="shared" si="81"/>
        <v>1</v>
      </c>
      <c r="O2575" s="3" t="str">
        <f>IF(ISERROR(VLOOKUP(D2575,Data!$A$2:$C$223100,3,FALSE)),"INACTIVE",VLOOKUP(D2575,Data!$A$2:$C$223100,3,FALSE))</f>
        <v>180+</v>
      </c>
    </row>
    <row r="2576" spans="1:15" x14ac:dyDescent="0.25">
      <c r="A2576" t="s">
        <v>4124</v>
      </c>
      <c r="B2576" t="s">
        <v>4125</v>
      </c>
      <c r="C2576" t="s">
        <v>4147</v>
      </c>
      <c r="D2576" t="s">
        <v>4148</v>
      </c>
      <c r="E2576" t="s">
        <v>4149</v>
      </c>
      <c r="F2576" t="s">
        <v>5</v>
      </c>
      <c r="G2576" t="s">
        <v>5</v>
      </c>
      <c r="H2576" t="s">
        <v>5</v>
      </c>
      <c r="I2576" t="s">
        <v>1471</v>
      </c>
      <c r="J2576" t="s">
        <v>90</v>
      </c>
      <c r="K2576" s="3">
        <f t="shared" si="80"/>
        <v>0</v>
      </c>
      <c r="L2576" s="3">
        <f>IF(ISERROR(VLOOKUP(J2576,Lookups!$A$2:$A$16,1,FALSE)),1,0)</f>
        <v>0</v>
      </c>
      <c r="M2576" s="3">
        <f>IF(ISERROR(VLOOKUP(D2576,Data!$A$2:$D$223100,2,FALSE)),0,1)</f>
        <v>1</v>
      </c>
      <c r="N2576" s="3">
        <f t="shared" si="81"/>
        <v>0</v>
      </c>
      <c r="O2576" s="3" t="str">
        <f>IF(ISERROR(VLOOKUP(D2576,Data!$A$2:$C$223100,3,FALSE)),"INACTIVE",VLOOKUP(D2576,Data!$A$2:$C$223100,3,FALSE))</f>
        <v>BK13</v>
      </c>
    </row>
    <row r="2577" spans="1:15" x14ac:dyDescent="0.25">
      <c r="A2577" t="s">
        <v>4124</v>
      </c>
      <c r="B2577" t="s">
        <v>4125</v>
      </c>
      <c r="C2577" t="s">
        <v>4150</v>
      </c>
      <c r="D2577" t="s">
        <v>4151</v>
      </c>
      <c r="E2577" t="s">
        <v>4152</v>
      </c>
      <c r="F2577" t="s">
        <v>5</v>
      </c>
      <c r="G2577" t="s">
        <v>5</v>
      </c>
      <c r="H2577" t="s">
        <v>5</v>
      </c>
      <c r="I2577" t="s">
        <v>1471</v>
      </c>
      <c r="J2577" t="s">
        <v>7</v>
      </c>
      <c r="K2577" s="3">
        <f t="shared" si="80"/>
        <v>0</v>
      </c>
      <c r="L2577" s="3">
        <f>IF(ISERROR(VLOOKUP(J2577,Lookups!$A$2:$A$16,1,FALSE)),1,0)</f>
        <v>1</v>
      </c>
      <c r="M2577" s="3">
        <f>IF(ISERROR(VLOOKUP(D2577,Data!$A$2:$D$223100,2,FALSE)),0,1)</f>
        <v>1</v>
      </c>
      <c r="N2577" s="3">
        <f t="shared" si="81"/>
        <v>1</v>
      </c>
      <c r="O2577" s="3" t="str">
        <f>IF(ISERROR(VLOOKUP(D2577,Data!$A$2:$C$223100,3,FALSE)),"INACTIVE",VLOOKUP(D2577,Data!$A$2:$C$223100,3,FALSE))</f>
        <v>FC</v>
      </c>
    </row>
    <row r="2578" spans="1:15" x14ac:dyDescent="0.25">
      <c r="A2578" t="s">
        <v>4124</v>
      </c>
      <c r="B2578" t="s">
        <v>4125</v>
      </c>
      <c r="C2578" t="s">
        <v>4153</v>
      </c>
      <c r="D2578" t="s">
        <v>4154</v>
      </c>
      <c r="E2578" t="s">
        <v>4155</v>
      </c>
      <c r="F2578" t="s">
        <v>5</v>
      </c>
      <c r="G2578" t="s">
        <v>5</v>
      </c>
      <c r="H2578" t="s">
        <v>5</v>
      </c>
      <c r="I2578" t="s">
        <v>1471</v>
      </c>
      <c r="J2578" t="s">
        <v>7</v>
      </c>
      <c r="K2578" s="3">
        <f t="shared" si="80"/>
        <v>0</v>
      </c>
      <c r="L2578" s="3">
        <f>IF(ISERROR(VLOOKUP(J2578,Lookups!$A$2:$A$16,1,FALSE)),1,0)</f>
        <v>1</v>
      </c>
      <c r="M2578" s="3">
        <f>IF(ISERROR(VLOOKUP(D2578,Data!$A$2:$D$223100,2,FALSE)),0,1)</f>
        <v>1</v>
      </c>
      <c r="N2578" s="3">
        <f t="shared" si="81"/>
        <v>1</v>
      </c>
      <c r="O2578" s="3" t="str">
        <f>IF(ISERROR(VLOOKUP(D2578,Data!$A$2:$C$223100,3,FALSE)),"INACTIVE",VLOOKUP(D2578,Data!$A$2:$C$223100,3,FALSE))</f>
        <v>FC</v>
      </c>
    </row>
    <row r="2579" spans="1:15" x14ac:dyDescent="0.25">
      <c r="A2579" t="s">
        <v>4124</v>
      </c>
      <c r="B2579" t="s">
        <v>4125</v>
      </c>
      <c r="C2579" t="s">
        <v>4156</v>
      </c>
      <c r="D2579" t="s">
        <v>4157</v>
      </c>
      <c r="E2579" t="s">
        <v>4158</v>
      </c>
      <c r="F2579" t="s">
        <v>5</v>
      </c>
      <c r="G2579" t="s">
        <v>5</v>
      </c>
      <c r="H2579" t="s">
        <v>5</v>
      </c>
      <c r="I2579" t="s">
        <v>1471</v>
      </c>
      <c r="J2579" t="s">
        <v>90</v>
      </c>
      <c r="K2579" s="3">
        <f t="shared" si="80"/>
        <v>0</v>
      </c>
      <c r="L2579" s="3">
        <f>IF(ISERROR(VLOOKUP(J2579,Lookups!$A$2:$A$16,1,FALSE)),1,0)</f>
        <v>0</v>
      </c>
      <c r="M2579" s="3">
        <f>IF(ISERROR(VLOOKUP(D2579,Data!$A$2:$D$223100,2,FALSE)),0,1)</f>
        <v>0</v>
      </c>
      <c r="N2579" s="3">
        <f t="shared" si="81"/>
        <v>0</v>
      </c>
      <c r="O2579" s="3" t="str">
        <f>IF(ISERROR(VLOOKUP(D2579,Data!$A$2:$C$223100,3,FALSE)),"INACTIVE",VLOOKUP(D2579,Data!$A$2:$C$223100,3,FALSE))</f>
        <v>INACTIVE</v>
      </c>
    </row>
    <row r="2580" spans="1:15" x14ac:dyDescent="0.25">
      <c r="A2580" t="s">
        <v>4124</v>
      </c>
      <c r="B2580" t="s">
        <v>4125</v>
      </c>
      <c r="C2580" t="s">
        <v>4156</v>
      </c>
      <c r="D2580" t="s">
        <v>4157</v>
      </c>
      <c r="E2580" t="s">
        <v>4159</v>
      </c>
      <c r="F2580" t="s">
        <v>5</v>
      </c>
      <c r="G2580" t="s">
        <v>5</v>
      </c>
      <c r="H2580" t="s">
        <v>5</v>
      </c>
      <c r="I2580" t="s">
        <v>1471</v>
      </c>
      <c r="J2580" t="s">
        <v>90</v>
      </c>
      <c r="K2580" s="3">
        <f t="shared" si="80"/>
        <v>0</v>
      </c>
      <c r="L2580" s="3">
        <f>IF(ISERROR(VLOOKUP(J2580,Lookups!$A$2:$A$16,1,FALSE)),1,0)</f>
        <v>0</v>
      </c>
      <c r="M2580" s="3">
        <f>IF(ISERROR(VLOOKUP(D2580,Data!$A$2:$D$223100,2,FALSE)),0,1)</f>
        <v>0</v>
      </c>
      <c r="N2580" s="3">
        <f t="shared" si="81"/>
        <v>0</v>
      </c>
      <c r="O2580" s="3" t="str">
        <f>IF(ISERROR(VLOOKUP(D2580,Data!$A$2:$C$223100,3,FALSE)),"INACTIVE",VLOOKUP(D2580,Data!$A$2:$C$223100,3,FALSE))</f>
        <v>INACTIVE</v>
      </c>
    </row>
    <row r="2581" spans="1:15" x14ac:dyDescent="0.25">
      <c r="A2581" t="s">
        <v>4124</v>
      </c>
      <c r="B2581" t="s">
        <v>4125</v>
      </c>
      <c r="C2581" t="s">
        <v>4160</v>
      </c>
      <c r="D2581" t="s">
        <v>4161</v>
      </c>
      <c r="E2581" t="s">
        <v>4162</v>
      </c>
      <c r="F2581" t="s">
        <v>5</v>
      </c>
      <c r="G2581" t="s">
        <v>5</v>
      </c>
      <c r="H2581" t="s">
        <v>5</v>
      </c>
      <c r="I2581" t="s">
        <v>1471</v>
      </c>
      <c r="J2581" t="s">
        <v>7</v>
      </c>
      <c r="K2581" s="3">
        <f t="shared" si="80"/>
        <v>0</v>
      </c>
      <c r="L2581" s="3">
        <f>IF(ISERROR(VLOOKUP(J2581,Lookups!$A$2:$A$16,1,FALSE)),1,0)</f>
        <v>1</v>
      </c>
      <c r="M2581" s="3">
        <f>IF(ISERROR(VLOOKUP(D2581,Data!$A$2:$D$223100,2,FALSE)),0,1)</f>
        <v>1</v>
      </c>
      <c r="N2581" s="3">
        <f t="shared" si="81"/>
        <v>1</v>
      </c>
      <c r="O2581" s="3" t="str">
        <f>IF(ISERROR(VLOOKUP(D2581,Data!$A$2:$C$223100,3,FALSE)),"INACTIVE",VLOOKUP(D2581,Data!$A$2:$C$223100,3,FALSE))</f>
        <v>Current</v>
      </c>
    </row>
    <row r="2582" spans="1:15" x14ac:dyDescent="0.25">
      <c r="A2582" t="s">
        <v>4124</v>
      </c>
      <c r="B2582" t="s">
        <v>4125</v>
      </c>
      <c r="C2582" t="s">
        <v>4163</v>
      </c>
      <c r="D2582" t="s">
        <v>4164</v>
      </c>
      <c r="E2582" t="s">
        <v>4165</v>
      </c>
      <c r="F2582" t="s">
        <v>5</v>
      </c>
      <c r="G2582" t="s">
        <v>5</v>
      </c>
      <c r="H2582" t="s">
        <v>5</v>
      </c>
      <c r="I2582" t="s">
        <v>1471</v>
      </c>
      <c r="J2582" t="s">
        <v>7</v>
      </c>
      <c r="K2582" s="3">
        <f t="shared" si="80"/>
        <v>0</v>
      </c>
      <c r="L2582" s="3">
        <f>IF(ISERROR(VLOOKUP(J2582,Lookups!$A$2:$A$16,1,FALSE)),1,0)</f>
        <v>1</v>
      </c>
      <c r="M2582" s="3">
        <f>IF(ISERROR(VLOOKUP(D2582,Data!$A$2:$D$223100,2,FALSE)),0,1)</f>
        <v>1</v>
      </c>
      <c r="N2582" s="3">
        <f t="shared" si="81"/>
        <v>1</v>
      </c>
      <c r="O2582" s="3" t="str">
        <f>IF(ISERROR(VLOOKUP(D2582,Data!$A$2:$C$223100,3,FALSE)),"INACTIVE",VLOOKUP(D2582,Data!$A$2:$C$223100,3,FALSE))</f>
        <v>FC</v>
      </c>
    </row>
    <row r="2583" spans="1:15" x14ac:dyDescent="0.25">
      <c r="A2583" t="s">
        <v>4124</v>
      </c>
      <c r="B2583" t="s">
        <v>4125</v>
      </c>
      <c r="C2583" t="s">
        <v>4166</v>
      </c>
      <c r="D2583" t="s">
        <v>4167</v>
      </c>
      <c r="E2583" t="s">
        <v>4168</v>
      </c>
      <c r="F2583" t="s">
        <v>5</v>
      </c>
      <c r="G2583" t="s">
        <v>5</v>
      </c>
      <c r="H2583" t="s">
        <v>5</v>
      </c>
      <c r="I2583" t="s">
        <v>1471</v>
      </c>
      <c r="J2583" t="s">
        <v>7</v>
      </c>
      <c r="K2583" s="3">
        <f t="shared" si="80"/>
        <v>0</v>
      </c>
      <c r="L2583" s="3">
        <f>IF(ISERROR(VLOOKUP(J2583,Lookups!$A$2:$A$16,1,FALSE)),1,0)</f>
        <v>1</v>
      </c>
      <c r="M2583" s="3">
        <f>IF(ISERROR(VLOOKUP(D2583,Data!$A$2:$D$223100,2,FALSE)),0,1)</f>
        <v>1</v>
      </c>
      <c r="N2583" s="3">
        <f t="shared" si="81"/>
        <v>1</v>
      </c>
      <c r="O2583" s="3" t="str">
        <f>IF(ISERROR(VLOOKUP(D2583,Data!$A$2:$C$223100,3,FALSE)),"INACTIVE",VLOOKUP(D2583,Data!$A$2:$C$223100,3,FALSE))</f>
        <v>Demand Letter</v>
      </c>
    </row>
    <row r="2584" spans="1:15" x14ac:dyDescent="0.25">
      <c r="A2584" t="s">
        <v>4124</v>
      </c>
      <c r="B2584" t="s">
        <v>4125</v>
      </c>
      <c r="C2584" t="s">
        <v>4169</v>
      </c>
      <c r="D2584" t="s">
        <v>4170</v>
      </c>
      <c r="E2584" t="s">
        <v>4171</v>
      </c>
      <c r="F2584" t="s">
        <v>5</v>
      </c>
      <c r="G2584" t="s">
        <v>5</v>
      </c>
      <c r="H2584" t="s">
        <v>5</v>
      </c>
      <c r="I2584" t="s">
        <v>1471</v>
      </c>
      <c r="J2584" t="s">
        <v>96</v>
      </c>
      <c r="K2584" s="3">
        <f t="shared" si="80"/>
        <v>0</v>
      </c>
      <c r="L2584" s="3">
        <f>IF(ISERROR(VLOOKUP(J2584,Lookups!$A$2:$A$16,1,FALSE)),1,0)</f>
        <v>0</v>
      </c>
      <c r="M2584" s="3">
        <f>IF(ISERROR(VLOOKUP(D2584,Data!$A$2:$D$223100,2,FALSE)),0,1)</f>
        <v>1</v>
      </c>
      <c r="N2584" s="3">
        <f t="shared" si="81"/>
        <v>0</v>
      </c>
      <c r="O2584" s="3" t="str">
        <f>IF(ISERROR(VLOOKUP(D2584,Data!$A$2:$C$223100,3,FALSE)),"INACTIVE",VLOOKUP(D2584,Data!$A$2:$C$223100,3,FALSE))</f>
        <v>FC</v>
      </c>
    </row>
    <row r="2585" spans="1:15" x14ac:dyDescent="0.25">
      <c r="A2585" t="s">
        <v>4124</v>
      </c>
      <c r="B2585" t="s">
        <v>4125</v>
      </c>
      <c r="C2585" t="s">
        <v>4169</v>
      </c>
      <c r="D2585" t="s">
        <v>4170</v>
      </c>
      <c r="E2585" t="s">
        <v>4172</v>
      </c>
      <c r="F2585" t="s">
        <v>5</v>
      </c>
      <c r="G2585" t="s">
        <v>5</v>
      </c>
      <c r="H2585" t="s">
        <v>5</v>
      </c>
      <c r="I2585" t="s">
        <v>1471</v>
      </c>
      <c r="J2585" t="s">
        <v>96</v>
      </c>
      <c r="K2585" s="3">
        <f t="shared" si="80"/>
        <v>0</v>
      </c>
      <c r="L2585" s="3">
        <f>IF(ISERROR(VLOOKUP(J2585,Lookups!$A$2:$A$16,1,FALSE)),1,0)</f>
        <v>0</v>
      </c>
      <c r="M2585" s="3">
        <f>IF(ISERROR(VLOOKUP(D2585,Data!$A$2:$D$223100,2,FALSE)),0,1)</f>
        <v>1</v>
      </c>
      <c r="N2585" s="3">
        <f t="shared" si="81"/>
        <v>0</v>
      </c>
      <c r="O2585" s="3" t="str">
        <f>IF(ISERROR(VLOOKUP(D2585,Data!$A$2:$C$223100,3,FALSE)),"INACTIVE",VLOOKUP(D2585,Data!$A$2:$C$223100,3,FALSE))</f>
        <v>FC</v>
      </c>
    </row>
    <row r="2586" spans="1:15" x14ac:dyDescent="0.25">
      <c r="A2586" t="s">
        <v>4124</v>
      </c>
      <c r="B2586" t="s">
        <v>4125</v>
      </c>
      <c r="C2586" t="s">
        <v>4169</v>
      </c>
      <c r="D2586" t="s">
        <v>4170</v>
      </c>
      <c r="E2586" t="s">
        <v>4173</v>
      </c>
      <c r="F2586" t="s">
        <v>5</v>
      </c>
      <c r="G2586" t="s">
        <v>5</v>
      </c>
      <c r="H2586" t="s">
        <v>5</v>
      </c>
      <c r="I2586" t="s">
        <v>1471</v>
      </c>
      <c r="J2586" t="s">
        <v>96</v>
      </c>
      <c r="K2586" s="3">
        <f t="shared" si="80"/>
        <v>0</v>
      </c>
      <c r="L2586" s="3">
        <f>IF(ISERROR(VLOOKUP(J2586,Lookups!$A$2:$A$16,1,FALSE)),1,0)</f>
        <v>0</v>
      </c>
      <c r="M2586" s="3">
        <f>IF(ISERROR(VLOOKUP(D2586,Data!$A$2:$D$223100,2,FALSE)),0,1)</f>
        <v>1</v>
      </c>
      <c r="N2586" s="3">
        <f t="shared" si="81"/>
        <v>0</v>
      </c>
      <c r="O2586" s="3" t="str">
        <f>IF(ISERROR(VLOOKUP(D2586,Data!$A$2:$C$223100,3,FALSE)),"INACTIVE",VLOOKUP(D2586,Data!$A$2:$C$223100,3,FALSE))</f>
        <v>FC</v>
      </c>
    </row>
    <row r="2587" spans="1:15" x14ac:dyDescent="0.25">
      <c r="A2587" t="s">
        <v>4124</v>
      </c>
      <c r="B2587" t="s">
        <v>4125</v>
      </c>
      <c r="C2587" t="s">
        <v>4174</v>
      </c>
      <c r="D2587" t="s">
        <v>4175</v>
      </c>
      <c r="E2587" t="s">
        <v>4176</v>
      </c>
      <c r="F2587" t="s">
        <v>5</v>
      </c>
      <c r="G2587" t="s">
        <v>5</v>
      </c>
      <c r="H2587" t="s">
        <v>5</v>
      </c>
      <c r="I2587" t="s">
        <v>1471</v>
      </c>
      <c r="J2587" t="s">
        <v>7</v>
      </c>
      <c r="K2587" s="3">
        <f t="shared" si="80"/>
        <v>0</v>
      </c>
      <c r="L2587" s="3">
        <f>IF(ISERROR(VLOOKUP(J2587,Lookups!$A$2:$A$16,1,FALSE)),1,0)</f>
        <v>1</v>
      </c>
      <c r="M2587" s="3">
        <f>IF(ISERROR(VLOOKUP(D2587,Data!$A$2:$D$223100,2,FALSE)),0,1)</f>
        <v>1</v>
      </c>
      <c r="N2587" s="3">
        <f t="shared" si="81"/>
        <v>1</v>
      </c>
      <c r="O2587" s="3" t="str">
        <f>IF(ISERROR(VLOOKUP(D2587,Data!$A$2:$C$223100,3,FALSE)),"INACTIVE",VLOOKUP(D2587,Data!$A$2:$C$223100,3,FALSE))</f>
        <v>180+</v>
      </c>
    </row>
    <row r="2588" spans="1:15" x14ac:dyDescent="0.25">
      <c r="A2588" t="s">
        <v>4124</v>
      </c>
      <c r="B2588" t="s">
        <v>4125</v>
      </c>
      <c r="C2588" t="s">
        <v>4177</v>
      </c>
      <c r="D2588" t="s">
        <v>4178</v>
      </c>
      <c r="E2588" t="s">
        <v>4179</v>
      </c>
      <c r="F2588" t="s">
        <v>5</v>
      </c>
      <c r="G2588" t="s">
        <v>5</v>
      </c>
      <c r="H2588" t="s">
        <v>5</v>
      </c>
      <c r="I2588" t="s">
        <v>1471</v>
      </c>
      <c r="J2588" t="s">
        <v>90</v>
      </c>
      <c r="K2588" s="3">
        <f t="shared" si="80"/>
        <v>0</v>
      </c>
      <c r="L2588" s="3">
        <f>IF(ISERROR(VLOOKUP(J2588,Lookups!$A$2:$A$16,1,FALSE)),1,0)</f>
        <v>0</v>
      </c>
      <c r="M2588" s="3">
        <f>IF(ISERROR(VLOOKUP(D2588,Data!$A$2:$D$223100,2,FALSE)),0,1)</f>
        <v>1</v>
      </c>
      <c r="N2588" s="3">
        <f t="shared" si="81"/>
        <v>0</v>
      </c>
      <c r="O2588" s="3" t="str">
        <f>IF(ISERROR(VLOOKUP(D2588,Data!$A$2:$C$223100,3,FALSE)),"INACTIVE",VLOOKUP(D2588,Data!$A$2:$C$223100,3,FALSE))</f>
        <v>Current</v>
      </c>
    </row>
    <row r="2589" spans="1:15" x14ac:dyDescent="0.25">
      <c r="A2589" t="s">
        <v>4124</v>
      </c>
      <c r="B2589" t="s">
        <v>4125</v>
      </c>
      <c r="C2589" t="s">
        <v>4177</v>
      </c>
      <c r="D2589" t="s">
        <v>4178</v>
      </c>
      <c r="E2589" t="s">
        <v>4180</v>
      </c>
      <c r="F2589" t="s">
        <v>5</v>
      </c>
      <c r="G2589" t="s">
        <v>5</v>
      </c>
      <c r="H2589" t="s">
        <v>5</v>
      </c>
      <c r="I2589" t="s">
        <v>1471</v>
      </c>
      <c r="J2589" t="s">
        <v>90</v>
      </c>
      <c r="K2589" s="3">
        <f t="shared" si="80"/>
        <v>0</v>
      </c>
      <c r="L2589" s="3">
        <f>IF(ISERROR(VLOOKUP(J2589,Lookups!$A$2:$A$16,1,FALSE)),1,0)</f>
        <v>0</v>
      </c>
      <c r="M2589" s="3">
        <f>IF(ISERROR(VLOOKUP(D2589,Data!$A$2:$D$223100,2,FALSE)),0,1)</f>
        <v>1</v>
      </c>
      <c r="N2589" s="3">
        <f t="shared" si="81"/>
        <v>0</v>
      </c>
      <c r="O2589" s="3" t="str">
        <f>IF(ISERROR(VLOOKUP(D2589,Data!$A$2:$C$223100,3,FALSE)),"INACTIVE",VLOOKUP(D2589,Data!$A$2:$C$223100,3,FALSE))</f>
        <v>Current</v>
      </c>
    </row>
    <row r="2590" spans="1:15" x14ac:dyDescent="0.25">
      <c r="A2590" t="s">
        <v>4124</v>
      </c>
      <c r="B2590" t="s">
        <v>4125</v>
      </c>
      <c r="C2590" t="s">
        <v>4181</v>
      </c>
      <c r="D2590" t="s">
        <v>4182</v>
      </c>
      <c r="E2590" t="s">
        <v>4183</v>
      </c>
      <c r="F2590" t="s">
        <v>5</v>
      </c>
      <c r="G2590" t="s">
        <v>5</v>
      </c>
      <c r="H2590" t="s">
        <v>5</v>
      </c>
      <c r="I2590" t="s">
        <v>1471</v>
      </c>
      <c r="J2590" t="s">
        <v>7</v>
      </c>
      <c r="K2590" s="3">
        <f t="shared" si="80"/>
        <v>0</v>
      </c>
      <c r="L2590" s="3">
        <f>IF(ISERROR(VLOOKUP(J2590,Lookups!$A$2:$A$16,1,FALSE)),1,0)</f>
        <v>1</v>
      </c>
      <c r="M2590" s="3">
        <f>IF(ISERROR(VLOOKUP(D2590,Data!$A$2:$D$223100,2,FALSE)),0,1)</f>
        <v>1</v>
      </c>
      <c r="N2590" s="3">
        <f t="shared" si="81"/>
        <v>1</v>
      </c>
      <c r="O2590" s="3" t="str">
        <f>IF(ISERROR(VLOOKUP(D2590,Data!$A$2:$C$223100,3,FALSE)),"INACTIVE",VLOOKUP(D2590,Data!$A$2:$C$223100,3,FALSE))</f>
        <v>FC</v>
      </c>
    </row>
    <row r="2591" spans="1:15" x14ac:dyDescent="0.25">
      <c r="A2591" t="s">
        <v>4124</v>
      </c>
      <c r="B2591" t="s">
        <v>4125</v>
      </c>
      <c r="C2591" t="s">
        <v>4184</v>
      </c>
      <c r="D2591" t="s">
        <v>4185</v>
      </c>
      <c r="E2591" t="s">
        <v>4186</v>
      </c>
      <c r="F2591" t="s">
        <v>5</v>
      </c>
      <c r="G2591" t="s">
        <v>5</v>
      </c>
      <c r="H2591" t="s">
        <v>5</v>
      </c>
      <c r="I2591" t="s">
        <v>1471</v>
      </c>
      <c r="J2591" t="s">
        <v>7</v>
      </c>
      <c r="K2591" s="3">
        <f t="shared" si="80"/>
        <v>0</v>
      </c>
      <c r="L2591" s="3">
        <f>IF(ISERROR(VLOOKUP(J2591,Lookups!$A$2:$A$16,1,FALSE)),1,0)</f>
        <v>1</v>
      </c>
      <c r="M2591" s="3">
        <f>IF(ISERROR(VLOOKUP(D2591,Data!$A$2:$D$223100,2,FALSE)),0,1)</f>
        <v>1</v>
      </c>
      <c r="N2591" s="3">
        <f t="shared" si="81"/>
        <v>1</v>
      </c>
      <c r="O2591" s="3" t="str">
        <f>IF(ISERROR(VLOOKUP(D2591,Data!$A$2:$C$223100,3,FALSE)),"INACTIVE",VLOOKUP(D2591,Data!$A$2:$C$223100,3,FALSE))</f>
        <v>60+</v>
      </c>
    </row>
    <row r="2592" spans="1:15" x14ac:dyDescent="0.25">
      <c r="A2592" t="s">
        <v>4124</v>
      </c>
      <c r="B2592" t="s">
        <v>4125</v>
      </c>
      <c r="C2592" t="s">
        <v>4187</v>
      </c>
      <c r="D2592" t="s">
        <v>4188</v>
      </c>
      <c r="E2592" t="s">
        <v>4189</v>
      </c>
      <c r="F2592" t="s">
        <v>5</v>
      </c>
      <c r="G2592" t="s">
        <v>5</v>
      </c>
      <c r="H2592" t="s">
        <v>5</v>
      </c>
      <c r="I2592" t="s">
        <v>1471</v>
      </c>
      <c r="J2592" t="s">
        <v>7</v>
      </c>
      <c r="K2592" s="3">
        <f t="shared" si="80"/>
        <v>0</v>
      </c>
      <c r="L2592" s="3">
        <f>IF(ISERROR(VLOOKUP(J2592,Lookups!$A$2:$A$16,1,FALSE)),1,0)</f>
        <v>1</v>
      </c>
      <c r="M2592" s="3">
        <f>IF(ISERROR(VLOOKUP(D2592,Data!$A$2:$D$223100,2,FALSE)),0,1)</f>
        <v>1</v>
      </c>
      <c r="N2592" s="3">
        <f t="shared" si="81"/>
        <v>1</v>
      </c>
      <c r="O2592" s="3" t="str">
        <f>IF(ISERROR(VLOOKUP(D2592,Data!$A$2:$C$223100,3,FALSE)),"INACTIVE",VLOOKUP(D2592,Data!$A$2:$C$223100,3,FALSE))</f>
        <v>30+</v>
      </c>
    </row>
    <row r="2593" spans="1:15" x14ac:dyDescent="0.25">
      <c r="A2593" t="s">
        <v>4124</v>
      </c>
      <c r="B2593" t="s">
        <v>4125</v>
      </c>
      <c r="C2593" t="s">
        <v>4190</v>
      </c>
      <c r="D2593" t="s">
        <v>4191</v>
      </c>
      <c r="E2593" t="s">
        <v>4192</v>
      </c>
      <c r="F2593" t="s">
        <v>5</v>
      </c>
      <c r="G2593" t="s">
        <v>5</v>
      </c>
      <c r="H2593" t="s">
        <v>5</v>
      </c>
      <c r="I2593" t="s">
        <v>1471</v>
      </c>
      <c r="J2593" t="s">
        <v>96</v>
      </c>
      <c r="K2593" s="3">
        <f t="shared" si="80"/>
        <v>0</v>
      </c>
      <c r="L2593" s="3">
        <f>IF(ISERROR(VLOOKUP(J2593,Lookups!$A$2:$A$16,1,FALSE)),1,0)</f>
        <v>0</v>
      </c>
      <c r="M2593" s="3">
        <f>IF(ISERROR(VLOOKUP(D2593,Data!$A$2:$D$223100,2,FALSE)),0,1)</f>
        <v>1</v>
      </c>
      <c r="N2593" s="3">
        <f t="shared" si="81"/>
        <v>0</v>
      </c>
      <c r="O2593" s="3" t="str">
        <f>IF(ISERROR(VLOOKUP(D2593,Data!$A$2:$C$223100,3,FALSE)),"INACTIVE",VLOOKUP(D2593,Data!$A$2:$C$223100,3,FALSE))</f>
        <v>FC</v>
      </c>
    </row>
    <row r="2594" spans="1:15" x14ac:dyDescent="0.25">
      <c r="A2594" t="s">
        <v>4124</v>
      </c>
      <c r="B2594" t="s">
        <v>4125</v>
      </c>
      <c r="C2594" t="s">
        <v>4190</v>
      </c>
      <c r="D2594" t="s">
        <v>4191</v>
      </c>
      <c r="E2594" t="s">
        <v>4193</v>
      </c>
      <c r="F2594" t="s">
        <v>5</v>
      </c>
      <c r="G2594" t="s">
        <v>5</v>
      </c>
      <c r="H2594" t="s">
        <v>5</v>
      </c>
      <c r="I2594" t="s">
        <v>1471</v>
      </c>
      <c r="J2594" t="s">
        <v>96</v>
      </c>
      <c r="K2594" s="3">
        <f t="shared" si="80"/>
        <v>0</v>
      </c>
      <c r="L2594" s="3">
        <f>IF(ISERROR(VLOOKUP(J2594,Lookups!$A$2:$A$16,1,FALSE)),1,0)</f>
        <v>0</v>
      </c>
      <c r="M2594" s="3">
        <f>IF(ISERROR(VLOOKUP(D2594,Data!$A$2:$D$223100,2,FALSE)),0,1)</f>
        <v>1</v>
      </c>
      <c r="N2594" s="3">
        <f t="shared" si="81"/>
        <v>0</v>
      </c>
      <c r="O2594" s="3" t="str">
        <f>IF(ISERROR(VLOOKUP(D2594,Data!$A$2:$C$223100,3,FALSE)),"INACTIVE",VLOOKUP(D2594,Data!$A$2:$C$223100,3,FALSE))</f>
        <v>FC</v>
      </c>
    </row>
    <row r="2595" spans="1:15" x14ac:dyDescent="0.25">
      <c r="A2595" t="s">
        <v>4124</v>
      </c>
      <c r="B2595" t="s">
        <v>4125</v>
      </c>
      <c r="C2595" t="s">
        <v>4190</v>
      </c>
      <c r="D2595" t="s">
        <v>4191</v>
      </c>
      <c r="E2595" t="s">
        <v>4194</v>
      </c>
      <c r="F2595" t="s">
        <v>5</v>
      </c>
      <c r="G2595" t="s">
        <v>5</v>
      </c>
      <c r="H2595" t="s">
        <v>5</v>
      </c>
      <c r="I2595" t="s">
        <v>1471</v>
      </c>
      <c r="J2595" t="s">
        <v>96</v>
      </c>
      <c r="K2595" s="3">
        <f t="shared" si="80"/>
        <v>0</v>
      </c>
      <c r="L2595" s="3">
        <f>IF(ISERROR(VLOOKUP(J2595,Lookups!$A$2:$A$16,1,FALSE)),1,0)</f>
        <v>0</v>
      </c>
      <c r="M2595" s="3">
        <f>IF(ISERROR(VLOOKUP(D2595,Data!$A$2:$D$223100,2,FALSE)),0,1)</f>
        <v>1</v>
      </c>
      <c r="N2595" s="3">
        <f t="shared" si="81"/>
        <v>0</v>
      </c>
      <c r="O2595" s="3" t="str">
        <f>IF(ISERROR(VLOOKUP(D2595,Data!$A$2:$C$223100,3,FALSE)),"INACTIVE",VLOOKUP(D2595,Data!$A$2:$C$223100,3,FALSE))</f>
        <v>FC</v>
      </c>
    </row>
    <row r="2596" spans="1:15" x14ac:dyDescent="0.25">
      <c r="A2596" t="s">
        <v>4124</v>
      </c>
      <c r="B2596" t="s">
        <v>4125</v>
      </c>
      <c r="C2596" t="s">
        <v>4195</v>
      </c>
      <c r="D2596" t="s">
        <v>4196</v>
      </c>
      <c r="E2596" t="s">
        <v>4197</v>
      </c>
      <c r="F2596" t="s">
        <v>5</v>
      </c>
      <c r="G2596" t="s">
        <v>5</v>
      </c>
      <c r="H2596" t="s">
        <v>5</v>
      </c>
      <c r="I2596" t="s">
        <v>1471</v>
      </c>
      <c r="J2596" t="s">
        <v>7</v>
      </c>
      <c r="K2596" s="3">
        <f t="shared" si="80"/>
        <v>0</v>
      </c>
      <c r="L2596" s="3">
        <f>IF(ISERROR(VLOOKUP(J2596,Lookups!$A$2:$A$16,1,FALSE)),1,0)</f>
        <v>1</v>
      </c>
      <c r="M2596" s="3">
        <f>IF(ISERROR(VLOOKUP(D2596,Data!$A$2:$D$223100,2,FALSE)),0,1)</f>
        <v>1</v>
      </c>
      <c r="N2596" s="3">
        <f t="shared" si="81"/>
        <v>1</v>
      </c>
      <c r="O2596" s="3" t="str">
        <f>IF(ISERROR(VLOOKUP(D2596,Data!$A$2:$C$223100,3,FALSE)),"INACTIVE",VLOOKUP(D2596,Data!$A$2:$C$223100,3,FALSE))</f>
        <v>FC</v>
      </c>
    </row>
    <row r="2597" spans="1:15" x14ac:dyDescent="0.25">
      <c r="A2597" t="s">
        <v>4124</v>
      </c>
      <c r="B2597" t="s">
        <v>4125</v>
      </c>
      <c r="C2597" t="s">
        <v>4198</v>
      </c>
      <c r="D2597" t="s">
        <v>4199</v>
      </c>
      <c r="E2597" t="s">
        <v>4200</v>
      </c>
      <c r="F2597" t="s">
        <v>5</v>
      </c>
      <c r="G2597" t="s">
        <v>5</v>
      </c>
      <c r="H2597" t="s">
        <v>5</v>
      </c>
      <c r="I2597" t="s">
        <v>1471</v>
      </c>
      <c r="J2597" t="s">
        <v>90</v>
      </c>
      <c r="K2597" s="3">
        <f t="shared" si="80"/>
        <v>0</v>
      </c>
      <c r="L2597" s="3">
        <f>IF(ISERROR(VLOOKUP(J2597,Lookups!$A$2:$A$16,1,FALSE)),1,0)</f>
        <v>0</v>
      </c>
      <c r="M2597" s="3">
        <f>IF(ISERROR(VLOOKUP(D2597,Data!$A$2:$D$223100,2,FALSE)),0,1)</f>
        <v>1</v>
      </c>
      <c r="N2597" s="3">
        <f t="shared" si="81"/>
        <v>0</v>
      </c>
      <c r="O2597" s="3" t="str">
        <f>IF(ISERROR(VLOOKUP(D2597,Data!$A$2:$C$223100,3,FALSE)),"INACTIVE",VLOOKUP(D2597,Data!$A$2:$C$223100,3,FALSE))</f>
        <v>BK13</v>
      </c>
    </row>
    <row r="2598" spans="1:15" x14ac:dyDescent="0.25">
      <c r="A2598" t="s">
        <v>4124</v>
      </c>
      <c r="B2598" t="s">
        <v>4125</v>
      </c>
      <c r="C2598" t="s">
        <v>4198</v>
      </c>
      <c r="D2598" t="s">
        <v>4199</v>
      </c>
      <c r="E2598" t="s">
        <v>4201</v>
      </c>
      <c r="F2598" t="s">
        <v>5</v>
      </c>
      <c r="G2598" t="s">
        <v>5</v>
      </c>
      <c r="H2598" t="s">
        <v>5</v>
      </c>
      <c r="I2598" t="s">
        <v>1471</v>
      </c>
      <c r="J2598" t="s">
        <v>90</v>
      </c>
      <c r="K2598" s="3">
        <f t="shared" si="80"/>
        <v>0</v>
      </c>
      <c r="L2598" s="3">
        <f>IF(ISERROR(VLOOKUP(J2598,Lookups!$A$2:$A$16,1,FALSE)),1,0)</f>
        <v>0</v>
      </c>
      <c r="M2598" s="3">
        <f>IF(ISERROR(VLOOKUP(D2598,Data!$A$2:$D$223100,2,FALSE)),0,1)</f>
        <v>1</v>
      </c>
      <c r="N2598" s="3">
        <f t="shared" si="81"/>
        <v>0</v>
      </c>
      <c r="O2598" s="3" t="str">
        <f>IF(ISERROR(VLOOKUP(D2598,Data!$A$2:$C$223100,3,FALSE)),"INACTIVE",VLOOKUP(D2598,Data!$A$2:$C$223100,3,FALSE))</f>
        <v>BK13</v>
      </c>
    </row>
    <row r="2599" spans="1:15" x14ac:dyDescent="0.25">
      <c r="A2599" t="s">
        <v>4124</v>
      </c>
      <c r="B2599" t="s">
        <v>4125</v>
      </c>
      <c r="C2599" t="s">
        <v>4202</v>
      </c>
      <c r="D2599" t="s">
        <v>4203</v>
      </c>
      <c r="E2599" t="s">
        <v>4204</v>
      </c>
      <c r="F2599" t="s">
        <v>5</v>
      </c>
      <c r="G2599" t="s">
        <v>5</v>
      </c>
      <c r="H2599" t="s">
        <v>5</v>
      </c>
      <c r="I2599" t="s">
        <v>1471</v>
      </c>
      <c r="J2599" t="s">
        <v>7</v>
      </c>
      <c r="K2599" s="3">
        <f t="shared" si="80"/>
        <v>0</v>
      </c>
      <c r="L2599" s="3">
        <f>IF(ISERROR(VLOOKUP(J2599,Lookups!$A$2:$A$16,1,FALSE)),1,0)</f>
        <v>1</v>
      </c>
      <c r="M2599" s="3">
        <f>IF(ISERROR(VLOOKUP(D2599,Data!$A$2:$D$223100,2,FALSE)),0,1)</f>
        <v>1</v>
      </c>
      <c r="N2599" s="3">
        <f t="shared" si="81"/>
        <v>1</v>
      </c>
      <c r="O2599" s="3" t="str">
        <f>IF(ISERROR(VLOOKUP(D2599,Data!$A$2:$C$223100,3,FALSE)),"INACTIVE",VLOOKUP(D2599,Data!$A$2:$C$223100,3,FALSE))</f>
        <v>FC</v>
      </c>
    </row>
    <row r="2600" spans="1:15" x14ac:dyDescent="0.25">
      <c r="A2600" t="s">
        <v>4124</v>
      </c>
      <c r="B2600" t="s">
        <v>4125</v>
      </c>
      <c r="C2600" t="s">
        <v>4205</v>
      </c>
      <c r="D2600" t="s">
        <v>4206</v>
      </c>
      <c r="E2600" t="s">
        <v>4207</v>
      </c>
      <c r="F2600" t="s">
        <v>5</v>
      </c>
      <c r="G2600" t="s">
        <v>5</v>
      </c>
      <c r="H2600" t="s">
        <v>5</v>
      </c>
      <c r="I2600" t="s">
        <v>1471</v>
      </c>
      <c r="J2600" t="s">
        <v>90</v>
      </c>
      <c r="K2600" s="3">
        <f t="shared" si="80"/>
        <v>0</v>
      </c>
      <c r="L2600" s="3">
        <f>IF(ISERROR(VLOOKUP(J2600,Lookups!$A$2:$A$16,1,FALSE)),1,0)</f>
        <v>0</v>
      </c>
      <c r="M2600" s="3">
        <f>IF(ISERROR(VLOOKUP(D2600,Data!$A$2:$D$223100,2,FALSE)),0,1)</f>
        <v>1</v>
      </c>
      <c r="N2600" s="3">
        <f t="shared" si="81"/>
        <v>0</v>
      </c>
      <c r="O2600" s="3" t="str">
        <f>IF(ISERROR(VLOOKUP(D2600,Data!$A$2:$C$223100,3,FALSE)),"INACTIVE",VLOOKUP(D2600,Data!$A$2:$C$223100,3,FALSE))</f>
        <v>120+</v>
      </c>
    </row>
    <row r="2601" spans="1:15" x14ac:dyDescent="0.25">
      <c r="A2601" t="s">
        <v>4124</v>
      </c>
      <c r="B2601" t="s">
        <v>4125</v>
      </c>
      <c r="C2601" t="s">
        <v>4205</v>
      </c>
      <c r="D2601" t="s">
        <v>4206</v>
      </c>
      <c r="E2601" t="s">
        <v>4208</v>
      </c>
      <c r="F2601" t="s">
        <v>5</v>
      </c>
      <c r="G2601" t="s">
        <v>5</v>
      </c>
      <c r="H2601" t="s">
        <v>5</v>
      </c>
      <c r="I2601" t="s">
        <v>1471</v>
      </c>
      <c r="J2601" t="s">
        <v>90</v>
      </c>
      <c r="K2601" s="3">
        <f t="shared" si="80"/>
        <v>0</v>
      </c>
      <c r="L2601" s="3">
        <f>IF(ISERROR(VLOOKUP(J2601,Lookups!$A$2:$A$16,1,FALSE)),1,0)</f>
        <v>0</v>
      </c>
      <c r="M2601" s="3">
        <f>IF(ISERROR(VLOOKUP(D2601,Data!$A$2:$D$223100,2,FALSE)),0,1)</f>
        <v>1</v>
      </c>
      <c r="N2601" s="3">
        <f t="shared" si="81"/>
        <v>0</v>
      </c>
      <c r="O2601" s="3" t="str">
        <f>IF(ISERROR(VLOOKUP(D2601,Data!$A$2:$C$223100,3,FALSE)),"INACTIVE",VLOOKUP(D2601,Data!$A$2:$C$223100,3,FALSE))</f>
        <v>120+</v>
      </c>
    </row>
    <row r="2602" spans="1:15" x14ac:dyDescent="0.25">
      <c r="A2602" t="s">
        <v>4124</v>
      </c>
      <c r="B2602" t="s">
        <v>4125</v>
      </c>
      <c r="C2602" t="s">
        <v>4209</v>
      </c>
      <c r="D2602" t="s">
        <v>4210</v>
      </c>
      <c r="E2602" t="s">
        <v>4211</v>
      </c>
      <c r="F2602" t="s">
        <v>5</v>
      </c>
      <c r="G2602" t="s">
        <v>5</v>
      </c>
      <c r="H2602" t="s">
        <v>5</v>
      </c>
      <c r="I2602" t="s">
        <v>1471</v>
      </c>
      <c r="J2602" t="s">
        <v>90</v>
      </c>
      <c r="K2602" s="3">
        <f t="shared" si="80"/>
        <v>0</v>
      </c>
      <c r="L2602" s="3">
        <f>IF(ISERROR(VLOOKUP(J2602,Lookups!$A$2:$A$16,1,FALSE)),1,0)</f>
        <v>0</v>
      </c>
      <c r="M2602" s="3">
        <f>IF(ISERROR(VLOOKUP(D2602,Data!$A$2:$D$223100,2,FALSE)),0,1)</f>
        <v>1</v>
      </c>
      <c r="N2602" s="3">
        <f t="shared" si="81"/>
        <v>0</v>
      </c>
      <c r="O2602" s="3" t="str">
        <f>IF(ISERROR(VLOOKUP(D2602,Data!$A$2:$C$223100,3,FALSE)),"INACTIVE",VLOOKUP(D2602,Data!$A$2:$C$223100,3,FALSE))</f>
        <v>BK13</v>
      </c>
    </row>
    <row r="2603" spans="1:15" x14ac:dyDescent="0.25">
      <c r="A2603" t="s">
        <v>4124</v>
      </c>
      <c r="B2603" t="s">
        <v>4125</v>
      </c>
      <c r="C2603" t="s">
        <v>4209</v>
      </c>
      <c r="D2603" t="s">
        <v>4210</v>
      </c>
      <c r="E2603" t="s">
        <v>4212</v>
      </c>
      <c r="F2603" t="s">
        <v>5</v>
      </c>
      <c r="G2603" t="s">
        <v>5</v>
      </c>
      <c r="H2603" t="s">
        <v>5</v>
      </c>
      <c r="I2603" t="s">
        <v>1471</v>
      </c>
      <c r="J2603" t="s">
        <v>90</v>
      </c>
      <c r="K2603" s="3">
        <f t="shared" si="80"/>
        <v>0</v>
      </c>
      <c r="L2603" s="3">
        <f>IF(ISERROR(VLOOKUP(J2603,Lookups!$A$2:$A$16,1,FALSE)),1,0)</f>
        <v>0</v>
      </c>
      <c r="M2603" s="3">
        <f>IF(ISERROR(VLOOKUP(D2603,Data!$A$2:$D$223100,2,FALSE)),0,1)</f>
        <v>1</v>
      </c>
      <c r="N2603" s="3">
        <f t="shared" si="81"/>
        <v>0</v>
      </c>
      <c r="O2603" s="3" t="str">
        <f>IF(ISERROR(VLOOKUP(D2603,Data!$A$2:$C$223100,3,FALSE)),"INACTIVE",VLOOKUP(D2603,Data!$A$2:$C$223100,3,FALSE))</f>
        <v>BK13</v>
      </c>
    </row>
    <row r="2604" spans="1:15" x14ac:dyDescent="0.25">
      <c r="A2604" t="s">
        <v>4124</v>
      </c>
      <c r="B2604" t="s">
        <v>4125</v>
      </c>
      <c r="C2604" t="s">
        <v>4213</v>
      </c>
      <c r="D2604" t="s">
        <v>4214</v>
      </c>
      <c r="E2604" t="s">
        <v>4215</v>
      </c>
      <c r="F2604" t="s">
        <v>5</v>
      </c>
      <c r="G2604" t="s">
        <v>5</v>
      </c>
      <c r="H2604" t="s">
        <v>5</v>
      </c>
      <c r="I2604" t="s">
        <v>1471</v>
      </c>
      <c r="J2604" t="s">
        <v>7</v>
      </c>
      <c r="K2604" s="3">
        <f t="shared" si="80"/>
        <v>0</v>
      </c>
      <c r="L2604" s="3">
        <f>IF(ISERROR(VLOOKUP(J2604,Lookups!$A$2:$A$16,1,FALSE)),1,0)</f>
        <v>1</v>
      </c>
      <c r="M2604" s="3">
        <f>IF(ISERROR(VLOOKUP(D2604,Data!$A$2:$D$223100,2,FALSE)),0,1)</f>
        <v>1</v>
      </c>
      <c r="N2604" s="3">
        <f t="shared" si="81"/>
        <v>1</v>
      </c>
      <c r="O2604" s="3" t="str">
        <f>IF(ISERROR(VLOOKUP(D2604,Data!$A$2:$C$223100,3,FALSE)),"INACTIVE",VLOOKUP(D2604,Data!$A$2:$C$223100,3,FALSE))</f>
        <v>FBA</v>
      </c>
    </row>
    <row r="2605" spans="1:15" x14ac:dyDescent="0.25">
      <c r="A2605" t="s">
        <v>4124</v>
      </c>
      <c r="B2605" t="s">
        <v>4125</v>
      </c>
      <c r="C2605" t="s">
        <v>4216</v>
      </c>
      <c r="D2605" t="s">
        <v>4217</v>
      </c>
      <c r="E2605" t="s">
        <v>4218</v>
      </c>
      <c r="F2605" t="s">
        <v>5</v>
      </c>
      <c r="G2605" t="s">
        <v>5</v>
      </c>
      <c r="H2605" t="s">
        <v>5</v>
      </c>
      <c r="I2605" t="s">
        <v>1471</v>
      </c>
      <c r="J2605" t="s">
        <v>7</v>
      </c>
      <c r="K2605" s="3">
        <f t="shared" si="80"/>
        <v>0</v>
      </c>
      <c r="L2605" s="3">
        <f>IF(ISERROR(VLOOKUP(J2605,Lookups!$A$2:$A$16,1,FALSE)),1,0)</f>
        <v>1</v>
      </c>
      <c r="M2605" s="3">
        <f>IF(ISERROR(VLOOKUP(D2605,Data!$A$2:$D$223100,2,FALSE)),0,1)</f>
        <v>1</v>
      </c>
      <c r="N2605" s="3">
        <f t="shared" si="81"/>
        <v>1</v>
      </c>
      <c r="O2605" s="3" t="str">
        <f>IF(ISERROR(VLOOKUP(D2605,Data!$A$2:$C$223100,3,FALSE)),"INACTIVE",VLOOKUP(D2605,Data!$A$2:$C$223100,3,FALSE))</f>
        <v>FC</v>
      </c>
    </row>
    <row r="2606" spans="1:15" x14ac:dyDescent="0.25">
      <c r="A2606" t="s">
        <v>4124</v>
      </c>
      <c r="B2606" t="s">
        <v>4125</v>
      </c>
      <c r="C2606" t="s">
        <v>4219</v>
      </c>
      <c r="D2606" t="s">
        <v>4220</v>
      </c>
      <c r="E2606" t="s">
        <v>4221</v>
      </c>
      <c r="F2606" t="s">
        <v>5</v>
      </c>
      <c r="G2606" t="s">
        <v>5</v>
      </c>
      <c r="H2606" t="s">
        <v>5</v>
      </c>
      <c r="I2606" t="s">
        <v>1471</v>
      </c>
      <c r="J2606" t="s">
        <v>7</v>
      </c>
      <c r="K2606" s="3">
        <f t="shared" si="80"/>
        <v>0</v>
      </c>
      <c r="L2606" s="3">
        <f>IF(ISERROR(VLOOKUP(J2606,Lookups!$A$2:$A$16,1,FALSE)),1,0)</f>
        <v>1</v>
      </c>
      <c r="M2606" s="3">
        <f>IF(ISERROR(VLOOKUP(D2606,Data!$A$2:$D$223100,2,FALSE)),0,1)</f>
        <v>1</v>
      </c>
      <c r="N2606" s="3">
        <f t="shared" si="81"/>
        <v>1</v>
      </c>
      <c r="O2606" s="3" t="str">
        <f>IF(ISERROR(VLOOKUP(D2606,Data!$A$2:$C$223100,3,FALSE)),"INACTIVE",VLOOKUP(D2606,Data!$A$2:$C$223100,3,FALSE))</f>
        <v>30+</v>
      </c>
    </row>
    <row r="2607" spans="1:15" x14ac:dyDescent="0.25">
      <c r="A2607" t="s">
        <v>4124</v>
      </c>
      <c r="B2607" t="s">
        <v>4125</v>
      </c>
      <c r="C2607" t="s">
        <v>4222</v>
      </c>
      <c r="D2607" t="s">
        <v>4223</v>
      </c>
      <c r="E2607" t="s">
        <v>4224</v>
      </c>
      <c r="F2607" t="s">
        <v>5</v>
      </c>
      <c r="G2607" t="s">
        <v>5</v>
      </c>
      <c r="H2607" t="s">
        <v>5</v>
      </c>
      <c r="I2607" t="s">
        <v>1471</v>
      </c>
      <c r="J2607" t="s">
        <v>7</v>
      </c>
      <c r="K2607" s="3">
        <f t="shared" si="80"/>
        <v>0</v>
      </c>
      <c r="L2607" s="3">
        <f>IF(ISERROR(VLOOKUP(J2607,Lookups!$A$2:$A$16,1,FALSE)),1,0)</f>
        <v>1</v>
      </c>
      <c r="M2607" s="3">
        <f>IF(ISERROR(VLOOKUP(D2607,Data!$A$2:$D$223100,2,FALSE)),0,1)</f>
        <v>1</v>
      </c>
      <c r="N2607" s="3">
        <f t="shared" si="81"/>
        <v>1</v>
      </c>
      <c r="O2607" s="3" t="str">
        <f>IF(ISERROR(VLOOKUP(D2607,Data!$A$2:$C$223100,3,FALSE)),"INACTIVE",VLOOKUP(D2607,Data!$A$2:$C$223100,3,FALSE))</f>
        <v>90+</v>
      </c>
    </row>
    <row r="2608" spans="1:15" x14ac:dyDescent="0.25">
      <c r="A2608" t="s">
        <v>4124</v>
      </c>
      <c r="B2608" t="s">
        <v>4125</v>
      </c>
      <c r="C2608" t="s">
        <v>4225</v>
      </c>
      <c r="D2608" t="s">
        <v>4226</v>
      </c>
      <c r="E2608" t="s">
        <v>4227</v>
      </c>
      <c r="F2608" t="s">
        <v>5</v>
      </c>
      <c r="G2608" t="s">
        <v>5</v>
      </c>
      <c r="H2608" t="s">
        <v>5</v>
      </c>
      <c r="I2608" t="s">
        <v>1471</v>
      </c>
      <c r="J2608" t="s">
        <v>7</v>
      </c>
      <c r="K2608" s="3">
        <f t="shared" si="80"/>
        <v>0</v>
      </c>
      <c r="L2608" s="3">
        <f>IF(ISERROR(VLOOKUP(J2608,Lookups!$A$2:$A$16,1,FALSE)),1,0)</f>
        <v>1</v>
      </c>
      <c r="M2608" s="3">
        <f>IF(ISERROR(VLOOKUP(D2608,Data!$A$2:$D$223100,2,FALSE)),0,1)</f>
        <v>1</v>
      </c>
      <c r="N2608" s="3">
        <f t="shared" si="81"/>
        <v>1</v>
      </c>
      <c r="O2608" s="3" t="str">
        <f>IF(ISERROR(VLOOKUP(D2608,Data!$A$2:$C$223100,3,FALSE)),"INACTIVE",VLOOKUP(D2608,Data!$A$2:$C$223100,3,FALSE))</f>
        <v>FC</v>
      </c>
    </row>
    <row r="2609" spans="1:15" x14ac:dyDescent="0.25">
      <c r="A2609" t="s">
        <v>4124</v>
      </c>
      <c r="B2609" t="s">
        <v>4125</v>
      </c>
      <c r="C2609" t="s">
        <v>4228</v>
      </c>
      <c r="D2609" t="s">
        <v>4229</v>
      </c>
      <c r="E2609" t="s">
        <v>4230</v>
      </c>
      <c r="F2609" t="s">
        <v>5</v>
      </c>
      <c r="G2609" t="s">
        <v>5</v>
      </c>
      <c r="H2609" t="s">
        <v>5</v>
      </c>
      <c r="I2609" t="s">
        <v>1471</v>
      </c>
      <c r="J2609" t="s">
        <v>7</v>
      </c>
      <c r="K2609" s="3">
        <f t="shared" si="80"/>
        <v>0</v>
      </c>
      <c r="L2609" s="3">
        <f>IF(ISERROR(VLOOKUP(J2609,Lookups!$A$2:$A$16,1,FALSE)),1,0)</f>
        <v>1</v>
      </c>
      <c r="M2609" s="3">
        <f>IF(ISERROR(VLOOKUP(D2609,Data!$A$2:$D$223100,2,FALSE)),0,1)</f>
        <v>1</v>
      </c>
      <c r="N2609" s="3">
        <f t="shared" si="81"/>
        <v>1</v>
      </c>
      <c r="O2609" s="3" t="str">
        <f>IF(ISERROR(VLOOKUP(D2609,Data!$A$2:$C$223100,3,FALSE)),"INACTIVE",VLOOKUP(D2609,Data!$A$2:$C$223100,3,FALSE))</f>
        <v>FC</v>
      </c>
    </row>
    <row r="2610" spans="1:15" x14ac:dyDescent="0.25">
      <c r="A2610" t="s">
        <v>4124</v>
      </c>
      <c r="B2610" t="s">
        <v>4125</v>
      </c>
      <c r="C2610" t="s">
        <v>4231</v>
      </c>
      <c r="D2610" t="s">
        <v>4232</v>
      </c>
      <c r="E2610" t="s">
        <v>4233</v>
      </c>
      <c r="F2610" t="s">
        <v>5</v>
      </c>
      <c r="G2610" t="s">
        <v>5</v>
      </c>
      <c r="H2610" t="s">
        <v>5</v>
      </c>
      <c r="I2610" t="s">
        <v>1471</v>
      </c>
      <c r="J2610" t="s">
        <v>7</v>
      </c>
      <c r="K2610" s="3">
        <f t="shared" si="80"/>
        <v>0</v>
      </c>
      <c r="L2610" s="3">
        <f>IF(ISERROR(VLOOKUP(J2610,Lookups!$A$2:$A$16,1,FALSE)),1,0)</f>
        <v>1</v>
      </c>
      <c r="M2610" s="3">
        <f>IF(ISERROR(VLOOKUP(D2610,Data!$A$2:$D$223100,2,FALSE)),0,1)</f>
        <v>1</v>
      </c>
      <c r="N2610" s="3">
        <f t="shared" si="81"/>
        <v>1</v>
      </c>
      <c r="O2610" s="3" t="str">
        <f>IF(ISERROR(VLOOKUP(D2610,Data!$A$2:$C$223100,3,FALSE)),"INACTIVE",VLOOKUP(D2610,Data!$A$2:$C$223100,3,FALSE))</f>
        <v>BK13</v>
      </c>
    </row>
    <row r="2611" spans="1:15" x14ac:dyDescent="0.25">
      <c r="A2611" t="s">
        <v>4468</v>
      </c>
      <c r="B2611" t="s">
        <v>4469</v>
      </c>
      <c r="C2611" t="s">
        <v>4470</v>
      </c>
      <c r="D2611" t="s">
        <v>4471</v>
      </c>
      <c r="E2611" t="s">
        <v>4472</v>
      </c>
      <c r="F2611" t="s">
        <v>5</v>
      </c>
      <c r="G2611" t="s">
        <v>5</v>
      </c>
      <c r="H2611" t="s">
        <v>5</v>
      </c>
      <c r="I2611" t="s">
        <v>1471</v>
      </c>
      <c r="J2611" t="s">
        <v>96</v>
      </c>
      <c r="K2611" s="3">
        <f t="shared" si="80"/>
        <v>0</v>
      </c>
      <c r="L2611" s="3">
        <f>IF(ISERROR(VLOOKUP(J2611,Lookups!$A$2:$A$16,1,FALSE)),1,0)</f>
        <v>0</v>
      </c>
      <c r="M2611" s="3">
        <f>IF(ISERROR(VLOOKUP(D2611,Data!$A$2:$D$223100,2,FALSE)),0,1)</f>
        <v>1</v>
      </c>
      <c r="N2611" s="3">
        <f t="shared" si="81"/>
        <v>0</v>
      </c>
      <c r="O2611" s="3" t="str">
        <f>IF(ISERROR(VLOOKUP(D2611,Data!$A$2:$C$223100,3,FALSE)),"INACTIVE",VLOOKUP(D2611,Data!$A$2:$C$223100,3,FALSE))</f>
        <v>180+</v>
      </c>
    </row>
    <row r="2612" spans="1:15" x14ac:dyDescent="0.25">
      <c r="A2612" t="s">
        <v>4468</v>
      </c>
      <c r="B2612" t="s">
        <v>4469</v>
      </c>
      <c r="C2612" t="s">
        <v>4470</v>
      </c>
      <c r="D2612" t="s">
        <v>4471</v>
      </c>
      <c r="E2612" t="s">
        <v>4473</v>
      </c>
      <c r="F2612" t="s">
        <v>5</v>
      </c>
      <c r="G2612" t="s">
        <v>5</v>
      </c>
      <c r="H2612" t="s">
        <v>5</v>
      </c>
      <c r="I2612" t="s">
        <v>1471</v>
      </c>
      <c r="J2612" t="s">
        <v>96</v>
      </c>
      <c r="K2612" s="3">
        <f t="shared" si="80"/>
        <v>0</v>
      </c>
      <c r="L2612" s="3">
        <f>IF(ISERROR(VLOOKUP(J2612,Lookups!$A$2:$A$16,1,FALSE)),1,0)</f>
        <v>0</v>
      </c>
      <c r="M2612" s="3">
        <f>IF(ISERROR(VLOOKUP(D2612,Data!$A$2:$D$223100,2,FALSE)),0,1)</f>
        <v>1</v>
      </c>
      <c r="N2612" s="3">
        <f t="shared" si="81"/>
        <v>0</v>
      </c>
      <c r="O2612" s="3" t="str">
        <f>IF(ISERROR(VLOOKUP(D2612,Data!$A$2:$C$223100,3,FALSE)),"INACTIVE",VLOOKUP(D2612,Data!$A$2:$C$223100,3,FALSE))</f>
        <v>180+</v>
      </c>
    </row>
    <row r="2613" spans="1:15" x14ac:dyDescent="0.25">
      <c r="A2613" t="s">
        <v>4468</v>
      </c>
      <c r="B2613" t="s">
        <v>4469</v>
      </c>
      <c r="C2613" t="s">
        <v>4470</v>
      </c>
      <c r="D2613" t="s">
        <v>4471</v>
      </c>
      <c r="E2613" t="s">
        <v>4474</v>
      </c>
      <c r="F2613" t="s">
        <v>5</v>
      </c>
      <c r="G2613" t="s">
        <v>5</v>
      </c>
      <c r="H2613" t="s">
        <v>5</v>
      </c>
      <c r="I2613" t="s">
        <v>1471</v>
      </c>
      <c r="J2613" t="s">
        <v>96</v>
      </c>
      <c r="K2613" s="3">
        <f t="shared" si="80"/>
        <v>0</v>
      </c>
      <c r="L2613" s="3">
        <f>IF(ISERROR(VLOOKUP(J2613,Lookups!$A$2:$A$16,1,FALSE)),1,0)</f>
        <v>0</v>
      </c>
      <c r="M2613" s="3">
        <f>IF(ISERROR(VLOOKUP(D2613,Data!$A$2:$D$223100,2,FALSE)),0,1)</f>
        <v>1</v>
      </c>
      <c r="N2613" s="3">
        <f t="shared" si="81"/>
        <v>0</v>
      </c>
      <c r="O2613" s="3" t="str">
        <f>IF(ISERROR(VLOOKUP(D2613,Data!$A$2:$C$223100,3,FALSE)),"INACTIVE",VLOOKUP(D2613,Data!$A$2:$C$223100,3,FALSE))</f>
        <v>180+</v>
      </c>
    </row>
    <row r="2614" spans="1:15" x14ac:dyDescent="0.25">
      <c r="A2614" t="s">
        <v>4468</v>
      </c>
      <c r="B2614" t="s">
        <v>4469</v>
      </c>
      <c r="C2614" t="s">
        <v>4475</v>
      </c>
      <c r="D2614" t="s">
        <v>4476</v>
      </c>
      <c r="E2614" t="s">
        <v>4477</v>
      </c>
      <c r="F2614" t="s">
        <v>5</v>
      </c>
      <c r="G2614" t="s">
        <v>5</v>
      </c>
      <c r="H2614" t="s">
        <v>5</v>
      </c>
      <c r="I2614" t="s">
        <v>1471</v>
      </c>
      <c r="J2614" t="s">
        <v>7</v>
      </c>
      <c r="K2614" s="3">
        <f t="shared" si="80"/>
        <v>0</v>
      </c>
      <c r="L2614" s="3">
        <f>IF(ISERROR(VLOOKUP(J2614,Lookups!$A$2:$A$16,1,FALSE)),1,0)</f>
        <v>1</v>
      </c>
      <c r="M2614" s="3">
        <f>IF(ISERROR(VLOOKUP(D2614,Data!$A$2:$D$223100,2,FALSE)),0,1)</f>
        <v>1</v>
      </c>
      <c r="N2614" s="3">
        <f t="shared" si="81"/>
        <v>1</v>
      </c>
      <c r="O2614" s="3" t="str">
        <f>IF(ISERROR(VLOOKUP(D2614,Data!$A$2:$C$223100,3,FALSE)),"INACTIVE",VLOOKUP(D2614,Data!$A$2:$C$223100,3,FALSE))</f>
        <v>Current</v>
      </c>
    </row>
    <row r="2615" spans="1:15" x14ac:dyDescent="0.25">
      <c r="A2615" t="s">
        <v>4468</v>
      </c>
      <c r="B2615" t="s">
        <v>4469</v>
      </c>
      <c r="C2615" t="s">
        <v>4478</v>
      </c>
      <c r="D2615" t="s">
        <v>4479</v>
      </c>
      <c r="E2615" t="s">
        <v>4480</v>
      </c>
      <c r="F2615" t="s">
        <v>5</v>
      </c>
      <c r="G2615" t="s">
        <v>5</v>
      </c>
      <c r="H2615" t="s">
        <v>5</v>
      </c>
      <c r="I2615" t="s">
        <v>1471</v>
      </c>
      <c r="J2615" t="s">
        <v>96</v>
      </c>
      <c r="K2615" s="3">
        <f t="shared" si="80"/>
        <v>0</v>
      </c>
      <c r="L2615" s="3">
        <f>IF(ISERROR(VLOOKUP(J2615,Lookups!$A$2:$A$16,1,FALSE)),1,0)</f>
        <v>0</v>
      </c>
      <c r="M2615" s="3">
        <f>IF(ISERROR(VLOOKUP(D2615,Data!$A$2:$D$223100,2,FALSE)),0,1)</f>
        <v>1</v>
      </c>
      <c r="N2615" s="3">
        <f t="shared" si="81"/>
        <v>0</v>
      </c>
      <c r="O2615" s="3" t="str">
        <f>IF(ISERROR(VLOOKUP(D2615,Data!$A$2:$C$223100,3,FALSE)),"INACTIVE",VLOOKUP(D2615,Data!$A$2:$C$223100,3,FALSE))</f>
        <v>Current</v>
      </c>
    </row>
    <row r="2616" spans="1:15" x14ac:dyDescent="0.25">
      <c r="A2616" t="s">
        <v>4468</v>
      </c>
      <c r="B2616" t="s">
        <v>4469</v>
      </c>
      <c r="C2616" t="s">
        <v>4478</v>
      </c>
      <c r="D2616" t="s">
        <v>4479</v>
      </c>
      <c r="E2616" t="s">
        <v>4481</v>
      </c>
      <c r="F2616" t="s">
        <v>5</v>
      </c>
      <c r="G2616" t="s">
        <v>5</v>
      </c>
      <c r="H2616" t="s">
        <v>5</v>
      </c>
      <c r="I2616" t="s">
        <v>1471</v>
      </c>
      <c r="J2616" t="s">
        <v>96</v>
      </c>
      <c r="K2616" s="3">
        <f t="shared" si="80"/>
        <v>0</v>
      </c>
      <c r="L2616" s="3">
        <f>IF(ISERROR(VLOOKUP(J2616,Lookups!$A$2:$A$16,1,FALSE)),1,0)</f>
        <v>0</v>
      </c>
      <c r="M2616" s="3">
        <f>IF(ISERROR(VLOOKUP(D2616,Data!$A$2:$D$223100,2,FALSE)),0,1)</f>
        <v>1</v>
      </c>
      <c r="N2616" s="3">
        <f t="shared" si="81"/>
        <v>0</v>
      </c>
      <c r="O2616" s="3" t="str">
        <f>IF(ISERROR(VLOOKUP(D2616,Data!$A$2:$C$223100,3,FALSE)),"INACTIVE",VLOOKUP(D2616,Data!$A$2:$C$223100,3,FALSE))</f>
        <v>Current</v>
      </c>
    </row>
    <row r="2617" spans="1:15" x14ac:dyDescent="0.25">
      <c r="A2617" t="s">
        <v>4468</v>
      </c>
      <c r="B2617" t="s">
        <v>4469</v>
      </c>
      <c r="C2617" t="s">
        <v>4478</v>
      </c>
      <c r="D2617" t="s">
        <v>4479</v>
      </c>
      <c r="E2617" t="s">
        <v>4481</v>
      </c>
      <c r="F2617" t="s">
        <v>5</v>
      </c>
      <c r="G2617" t="s">
        <v>5</v>
      </c>
      <c r="H2617" t="s">
        <v>5</v>
      </c>
      <c r="I2617" t="s">
        <v>1471</v>
      </c>
      <c r="J2617" t="s">
        <v>96</v>
      </c>
      <c r="K2617" s="3">
        <f t="shared" si="80"/>
        <v>0</v>
      </c>
      <c r="L2617" s="3">
        <f>IF(ISERROR(VLOOKUP(J2617,Lookups!$A$2:$A$16,1,FALSE)),1,0)</f>
        <v>0</v>
      </c>
      <c r="M2617" s="3">
        <f>IF(ISERROR(VLOOKUP(D2617,Data!$A$2:$D$223100,2,FALSE)),0,1)</f>
        <v>1</v>
      </c>
      <c r="N2617" s="3">
        <f t="shared" si="81"/>
        <v>0</v>
      </c>
      <c r="O2617" s="3" t="str">
        <f>IF(ISERROR(VLOOKUP(D2617,Data!$A$2:$C$223100,3,FALSE)),"INACTIVE",VLOOKUP(D2617,Data!$A$2:$C$223100,3,FALSE))</f>
        <v>Current</v>
      </c>
    </row>
    <row r="2618" spans="1:15" x14ac:dyDescent="0.25">
      <c r="A2618" t="s">
        <v>4468</v>
      </c>
      <c r="B2618" t="s">
        <v>4469</v>
      </c>
      <c r="C2618" t="s">
        <v>4478</v>
      </c>
      <c r="D2618" t="s">
        <v>4479</v>
      </c>
      <c r="E2618" t="s">
        <v>4482</v>
      </c>
      <c r="F2618" t="s">
        <v>5</v>
      </c>
      <c r="G2618" t="s">
        <v>5</v>
      </c>
      <c r="H2618" t="s">
        <v>5</v>
      </c>
      <c r="I2618" t="s">
        <v>1471</v>
      </c>
      <c r="J2618" t="s">
        <v>96</v>
      </c>
      <c r="K2618" s="3">
        <f t="shared" si="80"/>
        <v>0</v>
      </c>
      <c r="L2618" s="3">
        <f>IF(ISERROR(VLOOKUP(J2618,Lookups!$A$2:$A$16,1,FALSE)),1,0)</f>
        <v>0</v>
      </c>
      <c r="M2618" s="3">
        <f>IF(ISERROR(VLOOKUP(D2618,Data!$A$2:$D$223100,2,FALSE)),0,1)</f>
        <v>1</v>
      </c>
      <c r="N2618" s="3">
        <f t="shared" si="81"/>
        <v>0</v>
      </c>
      <c r="O2618" s="3" t="str">
        <f>IF(ISERROR(VLOOKUP(D2618,Data!$A$2:$C$223100,3,FALSE)),"INACTIVE",VLOOKUP(D2618,Data!$A$2:$C$223100,3,FALSE))</f>
        <v>Current</v>
      </c>
    </row>
    <row r="2619" spans="1:15" x14ac:dyDescent="0.25">
      <c r="A2619" t="s">
        <v>4468</v>
      </c>
      <c r="B2619" t="s">
        <v>4469</v>
      </c>
      <c r="C2619" t="s">
        <v>4478</v>
      </c>
      <c r="D2619" t="s">
        <v>4479</v>
      </c>
      <c r="E2619" t="s">
        <v>4483</v>
      </c>
      <c r="F2619" t="s">
        <v>5</v>
      </c>
      <c r="G2619" t="s">
        <v>5</v>
      </c>
      <c r="H2619" t="s">
        <v>5</v>
      </c>
      <c r="I2619" t="s">
        <v>1471</v>
      </c>
      <c r="J2619" t="s">
        <v>96</v>
      </c>
      <c r="K2619" s="3">
        <f t="shared" si="80"/>
        <v>0</v>
      </c>
      <c r="L2619" s="3">
        <f>IF(ISERROR(VLOOKUP(J2619,Lookups!$A$2:$A$16,1,FALSE)),1,0)</f>
        <v>0</v>
      </c>
      <c r="M2619" s="3">
        <f>IF(ISERROR(VLOOKUP(D2619,Data!$A$2:$D$223100,2,FALSE)),0,1)</f>
        <v>1</v>
      </c>
      <c r="N2619" s="3">
        <f t="shared" si="81"/>
        <v>0</v>
      </c>
      <c r="O2619" s="3" t="str">
        <f>IF(ISERROR(VLOOKUP(D2619,Data!$A$2:$C$223100,3,FALSE)),"INACTIVE",VLOOKUP(D2619,Data!$A$2:$C$223100,3,FALSE))</f>
        <v>Current</v>
      </c>
    </row>
    <row r="2620" spans="1:15" x14ac:dyDescent="0.25">
      <c r="A2620" t="s">
        <v>4468</v>
      </c>
      <c r="B2620" t="s">
        <v>4469</v>
      </c>
      <c r="C2620" t="s">
        <v>4478</v>
      </c>
      <c r="D2620" t="s">
        <v>4479</v>
      </c>
      <c r="E2620" t="s">
        <v>4484</v>
      </c>
      <c r="F2620" t="s">
        <v>5</v>
      </c>
      <c r="G2620" t="s">
        <v>5</v>
      </c>
      <c r="H2620" t="s">
        <v>5</v>
      </c>
      <c r="I2620" t="s">
        <v>1471</v>
      </c>
      <c r="J2620" t="s">
        <v>96</v>
      </c>
      <c r="K2620" s="3">
        <f t="shared" si="80"/>
        <v>0</v>
      </c>
      <c r="L2620" s="3">
        <f>IF(ISERROR(VLOOKUP(J2620,Lookups!$A$2:$A$16,1,FALSE)),1,0)</f>
        <v>0</v>
      </c>
      <c r="M2620" s="3">
        <f>IF(ISERROR(VLOOKUP(D2620,Data!$A$2:$D$223100,2,FALSE)),0,1)</f>
        <v>1</v>
      </c>
      <c r="N2620" s="3">
        <f t="shared" si="81"/>
        <v>0</v>
      </c>
      <c r="O2620" s="3" t="str">
        <f>IF(ISERROR(VLOOKUP(D2620,Data!$A$2:$C$223100,3,FALSE)),"INACTIVE",VLOOKUP(D2620,Data!$A$2:$C$223100,3,FALSE))</f>
        <v>Current</v>
      </c>
    </row>
    <row r="2621" spans="1:15" x14ac:dyDescent="0.25">
      <c r="A2621" t="s">
        <v>4468</v>
      </c>
      <c r="B2621" t="s">
        <v>4469</v>
      </c>
      <c r="C2621" t="s">
        <v>4478</v>
      </c>
      <c r="D2621" t="s">
        <v>4479</v>
      </c>
      <c r="E2621" t="s">
        <v>4485</v>
      </c>
      <c r="F2621" t="s">
        <v>5</v>
      </c>
      <c r="G2621" t="s">
        <v>5</v>
      </c>
      <c r="H2621" t="s">
        <v>5</v>
      </c>
      <c r="I2621" t="s">
        <v>1471</v>
      </c>
      <c r="J2621" t="s">
        <v>96</v>
      </c>
      <c r="K2621" s="3">
        <f t="shared" si="80"/>
        <v>0</v>
      </c>
      <c r="L2621" s="3">
        <f>IF(ISERROR(VLOOKUP(J2621,Lookups!$A$2:$A$16,1,FALSE)),1,0)</f>
        <v>0</v>
      </c>
      <c r="M2621" s="3">
        <f>IF(ISERROR(VLOOKUP(D2621,Data!$A$2:$D$223100,2,FALSE)),0,1)</f>
        <v>1</v>
      </c>
      <c r="N2621" s="3">
        <f t="shared" si="81"/>
        <v>0</v>
      </c>
      <c r="O2621" s="3" t="str">
        <f>IF(ISERROR(VLOOKUP(D2621,Data!$A$2:$C$223100,3,FALSE)),"INACTIVE",VLOOKUP(D2621,Data!$A$2:$C$223100,3,FALSE))</f>
        <v>Current</v>
      </c>
    </row>
    <row r="2622" spans="1:15" x14ac:dyDescent="0.25">
      <c r="A2622" t="s">
        <v>1778</v>
      </c>
      <c r="B2622" t="s">
        <v>1779</v>
      </c>
      <c r="C2622" t="s">
        <v>1780</v>
      </c>
      <c r="D2622" t="s">
        <v>1781</v>
      </c>
      <c r="E2622" t="s">
        <v>1782</v>
      </c>
      <c r="F2622" t="s">
        <v>1782</v>
      </c>
      <c r="G2622" t="s">
        <v>5</v>
      </c>
      <c r="H2622" t="s">
        <v>5</v>
      </c>
      <c r="I2622" t="s">
        <v>1783</v>
      </c>
      <c r="J2622" t="s">
        <v>47</v>
      </c>
      <c r="K2622" s="3">
        <f t="shared" si="80"/>
        <v>0</v>
      </c>
      <c r="L2622" s="3">
        <f>IF(ISERROR(VLOOKUP(J2622,Lookups!$A$2:$A$16,1,FALSE)),1,0)</f>
        <v>1</v>
      </c>
      <c r="M2622" s="3">
        <f>IF(ISERROR(VLOOKUP(D2622,Data!$A$2:$D$223100,2,FALSE)),0,1)</f>
        <v>1</v>
      </c>
      <c r="N2622" s="3">
        <f t="shared" si="81"/>
        <v>1</v>
      </c>
      <c r="O2622" s="3" t="str">
        <f>IF(ISERROR(VLOOKUP(D2622,Data!$A$2:$C$223100,3,FALSE)),"INACTIVE",VLOOKUP(D2622,Data!$A$2:$C$223100,3,FALSE))</f>
        <v>FC</v>
      </c>
    </row>
    <row r="2623" spans="1:15" x14ac:dyDescent="0.25">
      <c r="A2623" t="s">
        <v>1778</v>
      </c>
      <c r="B2623" t="s">
        <v>1779</v>
      </c>
      <c r="C2623" t="s">
        <v>1784</v>
      </c>
      <c r="D2623" t="s">
        <v>1785</v>
      </c>
      <c r="E2623" t="s">
        <v>1786</v>
      </c>
      <c r="F2623" t="s">
        <v>1786</v>
      </c>
      <c r="G2623" t="s">
        <v>5</v>
      </c>
      <c r="H2623" t="s">
        <v>5</v>
      </c>
      <c r="I2623" t="s">
        <v>1783</v>
      </c>
      <c r="J2623" t="s">
        <v>40</v>
      </c>
      <c r="K2623" s="3">
        <f t="shared" si="80"/>
        <v>0</v>
      </c>
      <c r="L2623" s="3">
        <f>IF(ISERROR(VLOOKUP(J2623,Lookups!$A$2:$A$16,1,FALSE)),1,0)</f>
        <v>1</v>
      </c>
      <c r="M2623" s="3">
        <f>IF(ISERROR(VLOOKUP(D2623,Data!$A$2:$D$223100,2,FALSE)),0,1)</f>
        <v>1</v>
      </c>
      <c r="N2623" s="3">
        <f t="shared" si="81"/>
        <v>1</v>
      </c>
      <c r="O2623" s="3" t="str">
        <f>IF(ISERROR(VLOOKUP(D2623,Data!$A$2:$C$223100,3,FALSE)),"INACTIVE",VLOOKUP(D2623,Data!$A$2:$C$223100,3,FALSE))</f>
        <v>Current</v>
      </c>
    </row>
    <row r="2624" spans="1:15" x14ac:dyDescent="0.25">
      <c r="A2624" t="s">
        <v>1778</v>
      </c>
      <c r="B2624" t="s">
        <v>1779</v>
      </c>
      <c r="C2624" t="s">
        <v>1787</v>
      </c>
      <c r="D2624" t="s">
        <v>1788</v>
      </c>
      <c r="E2624" t="s">
        <v>1789</v>
      </c>
      <c r="F2624" t="s">
        <v>1789</v>
      </c>
      <c r="G2624" t="s">
        <v>5</v>
      </c>
      <c r="H2624" t="s">
        <v>5</v>
      </c>
      <c r="I2624" t="s">
        <v>1783</v>
      </c>
      <c r="J2624" t="s">
        <v>40</v>
      </c>
      <c r="K2624" s="3">
        <f t="shared" si="80"/>
        <v>0</v>
      </c>
      <c r="L2624" s="3">
        <f>IF(ISERROR(VLOOKUP(J2624,Lookups!$A$2:$A$16,1,FALSE)),1,0)</f>
        <v>1</v>
      </c>
      <c r="M2624" s="3">
        <f>IF(ISERROR(VLOOKUP(D2624,Data!$A$2:$D$223100,2,FALSE)),0,1)</f>
        <v>1</v>
      </c>
      <c r="N2624" s="3">
        <f t="shared" si="81"/>
        <v>1</v>
      </c>
      <c r="O2624" s="3" t="str">
        <f>IF(ISERROR(VLOOKUP(D2624,Data!$A$2:$C$223100,3,FALSE)),"INACTIVE",VLOOKUP(D2624,Data!$A$2:$C$223100,3,FALSE))</f>
        <v>60+</v>
      </c>
    </row>
    <row r="2625" spans="1:15" x14ac:dyDescent="0.25">
      <c r="A2625" t="s">
        <v>1778</v>
      </c>
      <c r="B2625" t="s">
        <v>1779</v>
      </c>
      <c r="C2625" t="s">
        <v>1790</v>
      </c>
      <c r="D2625" t="s">
        <v>1791</v>
      </c>
      <c r="E2625" t="s">
        <v>1792</v>
      </c>
      <c r="F2625" t="s">
        <v>1792</v>
      </c>
      <c r="G2625" t="s">
        <v>5</v>
      </c>
      <c r="H2625" t="s">
        <v>5</v>
      </c>
      <c r="I2625" t="s">
        <v>1783</v>
      </c>
      <c r="J2625" t="s">
        <v>40</v>
      </c>
      <c r="K2625" s="3">
        <f t="shared" si="80"/>
        <v>0</v>
      </c>
      <c r="L2625" s="3">
        <f>IF(ISERROR(VLOOKUP(J2625,Lookups!$A$2:$A$16,1,FALSE)),1,0)</f>
        <v>1</v>
      </c>
      <c r="M2625" s="3">
        <f>IF(ISERROR(VLOOKUP(D2625,Data!$A$2:$D$223100,2,FALSE)),0,1)</f>
        <v>1</v>
      </c>
      <c r="N2625" s="3">
        <f t="shared" si="81"/>
        <v>1</v>
      </c>
      <c r="O2625" s="3" t="str">
        <f>IF(ISERROR(VLOOKUP(D2625,Data!$A$2:$C$223100,3,FALSE)),"INACTIVE",VLOOKUP(D2625,Data!$A$2:$C$223100,3,FALSE))</f>
        <v>30+</v>
      </c>
    </row>
    <row r="2626" spans="1:15" x14ac:dyDescent="0.25">
      <c r="A2626" t="s">
        <v>1778</v>
      </c>
      <c r="B2626" t="s">
        <v>1779</v>
      </c>
      <c r="C2626" t="s">
        <v>1793</v>
      </c>
      <c r="D2626" t="s">
        <v>1794</v>
      </c>
      <c r="E2626" t="s">
        <v>1795</v>
      </c>
      <c r="F2626" t="s">
        <v>1795</v>
      </c>
      <c r="G2626" t="s">
        <v>5</v>
      </c>
      <c r="H2626" t="s">
        <v>5</v>
      </c>
      <c r="I2626" t="s">
        <v>1783</v>
      </c>
      <c r="J2626" t="s">
        <v>40</v>
      </c>
      <c r="K2626" s="3">
        <f t="shared" si="80"/>
        <v>0</v>
      </c>
      <c r="L2626" s="3">
        <f>IF(ISERROR(VLOOKUP(J2626,Lookups!$A$2:$A$16,1,FALSE)),1,0)</f>
        <v>1</v>
      </c>
      <c r="M2626" s="3">
        <f>IF(ISERROR(VLOOKUP(D2626,Data!$A$2:$D$223100,2,FALSE)),0,1)</f>
        <v>1</v>
      </c>
      <c r="N2626" s="3">
        <f t="shared" si="81"/>
        <v>1</v>
      </c>
      <c r="O2626" s="3" t="str">
        <f>IF(ISERROR(VLOOKUP(D2626,Data!$A$2:$C$223100,3,FALSE)),"INACTIVE",VLOOKUP(D2626,Data!$A$2:$C$223100,3,FALSE))</f>
        <v>30+</v>
      </c>
    </row>
    <row r="2627" spans="1:15" x14ac:dyDescent="0.25">
      <c r="A2627" t="s">
        <v>1778</v>
      </c>
      <c r="B2627" t="s">
        <v>1779</v>
      </c>
      <c r="C2627" t="s">
        <v>1796</v>
      </c>
      <c r="D2627" t="s">
        <v>1797</v>
      </c>
      <c r="E2627" t="s">
        <v>1798</v>
      </c>
      <c r="F2627" t="s">
        <v>1798</v>
      </c>
      <c r="G2627" t="s">
        <v>5</v>
      </c>
      <c r="H2627" t="s">
        <v>5</v>
      </c>
      <c r="I2627" t="s">
        <v>1783</v>
      </c>
      <c r="J2627" t="s">
        <v>40</v>
      </c>
      <c r="K2627" s="3">
        <f t="shared" ref="K2627:K2690" si="82">IF(ISERROR(FIND("LIEN",A2627,1)),0,1)</f>
        <v>0</v>
      </c>
      <c r="L2627" s="3">
        <f>IF(ISERROR(VLOOKUP(J2627,Lookups!$A$2:$A$16,1,FALSE)),1,0)</f>
        <v>1</v>
      </c>
      <c r="M2627" s="3">
        <f>IF(ISERROR(VLOOKUP(D2627,Data!$A$2:$D$223100,2,FALSE)),0,1)</f>
        <v>1</v>
      </c>
      <c r="N2627" s="3">
        <f t="shared" ref="N2627:N2690" si="83">IF(M2627=0,0,IF(SUM(K2627:L2627)&gt;0,1,0))</f>
        <v>1</v>
      </c>
      <c r="O2627" s="3" t="str">
        <f>IF(ISERROR(VLOOKUP(D2627,Data!$A$2:$C$223100,3,FALSE)),"INACTIVE",VLOOKUP(D2627,Data!$A$2:$C$223100,3,FALSE))</f>
        <v>60+</v>
      </c>
    </row>
    <row r="2628" spans="1:15" x14ac:dyDescent="0.25">
      <c r="A2628" t="s">
        <v>1778</v>
      </c>
      <c r="B2628" t="s">
        <v>1779</v>
      </c>
      <c r="C2628" t="s">
        <v>1799</v>
      </c>
      <c r="D2628" t="s">
        <v>1800</v>
      </c>
      <c r="E2628" t="s">
        <v>1801</v>
      </c>
      <c r="F2628" t="s">
        <v>1801</v>
      </c>
      <c r="G2628" t="s">
        <v>5</v>
      </c>
      <c r="H2628" t="s">
        <v>5</v>
      </c>
      <c r="I2628" t="s">
        <v>1783</v>
      </c>
      <c r="J2628" t="s">
        <v>40</v>
      </c>
      <c r="K2628" s="3">
        <f t="shared" si="82"/>
        <v>0</v>
      </c>
      <c r="L2628" s="3">
        <f>IF(ISERROR(VLOOKUP(J2628,Lookups!$A$2:$A$16,1,FALSE)),1,0)</f>
        <v>1</v>
      </c>
      <c r="M2628" s="3">
        <f>IF(ISERROR(VLOOKUP(D2628,Data!$A$2:$D$223100,2,FALSE)),0,1)</f>
        <v>1</v>
      </c>
      <c r="N2628" s="3">
        <f t="shared" si="83"/>
        <v>1</v>
      </c>
      <c r="O2628" s="3" t="str">
        <f>IF(ISERROR(VLOOKUP(D2628,Data!$A$2:$C$223100,3,FALSE)),"INACTIVE",VLOOKUP(D2628,Data!$A$2:$C$223100,3,FALSE))</f>
        <v>60+</v>
      </c>
    </row>
    <row r="2629" spans="1:15" x14ac:dyDescent="0.25">
      <c r="A2629" t="s">
        <v>1778</v>
      </c>
      <c r="B2629" t="s">
        <v>1779</v>
      </c>
      <c r="C2629" t="s">
        <v>1802</v>
      </c>
      <c r="D2629" t="s">
        <v>1803</v>
      </c>
      <c r="E2629" t="s">
        <v>1804</v>
      </c>
      <c r="F2629" t="s">
        <v>1804</v>
      </c>
      <c r="G2629" t="s">
        <v>5</v>
      </c>
      <c r="H2629" t="s">
        <v>5</v>
      </c>
      <c r="I2629" t="s">
        <v>1783</v>
      </c>
      <c r="J2629" t="s">
        <v>47</v>
      </c>
      <c r="K2629" s="3">
        <f t="shared" si="82"/>
        <v>0</v>
      </c>
      <c r="L2629" s="3">
        <f>IF(ISERROR(VLOOKUP(J2629,Lookups!$A$2:$A$16,1,FALSE)),1,0)</f>
        <v>1</v>
      </c>
      <c r="M2629" s="3">
        <f>IF(ISERROR(VLOOKUP(D2629,Data!$A$2:$D$223100,2,FALSE)),0,1)</f>
        <v>1</v>
      </c>
      <c r="N2629" s="3">
        <f t="shared" si="83"/>
        <v>1</v>
      </c>
      <c r="O2629" s="3" t="str">
        <f>IF(ISERROR(VLOOKUP(D2629,Data!$A$2:$C$223100,3,FALSE)),"INACTIVE",VLOOKUP(D2629,Data!$A$2:$C$223100,3,FALSE))</f>
        <v>FC</v>
      </c>
    </row>
    <row r="2630" spans="1:15" x14ac:dyDescent="0.25">
      <c r="A2630" t="s">
        <v>1778</v>
      </c>
      <c r="B2630" t="s">
        <v>1779</v>
      </c>
      <c r="C2630" t="s">
        <v>1805</v>
      </c>
      <c r="D2630" t="s">
        <v>1806</v>
      </c>
      <c r="E2630" t="s">
        <v>1807</v>
      </c>
      <c r="F2630" t="s">
        <v>1807</v>
      </c>
      <c r="G2630" t="s">
        <v>5</v>
      </c>
      <c r="H2630" t="s">
        <v>5</v>
      </c>
      <c r="I2630" t="s">
        <v>1783</v>
      </c>
      <c r="J2630" t="s">
        <v>40</v>
      </c>
      <c r="K2630" s="3">
        <f t="shared" si="82"/>
        <v>0</v>
      </c>
      <c r="L2630" s="3">
        <f>IF(ISERROR(VLOOKUP(J2630,Lookups!$A$2:$A$16,1,FALSE)),1,0)</f>
        <v>1</v>
      </c>
      <c r="M2630" s="3">
        <f>IF(ISERROR(VLOOKUP(D2630,Data!$A$2:$D$223100,2,FALSE)),0,1)</f>
        <v>1</v>
      </c>
      <c r="N2630" s="3">
        <f t="shared" si="83"/>
        <v>1</v>
      </c>
      <c r="O2630" s="3" t="str">
        <f>IF(ISERROR(VLOOKUP(D2630,Data!$A$2:$C$223100,3,FALSE)),"INACTIVE",VLOOKUP(D2630,Data!$A$2:$C$223100,3,FALSE))</f>
        <v>90+</v>
      </c>
    </row>
    <row r="2631" spans="1:15" x14ac:dyDescent="0.25">
      <c r="A2631" t="s">
        <v>1778</v>
      </c>
      <c r="B2631" t="s">
        <v>1779</v>
      </c>
      <c r="C2631" t="s">
        <v>1808</v>
      </c>
      <c r="D2631" t="s">
        <v>1809</v>
      </c>
      <c r="E2631" t="s">
        <v>1810</v>
      </c>
      <c r="F2631" t="s">
        <v>1810</v>
      </c>
      <c r="G2631" t="s">
        <v>5</v>
      </c>
      <c r="H2631" t="s">
        <v>5</v>
      </c>
      <c r="I2631" t="s">
        <v>1783</v>
      </c>
      <c r="J2631" t="s">
        <v>40</v>
      </c>
      <c r="K2631" s="3">
        <f t="shared" si="82"/>
        <v>0</v>
      </c>
      <c r="L2631" s="3">
        <f>IF(ISERROR(VLOOKUP(J2631,Lookups!$A$2:$A$16,1,FALSE)),1,0)</f>
        <v>1</v>
      </c>
      <c r="M2631" s="3">
        <f>IF(ISERROR(VLOOKUP(D2631,Data!$A$2:$D$223100,2,FALSE)),0,1)</f>
        <v>1</v>
      </c>
      <c r="N2631" s="3">
        <f t="shared" si="83"/>
        <v>1</v>
      </c>
      <c r="O2631" s="3" t="str">
        <f>IF(ISERROR(VLOOKUP(D2631,Data!$A$2:$C$223100,3,FALSE)),"INACTIVE",VLOOKUP(D2631,Data!$A$2:$C$223100,3,FALSE))</f>
        <v>30+</v>
      </c>
    </row>
    <row r="2632" spans="1:15" x14ac:dyDescent="0.25">
      <c r="A2632" t="s">
        <v>1778</v>
      </c>
      <c r="B2632" t="s">
        <v>1779</v>
      </c>
      <c r="C2632" t="s">
        <v>1811</v>
      </c>
      <c r="D2632" t="s">
        <v>1812</v>
      </c>
      <c r="E2632" t="s">
        <v>1813</v>
      </c>
      <c r="F2632" t="s">
        <v>1813</v>
      </c>
      <c r="G2632" t="s">
        <v>5</v>
      </c>
      <c r="H2632" t="s">
        <v>5</v>
      </c>
      <c r="I2632" t="s">
        <v>1783</v>
      </c>
      <c r="J2632" t="s">
        <v>47</v>
      </c>
      <c r="K2632" s="3">
        <f t="shared" si="82"/>
        <v>0</v>
      </c>
      <c r="L2632" s="3">
        <f>IF(ISERROR(VLOOKUP(J2632,Lookups!$A$2:$A$16,1,FALSE)),1,0)</f>
        <v>1</v>
      </c>
      <c r="M2632" s="3">
        <f>IF(ISERROR(VLOOKUP(D2632,Data!$A$2:$D$223100,2,FALSE)),0,1)</f>
        <v>1</v>
      </c>
      <c r="N2632" s="3">
        <f t="shared" si="83"/>
        <v>1</v>
      </c>
      <c r="O2632" s="3" t="str">
        <f>IF(ISERROR(VLOOKUP(D2632,Data!$A$2:$C$223100,3,FALSE)),"INACTIVE",VLOOKUP(D2632,Data!$A$2:$C$223100,3,FALSE))</f>
        <v>Demand Letter</v>
      </c>
    </row>
    <row r="2633" spans="1:15" x14ac:dyDescent="0.25">
      <c r="A2633" t="s">
        <v>1778</v>
      </c>
      <c r="B2633" t="s">
        <v>1779</v>
      </c>
      <c r="C2633" t="s">
        <v>1814</v>
      </c>
      <c r="D2633" t="s">
        <v>1815</v>
      </c>
      <c r="E2633" t="s">
        <v>1816</v>
      </c>
      <c r="F2633" t="s">
        <v>1816</v>
      </c>
      <c r="G2633" t="s">
        <v>5</v>
      </c>
      <c r="H2633" t="s">
        <v>5</v>
      </c>
      <c r="I2633" t="s">
        <v>1783</v>
      </c>
      <c r="J2633" t="s">
        <v>40</v>
      </c>
      <c r="K2633" s="3">
        <f t="shared" si="82"/>
        <v>0</v>
      </c>
      <c r="L2633" s="3">
        <f>IF(ISERROR(VLOOKUP(J2633,Lookups!$A$2:$A$16,1,FALSE)),1,0)</f>
        <v>1</v>
      </c>
      <c r="M2633" s="3">
        <f>IF(ISERROR(VLOOKUP(D2633,Data!$A$2:$D$223100,2,FALSE)),0,1)</f>
        <v>1</v>
      </c>
      <c r="N2633" s="3">
        <f t="shared" si="83"/>
        <v>1</v>
      </c>
      <c r="O2633" s="3" t="str">
        <f>IF(ISERROR(VLOOKUP(D2633,Data!$A$2:$C$223100,3,FALSE)),"INACTIVE",VLOOKUP(D2633,Data!$A$2:$C$223100,3,FALSE))</f>
        <v>60+</v>
      </c>
    </row>
    <row r="2634" spans="1:15" x14ac:dyDescent="0.25">
      <c r="A2634" t="s">
        <v>1778</v>
      </c>
      <c r="B2634" t="s">
        <v>1779</v>
      </c>
      <c r="C2634" t="s">
        <v>1817</v>
      </c>
      <c r="D2634" t="s">
        <v>1818</v>
      </c>
      <c r="E2634" t="s">
        <v>1819</v>
      </c>
      <c r="F2634" t="s">
        <v>1819</v>
      </c>
      <c r="G2634" t="s">
        <v>5</v>
      </c>
      <c r="H2634" t="s">
        <v>5</v>
      </c>
      <c r="I2634" t="s">
        <v>1783</v>
      </c>
      <c r="J2634" t="s">
        <v>40</v>
      </c>
      <c r="K2634" s="3">
        <f t="shared" si="82"/>
        <v>0</v>
      </c>
      <c r="L2634" s="3">
        <f>IF(ISERROR(VLOOKUP(J2634,Lookups!$A$2:$A$16,1,FALSE)),1,0)</f>
        <v>1</v>
      </c>
      <c r="M2634" s="3">
        <f>IF(ISERROR(VLOOKUP(D2634,Data!$A$2:$D$223100,2,FALSE)),0,1)</f>
        <v>1</v>
      </c>
      <c r="N2634" s="3">
        <f t="shared" si="83"/>
        <v>1</v>
      </c>
      <c r="O2634" s="3" t="str">
        <f>IF(ISERROR(VLOOKUP(D2634,Data!$A$2:$C$223100,3,FALSE)),"INACTIVE",VLOOKUP(D2634,Data!$A$2:$C$223100,3,FALSE))</f>
        <v>Current</v>
      </c>
    </row>
    <row r="2635" spans="1:15" x14ac:dyDescent="0.25">
      <c r="A2635" t="s">
        <v>1778</v>
      </c>
      <c r="B2635" t="s">
        <v>1779</v>
      </c>
      <c r="C2635" t="s">
        <v>1820</v>
      </c>
      <c r="D2635" t="s">
        <v>1821</v>
      </c>
      <c r="E2635" t="s">
        <v>1822</v>
      </c>
      <c r="F2635" t="s">
        <v>1822</v>
      </c>
      <c r="G2635" t="s">
        <v>5</v>
      </c>
      <c r="H2635" t="s">
        <v>5</v>
      </c>
      <c r="I2635" t="s">
        <v>1783</v>
      </c>
      <c r="J2635" t="s">
        <v>47</v>
      </c>
      <c r="K2635" s="3">
        <f t="shared" si="82"/>
        <v>0</v>
      </c>
      <c r="L2635" s="3">
        <f>IF(ISERROR(VLOOKUP(J2635,Lookups!$A$2:$A$16,1,FALSE)),1,0)</f>
        <v>1</v>
      </c>
      <c r="M2635" s="3">
        <f>IF(ISERROR(VLOOKUP(D2635,Data!$A$2:$D$223100,2,FALSE)),0,1)</f>
        <v>1</v>
      </c>
      <c r="N2635" s="3">
        <f t="shared" si="83"/>
        <v>1</v>
      </c>
      <c r="O2635" s="3" t="str">
        <f>IF(ISERROR(VLOOKUP(D2635,Data!$A$2:$C$223100,3,FALSE)),"INACTIVE",VLOOKUP(D2635,Data!$A$2:$C$223100,3,FALSE))</f>
        <v>FC</v>
      </c>
    </row>
    <row r="2636" spans="1:15" x14ac:dyDescent="0.25">
      <c r="A2636" t="s">
        <v>1778</v>
      </c>
      <c r="B2636" t="s">
        <v>1779</v>
      </c>
      <c r="C2636" t="s">
        <v>1823</v>
      </c>
      <c r="D2636" t="s">
        <v>1824</v>
      </c>
      <c r="E2636" t="s">
        <v>1825</v>
      </c>
      <c r="F2636" t="s">
        <v>1825</v>
      </c>
      <c r="G2636" t="s">
        <v>5</v>
      </c>
      <c r="H2636" t="s">
        <v>5</v>
      </c>
      <c r="I2636" t="s">
        <v>1783</v>
      </c>
      <c r="J2636" t="s">
        <v>40</v>
      </c>
      <c r="K2636" s="3">
        <f t="shared" si="82"/>
        <v>0</v>
      </c>
      <c r="L2636" s="3">
        <f>IF(ISERROR(VLOOKUP(J2636,Lookups!$A$2:$A$16,1,FALSE)),1,0)</f>
        <v>1</v>
      </c>
      <c r="M2636" s="3">
        <f>IF(ISERROR(VLOOKUP(D2636,Data!$A$2:$D$223100,2,FALSE)),0,1)</f>
        <v>1</v>
      </c>
      <c r="N2636" s="3">
        <f t="shared" si="83"/>
        <v>1</v>
      </c>
      <c r="O2636" s="3" t="str">
        <f>IF(ISERROR(VLOOKUP(D2636,Data!$A$2:$C$223100,3,FALSE)),"INACTIVE",VLOOKUP(D2636,Data!$A$2:$C$223100,3,FALSE))</f>
        <v>Demand Letter</v>
      </c>
    </row>
    <row r="2637" spans="1:15" x14ac:dyDescent="0.25">
      <c r="A2637" t="s">
        <v>1778</v>
      </c>
      <c r="B2637" t="s">
        <v>1779</v>
      </c>
      <c r="C2637" t="s">
        <v>1826</v>
      </c>
      <c r="D2637" t="s">
        <v>1827</v>
      </c>
      <c r="E2637" t="s">
        <v>1828</v>
      </c>
      <c r="F2637" t="s">
        <v>1828</v>
      </c>
      <c r="G2637" t="s">
        <v>5</v>
      </c>
      <c r="H2637" t="s">
        <v>5</v>
      </c>
      <c r="I2637" t="s">
        <v>1783</v>
      </c>
      <c r="J2637" t="s">
        <v>47</v>
      </c>
      <c r="K2637" s="3">
        <f t="shared" si="82"/>
        <v>0</v>
      </c>
      <c r="L2637" s="3">
        <f>IF(ISERROR(VLOOKUP(J2637,Lookups!$A$2:$A$16,1,FALSE)),1,0)</f>
        <v>1</v>
      </c>
      <c r="M2637" s="3">
        <f>IF(ISERROR(VLOOKUP(D2637,Data!$A$2:$D$223100,2,FALSE)),0,1)</f>
        <v>1</v>
      </c>
      <c r="N2637" s="3">
        <f t="shared" si="83"/>
        <v>1</v>
      </c>
      <c r="O2637" s="3" t="str">
        <f>IF(ISERROR(VLOOKUP(D2637,Data!$A$2:$C$223100,3,FALSE)),"INACTIVE",VLOOKUP(D2637,Data!$A$2:$C$223100,3,FALSE))</f>
        <v>Demand Letter</v>
      </c>
    </row>
    <row r="2638" spans="1:15" x14ac:dyDescent="0.25">
      <c r="A2638" t="s">
        <v>1778</v>
      </c>
      <c r="B2638" t="s">
        <v>1779</v>
      </c>
      <c r="C2638" t="s">
        <v>1829</v>
      </c>
      <c r="D2638" t="s">
        <v>1830</v>
      </c>
      <c r="E2638" t="s">
        <v>1831</v>
      </c>
      <c r="F2638" t="s">
        <v>1831</v>
      </c>
      <c r="G2638" t="s">
        <v>5</v>
      </c>
      <c r="H2638" t="s">
        <v>5</v>
      </c>
      <c r="I2638" t="s">
        <v>1783</v>
      </c>
      <c r="J2638" t="s">
        <v>47</v>
      </c>
      <c r="K2638" s="3">
        <f t="shared" si="82"/>
        <v>0</v>
      </c>
      <c r="L2638" s="3">
        <f>IF(ISERROR(VLOOKUP(J2638,Lookups!$A$2:$A$16,1,FALSE)),1,0)</f>
        <v>1</v>
      </c>
      <c r="M2638" s="3">
        <f>IF(ISERROR(VLOOKUP(D2638,Data!$A$2:$D$223100,2,FALSE)),0,1)</f>
        <v>1</v>
      </c>
      <c r="N2638" s="3">
        <f t="shared" si="83"/>
        <v>1</v>
      </c>
      <c r="O2638" s="3" t="str">
        <f>IF(ISERROR(VLOOKUP(D2638,Data!$A$2:$C$223100,3,FALSE)),"INACTIVE",VLOOKUP(D2638,Data!$A$2:$C$223100,3,FALSE))</f>
        <v>FC</v>
      </c>
    </row>
    <row r="2639" spans="1:15" x14ac:dyDescent="0.25">
      <c r="A2639" t="s">
        <v>1778</v>
      </c>
      <c r="B2639" t="s">
        <v>1779</v>
      </c>
      <c r="C2639" t="s">
        <v>1832</v>
      </c>
      <c r="D2639" t="s">
        <v>1833</v>
      </c>
      <c r="E2639" t="s">
        <v>1834</v>
      </c>
      <c r="F2639" t="s">
        <v>1834</v>
      </c>
      <c r="G2639" t="s">
        <v>5</v>
      </c>
      <c r="H2639" t="s">
        <v>5</v>
      </c>
      <c r="I2639" t="s">
        <v>1783</v>
      </c>
      <c r="J2639" t="s">
        <v>40</v>
      </c>
      <c r="K2639" s="3">
        <f t="shared" si="82"/>
        <v>0</v>
      </c>
      <c r="L2639" s="3">
        <f>IF(ISERROR(VLOOKUP(J2639,Lookups!$A$2:$A$16,1,FALSE)),1,0)</f>
        <v>1</v>
      </c>
      <c r="M2639" s="3">
        <f>IF(ISERROR(VLOOKUP(D2639,Data!$A$2:$D$223100,2,FALSE)),0,1)</f>
        <v>1</v>
      </c>
      <c r="N2639" s="3">
        <f t="shared" si="83"/>
        <v>1</v>
      </c>
      <c r="O2639" s="3" t="str">
        <f>IF(ISERROR(VLOOKUP(D2639,Data!$A$2:$C$223100,3,FALSE)),"INACTIVE",VLOOKUP(D2639,Data!$A$2:$C$223100,3,FALSE))</f>
        <v>Current</v>
      </c>
    </row>
    <row r="2640" spans="1:15" x14ac:dyDescent="0.25">
      <c r="A2640" t="s">
        <v>1778</v>
      </c>
      <c r="B2640" t="s">
        <v>1779</v>
      </c>
      <c r="C2640" t="s">
        <v>1835</v>
      </c>
      <c r="D2640" t="s">
        <v>1836</v>
      </c>
      <c r="E2640" t="s">
        <v>1837</v>
      </c>
      <c r="F2640" t="s">
        <v>1837</v>
      </c>
      <c r="G2640" t="s">
        <v>5</v>
      </c>
      <c r="H2640" t="s">
        <v>5</v>
      </c>
      <c r="I2640" t="s">
        <v>1783</v>
      </c>
      <c r="J2640" t="s">
        <v>40</v>
      </c>
      <c r="K2640" s="3">
        <f t="shared" si="82"/>
        <v>0</v>
      </c>
      <c r="L2640" s="3">
        <f>IF(ISERROR(VLOOKUP(J2640,Lookups!$A$2:$A$16,1,FALSE)),1,0)</f>
        <v>1</v>
      </c>
      <c r="M2640" s="3">
        <f>IF(ISERROR(VLOOKUP(D2640,Data!$A$2:$D$223100,2,FALSE)),0,1)</f>
        <v>0</v>
      </c>
      <c r="N2640" s="3">
        <f t="shared" si="83"/>
        <v>0</v>
      </c>
      <c r="O2640" s="3" t="str">
        <f>IF(ISERROR(VLOOKUP(D2640,Data!$A$2:$C$223100,3,FALSE)),"INACTIVE",VLOOKUP(D2640,Data!$A$2:$C$223100,3,FALSE))</f>
        <v>INACTIVE</v>
      </c>
    </row>
    <row r="2641" spans="1:15" x14ac:dyDescent="0.25">
      <c r="A2641" t="s">
        <v>1778</v>
      </c>
      <c r="B2641" t="s">
        <v>1779</v>
      </c>
      <c r="C2641" t="s">
        <v>1838</v>
      </c>
      <c r="D2641" t="s">
        <v>1839</v>
      </c>
      <c r="E2641" t="s">
        <v>1840</v>
      </c>
      <c r="F2641" t="s">
        <v>1840</v>
      </c>
      <c r="G2641" t="s">
        <v>5</v>
      </c>
      <c r="H2641" t="s">
        <v>5</v>
      </c>
      <c r="I2641" t="s">
        <v>1783</v>
      </c>
      <c r="J2641" t="s">
        <v>40</v>
      </c>
      <c r="K2641" s="3">
        <f t="shared" si="82"/>
        <v>0</v>
      </c>
      <c r="L2641" s="3">
        <f>IF(ISERROR(VLOOKUP(J2641,Lookups!$A$2:$A$16,1,FALSE)),1,0)</f>
        <v>1</v>
      </c>
      <c r="M2641" s="3">
        <f>IF(ISERROR(VLOOKUP(D2641,Data!$A$2:$D$223100,2,FALSE)),0,1)</f>
        <v>1</v>
      </c>
      <c r="N2641" s="3">
        <f t="shared" si="83"/>
        <v>1</v>
      </c>
      <c r="O2641" s="3" t="str">
        <f>IF(ISERROR(VLOOKUP(D2641,Data!$A$2:$C$223100,3,FALSE)),"INACTIVE",VLOOKUP(D2641,Data!$A$2:$C$223100,3,FALSE))</f>
        <v>90+</v>
      </c>
    </row>
    <row r="2642" spans="1:15" x14ac:dyDescent="0.25">
      <c r="A2642" t="s">
        <v>1778</v>
      </c>
      <c r="B2642" t="s">
        <v>1779</v>
      </c>
      <c r="C2642" t="s">
        <v>1841</v>
      </c>
      <c r="D2642" t="s">
        <v>1842</v>
      </c>
      <c r="E2642" t="s">
        <v>1843</v>
      </c>
      <c r="F2642" t="s">
        <v>1843</v>
      </c>
      <c r="G2642" t="s">
        <v>5</v>
      </c>
      <c r="H2642" t="s">
        <v>5</v>
      </c>
      <c r="I2642" t="s">
        <v>1783</v>
      </c>
      <c r="J2642" t="s">
        <v>573</v>
      </c>
      <c r="K2642" s="3">
        <f t="shared" si="82"/>
        <v>0</v>
      </c>
      <c r="L2642" s="3">
        <f>IF(ISERROR(VLOOKUP(J2642,Lookups!$A$2:$A$16,1,FALSE)),1,0)</f>
        <v>1</v>
      </c>
      <c r="M2642" s="3">
        <f>IF(ISERROR(VLOOKUP(D2642,Data!$A$2:$D$223100,2,FALSE)),0,1)</f>
        <v>1</v>
      </c>
      <c r="N2642" s="3">
        <f t="shared" si="83"/>
        <v>1</v>
      </c>
      <c r="O2642" s="3" t="str">
        <f>IF(ISERROR(VLOOKUP(D2642,Data!$A$2:$C$223100,3,FALSE)),"INACTIVE",VLOOKUP(D2642,Data!$A$2:$C$223100,3,FALSE))</f>
        <v>Demand Letter</v>
      </c>
    </row>
    <row r="2643" spans="1:15" x14ac:dyDescent="0.25">
      <c r="A2643" t="s">
        <v>1778</v>
      </c>
      <c r="B2643" t="s">
        <v>1779</v>
      </c>
      <c r="C2643" t="s">
        <v>1844</v>
      </c>
      <c r="D2643" t="s">
        <v>1845</v>
      </c>
      <c r="E2643" t="s">
        <v>1846</v>
      </c>
      <c r="F2643" t="s">
        <v>1846</v>
      </c>
      <c r="G2643" t="s">
        <v>5</v>
      </c>
      <c r="H2643" t="s">
        <v>5</v>
      </c>
      <c r="I2643" t="s">
        <v>1783</v>
      </c>
      <c r="J2643" t="s">
        <v>47</v>
      </c>
      <c r="K2643" s="3">
        <f t="shared" si="82"/>
        <v>0</v>
      </c>
      <c r="L2643" s="3">
        <f>IF(ISERROR(VLOOKUP(J2643,Lookups!$A$2:$A$16,1,FALSE)),1,0)</f>
        <v>1</v>
      </c>
      <c r="M2643" s="3">
        <f>IF(ISERROR(VLOOKUP(D2643,Data!$A$2:$D$223100,2,FALSE)),0,1)</f>
        <v>1</v>
      </c>
      <c r="N2643" s="3">
        <f t="shared" si="83"/>
        <v>1</v>
      </c>
      <c r="O2643" s="3" t="str">
        <f>IF(ISERROR(VLOOKUP(D2643,Data!$A$2:$C$223100,3,FALSE)),"INACTIVE",VLOOKUP(D2643,Data!$A$2:$C$223100,3,FALSE))</f>
        <v>FC</v>
      </c>
    </row>
    <row r="2644" spans="1:15" x14ac:dyDescent="0.25">
      <c r="A2644" t="s">
        <v>1778</v>
      </c>
      <c r="B2644" t="s">
        <v>1779</v>
      </c>
      <c r="C2644" t="s">
        <v>1847</v>
      </c>
      <c r="D2644" t="s">
        <v>1848</v>
      </c>
      <c r="E2644" t="s">
        <v>1849</v>
      </c>
      <c r="F2644" t="s">
        <v>1849</v>
      </c>
      <c r="G2644" t="s">
        <v>5</v>
      </c>
      <c r="H2644" t="s">
        <v>5</v>
      </c>
      <c r="I2644" t="s">
        <v>1783</v>
      </c>
      <c r="J2644" t="s">
        <v>47</v>
      </c>
      <c r="K2644" s="3">
        <f t="shared" si="82"/>
        <v>0</v>
      </c>
      <c r="L2644" s="3">
        <f>IF(ISERROR(VLOOKUP(J2644,Lookups!$A$2:$A$16,1,FALSE)),1,0)</f>
        <v>1</v>
      </c>
      <c r="M2644" s="3">
        <f>IF(ISERROR(VLOOKUP(D2644,Data!$A$2:$D$223100,2,FALSE)),0,1)</f>
        <v>1</v>
      </c>
      <c r="N2644" s="3">
        <f t="shared" si="83"/>
        <v>1</v>
      </c>
      <c r="O2644" s="3" t="str">
        <f>IF(ISERROR(VLOOKUP(D2644,Data!$A$2:$C$223100,3,FALSE)),"INACTIVE",VLOOKUP(D2644,Data!$A$2:$C$223100,3,FALSE))</f>
        <v>FC</v>
      </c>
    </row>
    <row r="2645" spans="1:15" x14ac:dyDescent="0.25">
      <c r="A2645" t="s">
        <v>1778</v>
      </c>
      <c r="B2645" t="s">
        <v>1779</v>
      </c>
      <c r="C2645" t="s">
        <v>1850</v>
      </c>
      <c r="D2645" t="s">
        <v>1851</v>
      </c>
      <c r="E2645" t="s">
        <v>1852</v>
      </c>
      <c r="F2645" t="s">
        <v>1852</v>
      </c>
      <c r="G2645" t="s">
        <v>5</v>
      </c>
      <c r="H2645" t="s">
        <v>5</v>
      </c>
      <c r="I2645" t="s">
        <v>1783</v>
      </c>
      <c r="J2645" t="s">
        <v>47</v>
      </c>
      <c r="K2645" s="3">
        <f t="shared" si="82"/>
        <v>0</v>
      </c>
      <c r="L2645" s="3">
        <f>IF(ISERROR(VLOOKUP(J2645,Lookups!$A$2:$A$16,1,FALSE)),1,0)</f>
        <v>1</v>
      </c>
      <c r="M2645" s="3">
        <f>IF(ISERROR(VLOOKUP(D2645,Data!$A$2:$D$223100,2,FALSE)),0,1)</f>
        <v>1</v>
      </c>
      <c r="N2645" s="3">
        <f t="shared" si="83"/>
        <v>1</v>
      </c>
      <c r="O2645" s="3" t="str">
        <f>IF(ISERROR(VLOOKUP(D2645,Data!$A$2:$C$223100,3,FALSE)),"INACTIVE",VLOOKUP(D2645,Data!$A$2:$C$223100,3,FALSE))</f>
        <v>Demand Letter</v>
      </c>
    </row>
    <row r="2646" spans="1:15" x14ac:dyDescent="0.25">
      <c r="A2646" t="s">
        <v>1778</v>
      </c>
      <c r="B2646" t="s">
        <v>1779</v>
      </c>
      <c r="C2646" t="s">
        <v>1853</v>
      </c>
      <c r="D2646" t="s">
        <v>1854</v>
      </c>
      <c r="E2646" t="s">
        <v>1855</v>
      </c>
      <c r="F2646" t="s">
        <v>1855</v>
      </c>
      <c r="G2646" t="s">
        <v>5</v>
      </c>
      <c r="H2646" t="s">
        <v>5</v>
      </c>
      <c r="I2646" t="s">
        <v>1783</v>
      </c>
      <c r="J2646" t="s">
        <v>47</v>
      </c>
      <c r="K2646" s="3">
        <f t="shared" si="82"/>
        <v>0</v>
      </c>
      <c r="L2646" s="3">
        <f>IF(ISERROR(VLOOKUP(J2646,Lookups!$A$2:$A$16,1,FALSE)),1,0)</f>
        <v>1</v>
      </c>
      <c r="M2646" s="3">
        <f>IF(ISERROR(VLOOKUP(D2646,Data!$A$2:$D$223100,2,FALSE)),0,1)</f>
        <v>1</v>
      </c>
      <c r="N2646" s="3">
        <f t="shared" si="83"/>
        <v>1</v>
      </c>
      <c r="O2646" s="3" t="str">
        <f>IF(ISERROR(VLOOKUP(D2646,Data!$A$2:$C$223100,3,FALSE)),"INACTIVE",VLOOKUP(D2646,Data!$A$2:$C$223100,3,FALSE))</f>
        <v>Current</v>
      </c>
    </row>
    <row r="2647" spans="1:15" x14ac:dyDescent="0.25">
      <c r="A2647" t="s">
        <v>1778</v>
      </c>
      <c r="B2647" t="s">
        <v>1779</v>
      </c>
      <c r="C2647" t="s">
        <v>1856</v>
      </c>
      <c r="D2647" t="s">
        <v>1857</v>
      </c>
      <c r="E2647" t="s">
        <v>1858</v>
      </c>
      <c r="F2647" t="s">
        <v>1858</v>
      </c>
      <c r="G2647" t="s">
        <v>5</v>
      </c>
      <c r="H2647" t="s">
        <v>5</v>
      </c>
      <c r="I2647" t="s">
        <v>1783</v>
      </c>
      <c r="J2647" t="s">
        <v>40</v>
      </c>
      <c r="K2647" s="3">
        <f t="shared" si="82"/>
        <v>0</v>
      </c>
      <c r="L2647" s="3">
        <f>IF(ISERROR(VLOOKUP(J2647,Lookups!$A$2:$A$16,1,FALSE)),1,0)</f>
        <v>1</v>
      </c>
      <c r="M2647" s="3">
        <f>IF(ISERROR(VLOOKUP(D2647,Data!$A$2:$D$223100,2,FALSE)),0,1)</f>
        <v>1</v>
      </c>
      <c r="N2647" s="3">
        <f t="shared" si="83"/>
        <v>1</v>
      </c>
      <c r="O2647" s="3" t="str">
        <f>IF(ISERROR(VLOOKUP(D2647,Data!$A$2:$C$223100,3,FALSE)),"INACTIVE",VLOOKUP(D2647,Data!$A$2:$C$223100,3,FALSE))</f>
        <v>FC</v>
      </c>
    </row>
    <row r="2648" spans="1:15" x14ac:dyDescent="0.25">
      <c r="A2648" t="s">
        <v>1778</v>
      </c>
      <c r="B2648" t="s">
        <v>1779</v>
      </c>
      <c r="C2648" t="s">
        <v>1859</v>
      </c>
      <c r="D2648" t="s">
        <v>1860</v>
      </c>
      <c r="E2648" t="s">
        <v>1861</v>
      </c>
      <c r="F2648" t="s">
        <v>1861</v>
      </c>
      <c r="G2648" t="s">
        <v>5</v>
      </c>
      <c r="H2648" t="s">
        <v>5</v>
      </c>
      <c r="I2648" t="s">
        <v>1783</v>
      </c>
      <c r="J2648" t="s">
        <v>40</v>
      </c>
      <c r="K2648" s="3">
        <f t="shared" si="82"/>
        <v>0</v>
      </c>
      <c r="L2648" s="3">
        <f>IF(ISERROR(VLOOKUP(J2648,Lookups!$A$2:$A$16,1,FALSE)),1,0)</f>
        <v>1</v>
      </c>
      <c r="M2648" s="3">
        <f>IF(ISERROR(VLOOKUP(D2648,Data!$A$2:$D$223100,2,FALSE)),0,1)</f>
        <v>1</v>
      </c>
      <c r="N2648" s="3">
        <f t="shared" si="83"/>
        <v>1</v>
      </c>
      <c r="O2648" s="3" t="str">
        <f>IF(ISERROR(VLOOKUP(D2648,Data!$A$2:$C$223100,3,FALSE)),"INACTIVE",VLOOKUP(D2648,Data!$A$2:$C$223100,3,FALSE))</f>
        <v>Demand Letter</v>
      </c>
    </row>
    <row r="2649" spans="1:15" x14ac:dyDescent="0.25">
      <c r="A2649" t="s">
        <v>1778</v>
      </c>
      <c r="B2649" t="s">
        <v>1779</v>
      </c>
      <c r="C2649" t="s">
        <v>1862</v>
      </c>
      <c r="D2649" t="s">
        <v>1863</v>
      </c>
      <c r="E2649" t="s">
        <v>1864</v>
      </c>
      <c r="F2649" t="s">
        <v>1864</v>
      </c>
      <c r="G2649" t="s">
        <v>5</v>
      </c>
      <c r="H2649" t="s">
        <v>5</v>
      </c>
      <c r="I2649" t="s">
        <v>1783</v>
      </c>
      <c r="J2649" t="s">
        <v>40</v>
      </c>
      <c r="K2649" s="3">
        <f t="shared" si="82"/>
        <v>0</v>
      </c>
      <c r="L2649" s="3">
        <f>IF(ISERROR(VLOOKUP(J2649,Lookups!$A$2:$A$16,1,FALSE)),1,0)</f>
        <v>1</v>
      </c>
      <c r="M2649" s="3">
        <f>IF(ISERROR(VLOOKUP(D2649,Data!$A$2:$D$223100,2,FALSE)),0,1)</f>
        <v>1</v>
      </c>
      <c r="N2649" s="3">
        <f t="shared" si="83"/>
        <v>1</v>
      </c>
      <c r="O2649" s="3" t="str">
        <f>IF(ISERROR(VLOOKUP(D2649,Data!$A$2:$C$223100,3,FALSE)),"INACTIVE",VLOOKUP(D2649,Data!$A$2:$C$223100,3,FALSE))</f>
        <v>BK13</v>
      </c>
    </row>
    <row r="2650" spans="1:15" x14ac:dyDescent="0.25">
      <c r="A2650" t="s">
        <v>1778</v>
      </c>
      <c r="B2650" t="s">
        <v>1779</v>
      </c>
      <c r="C2650" t="s">
        <v>1865</v>
      </c>
      <c r="D2650" t="s">
        <v>1863</v>
      </c>
      <c r="E2650" t="s">
        <v>1866</v>
      </c>
      <c r="F2650" t="s">
        <v>1866</v>
      </c>
      <c r="G2650" t="s">
        <v>5</v>
      </c>
      <c r="H2650" t="s">
        <v>5</v>
      </c>
      <c r="I2650" t="s">
        <v>1783</v>
      </c>
      <c r="J2650" t="s">
        <v>40</v>
      </c>
      <c r="K2650" s="3">
        <f t="shared" si="82"/>
        <v>0</v>
      </c>
      <c r="L2650" s="3">
        <f>IF(ISERROR(VLOOKUP(J2650,Lookups!$A$2:$A$16,1,FALSE)),1,0)</f>
        <v>1</v>
      </c>
      <c r="M2650" s="3">
        <f>IF(ISERROR(VLOOKUP(D2650,Data!$A$2:$D$223100,2,FALSE)),0,1)</f>
        <v>1</v>
      </c>
      <c r="N2650" s="3">
        <f t="shared" si="83"/>
        <v>1</v>
      </c>
      <c r="O2650" s="3" t="str">
        <f>IF(ISERROR(VLOOKUP(D2650,Data!$A$2:$C$223100,3,FALSE)),"INACTIVE",VLOOKUP(D2650,Data!$A$2:$C$223100,3,FALSE))</f>
        <v>BK13</v>
      </c>
    </row>
    <row r="2651" spans="1:15" x14ac:dyDescent="0.25">
      <c r="A2651" t="s">
        <v>1778</v>
      </c>
      <c r="B2651" t="s">
        <v>1779</v>
      </c>
      <c r="C2651" t="s">
        <v>1867</v>
      </c>
      <c r="D2651" t="s">
        <v>1868</v>
      </c>
      <c r="E2651" t="s">
        <v>1869</v>
      </c>
      <c r="F2651" t="s">
        <v>1869</v>
      </c>
      <c r="G2651" t="s">
        <v>5</v>
      </c>
      <c r="H2651" t="s">
        <v>5</v>
      </c>
      <c r="I2651" t="s">
        <v>1783</v>
      </c>
      <c r="J2651" t="s">
        <v>40</v>
      </c>
      <c r="K2651" s="3">
        <f t="shared" si="82"/>
        <v>0</v>
      </c>
      <c r="L2651" s="3">
        <f>IF(ISERROR(VLOOKUP(J2651,Lookups!$A$2:$A$16,1,FALSE)),1,0)</f>
        <v>1</v>
      </c>
      <c r="M2651" s="3">
        <f>IF(ISERROR(VLOOKUP(D2651,Data!$A$2:$D$223100,2,FALSE)),0,1)</f>
        <v>1</v>
      </c>
      <c r="N2651" s="3">
        <f t="shared" si="83"/>
        <v>1</v>
      </c>
      <c r="O2651" s="3" t="str">
        <f>IF(ISERROR(VLOOKUP(D2651,Data!$A$2:$C$223100,3,FALSE)),"INACTIVE",VLOOKUP(D2651,Data!$A$2:$C$223100,3,FALSE))</f>
        <v>60+</v>
      </c>
    </row>
    <row r="2652" spans="1:15" x14ac:dyDescent="0.25">
      <c r="A2652" t="s">
        <v>1778</v>
      </c>
      <c r="B2652" t="s">
        <v>1779</v>
      </c>
      <c r="C2652" t="s">
        <v>1870</v>
      </c>
      <c r="D2652" t="s">
        <v>1871</v>
      </c>
      <c r="E2652" t="s">
        <v>1872</v>
      </c>
      <c r="F2652" t="s">
        <v>1872</v>
      </c>
      <c r="G2652" t="s">
        <v>5</v>
      </c>
      <c r="H2652" t="s">
        <v>5</v>
      </c>
      <c r="I2652" t="s">
        <v>1783</v>
      </c>
      <c r="J2652" t="s">
        <v>47</v>
      </c>
      <c r="K2652" s="3">
        <f t="shared" si="82"/>
        <v>0</v>
      </c>
      <c r="L2652" s="3">
        <f>IF(ISERROR(VLOOKUP(J2652,Lookups!$A$2:$A$16,1,FALSE)),1,0)</f>
        <v>1</v>
      </c>
      <c r="M2652" s="3">
        <f>IF(ISERROR(VLOOKUP(D2652,Data!$A$2:$D$223100,2,FALSE)),0,1)</f>
        <v>1</v>
      </c>
      <c r="N2652" s="3">
        <f t="shared" si="83"/>
        <v>1</v>
      </c>
      <c r="O2652" s="3" t="str">
        <f>IF(ISERROR(VLOOKUP(D2652,Data!$A$2:$C$223100,3,FALSE)),"INACTIVE",VLOOKUP(D2652,Data!$A$2:$C$223100,3,FALSE))</f>
        <v>Current</v>
      </c>
    </row>
    <row r="2653" spans="1:15" x14ac:dyDescent="0.25">
      <c r="A2653" t="s">
        <v>1778</v>
      </c>
      <c r="B2653" t="s">
        <v>1779</v>
      </c>
      <c r="C2653" t="s">
        <v>1873</v>
      </c>
      <c r="D2653" t="s">
        <v>1874</v>
      </c>
      <c r="E2653" t="s">
        <v>1875</v>
      </c>
      <c r="F2653" t="s">
        <v>1875</v>
      </c>
      <c r="G2653" t="s">
        <v>5</v>
      </c>
      <c r="H2653" t="s">
        <v>5</v>
      </c>
      <c r="I2653" t="s">
        <v>1783</v>
      </c>
      <c r="J2653" t="s">
        <v>47</v>
      </c>
      <c r="K2653" s="3">
        <f t="shared" si="82"/>
        <v>0</v>
      </c>
      <c r="L2653" s="3">
        <f>IF(ISERROR(VLOOKUP(J2653,Lookups!$A$2:$A$16,1,FALSE)),1,0)</f>
        <v>1</v>
      </c>
      <c r="M2653" s="3">
        <f>IF(ISERROR(VLOOKUP(D2653,Data!$A$2:$D$223100,2,FALSE)),0,1)</f>
        <v>0</v>
      </c>
      <c r="N2653" s="3">
        <f t="shared" si="83"/>
        <v>0</v>
      </c>
      <c r="O2653" s="3" t="str">
        <f>IF(ISERROR(VLOOKUP(D2653,Data!$A$2:$C$223100,3,FALSE)),"INACTIVE",VLOOKUP(D2653,Data!$A$2:$C$223100,3,FALSE))</f>
        <v>INACTIVE</v>
      </c>
    </row>
    <row r="2654" spans="1:15" x14ac:dyDescent="0.25">
      <c r="A2654" t="s">
        <v>1778</v>
      </c>
      <c r="B2654" t="s">
        <v>1779</v>
      </c>
      <c r="C2654" t="s">
        <v>1876</v>
      </c>
      <c r="D2654" t="s">
        <v>1877</v>
      </c>
      <c r="E2654" t="s">
        <v>1878</v>
      </c>
      <c r="F2654" t="s">
        <v>5</v>
      </c>
      <c r="G2654" t="s">
        <v>5</v>
      </c>
      <c r="H2654" t="s">
        <v>5</v>
      </c>
      <c r="I2654" t="s">
        <v>1783</v>
      </c>
      <c r="J2654" t="s">
        <v>96</v>
      </c>
      <c r="K2654" s="3">
        <f t="shared" si="82"/>
        <v>0</v>
      </c>
      <c r="L2654" s="3">
        <f>IF(ISERROR(VLOOKUP(J2654,Lookups!$A$2:$A$16,1,FALSE)),1,0)</f>
        <v>0</v>
      </c>
      <c r="M2654" s="3">
        <f>IF(ISERROR(VLOOKUP(D2654,Data!$A$2:$D$223100,2,FALSE)),0,1)</f>
        <v>1</v>
      </c>
      <c r="N2654" s="3">
        <f t="shared" si="83"/>
        <v>0</v>
      </c>
      <c r="O2654" s="3" t="str">
        <f>IF(ISERROR(VLOOKUP(D2654,Data!$A$2:$C$223100,3,FALSE)),"INACTIVE",VLOOKUP(D2654,Data!$A$2:$C$223100,3,FALSE))</f>
        <v>120+</v>
      </c>
    </row>
    <row r="2655" spans="1:15" x14ac:dyDescent="0.25">
      <c r="A2655" t="s">
        <v>1778</v>
      </c>
      <c r="B2655" t="s">
        <v>1779</v>
      </c>
      <c r="C2655" t="s">
        <v>1876</v>
      </c>
      <c r="D2655" t="s">
        <v>1877</v>
      </c>
      <c r="E2655" t="s">
        <v>1879</v>
      </c>
      <c r="F2655" t="s">
        <v>5</v>
      </c>
      <c r="G2655" t="s">
        <v>5</v>
      </c>
      <c r="H2655" t="s">
        <v>5</v>
      </c>
      <c r="I2655" t="s">
        <v>1783</v>
      </c>
      <c r="J2655" t="s">
        <v>96</v>
      </c>
      <c r="K2655" s="3">
        <f t="shared" si="82"/>
        <v>0</v>
      </c>
      <c r="L2655" s="3">
        <f>IF(ISERROR(VLOOKUP(J2655,Lookups!$A$2:$A$16,1,FALSE)),1,0)</f>
        <v>0</v>
      </c>
      <c r="M2655" s="3">
        <f>IF(ISERROR(VLOOKUP(D2655,Data!$A$2:$D$223100,2,FALSE)),0,1)</f>
        <v>1</v>
      </c>
      <c r="N2655" s="3">
        <f t="shared" si="83"/>
        <v>0</v>
      </c>
      <c r="O2655" s="3" t="str">
        <f>IF(ISERROR(VLOOKUP(D2655,Data!$A$2:$C$223100,3,FALSE)),"INACTIVE",VLOOKUP(D2655,Data!$A$2:$C$223100,3,FALSE))</f>
        <v>120+</v>
      </c>
    </row>
    <row r="2656" spans="1:15" x14ac:dyDescent="0.25">
      <c r="A2656" t="s">
        <v>1778</v>
      </c>
      <c r="B2656" t="s">
        <v>1779</v>
      </c>
      <c r="C2656" t="s">
        <v>1876</v>
      </c>
      <c r="D2656" t="s">
        <v>1877</v>
      </c>
      <c r="E2656" t="s">
        <v>1880</v>
      </c>
      <c r="F2656" t="s">
        <v>5</v>
      </c>
      <c r="G2656" t="s">
        <v>5</v>
      </c>
      <c r="H2656" t="s">
        <v>5</v>
      </c>
      <c r="I2656" t="s">
        <v>1783</v>
      </c>
      <c r="J2656" t="s">
        <v>96</v>
      </c>
      <c r="K2656" s="3">
        <f t="shared" si="82"/>
        <v>0</v>
      </c>
      <c r="L2656" s="3">
        <f>IF(ISERROR(VLOOKUP(J2656,Lookups!$A$2:$A$16,1,FALSE)),1,0)</f>
        <v>0</v>
      </c>
      <c r="M2656" s="3">
        <f>IF(ISERROR(VLOOKUP(D2656,Data!$A$2:$D$223100,2,FALSE)),0,1)</f>
        <v>1</v>
      </c>
      <c r="N2656" s="3">
        <f t="shared" si="83"/>
        <v>0</v>
      </c>
      <c r="O2656" s="3" t="str">
        <f>IF(ISERROR(VLOOKUP(D2656,Data!$A$2:$C$223100,3,FALSE)),"INACTIVE",VLOOKUP(D2656,Data!$A$2:$C$223100,3,FALSE))</f>
        <v>120+</v>
      </c>
    </row>
    <row r="2657" spans="1:15" x14ac:dyDescent="0.25">
      <c r="A2657" t="s">
        <v>1778</v>
      </c>
      <c r="B2657" t="s">
        <v>1779</v>
      </c>
      <c r="C2657" t="s">
        <v>1876</v>
      </c>
      <c r="D2657" t="s">
        <v>1877</v>
      </c>
      <c r="E2657" t="s">
        <v>1881</v>
      </c>
      <c r="F2657" t="s">
        <v>5</v>
      </c>
      <c r="G2657" t="s">
        <v>5</v>
      </c>
      <c r="H2657" t="s">
        <v>5</v>
      </c>
      <c r="I2657" t="s">
        <v>1783</v>
      </c>
      <c r="J2657" t="s">
        <v>96</v>
      </c>
      <c r="K2657" s="3">
        <f t="shared" si="82"/>
        <v>0</v>
      </c>
      <c r="L2657" s="3">
        <f>IF(ISERROR(VLOOKUP(J2657,Lookups!$A$2:$A$16,1,FALSE)),1,0)</f>
        <v>0</v>
      </c>
      <c r="M2657" s="3">
        <f>IF(ISERROR(VLOOKUP(D2657,Data!$A$2:$D$223100,2,FALSE)),0,1)</f>
        <v>1</v>
      </c>
      <c r="N2657" s="3">
        <f t="shared" si="83"/>
        <v>0</v>
      </c>
      <c r="O2657" s="3" t="str">
        <f>IF(ISERROR(VLOOKUP(D2657,Data!$A$2:$C$223100,3,FALSE)),"INACTIVE",VLOOKUP(D2657,Data!$A$2:$C$223100,3,FALSE))</f>
        <v>120+</v>
      </c>
    </row>
    <row r="2658" spans="1:15" x14ac:dyDescent="0.25">
      <c r="A2658" t="s">
        <v>1778</v>
      </c>
      <c r="B2658" t="s">
        <v>1779</v>
      </c>
      <c r="C2658" t="s">
        <v>1876</v>
      </c>
      <c r="D2658" t="s">
        <v>1877</v>
      </c>
      <c r="E2658" t="s">
        <v>1882</v>
      </c>
      <c r="F2658" t="s">
        <v>5</v>
      </c>
      <c r="G2658" t="s">
        <v>5</v>
      </c>
      <c r="H2658" t="s">
        <v>5</v>
      </c>
      <c r="I2658" t="s">
        <v>1783</v>
      </c>
      <c r="J2658" t="s">
        <v>96</v>
      </c>
      <c r="K2658" s="3">
        <f t="shared" si="82"/>
        <v>0</v>
      </c>
      <c r="L2658" s="3">
        <f>IF(ISERROR(VLOOKUP(J2658,Lookups!$A$2:$A$16,1,FALSE)),1,0)</f>
        <v>0</v>
      </c>
      <c r="M2658" s="3">
        <f>IF(ISERROR(VLOOKUP(D2658,Data!$A$2:$D$223100,2,FALSE)),0,1)</f>
        <v>1</v>
      </c>
      <c r="N2658" s="3">
        <f t="shared" si="83"/>
        <v>0</v>
      </c>
      <c r="O2658" s="3" t="str">
        <f>IF(ISERROR(VLOOKUP(D2658,Data!$A$2:$C$223100,3,FALSE)),"INACTIVE",VLOOKUP(D2658,Data!$A$2:$C$223100,3,FALSE))</f>
        <v>120+</v>
      </c>
    </row>
    <row r="2659" spans="1:15" x14ac:dyDescent="0.25">
      <c r="A2659" t="s">
        <v>1778</v>
      </c>
      <c r="B2659" t="s">
        <v>1779</v>
      </c>
      <c r="C2659" t="s">
        <v>1876</v>
      </c>
      <c r="D2659" t="s">
        <v>1877</v>
      </c>
      <c r="E2659" t="s">
        <v>1883</v>
      </c>
      <c r="F2659" t="s">
        <v>5</v>
      </c>
      <c r="G2659" t="s">
        <v>5</v>
      </c>
      <c r="H2659" t="s">
        <v>5</v>
      </c>
      <c r="I2659" t="s">
        <v>1783</v>
      </c>
      <c r="J2659" t="s">
        <v>96</v>
      </c>
      <c r="K2659" s="3">
        <f t="shared" si="82"/>
        <v>0</v>
      </c>
      <c r="L2659" s="3">
        <f>IF(ISERROR(VLOOKUP(J2659,Lookups!$A$2:$A$16,1,FALSE)),1,0)</f>
        <v>0</v>
      </c>
      <c r="M2659" s="3">
        <f>IF(ISERROR(VLOOKUP(D2659,Data!$A$2:$D$223100,2,FALSE)),0,1)</f>
        <v>1</v>
      </c>
      <c r="N2659" s="3">
        <f t="shared" si="83"/>
        <v>0</v>
      </c>
      <c r="O2659" s="3" t="str">
        <f>IF(ISERROR(VLOOKUP(D2659,Data!$A$2:$C$223100,3,FALSE)),"INACTIVE",VLOOKUP(D2659,Data!$A$2:$C$223100,3,FALSE))</f>
        <v>120+</v>
      </c>
    </row>
    <row r="2660" spans="1:15" x14ac:dyDescent="0.25">
      <c r="A2660" t="s">
        <v>1778</v>
      </c>
      <c r="B2660" t="s">
        <v>1779</v>
      </c>
      <c r="C2660" t="s">
        <v>1876</v>
      </c>
      <c r="D2660" t="s">
        <v>1877</v>
      </c>
      <c r="E2660" t="s">
        <v>1884</v>
      </c>
      <c r="F2660" t="s">
        <v>5</v>
      </c>
      <c r="G2660" t="s">
        <v>5</v>
      </c>
      <c r="H2660" t="s">
        <v>5</v>
      </c>
      <c r="I2660" t="s">
        <v>1783</v>
      </c>
      <c r="J2660" t="s">
        <v>96</v>
      </c>
      <c r="K2660" s="3">
        <f t="shared" si="82"/>
        <v>0</v>
      </c>
      <c r="L2660" s="3">
        <f>IF(ISERROR(VLOOKUP(J2660,Lookups!$A$2:$A$16,1,FALSE)),1,0)</f>
        <v>0</v>
      </c>
      <c r="M2660" s="3">
        <f>IF(ISERROR(VLOOKUP(D2660,Data!$A$2:$D$223100,2,FALSE)),0,1)</f>
        <v>1</v>
      </c>
      <c r="N2660" s="3">
        <f t="shared" si="83"/>
        <v>0</v>
      </c>
      <c r="O2660" s="3" t="str">
        <f>IF(ISERROR(VLOOKUP(D2660,Data!$A$2:$C$223100,3,FALSE)),"INACTIVE",VLOOKUP(D2660,Data!$A$2:$C$223100,3,FALSE))</f>
        <v>120+</v>
      </c>
    </row>
    <row r="2661" spans="1:15" x14ac:dyDescent="0.25">
      <c r="A2661" t="s">
        <v>1778</v>
      </c>
      <c r="B2661" t="s">
        <v>1779</v>
      </c>
      <c r="C2661" t="s">
        <v>1876</v>
      </c>
      <c r="D2661" t="s">
        <v>1877</v>
      </c>
      <c r="E2661" t="s">
        <v>1885</v>
      </c>
      <c r="F2661" t="s">
        <v>5</v>
      </c>
      <c r="G2661" t="s">
        <v>5</v>
      </c>
      <c r="H2661" t="s">
        <v>5</v>
      </c>
      <c r="I2661" t="s">
        <v>1783</v>
      </c>
      <c r="J2661" t="s">
        <v>96</v>
      </c>
      <c r="K2661" s="3">
        <f t="shared" si="82"/>
        <v>0</v>
      </c>
      <c r="L2661" s="3">
        <f>IF(ISERROR(VLOOKUP(J2661,Lookups!$A$2:$A$16,1,FALSE)),1,0)</f>
        <v>0</v>
      </c>
      <c r="M2661" s="3">
        <f>IF(ISERROR(VLOOKUP(D2661,Data!$A$2:$D$223100,2,FALSE)),0,1)</f>
        <v>1</v>
      </c>
      <c r="N2661" s="3">
        <f t="shared" si="83"/>
        <v>0</v>
      </c>
      <c r="O2661" s="3" t="str">
        <f>IF(ISERROR(VLOOKUP(D2661,Data!$A$2:$C$223100,3,FALSE)),"INACTIVE",VLOOKUP(D2661,Data!$A$2:$C$223100,3,FALSE))</f>
        <v>120+</v>
      </c>
    </row>
    <row r="2662" spans="1:15" x14ac:dyDescent="0.25">
      <c r="A2662" t="s">
        <v>1778</v>
      </c>
      <c r="B2662" t="s">
        <v>1779</v>
      </c>
      <c r="C2662" t="s">
        <v>1876</v>
      </c>
      <c r="D2662" t="s">
        <v>1877</v>
      </c>
      <c r="E2662" t="s">
        <v>1886</v>
      </c>
      <c r="F2662" t="s">
        <v>5</v>
      </c>
      <c r="G2662" t="s">
        <v>5</v>
      </c>
      <c r="H2662" t="s">
        <v>5</v>
      </c>
      <c r="I2662" t="s">
        <v>1783</v>
      </c>
      <c r="J2662" t="s">
        <v>96</v>
      </c>
      <c r="K2662" s="3">
        <f t="shared" si="82"/>
        <v>0</v>
      </c>
      <c r="L2662" s="3">
        <f>IF(ISERROR(VLOOKUP(J2662,Lookups!$A$2:$A$16,1,FALSE)),1,0)</f>
        <v>0</v>
      </c>
      <c r="M2662" s="3">
        <f>IF(ISERROR(VLOOKUP(D2662,Data!$A$2:$D$223100,2,FALSE)),0,1)</f>
        <v>1</v>
      </c>
      <c r="N2662" s="3">
        <f t="shared" si="83"/>
        <v>0</v>
      </c>
      <c r="O2662" s="3" t="str">
        <f>IF(ISERROR(VLOOKUP(D2662,Data!$A$2:$C$223100,3,FALSE)),"INACTIVE",VLOOKUP(D2662,Data!$A$2:$C$223100,3,FALSE))</f>
        <v>120+</v>
      </c>
    </row>
    <row r="2663" spans="1:15" x14ac:dyDescent="0.25">
      <c r="A2663" t="s">
        <v>1778</v>
      </c>
      <c r="B2663" t="s">
        <v>1779</v>
      </c>
      <c r="C2663" t="s">
        <v>1876</v>
      </c>
      <c r="D2663" t="s">
        <v>1877</v>
      </c>
      <c r="E2663" t="s">
        <v>1887</v>
      </c>
      <c r="F2663" t="s">
        <v>5</v>
      </c>
      <c r="G2663" t="s">
        <v>5</v>
      </c>
      <c r="H2663" t="s">
        <v>5</v>
      </c>
      <c r="I2663" t="s">
        <v>1783</v>
      </c>
      <c r="J2663" t="s">
        <v>96</v>
      </c>
      <c r="K2663" s="3">
        <f t="shared" si="82"/>
        <v>0</v>
      </c>
      <c r="L2663" s="3">
        <f>IF(ISERROR(VLOOKUP(J2663,Lookups!$A$2:$A$16,1,FALSE)),1,0)</f>
        <v>0</v>
      </c>
      <c r="M2663" s="3">
        <f>IF(ISERROR(VLOOKUP(D2663,Data!$A$2:$D$223100,2,FALSE)),0,1)</f>
        <v>1</v>
      </c>
      <c r="N2663" s="3">
        <f t="shared" si="83"/>
        <v>0</v>
      </c>
      <c r="O2663" s="3" t="str">
        <f>IF(ISERROR(VLOOKUP(D2663,Data!$A$2:$C$223100,3,FALSE)),"INACTIVE",VLOOKUP(D2663,Data!$A$2:$C$223100,3,FALSE))</f>
        <v>120+</v>
      </c>
    </row>
    <row r="2664" spans="1:15" x14ac:dyDescent="0.25">
      <c r="A2664" t="s">
        <v>1778</v>
      </c>
      <c r="B2664" t="s">
        <v>1779</v>
      </c>
      <c r="C2664" t="s">
        <v>1841</v>
      </c>
      <c r="D2664" t="s">
        <v>1842</v>
      </c>
      <c r="E2664" t="s">
        <v>5</v>
      </c>
      <c r="F2664" t="s">
        <v>1888</v>
      </c>
      <c r="G2664" t="s">
        <v>5</v>
      </c>
      <c r="H2664" t="s">
        <v>5</v>
      </c>
      <c r="I2664" t="s">
        <v>1783</v>
      </c>
      <c r="J2664" t="s">
        <v>573</v>
      </c>
      <c r="K2664" s="3">
        <f t="shared" si="82"/>
        <v>0</v>
      </c>
      <c r="L2664" s="3">
        <f>IF(ISERROR(VLOOKUP(J2664,Lookups!$A$2:$A$16,1,FALSE)),1,0)</f>
        <v>1</v>
      </c>
      <c r="M2664" s="3">
        <f>IF(ISERROR(VLOOKUP(D2664,Data!$A$2:$D$223100,2,FALSE)),0,1)</f>
        <v>1</v>
      </c>
      <c r="N2664" s="3">
        <f t="shared" si="83"/>
        <v>1</v>
      </c>
      <c r="O2664" s="3" t="str">
        <f>IF(ISERROR(VLOOKUP(D2664,Data!$A$2:$C$223100,3,FALSE)),"INACTIVE",VLOOKUP(D2664,Data!$A$2:$C$223100,3,FALSE))</f>
        <v>Demand Letter</v>
      </c>
    </row>
    <row r="2665" spans="1:15" x14ac:dyDescent="0.25">
      <c r="A2665" t="s">
        <v>4108</v>
      </c>
      <c r="B2665" t="s">
        <v>4109</v>
      </c>
      <c r="C2665" t="s">
        <v>4110</v>
      </c>
      <c r="D2665" t="s">
        <v>4111</v>
      </c>
      <c r="E2665" t="s">
        <v>4112</v>
      </c>
      <c r="F2665" t="s">
        <v>5</v>
      </c>
      <c r="G2665" t="s">
        <v>5</v>
      </c>
      <c r="H2665" t="s">
        <v>5</v>
      </c>
      <c r="I2665" t="s">
        <v>1783</v>
      </c>
      <c r="J2665" t="s">
        <v>7</v>
      </c>
      <c r="K2665" s="3">
        <f t="shared" si="82"/>
        <v>0</v>
      </c>
      <c r="L2665" s="3">
        <f>IF(ISERROR(VLOOKUP(J2665,Lookups!$A$2:$A$16,1,FALSE)),1,0)</f>
        <v>1</v>
      </c>
      <c r="M2665" s="3">
        <f>IF(ISERROR(VLOOKUP(D2665,Data!$A$2:$D$223100,2,FALSE)),0,1)</f>
        <v>1</v>
      </c>
      <c r="N2665" s="3">
        <f t="shared" si="83"/>
        <v>1</v>
      </c>
      <c r="O2665" s="3" t="str">
        <f>IF(ISERROR(VLOOKUP(D2665,Data!$A$2:$C$223100,3,FALSE)),"INACTIVE",VLOOKUP(D2665,Data!$A$2:$C$223100,3,FALSE))</f>
        <v>180+</v>
      </c>
    </row>
    <row r="2666" spans="1:15" x14ac:dyDescent="0.25">
      <c r="A2666" t="s">
        <v>4108</v>
      </c>
      <c r="B2666" t="s">
        <v>4109</v>
      </c>
      <c r="C2666" t="s">
        <v>4113</v>
      </c>
      <c r="D2666" t="s">
        <v>4114</v>
      </c>
      <c r="E2666" t="s">
        <v>4115</v>
      </c>
      <c r="F2666" t="s">
        <v>5</v>
      </c>
      <c r="G2666" t="s">
        <v>5</v>
      </c>
      <c r="H2666" t="s">
        <v>5</v>
      </c>
      <c r="I2666" t="s">
        <v>1783</v>
      </c>
      <c r="J2666" t="s">
        <v>90</v>
      </c>
      <c r="K2666" s="3">
        <f t="shared" si="82"/>
        <v>0</v>
      </c>
      <c r="L2666" s="3">
        <f>IF(ISERROR(VLOOKUP(J2666,Lookups!$A$2:$A$16,1,FALSE)),1,0)</f>
        <v>0</v>
      </c>
      <c r="M2666" s="3">
        <f>IF(ISERROR(VLOOKUP(D2666,Data!$A$2:$D$223100,2,FALSE)),0,1)</f>
        <v>1</v>
      </c>
      <c r="N2666" s="3">
        <f t="shared" si="83"/>
        <v>0</v>
      </c>
      <c r="O2666" s="3" t="str">
        <f>IF(ISERROR(VLOOKUP(D2666,Data!$A$2:$C$223100,3,FALSE)),"INACTIVE",VLOOKUP(D2666,Data!$A$2:$C$223100,3,FALSE))</f>
        <v>FC</v>
      </c>
    </row>
    <row r="2667" spans="1:15" x14ac:dyDescent="0.25">
      <c r="A2667" t="s">
        <v>4108</v>
      </c>
      <c r="B2667" t="s">
        <v>4109</v>
      </c>
      <c r="C2667" t="s">
        <v>4113</v>
      </c>
      <c r="D2667" t="s">
        <v>4114</v>
      </c>
      <c r="E2667" t="s">
        <v>4116</v>
      </c>
      <c r="F2667" t="s">
        <v>5</v>
      </c>
      <c r="G2667" t="s">
        <v>5</v>
      </c>
      <c r="H2667" t="s">
        <v>5</v>
      </c>
      <c r="I2667" t="s">
        <v>1783</v>
      </c>
      <c r="J2667" t="s">
        <v>90</v>
      </c>
      <c r="K2667" s="3">
        <f t="shared" si="82"/>
        <v>0</v>
      </c>
      <c r="L2667" s="3">
        <f>IF(ISERROR(VLOOKUP(J2667,Lookups!$A$2:$A$16,1,FALSE)),1,0)</f>
        <v>0</v>
      </c>
      <c r="M2667" s="3">
        <f>IF(ISERROR(VLOOKUP(D2667,Data!$A$2:$D$223100,2,FALSE)),0,1)</f>
        <v>1</v>
      </c>
      <c r="N2667" s="3">
        <f t="shared" si="83"/>
        <v>0</v>
      </c>
      <c r="O2667" s="3" t="str">
        <f>IF(ISERROR(VLOOKUP(D2667,Data!$A$2:$C$223100,3,FALSE)),"INACTIVE",VLOOKUP(D2667,Data!$A$2:$C$223100,3,FALSE))</f>
        <v>FC</v>
      </c>
    </row>
    <row r="2668" spans="1:15" x14ac:dyDescent="0.25">
      <c r="A2668" t="s">
        <v>4492</v>
      </c>
      <c r="B2668" t="s">
        <v>4493</v>
      </c>
      <c r="C2668" t="s">
        <v>4494</v>
      </c>
      <c r="D2668" t="s">
        <v>4495</v>
      </c>
      <c r="E2668" t="s">
        <v>4496</v>
      </c>
      <c r="F2668" t="s">
        <v>5</v>
      </c>
      <c r="G2668" t="s">
        <v>5</v>
      </c>
      <c r="H2668" t="s">
        <v>5</v>
      </c>
      <c r="I2668" t="s">
        <v>1783</v>
      </c>
      <c r="J2668" t="s">
        <v>90</v>
      </c>
      <c r="K2668" s="3">
        <f t="shared" si="82"/>
        <v>0</v>
      </c>
      <c r="L2668" s="3">
        <f>IF(ISERROR(VLOOKUP(J2668,Lookups!$A$2:$A$16,1,FALSE)),1,0)</f>
        <v>0</v>
      </c>
      <c r="M2668" s="3">
        <f>IF(ISERROR(VLOOKUP(D2668,Data!$A$2:$D$223100,2,FALSE)),0,1)</f>
        <v>1</v>
      </c>
      <c r="N2668" s="3">
        <f t="shared" si="83"/>
        <v>0</v>
      </c>
      <c r="O2668" s="3" t="str">
        <f>IF(ISERROR(VLOOKUP(D2668,Data!$A$2:$C$223100,3,FALSE)),"INACTIVE",VLOOKUP(D2668,Data!$A$2:$C$223100,3,FALSE))</f>
        <v>30+</v>
      </c>
    </row>
    <row r="2669" spans="1:15" x14ac:dyDescent="0.25">
      <c r="A2669" t="s">
        <v>3742</v>
      </c>
      <c r="B2669" t="s">
        <v>3743</v>
      </c>
      <c r="C2669" t="s">
        <v>3744</v>
      </c>
      <c r="D2669" t="s">
        <v>3745</v>
      </c>
      <c r="E2669" t="s">
        <v>3746</v>
      </c>
      <c r="F2669" t="s">
        <v>5</v>
      </c>
      <c r="G2669" t="s">
        <v>5</v>
      </c>
      <c r="H2669" t="s">
        <v>5</v>
      </c>
      <c r="I2669" t="s">
        <v>3747</v>
      </c>
      <c r="J2669" t="s">
        <v>7</v>
      </c>
      <c r="K2669" s="3">
        <f t="shared" si="82"/>
        <v>0</v>
      </c>
      <c r="L2669" s="3">
        <f>IF(ISERROR(VLOOKUP(J2669,Lookups!$A$2:$A$16,1,FALSE)),1,0)</f>
        <v>1</v>
      </c>
      <c r="M2669" s="3">
        <f>IF(ISERROR(VLOOKUP(D2669,Data!$A$2:$D$223100,2,FALSE)),0,1)</f>
        <v>1</v>
      </c>
      <c r="N2669" s="3">
        <f t="shared" si="83"/>
        <v>1</v>
      </c>
      <c r="O2669" s="3" t="str">
        <f>IF(ISERROR(VLOOKUP(D2669,Data!$A$2:$C$223100,3,FALSE)),"INACTIVE",VLOOKUP(D2669,Data!$A$2:$C$223100,3,FALSE))</f>
        <v>180+</v>
      </c>
    </row>
    <row r="2670" spans="1:15" x14ac:dyDescent="0.25">
      <c r="A2670" t="s">
        <v>3742</v>
      </c>
      <c r="B2670" t="s">
        <v>3743</v>
      </c>
      <c r="C2670" t="s">
        <v>3748</v>
      </c>
      <c r="D2670" t="s">
        <v>3749</v>
      </c>
      <c r="E2670" t="s">
        <v>3750</v>
      </c>
      <c r="F2670" t="s">
        <v>5</v>
      </c>
      <c r="G2670" t="s">
        <v>5</v>
      </c>
      <c r="H2670" t="s">
        <v>5</v>
      </c>
      <c r="I2670" t="s">
        <v>3747</v>
      </c>
      <c r="J2670" t="s">
        <v>96</v>
      </c>
      <c r="K2670" s="3">
        <f t="shared" si="82"/>
        <v>0</v>
      </c>
      <c r="L2670" s="3">
        <f>IF(ISERROR(VLOOKUP(J2670,Lookups!$A$2:$A$16,1,FALSE)),1,0)</f>
        <v>0</v>
      </c>
      <c r="M2670" s="3">
        <f>IF(ISERROR(VLOOKUP(D2670,Data!$A$2:$D$223100,2,FALSE)),0,1)</f>
        <v>1</v>
      </c>
      <c r="N2670" s="3">
        <f t="shared" si="83"/>
        <v>0</v>
      </c>
      <c r="O2670" s="3" t="str">
        <f>IF(ISERROR(VLOOKUP(D2670,Data!$A$2:$C$223100,3,FALSE)),"INACTIVE",VLOOKUP(D2670,Data!$A$2:$C$223100,3,FALSE))</f>
        <v>Demand Letter</v>
      </c>
    </row>
    <row r="2671" spans="1:15" x14ac:dyDescent="0.25">
      <c r="A2671" t="s">
        <v>3742</v>
      </c>
      <c r="B2671" t="s">
        <v>3743</v>
      </c>
      <c r="C2671" t="s">
        <v>3748</v>
      </c>
      <c r="D2671" t="s">
        <v>3749</v>
      </c>
      <c r="E2671" t="s">
        <v>3751</v>
      </c>
      <c r="F2671" t="s">
        <v>5</v>
      </c>
      <c r="G2671" t="s">
        <v>5</v>
      </c>
      <c r="H2671" t="s">
        <v>5</v>
      </c>
      <c r="I2671" t="s">
        <v>3747</v>
      </c>
      <c r="J2671" t="s">
        <v>96</v>
      </c>
      <c r="K2671" s="3">
        <f t="shared" si="82"/>
        <v>0</v>
      </c>
      <c r="L2671" s="3">
        <f>IF(ISERROR(VLOOKUP(J2671,Lookups!$A$2:$A$16,1,FALSE)),1,0)</f>
        <v>0</v>
      </c>
      <c r="M2671" s="3">
        <f>IF(ISERROR(VLOOKUP(D2671,Data!$A$2:$D$223100,2,FALSE)),0,1)</f>
        <v>1</v>
      </c>
      <c r="N2671" s="3">
        <f t="shared" si="83"/>
        <v>0</v>
      </c>
      <c r="O2671" s="3" t="str">
        <f>IF(ISERROR(VLOOKUP(D2671,Data!$A$2:$C$223100,3,FALSE)),"INACTIVE",VLOOKUP(D2671,Data!$A$2:$C$223100,3,FALSE))</f>
        <v>Demand Letter</v>
      </c>
    </row>
    <row r="2672" spans="1:15" x14ac:dyDescent="0.25">
      <c r="A2672" t="s">
        <v>3742</v>
      </c>
      <c r="B2672" t="s">
        <v>3743</v>
      </c>
      <c r="C2672" t="s">
        <v>3752</v>
      </c>
      <c r="D2672" t="s">
        <v>3753</v>
      </c>
      <c r="E2672" t="s">
        <v>3754</v>
      </c>
      <c r="F2672" t="s">
        <v>5</v>
      </c>
      <c r="G2672" t="s">
        <v>5</v>
      </c>
      <c r="H2672" t="s">
        <v>5</v>
      </c>
      <c r="I2672" t="s">
        <v>3747</v>
      </c>
      <c r="J2672" t="s">
        <v>7</v>
      </c>
      <c r="K2672" s="3">
        <f t="shared" si="82"/>
        <v>0</v>
      </c>
      <c r="L2672" s="3">
        <f>IF(ISERROR(VLOOKUP(J2672,Lookups!$A$2:$A$16,1,FALSE)),1,0)</f>
        <v>1</v>
      </c>
      <c r="M2672" s="3">
        <f>IF(ISERROR(VLOOKUP(D2672,Data!$A$2:$D$223100,2,FALSE)),0,1)</f>
        <v>1</v>
      </c>
      <c r="N2672" s="3">
        <f t="shared" si="83"/>
        <v>1</v>
      </c>
      <c r="O2672" s="3" t="str">
        <f>IF(ISERROR(VLOOKUP(D2672,Data!$A$2:$C$223100,3,FALSE)),"INACTIVE",VLOOKUP(D2672,Data!$A$2:$C$223100,3,FALSE))</f>
        <v>180+</v>
      </c>
    </row>
    <row r="2673" spans="1:15" x14ac:dyDescent="0.25">
      <c r="A2673" t="s">
        <v>3069</v>
      </c>
      <c r="B2673" t="s">
        <v>3070</v>
      </c>
      <c r="C2673" t="s">
        <v>3071</v>
      </c>
      <c r="D2673" t="s">
        <v>3072</v>
      </c>
      <c r="E2673" t="s">
        <v>3073</v>
      </c>
      <c r="F2673" t="s">
        <v>3074</v>
      </c>
      <c r="G2673" t="s">
        <v>5</v>
      </c>
      <c r="H2673" t="s">
        <v>5</v>
      </c>
      <c r="I2673" t="s">
        <v>3075</v>
      </c>
      <c r="J2673" t="s">
        <v>47</v>
      </c>
      <c r="K2673" s="3">
        <f t="shared" si="82"/>
        <v>0</v>
      </c>
      <c r="L2673" s="3">
        <f>IF(ISERROR(VLOOKUP(J2673,Lookups!$A$2:$A$16,1,FALSE)),1,0)</f>
        <v>1</v>
      </c>
      <c r="M2673" s="3">
        <f>IF(ISERROR(VLOOKUP(D2673,Data!$A$2:$D$223100,2,FALSE)),0,1)</f>
        <v>1</v>
      </c>
      <c r="N2673" s="3">
        <f t="shared" si="83"/>
        <v>1</v>
      </c>
      <c r="O2673" s="3" t="str">
        <f>IF(ISERROR(VLOOKUP(D2673,Data!$A$2:$C$223100,3,FALSE)),"INACTIVE",VLOOKUP(D2673,Data!$A$2:$C$223100,3,FALSE))</f>
        <v>Current</v>
      </c>
    </row>
    <row r="2674" spans="1:15" x14ac:dyDescent="0.25">
      <c r="A2674" t="s">
        <v>3069</v>
      </c>
      <c r="B2674" t="s">
        <v>3070</v>
      </c>
      <c r="C2674" t="s">
        <v>3076</v>
      </c>
      <c r="D2674" t="s">
        <v>3077</v>
      </c>
      <c r="E2674" t="s">
        <v>3078</v>
      </c>
      <c r="F2674" t="s">
        <v>3079</v>
      </c>
      <c r="G2674" t="s">
        <v>5</v>
      </c>
      <c r="H2674" t="s">
        <v>5</v>
      </c>
      <c r="I2674" t="s">
        <v>3075</v>
      </c>
      <c r="J2674" t="s">
        <v>47</v>
      </c>
      <c r="K2674" s="3">
        <f t="shared" si="82"/>
        <v>0</v>
      </c>
      <c r="L2674" s="3">
        <f>IF(ISERROR(VLOOKUP(J2674,Lookups!$A$2:$A$16,1,FALSE)),1,0)</f>
        <v>1</v>
      </c>
      <c r="M2674" s="3">
        <f>IF(ISERROR(VLOOKUP(D2674,Data!$A$2:$D$223100,2,FALSE)),0,1)</f>
        <v>1</v>
      </c>
      <c r="N2674" s="3">
        <f t="shared" si="83"/>
        <v>1</v>
      </c>
      <c r="O2674" s="3" t="str">
        <f>IF(ISERROR(VLOOKUP(D2674,Data!$A$2:$C$223100,3,FALSE)),"INACTIVE",VLOOKUP(D2674,Data!$A$2:$C$223100,3,FALSE))</f>
        <v>FC</v>
      </c>
    </row>
    <row r="2675" spans="1:15" x14ac:dyDescent="0.25">
      <c r="A2675" t="s">
        <v>3069</v>
      </c>
      <c r="B2675" t="s">
        <v>3070</v>
      </c>
      <c r="C2675" t="s">
        <v>3080</v>
      </c>
      <c r="D2675" t="s">
        <v>3081</v>
      </c>
      <c r="E2675" t="s">
        <v>3082</v>
      </c>
      <c r="F2675" t="s">
        <v>3083</v>
      </c>
      <c r="G2675" t="s">
        <v>5</v>
      </c>
      <c r="H2675" t="s">
        <v>5</v>
      </c>
      <c r="I2675" t="s">
        <v>3075</v>
      </c>
      <c r="J2675" t="s">
        <v>40</v>
      </c>
      <c r="K2675" s="3">
        <f t="shared" si="82"/>
        <v>0</v>
      </c>
      <c r="L2675" s="3">
        <f>IF(ISERROR(VLOOKUP(J2675,Lookups!$A$2:$A$16,1,FALSE)),1,0)</f>
        <v>1</v>
      </c>
      <c r="M2675" s="3">
        <f>IF(ISERROR(VLOOKUP(D2675,Data!$A$2:$D$223100,2,FALSE)),0,1)</f>
        <v>1</v>
      </c>
      <c r="N2675" s="3">
        <f t="shared" si="83"/>
        <v>1</v>
      </c>
      <c r="O2675" s="3" t="str">
        <f>IF(ISERROR(VLOOKUP(D2675,Data!$A$2:$C$223100,3,FALSE)),"INACTIVE",VLOOKUP(D2675,Data!$A$2:$C$223100,3,FALSE))</f>
        <v>Demand Letter</v>
      </c>
    </row>
    <row r="2676" spans="1:15" x14ac:dyDescent="0.25">
      <c r="A2676" t="s">
        <v>3069</v>
      </c>
      <c r="B2676" t="s">
        <v>3070</v>
      </c>
      <c r="C2676" t="s">
        <v>3084</v>
      </c>
      <c r="D2676" t="s">
        <v>3085</v>
      </c>
      <c r="E2676" t="s">
        <v>3086</v>
      </c>
      <c r="F2676" t="s">
        <v>3087</v>
      </c>
      <c r="G2676" t="s">
        <v>5</v>
      </c>
      <c r="H2676" t="s">
        <v>5</v>
      </c>
      <c r="I2676" t="s">
        <v>3075</v>
      </c>
      <c r="J2676" t="s">
        <v>40</v>
      </c>
      <c r="K2676" s="3">
        <f t="shared" si="82"/>
        <v>0</v>
      </c>
      <c r="L2676" s="3">
        <f>IF(ISERROR(VLOOKUP(J2676,Lookups!$A$2:$A$16,1,FALSE)),1,0)</f>
        <v>1</v>
      </c>
      <c r="M2676" s="3">
        <f>IF(ISERROR(VLOOKUP(D2676,Data!$A$2:$D$223100,2,FALSE)),0,1)</f>
        <v>1</v>
      </c>
      <c r="N2676" s="3">
        <f t="shared" si="83"/>
        <v>1</v>
      </c>
      <c r="O2676" s="3" t="str">
        <f>IF(ISERROR(VLOOKUP(D2676,Data!$A$2:$C$223100,3,FALSE)),"INACTIVE",VLOOKUP(D2676,Data!$A$2:$C$223100,3,FALSE))</f>
        <v>Demand Letter</v>
      </c>
    </row>
    <row r="2677" spans="1:15" x14ac:dyDescent="0.25">
      <c r="A2677" t="s">
        <v>3069</v>
      </c>
      <c r="B2677" t="s">
        <v>3070</v>
      </c>
      <c r="C2677" t="s">
        <v>3088</v>
      </c>
      <c r="D2677" t="s">
        <v>3089</v>
      </c>
      <c r="E2677" t="s">
        <v>3090</v>
      </c>
      <c r="F2677" t="s">
        <v>3091</v>
      </c>
      <c r="G2677" t="s">
        <v>5</v>
      </c>
      <c r="H2677" t="s">
        <v>5</v>
      </c>
      <c r="I2677" t="s">
        <v>3075</v>
      </c>
      <c r="J2677" t="s">
        <v>47</v>
      </c>
      <c r="K2677" s="3">
        <f t="shared" si="82"/>
        <v>0</v>
      </c>
      <c r="L2677" s="3">
        <f>IF(ISERROR(VLOOKUP(J2677,Lookups!$A$2:$A$16,1,FALSE)),1,0)</f>
        <v>1</v>
      </c>
      <c r="M2677" s="3">
        <f>IF(ISERROR(VLOOKUP(D2677,Data!$A$2:$D$223100,2,FALSE)),0,1)</f>
        <v>1</v>
      </c>
      <c r="N2677" s="3">
        <f t="shared" si="83"/>
        <v>1</v>
      </c>
      <c r="O2677" s="3" t="str">
        <f>IF(ISERROR(VLOOKUP(D2677,Data!$A$2:$C$223100,3,FALSE)),"INACTIVE",VLOOKUP(D2677,Data!$A$2:$C$223100,3,FALSE))</f>
        <v>FC</v>
      </c>
    </row>
    <row r="2678" spans="1:15" x14ac:dyDescent="0.25">
      <c r="A2678" t="s">
        <v>3069</v>
      </c>
      <c r="B2678" t="s">
        <v>3070</v>
      </c>
      <c r="C2678" t="s">
        <v>3092</v>
      </c>
      <c r="D2678" t="s">
        <v>3093</v>
      </c>
      <c r="E2678" t="s">
        <v>3094</v>
      </c>
      <c r="F2678" t="s">
        <v>3095</v>
      </c>
      <c r="G2678" t="s">
        <v>5</v>
      </c>
      <c r="H2678" t="s">
        <v>5</v>
      </c>
      <c r="I2678" t="s">
        <v>3075</v>
      </c>
      <c r="J2678" t="s">
        <v>40</v>
      </c>
      <c r="K2678" s="3">
        <f t="shared" si="82"/>
        <v>0</v>
      </c>
      <c r="L2678" s="3">
        <f>IF(ISERROR(VLOOKUP(J2678,Lookups!$A$2:$A$16,1,FALSE)),1,0)</f>
        <v>1</v>
      </c>
      <c r="M2678" s="3">
        <f>IF(ISERROR(VLOOKUP(D2678,Data!$A$2:$D$223100,2,FALSE)),0,1)</f>
        <v>1</v>
      </c>
      <c r="N2678" s="3">
        <f t="shared" si="83"/>
        <v>1</v>
      </c>
      <c r="O2678" s="3" t="str">
        <f>IF(ISERROR(VLOOKUP(D2678,Data!$A$2:$C$223100,3,FALSE)),"INACTIVE",VLOOKUP(D2678,Data!$A$2:$C$223100,3,FALSE))</f>
        <v>Current</v>
      </c>
    </row>
    <row r="2679" spans="1:15" x14ac:dyDescent="0.25">
      <c r="A2679" t="s">
        <v>3069</v>
      </c>
      <c r="B2679" t="s">
        <v>3070</v>
      </c>
      <c r="C2679" t="s">
        <v>3096</v>
      </c>
      <c r="D2679" t="s">
        <v>3097</v>
      </c>
      <c r="E2679" t="s">
        <v>3098</v>
      </c>
      <c r="F2679" t="s">
        <v>3099</v>
      </c>
      <c r="G2679" t="s">
        <v>5</v>
      </c>
      <c r="H2679" t="s">
        <v>5</v>
      </c>
      <c r="I2679" t="s">
        <v>3075</v>
      </c>
      <c r="J2679" t="s">
        <v>40</v>
      </c>
      <c r="K2679" s="3">
        <f t="shared" si="82"/>
        <v>0</v>
      </c>
      <c r="L2679" s="3">
        <f>IF(ISERROR(VLOOKUP(J2679,Lookups!$A$2:$A$16,1,FALSE)),1,0)</f>
        <v>1</v>
      </c>
      <c r="M2679" s="3">
        <f>IF(ISERROR(VLOOKUP(D2679,Data!$A$2:$D$223100,2,FALSE)),0,1)</f>
        <v>1</v>
      </c>
      <c r="N2679" s="3">
        <f t="shared" si="83"/>
        <v>1</v>
      </c>
      <c r="O2679" s="3" t="str">
        <f>IF(ISERROR(VLOOKUP(D2679,Data!$A$2:$C$223100,3,FALSE)),"INACTIVE",VLOOKUP(D2679,Data!$A$2:$C$223100,3,FALSE))</f>
        <v>Current</v>
      </c>
    </row>
    <row r="2680" spans="1:15" x14ac:dyDescent="0.25">
      <c r="A2680" t="s">
        <v>3069</v>
      </c>
      <c r="B2680" t="s">
        <v>3070</v>
      </c>
      <c r="C2680" t="s">
        <v>3100</v>
      </c>
      <c r="D2680" t="s">
        <v>3101</v>
      </c>
      <c r="E2680" t="s">
        <v>3102</v>
      </c>
      <c r="F2680" t="s">
        <v>3102</v>
      </c>
      <c r="G2680" t="s">
        <v>5</v>
      </c>
      <c r="H2680" t="s">
        <v>5</v>
      </c>
      <c r="I2680" t="s">
        <v>3075</v>
      </c>
      <c r="J2680" t="s">
        <v>47</v>
      </c>
      <c r="K2680" s="3">
        <f t="shared" si="82"/>
        <v>0</v>
      </c>
      <c r="L2680" s="3">
        <f>IF(ISERROR(VLOOKUP(J2680,Lookups!$A$2:$A$16,1,FALSE)),1,0)</f>
        <v>1</v>
      </c>
      <c r="M2680" s="3">
        <f>IF(ISERROR(VLOOKUP(D2680,Data!$A$2:$D$223100,2,FALSE)),0,1)</f>
        <v>1</v>
      </c>
      <c r="N2680" s="3">
        <f t="shared" si="83"/>
        <v>1</v>
      </c>
      <c r="O2680" s="3" t="str">
        <f>IF(ISERROR(VLOOKUP(D2680,Data!$A$2:$C$223100,3,FALSE)),"INACTIVE",VLOOKUP(D2680,Data!$A$2:$C$223100,3,FALSE))</f>
        <v>FC</v>
      </c>
    </row>
    <row r="2681" spans="1:15" x14ac:dyDescent="0.25">
      <c r="A2681" t="s">
        <v>3069</v>
      </c>
      <c r="B2681" t="s">
        <v>3070</v>
      </c>
      <c r="C2681" t="s">
        <v>3103</v>
      </c>
      <c r="D2681" t="s">
        <v>3104</v>
      </c>
      <c r="E2681" t="s">
        <v>3105</v>
      </c>
      <c r="F2681" t="s">
        <v>3106</v>
      </c>
      <c r="G2681" t="s">
        <v>5</v>
      </c>
      <c r="H2681" t="s">
        <v>5</v>
      </c>
      <c r="I2681" t="s">
        <v>3075</v>
      </c>
      <c r="J2681" t="s">
        <v>40</v>
      </c>
      <c r="K2681" s="3">
        <f t="shared" si="82"/>
        <v>0</v>
      </c>
      <c r="L2681" s="3">
        <f>IF(ISERROR(VLOOKUP(J2681,Lookups!$A$2:$A$16,1,FALSE)),1,0)</f>
        <v>1</v>
      </c>
      <c r="M2681" s="3">
        <f>IF(ISERROR(VLOOKUP(D2681,Data!$A$2:$D$223100,2,FALSE)),0,1)</f>
        <v>1</v>
      </c>
      <c r="N2681" s="3">
        <f t="shared" si="83"/>
        <v>1</v>
      </c>
      <c r="O2681" s="3" t="str">
        <f>IF(ISERROR(VLOOKUP(D2681,Data!$A$2:$C$223100,3,FALSE)),"INACTIVE",VLOOKUP(D2681,Data!$A$2:$C$223100,3,FALSE))</f>
        <v>Current</v>
      </c>
    </row>
    <row r="2682" spans="1:15" x14ac:dyDescent="0.25">
      <c r="A2682" t="s">
        <v>3069</v>
      </c>
      <c r="B2682" t="s">
        <v>3070</v>
      </c>
      <c r="C2682" t="s">
        <v>3107</v>
      </c>
      <c r="D2682" t="s">
        <v>3108</v>
      </c>
      <c r="E2682" t="s">
        <v>3109</v>
      </c>
      <c r="F2682" t="s">
        <v>3110</v>
      </c>
      <c r="G2682" t="s">
        <v>5</v>
      </c>
      <c r="H2682" t="s">
        <v>5</v>
      </c>
      <c r="I2682" t="s">
        <v>3075</v>
      </c>
      <c r="J2682" t="s">
        <v>573</v>
      </c>
      <c r="K2682" s="3">
        <f t="shared" si="82"/>
        <v>0</v>
      </c>
      <c r="L2682" s="3">
        <f>IF(ISERROR(VLOOKUP(J2682,Lookups!$A$2:$A$16,1,FALSE)),1,0)</f>
        <v>1</v>
      </c>
      <c r="M2682" s="3">
        <f>IF(ISERROR(VLOOKUP(D2682,Data!$A$2:$D$223100,2,FALSE)),0,1)</f>
        <v>1</v>
      </c>
      <c r="N2682" s="3">
        <f t="shared" si="83"/>
        <v>1</v>
      </c>
      <c r="O2682" s="3" t="str">
        <f>IF(ISERROR(VLOOKUP(D2682,Data!$A$2:$C$223100,3,FALSE)),"INACTIVE",VLOOKUP(D2682,Data!$A$2:$C$223100,3,FALSE))</f>
        <v>30+</v>
      </c>
    </row>
    <row r="2683" spans="1:15" x14ac:dyDescent="0.25">
      <c r="A2683" t="s">
        <v>3069</v>
      </c>
      <c r="B2683" t="s">
        <v>3070</v>
      </c>
      <c r="C2683" t="s">
        <v>3111</v>
      </c>
      <c r="D2683" t="s">
        <v>3112</v>
      </c>
      <c r="E2683" t="s">
        <v>3113</v>
      </c>
      <c r="F2683" t="s">
        <v>3114</v>
      </c>
      <c r="G2683" t="s">
        <v>5</v>
      </c>
      <c r="H2683" t="s">
        <v>5</v>
      </c>
      <c r="I2683" t="s">
        <v>3075</v>
      </c>
      <c r="J2683" t="s">
        <v>573</v>
      </c>
      <c r="K2683" s="3">
        <f t="shared" si="82"/>
        <v>0</v>
      </c>
      <c r="L2683" s="3">
        <f>IF(ISERROR(VLOOKUP(J2683,Lookups!$A$2:$A$16,1,FALSE)),1,0)</f>
        <v>1</v>
      </c>
      <c r="M2683" s="3">
        <f>IF(ISERROR(VLOOKUP(D2683,Data!$A$2:$D$223100,2,FALSE)),0,1)</f>
        <v>1</v>
      </c>
      <c r="N2683" s="3">
        <f t="shared" si="83"/>
        <v>1</v>
      </c>
      <c r="O2683" s="3" t="str">
        <f>IF(ISERROR(VLOOKUP(D2683,Data!$A$2:$C$223100,3,FALSE)),"INACTIVE",VLOOKUP(D2683,Data!$A$2:$C$223100,3,FALSE))</f>
        <v>Current</v>
      </c>
    </row>
    <row r="2684" spans="1:15" x14ac:dyDescent="0.25">
      <c r="A2684" t="s">
        <v>3069</v>
      </c>
      <c r="B2684" t="s">
        <v>3070</v>
      </c>
      <c r="C2684" t="s">
        <v>3115</v>
      </c>
      <c r="D2684" t="s">
        <v>3116</v>
      </c>
      <c r="E2684" t="s">
        <v>3117</v>
      </c>
      <c r="F2684" t="s">
        <v>3118</v>
      </c>
      <c r="G2684" t="s">
        <v>5</v>
      </c>
      <c r="H2684" t="s">
        <v>5</v>
      </c>
      <c r="I2684" t="s">
        <v>3075</v>
      </c>
      <c r="J2684" t="s">
        <v>40</v>
      </c>
      <c r="K2684" s="3">
        <f t="shared" si="82"/>
        <v>0</v>
      </c>
      <c r="L2684" s="3">
        <f>IF(ISERROR(VLOOKUP(J2684,Lookups!$A$2:$A$16,1,FALSE)),1,0)</f>
        <v>1</v>
      </c>
      <c r="M2684" s="3">
        <f>IF(ISERROR(VLOOKUP(D2684,Data!$A$2:$D$223100,2,FALSE)),0,1)</f>
        <v>1</v>
      </c>
      <c r="N2684" s="3">
        <f t="shared" si="83"/>
        <v>1</v>
      </c>
      <c r="O2684" s="3" t="str">
        <f>IF(ISERROR(VLOOKUP(D2684,Data!$A$2:$C$223100,3,FALSE)),"INACTIVE",VLOOKUP(D2684,Data!$A$2:$C$223100,3,FALSE))</f>
        <v>Current</v>
      </c>
    </row>
    <row r="2685" spans="1:15" x14ac:dyDescent="0.25">
      <c r="A2685" t="s">
        <v>3069</v>
      </c>
      <c r="B2685" t="s">
        <v>3070</v>
      </c>
      <c r="C2685" t="s">
        <v>3119</v>
      </c>
      <c r="D2685" t="s">
        <v>3120</v>
      </c>
      <c r="E2685" t="s">
        <v>3121</v>
      </c>
      <c r="F2685" t="s">
        <v>3122</v>
      </c>
      <c r="G2685" t="s">
        <v>5</v>
      </c>
      <c r="H2685" t="s">
        <v>5</v>
      </c>
      <c r="I2685" t="s">
        <v>3075</v>
      </c>
      <c r="J2685" t="s">
        <v>573</v>
      </c>
      <c r="K2685" s="3">
        <f t="shared" si="82"/>
        <v>0</v>
      </c>
      <c r="L2685" s="3">
        <f>IF(ISERROR(VLOOKUP(J2685,Lookups!$A$2:$A$16,1,FALSE)),1,0)</f>
        <v>1</v>
      </c>
      <c r="M2685" s="3">
        <f>IF(ISERROR(VLOOKUP(D2685,Data!$A$2:$D$223100,2,FALSE)),0,1)</f>
        <v>1</v>
      </c>
      <c r="N2685" s="3">
        <f t="shared" si="83"/>
        <v>1</v>
      </c>
      <c r="O2685" s="3" t="str">
        <f>IF(ISERROR(VLOOKUP(D2685,Data!$A$2:$C$223100,3,FALSE)),"INACTIVE",VLOOKUP(D2685,Data!$A$2:$C$223100,3,FALSE))</f>
        <v>Demand Letter</v>
      </c>
    </row>
    <row r="2686" spans="1:15" x14ac:dyDescent="0.25">
      <c r="A2686" t="s">
        <v>3069</v>
      </c>
      <c r="B2686" t="s">
        <v>3070</v>
      </c>
      <c r="C2686" t="s">
        <v>3123</v>
      </c>
      <c r="D2686" t="s">
        <v>3124</v>
      </c>
      <c r="E2686" t="s">
        <v>3125</v>
      </c>
      <c r="F2686" t="s">
        <v>3126</v>
      </c>
      <c r="G2686" t="s">
        <v>5</v>
      </c>
      <c r="H2686" t="s">
        <v>5</v>
      </c>
      <c r="I2686" t="s">
        <v>3075</v>
      </c>
      <c r="J2686" t="s">
        <v>40</v>
      </c>
      <c r="K2686" s="3">
        <f t="shared" si="82"/>
        <v>0</v>
      </c>
      <c r="L2686" s="3">
        <f>IF(ISERROR(VLOOKUP(J2686,Lookups!$A$2:$A$16,1,FALSE)),1,0)</f>
        <v>1</v>
      </c>
      <c r="M2686" s="3">
        <f>IF(ISERROR(VLOOKUP(D2686,Data!$A$2:$D$223100,2,FALSE)),0,1)</f>
        <v>1</v>
      </c>
      <c r="N2686" s="3">
        <f t="shared" si="83"/>
        <v>1</v>
      </c>
      <c r="O2686" s="3" t="str">
        <f>IF(ISERROR(VLOOKUP(D2686,Data!$A$2:$C$223100,3,FALSE)),"INACTIVE",VLOOKUP(D2686,Data!$A$2:$C$223100,3,FALSE))</f>
        <v>180+</v>
      </c>
    </row>
    <row r="2687" spans="1:15" x14ac:dyDescent="0.25">
      <c r="A2687" t="s">
        <v>3069</v>
      </c>
      <c r="B2687" t="s">
        <v>3070</v>
      </c>
      <c r="C2687" t="s">
        <v>3127</v>
      </c>
      <c r="D2687" t="s">
        <v>3128</v>
      </c>
      <c r="E2687" t="s">
        <v>3129</v>
      </c>
      <c r="F2687" t="s">
        <v>3130</v>
      </c>
      <c r="G2687" t="s">
        <v>5</v>
      </c>
      <c r="H2687" t="s">
        <v>5</v>
      </c>
      <c r="I2687" t="s">
        <v>3075</v>
      </c>
      <c r="J2687" t="s">
        <v>40</v>
      </c>
      <c r="K2687" s="3">
        <f t="shared" si="82"/>
        <v>0</v>
      </c>
      <c r="L2687" s="3">
        <f>IF(ISERROR(VLOOKUP(J2687,Lookups!$A$2:$A$16,1,FALSE)),1,0)</f>
        <v>1</v>
      </c>
      <c r="M2687" s="3">
        <f>IF(ISERROR(VLOOKUP(D2687,Data!$A$2:$D$223100,2,FALSE)),0,1)</f>
        <v>1</v>
      </c>
      <c r="N2687" s="3">
        <f t="shared" si="83"/>
        <v>1</v>
      </c>
      <c r="O2687" s="3" t="str">
        <f>IF(ISERROR(VLOOKUP(D2687,Data!$A$2:$C$223100,3,FALSE)),"INACTIVE",VLOOKUP(D2687,Data!$A$2:$C$223100,3,FALSE))</f>
        <v>30+</v>
      </c>
    </row>
    <row r="2688" spans="1:15" x14ac:dyDescent="0.25">
      <c r="A2688" t="s">
        <v>3069</v>
      </c>
      <c r="B2688" t="s">
        <v>3070</v>
      </c>
      <c r="C2688" t="s">
        <v>3131</v>
      </c>
      <c r="D2688" t="s">
        <v>3132</v>
      </c>
      <c r="E2688" t="s">
        <v>3133</v>
      </c>
      <c r="F2688" t="s">
        <v>3134</v>
      </c>
      <c r="G2688" t="s">
        <v>5</v>
      </c>
      <c r="H2688" t="s">
        <v>5</v>
      </c>
      <c r="I2688" t="s">
        <v>3075</v>
      </c>
      <c r="J2688" t="s">
        <v>47</v>
      </c>
      <c r="K2688" s="3">
        <f t="shared" si="82"/>
        <v>0</v>
      </c>
      <c r="L2688" s="3">
        <f>IF(ISERROR(VLOOKUP(J2688,Lookups!$A$2:$A$16,1,FALSE)),1,0)</f>
        <v>1</v>
      </c>
      <c r="M2688" s="3">
        <f>IF(ISERROR(VLOOKUP(D2688,Data!$A$2:$D$223100,2,FALSE)),0,1)</f>
        <v>1</v>
      </c>
      <c r="N2688" s="3">
        <f t="shared" si="83"/>
        <v>1</v>
      </c>
      <c r="O2688" s="3" t="str">
        <f>IF(ISERROR(VLOOKUP(D2688,Data!$A$2:$C$223100,3,FALSE)),"INACTIVE",VLOOKUP(D2688,Data!$A$2:$C$223100,3,FALSE))</f>
        <v>90+</v>
      </c>
    </row>
    <row r="2689" spans="1:15" x14ac:dyDescent="0.25">
      <c r="A2689" t="s">
        <v>3069</v>
      </c>
      <c r="B2689" t="s">
        <v>3070</v>
      </c>
      <c r="C2689" t="s">
        <v>3135</v>
      </c>
      <c r="D2689" t="s">
        <v>3136</v>
      </c>
      <c r="E2689" t="s">
        <v>3137</v>
      </c>
      <c r="F2689" t="s">
        <v>3137</v>
      </c>
      <c r="G2689" t="s">
        <v>5</v>
      </c>
      <c r="H2689" t="s">
        <v>5</v>
      </c>
      <c r="I2689" t="s">
        <v>3075</v>
      </c>
      <c r="J2689" t="s">
        <v>47</v>
      </c>
      <c r="K2689" s="3">
        <f t="shared" si="82"/>
        <v>0</v>
      </c>
      <c r="L2689" s="3">
        <f>IF(ISERROR(VLOOKUP(J2689,Lookups!$A$2:$A$16,1,FALSE)),1,0)</f>
        <v>1</v>
      </c>
      <c r="M2689" s="3">
        <f>IF(ISERROR(VLOOKUP(D2689,Data!$A$2:$D$223100,2,FALSE)),0,1)</f>
        <v>1</v>
      </c>
      <c r="N2689" s="3">
        <f t="shared" si="83"/>
        <v>1</v>
      </c>
      <c r="O2689" s="3" t="str">
        <f>IF(ISERROR(VLOOKUP(D2689,Data!$A$2:$C$223100,3,FALSE)),"INACTIVE",VLOOKUP(D2689,Data!$A$2:$C$223100,3,FALSE))</f>
        <v>180+</v>
      </c>
    </row>
    <row r="2690" spans="1:15" x14ac:dyDescent="0.25">
      <c r="A2690" t="s">
        <v>3069</v>
      </c>
      <c r="B2690" t="s">
        <v>3070</v>
      </c>
      <c r="C2690" t="s">
        <v>3138</v>
      </c>
      <c r="D2690" t="s">
        <v>3139</v>
      </c>
      <c r="E2690" t="s">
        <v>3140</v>
      </c>
      <c r="F2690" t="s">
        <v>3141</v>
      </c>
      <c r="G2690" t="s">
        <v>5</v>
      </c>
      <c r="H2690" t="s">
        <v>5</v>
      </c>
      <c r="I2690" t="s">
        <v>3075</v>
      </c>
      <c r="J2690" t="s">
        <v>47</v>
      </c>
      <c r="K2690" s="3">
        <f t="shared" si="82"/>
        <v>0</v>
      </c>
      <c r="L2690" s="3">
        <f>IF(ISERROR(VLOOKUP(J2690,Lookups!$A$2:$A$16,1,FALSE)),1,0)</f>
        <v>1</v>
      </c>
      <c r="M2690" s="3">
        <f>IF(ISERROR(VLOOKUP(D2690,Data!$A$2:$D$223100,2,FALSE)),0,1)</f>
        <v>1</v>
      </c>
      <c r="N2690" s="3">
        <f t="shared" si="83"/>
        <v>1</v>
      </c>
      <c r="O2690" s="3" t="str">
        <f>IF(ISERROR(VLOOKUP(D2690,Data!$A$2:$C$223100,3,FALSE)),"INACTIVE",VLOOKUP(D2690,Data!$A$2:$C$223100,3,FALSE))</f>
        <v>Current</v>
      </c>
    </row>
    <row r="2691" spans="1:15" x14ac:dyDescent="0.25">
      <c r="A2691" t="s">
        <v>3069</v>
      </c>
      <c r="B2691" t="s">
        <v>3070</v>
      </c>
      <c r="C2691" t="s">
        <v>3142</v>
      </c>
      <c r="D2691" t="s">
        <v>3143</v>
      </c>
      <c r="E2691" t="s">
        <v>3144</v>
      </c>
      <c r="F2691" t="s">
        <v>3145</v>
      </c>
      <c r="G2691" t="s">
        <v>5</v>
      </c>
      <c r="H2691" t="s">
        <v>5</v>
      </c>
      <c r="I2691" t="s">
        <v>3075</v>
      </c>
      <c r="J2691" t="s">
        <v>40</v>
      </c>
      <c r="K2691" s="3">
        <f t="shared" ref="K2691:K2754" si="84">IF(ISERROR(FIND("LIEN",A2691,1)),0,1)</f>
        <v>0</v>
      </c>
      <c r="L2691" s="3">
        <f>IF(ISERROR(VLOOKUP(J2691,Lookups!$A$2:$A$16,1,FALSE)),1,0)</f>
        <v>1</v>
      </c>
      <c r="M2691" s="3">
        <f>IF(ISERROR(VLOOKUP(D2691,Data!$A$2:$D$223100,2,FALSE)),0,1)</f>
        <v>1</v>
      </c>
      <c r="N2691" s="3">
        <f t="shared" ref="N2691:N2754" si="85">IF(M2691=0,0,IF(SUM(K2691:L2691)&gt;0,1,0))</f>
        <v>1</v>
      </c>
      <c r="O2691" s="3" t="str">
        <f>IF(ISERROR(VLOOKUP(D2691,Data!$A$2:$C$223100,3,FALSE)),"INACTIVE",VLOOKUP(D2691,Data!$A$2:$C$223100,3,FALSE))</f>
        <v>FC</v>
      </c>
    </row>
    <row r="2692" spans="1:15" x14ac:dyDescent="0.25">
      <c r="A2692" t="s">
        <v>3069</v>
      </c>
      <c r="B2692" t="s">
        <v>3070</v>
      </c>
      <c r="C2692" t="s">
        <v>3146</v>
      </c>
      <c r="D2692" t="s">
        <v>3147</v>
      </c>
      <c r="E2692" t="s">
        <v>3148</v>
      </c>
      <c r="F2692" t="s">
        <v>3149</v>
      </c>
      <c r="G2692" t="s">
        <v>5</v>
      </c>
      <c r="H2692" t="s">
        <v>5</v>
      </c>
      <c r="I2692" t="s">
        <v>3075</v>
      </c>
      <c r="J2692" t="s">
        <v>47</v>
      </c>
      <c r="K2692" s="3">
        <f t="shared" si="84"/>
        <v>0</v>
      </c>
      <c r="L2692" s="3">
        <f>IF(ISERROR(VLOOKUP(J2692,Lookups!$A$2:$A$16,1,FALSE)),1,0)</f>
        <v>1</v>
      </c>
      <c r="M2692" s="3">
        <f>IF(ISERROR(VLOOKUP(D2692,Data!$A$2:$D$223100,2,FALSE)),0,1)</f>
        <v>1</v>
      </c>
      <c r="N2692" s="3">
        <f t="shared" si="85"/>
        <v>1</v>
      </c>
      <c r="O2692" s="3" t="str">
        <f>IF(ISERROR(VLOOKUP(D2692,Data!$A$2:$C$223100,3,FALSE)),"INACTIVE",VLOOKUP(D2692,Data!$A$2:$C$223100,3,FALSE))</f>
        <v>FC</v>
      </c>
    </row>
    <row r="2693" spans="1:15" x14ac:dyDescent="0.25">
      <c r="A2693" t="s">
        <v>3069</v>
      </c>
      <c r="B2693" t="s">
        <v>3070</v>
      </c>
      <c r="C2693" t="s">
        <v>3150</v>
      </c>
      <c r="D2693" t="s">
        <v>3151</v>
      </c>
      <c r="E2693" t="s">
        <v>3152</v>
      </c>
      <c r="F2693" t="s">
        <v>3153</v>
      </c>
      <c r="G2693" t="s">
        <v>5</v>
      </c>
      <c r="H2693" t="s">
        <v>5</v>
      </c>
      <c r="I2693" t="s">
        <v>3075</v>
      </c>
      <c r="J2693" t="s">
        <v>36</v>
      </c>
      <c r="K2693" s="3">
        <f t="shared" si="84"/>
        <v>0</v>
      </c>
      <c r="L2693" s="3">
        <f>IF(ISERROR(VLOOKUP(J2693,Lookups!$A$2:$A$16,1,FALSE)),1,0)</f>
        <v>1</v>
      </c>
      <c r="M2693" s="3">
        <f>IF(ISERROR(VLOOKUP(D2693,Data!$A$2:$D$223100,2,FALSE)),0,1)</f>
        <v>1</v>
      </c>
      <c r="N2693" s="3">
        <f t="shared" si="85"/>
        <v>1</v>
      </c>
      <c r="O2693" s="3" t="str">
        <f>IF(ISERROR(VLOOKUP(D2693,Data!$A$2:$C$223100,3,FALSE)),"INACTIVE",VLOOKUP(D2693,Data!$A$2:$C$223100,3,FALSE))</f>
        <v>Current</v>
      </c>
    </row>
    <row r="2694" spans="1:15" x14ac:dyDescent="0.25">
      <c r="A2694" t="s">
        <v>3069</v>
      </c>
      <c r="B2694" t="s">
        <v>3070</v>
      </c>
      <c r="C2694" t="s">
        <v>3154</v>
      </c>
      <c r="D2694" t="s">
        <v>3155</v>
      </c>
      <c r="E2694" t="s">
        <v>3156</v>
      </c>
      <c r="F2694" t="s">
        <v>3157</v>
      </c>
      <c r="G2694" t="s">
        <v>5</v>
      </c>
      <c r="H2694" t="s">
        <v>5</v>
      </c>
      <c r="I2694" t="s">
        <v>3075</v>
      </c>
      <c r="J2694" t="s">
        <v>40</v>
      </c>
      <c r="K2694" s="3">
        <f t="shared" si="84"/>
        <v>0</v>
      </c>
      <c r="L2694" s="3">
        <f>IF(ISERROR(VLOOKUP(J2694,Lookups!$A$2:$A$16,1,FALSE)),1,0)</f>
        <v>1</v>
      </c>
      <c r="M2694" s="3">
        <f>IF(ISERROR(VLOOKUP(D2694,Data!$A$2:$D$223100,2,FALSE)),0,1)</f>
        <v>1</v>
      </c>
      <c r="N2694" s="3">
        <f t="shared" si="85"/>
        <v>1</v>
      </c>
      <c r="O2694" s="3" t="str">
        <f>IF(ISERROR(VLOOKUP(D2694,Data!$A$2:$C$223100,3,FALSE)),"INACTIVE",VLOOKUP(D2694,Data!$A$2:$C$223100,3,FALSE))</f>
        <v>60+</v>
      </c>
    </row>
    <row r="2695" spans="1:15" x14ac:dyDescent="0.25">
      <c r="A2695" t="s">
        <v>3069</v>
      </c>
      <c r="B2695" t="s">
        <v>3070</v>
      </c>
      <c r="C2695" t="s">
        <v>3158</v>
      </c>
      <c r="D2695" t="s">
        <v>3159</v>
      </c>
      <c r="E2695" t="s">
        <v>3160</v>
      </c>
      <c r="F2695" t="s">
        <v>3161</v>
      </c>
      <c r="G2695" t="s">
        <v>5</v>
      </c>
      <c r="H2695" t="s">
        <v>5</v>
      </c>
      <c r="I2695" t="s">
        <v>3075</v>
      </c>
      <c r="J2695" t="s">
        <v>40</v>
      </c>
      <c r="K2695" s="3">
        <f t="shared" si="84"/>
        <v>0</v>
      </c>
      <c r="L2695" s="3">
        <f>IF(ISERROR(VLOOKUP(J2695,Lookups!$A$2:$A$16,1,FALSE)),1,0)</f>
        <v>1</v>
      </c>
      <c r="M2695" s="3">
        <f>IF(ISERROR(VLOOKUP(D2695,Data!$A$2:$D$223100,2,FALSE)),0,1)</f>
        <v>1</v>
      </c>
      <c r="N2695" s="3">
        <f t="shared" si="85"/>
        <v>1</v>
      </c>
      <c r="O2695" s="3" t="str">
        <f>IF(ISERROR(VLOOKUP(D2695,Data!$A$2:$C$223100,3,FALSE)),"INACTIVE",VLOOKUP(D2695,Data!$A$2:$C$223100,3,FALSE))</f>
        <v>FC</v>
      </c>
    </row>
    <row r="2696" spans="1:15" x14ac:dyDescent="0.25">
      <c r="A2696" t="s">
        <v>3069</v>
      </c>
      <c r="B2696" t="s">
        <v>3070</v>
      </c>
      <c r="C2696" t="s">
        <v>3162</v>
      </c>
      <c r="D2696" t="s">
        <v>3163</v>
      </c>
      <c r="E2696" t="s">
        <v>3164</v>
      </c>
      <c r="F2696" t="s">
        <v>3165</v>
      </c>
      <c r="G2696" t="s">
        <v>5</v>
      </c>
      <c r="H2696" t="s">
        <v>5</v>
      </c>
      <c r="I2696" t="s">
        <v>3075</v>
      </c>
      <c r="J2696" t="s">
        <v>47</v>
      </c>
      <c r="K2696" s="3">
        <f t="shared" si="84"/>
        <v>0</v>
      </c>
      <c r="L2696" s="3">
        <f>IF(ISERROR(VLOOKUP(J2696,Lookups!$A$2:$A$16,1,FALSE)),1,0)</f>
        <v>1</v>
      </c>
      <c r="M2696" s="3">
        <f>IF(ISERROR(VLOOKUP(D2696,Data!$A$2:$D$223100,2,FALSE)),0,1)</f>
        <v>1</v>
      </c>
      <c r="N2696" s="3">
        <f t="shared" si="85"/>
        <v>1</v>
      </c>
      <c r="O2696" s="3" t="str">
        <f>IF(ISERROR(VLOOKUP(D2696,Data!$A$2:$C$223100,3,FALSE)),"INACTIVE",VLOOKUP(D2696,Data!$A$2:$C$223100,3,FALSE))</f>
        <v>FC</v>
      </c>
    </row>
    <row r="2697" spans="1:15" x14ac:dyDescent="0.25">
      <c r="A2697" t="s">
        <v>3069</v>
      </c>
      <c r="B2697" t="s">
        <v>3070</v>
      </c>
      <c r="C2697" t="s">
        <v>3166</v>
      </c>
      <c r="D2697" t="s">
        <v>3167</v>
      </c>
      <c r="E2697" t="s">
        <v>3168</v>
      </c>
      <c r="F2697" t="s">
        <v>3169</v>
      </c>
      <c r="G2697" t="s">
        <v>5</v>
      </c>
      <c r="H2697" t="s">
        <v>5</v>
      </c>
      <c r="I2697" t="s">
        <v>3075</v>
      </c>
      <c r="J2697" t="s">
        <v>47</v>
      </c>
      <c r="K2697" s="3">
        <f t="shared" si="84"/>
        <v>0</v>
      </c>
      <c r="L2697" s="3">
        <f>IF(ISERROR(VLOOKUP(J2697,Lookups!$A$2:$A$16,1,FALSE)),1,0)</f>
        <v>1</v>
      </c>
      <c r="M2697" s="3">
        <f>IF(ISERROR(VLOOKUP(D2697,Data!$A$2:$D$223100,2,FALSE)),0,1)</f>
        <v>1</v>
      </c>
      <c r="N2697" s="3">
        <f t="shared" si="85"/>
        <v>1</v>
      </c>
      <c r="O2697" s="3" t="str">
        <f>IF(ISERROR(VLOOKUP(D2697,Data!$A$2:$C$223100,3,FALSE)),"INACTIVE",VLOOKUP(D2697,Data!$A$2:$C$223100,3,FALSE))</f>
        <v>BK7</v>
      </c>
    </row>
    <row r="2698" spans="1:15" x14ac:dyDescent="0.25">
      <c r="A2698" t="s">
        <v>3069</v>
      </c>
      <c r="B2698" t="s">
        <v>3070</v>
      </c>
      <c r="C2698" t="s">
        <v>3170</v>
      </c>
      <c r="D2698" t="s">
        <v>3171</v>
      </c>
      <c r="E2698" t="s">
        <v>3172</v>
      </c>
      <c r="F2698" t="s">
        <v>3173</v>
      </c>
      <c r="G2698" t="s">
        <v>5</v>
      </c>
      <c r="H2698" t="s">
        <v>5</v>
      </c>
      <c r="I2698" t="s">
        <v>3075</v>
      </c>
      <c r="J2698" t="s">
        <v>40</v>
      </c>
      <c r="K2698" s="3">
        <f t="shared" si="84"/>
        <v>0</v>
      </c>
      <c r="L2698" s="3">
        <f>IF(ISERROR(VLOOKUP(J2698,Lookups!$A$2:$A$16,1,FALSE)),1,0)</f>
        <v>1</v>
      </c>
      <c r="M2698" s="3">
        <f>IF(ISERROR(VLOOKUP(D2698,Data!$A$2:$D$223100,2,FALSE)),0,1)</f>
        <v>1</v>
      </c>
      <c r="N2698" s="3">
        <f t="shared" si="85"/>
        <v>1</v>
      </c>
      <c r="O2698" s="3" t="str">
        <f>IF(ISERROR(VLOOKUP(D2698,Data!$A$2:$C$223100,3,FALSE)),"INACTIVE",VLOOKUP(D2698,Data!$A$2:$C$223100,3,FALSE))</f>
        <v>Demand Letter</v>
      </c>
    </row>
    <row r="2699" spans="1:15" x14ac:dyDescent="0.25">
      <c r="A2699" t="s">
        <v>3069</v>
      </c>
      <c r="B2699" t="s">
        <v>3070</v>
      </c>
      <c r="C2699" t="s">
        <v>3174</v>
      </c>
      <c r="D2699" t="s">
        <v>3175</v>
      </c>
      <c r="E2699" t="s">
        <v>3176</v>
      </c>
      <c r="F2699" t="s">
        <v>3177</v>
      </c>
      <c r="G2699" t="s">
        <v>5</v>
      </c>
      <c r="H2699" t="s">
        <v>5</v>
      </c>
      <c r="I2699" t="s">
        <v>3075</v>
      </c>
      <c r="J2699" t="s">
        <v>47</v>
      </c>
      <c r="K2699" s="3">
        <f t="shared" si="84"/>
        <v>0</v>
      </c>
      <c r="L2699" s="3">
        <f>IF(ISERROR(VLOOKUP(J2699,Lookups!$A$2:$A$16,1,FALSE)),1,0)</f>
        <v>1</v>
      </c>
      <c r="M2699" s="3">
        <f>IF(ISERROR(VLOOKUP(D2699,Data!$A$2:$D$223100,2,FALSE)),0,1)</f>
        <v>1</v>
      </c>
      <c r="N2699" s="3">
        <f t="shared" si="85"/>
        <v>1</v>
      </c>
      <c r="O2699" s="3" t="str">
        <f>IF(ISERROR(VLOOKUP(D2699,Data!$A$2:$C$223100,3,FALSE)),"INACTIVE",VLOOKUP(D2699,Data!$A$2:$C$223100,3,FALSE))</f>
        <v>Demand Letter</v>
      </c>
    </row>
    <row r="2700" spans="1:15" x14ac:dyDescent="0.25">
      <c r="A2700" t="s">
        <v>3069</v>
      </c>
      <c r="B2700" t="s">
        <v>3070</v>
      </c>
      <c r="C2700" t="s">
        <v>3178</v>
      </c>
      <c r="D2700" t="s">
        <v>3179</v>
      </c>
      <c r="E2700" t="s">
        <v>3180</v>
      </c>
      <c r="F2700" t="s">
        <v>3181</v>
      </c>
      <c r="G2700" t="s">
        <v>5</v>
      </c>
      <c r="H2700" t="s">
        <v>5</v>
      </c>
      <c r="I2700" t="s">
        <v>3075</v>
      </c>
      <c r="J2700" t="s">
        <v>40</v>
      </c>
      <c r="K2700" s="3">
        <f t="shared" si="84"/>
        <v>0</v>
      </c>
      <c r="L2700" s="3">
        <f>IF(ISERROR(VLOOKUP(J2700,Lookups!$A$2:$A$16,1,FALSE)),1,0)</f>
        <v>1</v>
      </c>
      <c r="M2700" s="3">
        <f>IF(ISERROR(VLOOKUP(D2700,Data!$A$2:$D$223100,2,FALSE)),0,1)</f>
        <v>1</v>
      </c>
      <c r="N2700" s="3">
        <f t="shared" si="85"/>
        <v>1</v>
      </c>
      <c r="O2700" s="3" t="str">
        <f>IF(ISERROR(VLOOKUP(D2700,Data!$A$2:$C$223100,3,FALSE)),"INACTIVE",VLOOKUP(D2700,Data!$A$2:$C$223100,3,FALSE))</f>
        <v>60+</v>
      </c>
    </row>
    <row r="2701" spans="1:15" x14ac:dyDescent="0.25">
      <c r="A2701" t="s">
        <v>3069</v>
      </c>
      <c r="B2701" t="s">
        <v>3070</v>
      </c>
      <c r="C2701" t="s">
        <v>3182</v>
      </c>
      <c r="D2701" t="s">
        <v>3183</v>
      </c>
      <c r="E2701" t="s">
        <v>3184</v>
      </c>
      <c r="F2701" t="s">
        <v>3184</v>
      </c>
      <c r="G2701" t="s">
        <v>5</v>
      </c>
      <c r="H2701" t="s">
        <v>5</v>
      </c>
      <c r="I2701" t="s">
        <v>3075</v>
      </c>
      <c r="J2701" t="s">
        <v>47</v>
      </c>
      <c r="K2701" s="3">
        <f t="shared" si="84"/>
        <v>0</v>
      </c>
      <c r="L2701" s="3">
        <f>IF(ISERROR(VLOOKUP(J2701,Lookups!$A$2:$A$16,1,FALSE)),1,0)</f>
        <v>1</v>
      </c>
      <c r="M2701" s="3">
        <f>IF(ISERROR(VLOOKUP(D2701,Data!$A$2:$D$223100,2,FALSE)),0,1)</f>
        <v>1</v>
      </c>
      <c r="N2701" s="3">
        <f t="shared" si="85"/>
        <v>1</v>
      </c>
      <c r="O2701" s="3" t="str">
        <f>IF(ISERROR(VLOOKUP(D2701,Data!$A$2:$C$223100,3,FALSE)),"INACTIVE",VLOOKUP(D2701,Data!$A$2:$C$223100,3,FALSE))</f>
        <v>FC</v>
      </c>
    </row>
    <row r="2702" spans="1:15" x14ac:dyDescent="0.25">
      <c r="A2702" t="s">
        <v>3069</v>
      </c>
      <c r="B2702" t="s">
        <v>3070</v>
      </c>
      <c r="C2702" t="s">
        <v>3185</v>
      </c>
      <c r="D2702" t="s">
        <v>3186</v>
      </c>
      <c r="E2702" t="s">
        <v>3187</v>
      </c>
      <c r="F2702" t="s">
        <v>3187</v>
      </c>
      <c r="G2702" t="s">
        <v>5</v>
      </c>
      <c r="H2702" t="s">
        <v>5</v>
      </c>
      <c r="I2702" t="s">
        <v>3075</v>
      </c>
      <c r="J2702" t="s">
        <v>47</v>
      </c>
      <c r="K2702" s="3">
        <f t="shared" si="84"/>
        <v>0</v>
      </c>
      <c r="L2702" s="3">
        <f>IF(ISERROR(VLOOKUP(J2702,Lookups!$A$2:$A$16,1,FALSE)),1,0)</f>
        <v>1</v>
      </c>
      <c r="M2702" s="3">
        <f>IF(ISERROR(VLOOKUP(D2702,Data!$A$2:$D$223100,2,FALSE)),0,1)</f>
        <v>1</v>
      </c>
      <c r="N2702" s="3">
        <f t="shared" si="85"/>
        <v>1</v>
      </c>
      <c r="O2702" s="3" t="str">
        <f>IF(ISERROR(VLOOKUP(D2702,Data!$A$2:$C$223100,3,FALSE)),"INACTIVE",VLOOKUP(D2702,Data!$A$2:$C$223100,3,FALSE))</f>
        <v>FBA</v>
      </c>
    </row>
    <row r="2703" spans="1:15" x14ac:dyDescent="0.25">
      <c r="A2703" t="s">
        <v>3069</v>
      </c>
      <c r="B2703" t="s">
        <v>3070</v>
      </c>
      <c r="C2703" t="s">
        <v>3188</v>
      </c>
      <c r="D2703" t="s">
        <v>3189</v>
      </c>
      <c r="E2703" t="s">
        <v>3190</v>
      </c>
      <c r="F2703" t="s">
        <v>3191</v>
      </c>
      <c r="G2703" t="s">
        <v>5</v>
      </c>
      <c r="H2703" t="s">
        <v>5</v>
      </c>
      <c r="I2703" t="s">
        <v>3075</v>
      </c>
      <c r="J2703" t="s">
        <v>40</v>
      </c>
      <c r="K2703" s="3">
        <f t="shared" si="84"/>
        <v>0</v>
      </c>
      <c r="L2703" s="3">
        <f>IF(ISERROR(VLOOKUP(J2703,Lookups!$A$2:$A$16,1,FALSE)),1,0)</f>
        <v>1</v>
      </c>
      <c r="M2703" s="3">
        <f>IF(ISERROR(VLOOKUP(D2703,Data!$A$2:$D$223100,2,FALSE)),0,1)</f>
        <v>1</v>
      </c>
      <c r="N2703" s="3">
        <f t="shared" si="85"/>
        <v>1</v>
      </c>
      <c r="O2703" s="3" t="str">
        <f>IF(ISERROR(VLOOKUP(D2703,Data!$A$2:$C$223100,3,FALSE)),"INACTIVE",VLOOKUP(D2703,Data!$A$2:$C$223100,3,FALSE))</f>
        <v>Current</v>
      </c>
    </row>
    <row r="2704" spans="1:15" x14ac:dyDescent="0.25">
      <c r="A2704" t="s">
        <v>3069</v>
      </c>
      <c r="B2704" t="s">
        <v>3070</v>
      </c>
      <c r="C2704" t="s">
        <v>3192</v>
      </c>
      <c r="D2704" t="s">
        <v>3193</v>
      </c>
      <c r="E2704" t="s">
        <v>3194</v>
      </c>
      <c r="F2704" t="s">
        <v>3195</v>
      </c>
      <c r="G2704" t="s">
        <v>5</v>
      </c>
      <c r="H2704" t="s">
        <v>5</v>
      </c>
      <c r="I2704" t="s">
        <v>3075</v>
      </c>
      <c r="J2704" t="s">
        <v>40</v>
      </c>
      <c r="K2704" s="3">
        <f t="shared" si="84"/>
        <v>0</v>
      </c>
      <c r="L2704" s="3">
        <f>IF(ISERROR(VLOOKUP(J2704,Lookups!$A$2:$A$16,1,FALSE)),1,0)</f>
        <v>1</v>
      </c>
      <c r="M2704" s="3">
        <f>IF(ISERROR(VLOOKUP(D2704,Data!$A$2:$D$223100,2,FALSE)),0,1)</f>
        <v>1</v>
      </c>
      <c r="N2704" s="3">
        <f t="shared" si="85"/>
        <v>1</v>
      </c>
      <c r="O2704" s="3" t="str">
        <f>IF(ISERROR(VLOOKUP(D2704,Data!$A$2:$C$223100,3,FALSE)),"INACTIVE",VLOOKUP(D2704,Data!$A$2:$C$223100,3,FALSE))</f>
        <v>Current</v>
      </c>
    </row>
    <row r="2705" spans="1:15" x14ac:dyDescent="0.25">
      <c r="A2705" t="s">
        <v>3069</v>
      </c>
      <c r="B2705" t="s">
        <v>3070</v>
      </c>
      <c r="C2705" t="s">
        <v>3196</v>
      </c>
      <c r="D2705" t="s">
        <v>3197</v>
      </c>
      <c r="E2705" t="s">
        <v>3198</v>
      </c>
      <c r="F2705" t="s">
        <v>3199</v>
      </c>
      <c r="G2705" t="s">
        <v>5</v>
      </c>
      <c r="H2705" t="s">
        <v>5</v>
      </c>
      <c r="I2705" t="s">
        <v>3075</v>
      </c>
      <c r="J2705" t="s">
        <v>40</v>
      </c>
      <c r="K2705" s="3">
        <f t="shared" si="84"/>
        <v>0</v>
      </c>
      <c r="L2705" s="3">
        <f>IF(ISERROR(VLOOKUP(J2705,Lookups!$A$2:$A$16,1,FALSE)),1,0)</f>
        <v>1</v>
      </c>
      <c r="M2705" s="3">
        <f>IF(ISERROR(VLOOKUP(D2705,Data!$A$2:$D$223100,2,FALSE)),0,1)</f>
        <v>1</v>
      </c>
      <c r="N2705" s="3">
        <f t="shared" si="85"/>
        <v>1</v>
      </c>
      <c r="O2705" s="3" t="str">
        <f>IF(ISERROR(VLOOKUP(D2705,Data!$A$2:$C$223100,3,FALSE)),"INACTIVE",VLOOKUP(D2705,Data!$A$2:$C$223100,3,FALSE))</f>
        <v>Current</v>
      </c>
    </row>
    <row r="2706" spans="1:15" x14ac:dyDescent="0.25">
      <c r="A2706" t="s">
        <v>3069</v>
      </c>
      <c r="B2706" t="s">
        <v>3070</v>
      </c>
      <c r="C2706" t="s">
        <v>3200</v>
      </c>
      <c r="D2706" t="s">
        <v>3201</v>
      </c>
      <c r="E2706" t="s">
        <v>3202</v>
      </c>
      <c r="F2706" t="s">
        <v>3203</v>
      </c>
      <c r="G2706" t="s">
        <v>5</v>
      </c>
      <c r="H2706" t="s">
        <v>5</v>
      </c>
      <c r="I2706" t="s">
        <v>3075</v>
      </c>
      <c r="J2706" t="s">
        <v>40</v>
      </c>
      <c r="K2706" s="3">
        <f t="shared" si="84"/>
        <v>0</v>
      </c>
      <c r="L2706" s="3">
        <f>IF(ISERROR(VLOOKUP(J2706,Lookups!$A$2:$A$16,1,FALSE)),1,0)</f>
        <v>1</v>
      </c>
      <c r="M2706" s="3">
        <f>IF(ISERROR(VLOOKUP(D2706,Data!$A$2:$D$223100,2,FALSE)),0,1)</f>
        <v>1</v>
      </c>
      <c r="N2706" s="3">
        <f t="shared" si="85"/>
        <v>1</v>
      </c>
      <c r="O2706" s="3" t="str">
        <f>IF(ISERROR(VLOOKUP(D2706,Data!$A$2:$C$223100,3,FALSE)),"INACTIVE",VLOOKUP(D2706,Data!$A$2:$C$223100,3,FALSE))</f>
        <v>30+</v>
      </c>
    </row>
    <row r="2707" spans="1:15" x14ac:dyDescent="0.25">
      <c r="A2707" t="s">
        <v>3069</v>
      </c>
      <c r="B2707" t="s">
        <v>3070</v>
      </c>
      <c r="C2707" t="s">
        <v>3204</v>
      </c>
      <c r="D2707" t="s">
        <v>3205</v>
      </c>
      <c r="E2707" t="s">
        <v>3206</v>
      </c>
      <c r="F2707" t="s">
        <v>3207</v>
      </c>
      <c r="G2707" t="s">
        <v>5</v>
      </c>
      <c r="H2707" t="s">
        <v>5</v>
      </c>
      <c r="I2707" t="s">
        <v>3075</v>
      </c>
      <c r="J2707" t="s">
        <v>40</v>
      </c>
      <c r="K2707" s="3">
        <f t="shared" si="84"/>
        <v>0</v>
      </c>
      <c r="L2707" s="3">
        <f>IF(ISERROR(VLOOKUP(J2707,Lookups!$A$2:$A$16,1,FALSE)),1,0)</f>
        <v>1</v>
      </c>
      <c r="M2707" s="3">
        <f>IF(ISERROR(VLOOKUP(D2707,Data!$A$2:$D$223100,2,FALSE)),0,1)</f>
        <v>1</v>
      </c>
      <c r="N2707" s="3">
        <f t="shared" si="85"/>
        <v>1</v>
      </c>
      <c r="O2707" s="3" t="str">
        <f>IF(ISERROR(VLOOKUP(D2707,Data!$A$2:$C$223100,3,FALSE)),"INACTIVE",VLOOKUP(D2707,Data!$A$2:$C$223100,3,FALSE))</f>
        <v>Demand Letter</v>
      </c>
    </row>
    <row r="2708" spans="1:15" x14ac:dyDescent="0.25">
      <c r="A2708" t="s">
        <v>3069</v>
      </c>
      <c r="B2708" t="s">
        <v>3070</v>
      </c>
      <c r="C2708" t="s">
        <v>3208</v>
      </c>
      <c r="D2708" t="s">
        <v>3209</v>
      </c>
      <c r="E2708" t="s">
        <v>5</v>
      </c>
      <c r="F2708" t="s">
        <v>3210</v>
      </c>
      <c r="G2708" t="s">
        <v>5</v>
      </c>
      <c r="H2708" t="s">
        <v>5</v>
      </c>
      <c r="I2708" t="s">
        <v>3075</v>
      </c>
      <c r="J2708" t="s">
        <v>573</v>
      </c>
      <c r="K2708" s="3">
        <f t="shared" si="84"/>
        <v>0</v>
      </c>
      <c r="L2708" s="3">
        <f>IF(ISERROR(VLOOKUP(J2708,Lookups!$A$2:$A$16,1,FALSE)),1,0)</f>
        <v>1</v>
      </c>
      <c r="M2708" s="3">
        <f>IF(ISERROR(VLOOKUP(D2708,Data!$A$2:$D$223100,2,FALSE)),0,1)</f>
        <v>1</v>
      </c>
      <c r="N2708" s="3">
        <f t="shared" si="85"/>
        <v>1</v>
      </c>
      <c r="O2708" s="3" t="str">
        <f>IF(ISERROR(VLOOKUP(D2708,Data!$A$2:$C$223100,3,FALSE)),"INACTIVE",VLOOKUP(D2708,Data!$A$2:$C$223100,3,FALSE))</f>
        <v>BK13</v>
      </c>
    </row>
    <row r="2709" spans="1:15" x14ac:dyDescent="0.25">
      <c r="A2709" t="s">
        <v>3069</v>
      </c>
      <c r="B2709" t="s">
        <v>3070</v>
      </c>
      <c r="C2709" t="s">
        <v>3107</v>
      </c>
      <c r="D2709" t="s">
        <v>3108</v>
      </c>
      <c r="E2709" t="s">
        <v>3211</v>
      </c>
      <c r="F2709" t="s">
        <v>3212</v>
      </c>
      <c r="G2709" t="s">
        <v>5</v>
      </c>
      <c r="H2709" t="s">
        <v>5</v>
      </c>
      <c r="I2709" t="s">
        <v>3075</v>
      </c>
      <c r="J2709" t="s">
        <v>573</v>
      </c>
      <c r="K2709" s="3">
        <f t="shared" si="84"/>
        <v>0</v>
      </c>
      <c r="L2709" s="3">
        <f>IF(ISERROR(VLOOKUP(J2709,Lookups!$A$2:$A$16,1,FALSE)),1,0)</f>
        <v>1</v>
      </c>
      <c r="M2709" s="3">
        <f>IF(ISERROR(VLOOKUP(D2709,Data!$A$2:$D$223100,2,FALSE)),0,1)</f>
        <v>1</v>
      </c>
      <c r="N2709" s="3">
        <f t="shared" si="85"/>
        <v>1</v>
      </c>
      <c r="O2709" s="3" t="str">
        <f>IF(ISERROR(VLOOKUP(D2709,Data!$A$2:$C$223100,3,FALSE)),"INACTIVE",VLOOKUP(D2709,Data!$A$2:$C$223100,3,FALSE))</f>
        <v>30+</v>
      </c>
    </row>
    <row r="2710" spans="1:15" x14ac:dyDescent="0.25">
      <c r="A2710" t="s">
        <v>3069</v>
      </c>
      <c r="B2710" t="s">
        <v>3070</v>
      </c>
      <c r="C2710" t="s">
        <v>3111</v>
      </c>
      <c r="D2710" t="s">
        <v>3112</v>
      </c>
      <c r="E2710" t="s">
        <v>5</v>
      </c>
      <c r="F2710" t="s">
        <v>3213</v>
      </c>
      <c r="G2710" t="s">
        <v>5</v>
      </c>
      <c r="H2710" t="s">
        <v>5</v>
      </c>
      <c r="I2710" t="s">
        <v>3075</v>
      </c>
      <c r="J2710" t="s">
        <v>573</v>
      </c>
      <c r="K2710" s="3">
        <f t="shared" si="84"/>
        <v>0</v>
      </c>
      <c r="L2710" s="3">
        <f>IF(ISERROR(VLOOKUP(J2710,Lookups!$A$2:$A$16,1,FALSE)),1,0)</f>
        <v>1</v>
      </c>
      <c r="M2710" s="3">
        <f>IF(ISERROR(VLOOKUP(D2710,Data!$A$2:$D$223100,2,FALSE)),0,1)</f>
        <v>1</v>
      </c>
      <c r="N2710" s="3">
        <f t="shared" si="85"/>
        <v>1</v>
      </c>
      <c r="O2710" s="3" t="str">
        <f>IF(ISERROR(VLOOKUP(D2710,Data!$A$2:$C$223100,3,FALSE)),"INACTIVE",VLOOKUP(D2710,Data!$A$2:$C$223100,3,FALSE))</f>
        <v>Current</v>
      </c>
    </row>
    <row r="2711" spans="1:15" x14ac:dyDescent="0.25">
      <c r="A2711" t="s">
        <v>3069</v>
      </c>
      <c r="B2711" t="s">
        <v>3070</v>
      </c>
      <c r="C2711" t="s">
        <v>3119</v>
      </c>
      <c r="D2711" t="s">
        <v>3120</v>
      </c>
      <c r="E2711" t="s">
        <v>5</v>
      </c>
      <c r="F2711" t="s">
        <v>3214</v>
      </c>
      <c r="G2711" t="s">
        <v>5</v>
      </c>
      <c r="H2711" t="s">
        <v>5</v>
      </c>
      <c r="I2711" t="s">
        <v>3075</v>
      </c>
      <c r="J2711" t="s">
        <v>573</v>
      </c>
      <c r="K2711" s="3">
        <f t="shared" si="84"/>
        <v>0</v>
      </c>
      <c r="L2711" s="3">
        <f>IF(ISERROR(VLOOKUP(J2711,Lookups!$A$2:$A$16,1,FALSE)),1,0)</f>
        <v>1</v>
      </c>
      <c r="M2711" s="3">
        <f>IF(ISERROR(VLOOKUP(D2711,Data!$A$2:$D$223100,2,FALSE)),0,1)</f>
        <v>1</v>
      </c>
      <c r="N2711" s="3">
        <f t="shared" si="85"/>
        <v>1</v>
      </c>
      <c r="O2711" s="3" t="str">
        <f>IF(ISERROR(VLOOKUP(D2711,Data!$A$2:$C$223100,3,FALSE)),"INACTIVE",VLOOKUP(D2711,Data!$A$2:$C$223100,3,FALSE))</f>
        <v>Demand Letter</v>
      </c>
    </row>
    <row r="2712" spans="1:15" x14ac:dyDescent="0.25">
      <c r="A2712" t="s">
        <v>3069</v>
      </c>
      <c r="B2712" t="s">
        <v>3070</v>
      </c>
      <c r="C2712" t="s">
        <v>3215</v>
      </c>
      <c r="D2712" t="s">
        <v>3216</v>
      </c>
      <c r="E2712" t="s">
        <v>5</v>
      </c>
      <c r="F2712" t="s">
        <v>3217</v>
      </c>
      <c r="G2712" t="s">
        <v>5</v>
      </c>
      <c r="H2712" t="s">
        <v>5</v>
      </c>
      <c r="I2712" t="s">
        <v>3075</v>
      </c>
      <c r="J2712" t="s">
        <v>573</v>
      </c>
      <c r="K2712" s="3">
        <f t="shared" si="84"/>
        <v>0</v>
      </c>
      <c r="L2712" s="3">
        <f>IF(ISERROR(VLOOKUP(J2712,Lookups!$A$2:$A$16,1,FALSE)),1,0)</f>
        <v>1</v>
      </c>
      <c r="M2712" s="3">
        <f>IF(ISERROR(VLOOKUP(D2712,Data!$A$2:$D$223100,2,FALSE)),0,1)</f>
        <v>1</v>
      </c>
      <c r="N2712" s="3">
        <f t="shared" si="85"/>
        <v>1</v>
      </c>
      <c r="O2712" s="3" t="str">
        <f>IF(ISERROR(VLOOKUP(D2712,Data!$A$2:$C$223100,3,FALSE)),"INACTIVE",VLOOKUP(D2712,Data!$A$2:$C$223100,3,FALSE))</f>
        <v>Demand Letter</v>
      </c>
    </row>
    <row r="2713" spans="1:15" x14ac:dyDescent="0.25">
      <c r="A2713" t="s">
        <v>3069</v>
      </c>
      <c r="B2713" t="s">
        <v>3070</v>
      </c>
      <c r="C2713" t="s">
        <v>3150</v>
      </c>
      <c r="D2713" t="s">
        <v>3151</v>
      </c>
      <c r="E2713" t="s">
        <v>3218</v>
      </c>
      <c r="F2713" t="s">
        <v>3219</v>
      </c>
      <c r="G2713" t="s">
        <v>5</v>
      </c>
      <c r="H2713" t="s">
        <v>5</v>
      </c>
      <c r="I2713" t="s">
        <v>3075</v>
      </c>
      <c r="J2713" t="s">
        <v>36</v>
      </c>
      <c r="K2713" s="3">
        <f t="shared" si="84"/>
        <v>0</v>
      </c>
      <c r="L2713" s="3">
        <f>IF(ISERROR(VLOOKUP(J2713,Lookups!$A$2:$A$16,1,FALSE)),1,0)</f>
        <v>1</v>
      </c>
      <c r="M2713" s="3">
        <f>IF(ISERROR(VLOOKUP(D2713,Data!$A$2:$D$223100,2,FALSE)),0,1)</f>
        <v>1</v>
      </c>
      <c r="N2713" s="3">
        <f t="shared" si="85"/>
        <v>1</v>
      </c>
      <c r="O2713" s="3" t="str">
        <f>IF(ISERROR(VLOOKUP(D2713,Data!$A$2:$C$223100,3,FALSE)),"INACTIVE",VLOOKUP(D2713,Data!$A$2:$C$223100,3,FALSE))</f>
        <v>Current</v>
      </c>
    </row>
    <row r="2714" spans="1:15" x14ac:dyDescent="0.25">
      <c r="A2714" t="s">
        <v>3069</v>
      </c>
      <c r="B2714" t="s">
        <v>3070</v>
      </c>
      <c r="C2714" t="s">
        <v>3150</v>
      </c>
      <c r="D2714" t="s">
        <v>3151</v>
      </c>
      <c r="E2714" t="s">
        <v>5</v>
      </c>
      <c r="F2714" t="s">
        <v>3220</v>
      </c>
      <c r="G2714" t="s">
        <v>5</v>
      </c>
      <c r="H2714" t="s">
        <v>5</v>
      </c>
      <c r="I2714" t="s">
        <v>3075</v>
      </c>
      <c r="J2714" t="s">
        <v>36</v>
      </c>
      <c r="K2714" s="3">
        <f t="shared" si="84"/>
        <v>0</v>
      </c>
      <c r="L2714" s="3">
        <f>IF(ISERROR(VLOOKUP(J2714,Lookups!$A$2:$A$16,1,FALSE)),1,0)</f>
        <v>1</v>
      </c>
      <c r="M2714" s="3">
        <f>IF(ISERROR(VLOOKUP(D2714,Data!$A$2:$D$223100,2,FALSE)),0,1)</f>
        <v>1</v>
      </c>
      <c r="N2714" s="3">
        <f t="shared" si="85"/>
        <v>1</v>
      </c>
      <c r="O2714" s="3" t="str">
        <f>IF(ISERROR(VLOOKUP(D2714,Data!$A$2:$C$223100,3,FALSE)),"INACTIVE",VLOOKUP(D2714,Data!$A$2:$C$223100,3,FALSE))</f>
        <v>Current</v>
      </c>
    </row>
    <row r="2715" spans="1:15" x14ac:dyDescent="0.25">
      <c r="A2715" t="s">
        <v>3723</v>
      </c>
      <c r="B2715" t="s">
        <v>3724</v>
      </c>
      <c r="C2715" t="s">
        <v>3725</v>
      </c>
      <c r="D2715" t="s">
        <v>3726</v>
      </c>
      <c r="E2715" t="s">
        <v>3727</v>
      </c>
      <c r="F2715" t="s">
        <v>5</v>
      </c>
      <c r="G2715" t="s">
        <v>5</v>
      </c>
      <c r="H2715" t="s">
        <v>5</v>
      </c>
      <c r="I2715" t="s">
        <v>3075</v>
      </c>
      <c r="J2715" t="s">
        <v>90</v>
      </c>
      <c r="K2715" s="3">
        <f t="shared" si="84"/>
        <v>0</v>
      </c>
      <c r="L2715" s="3">
        <f>IF(ISERROR(VLOOKUP(J2715,Lookups!$A$2:$A$16,1,FALSE)),1,0)</f>
        <v>0</v>
      </c>
      <c r="M2715" s="3">
        <f>IF(ISERROR(VLOOKUP(D2715,Data!$A$2:$D$223100,2,FALSE)),0,1)</f>
        <v>1</v>
      </c>
      <c r="N2715" s="3">
        <f t="shared" si="85"/>
        <v>0</v>
      </c>
      <c r="O2715" s="3" t="str">
        <f>IF(ISERROR(VLOOKUP(D2715,Data!$A$2:$C$223100,3,FALSE)),"INACTIVE",VLOOKUP(D2715,Data!$A$2:$C$223100,3,FALSE))</f>
        <v>Current</v>
      </c>
    </row>
    <row r="2716" spans="1:15" x14ac:dyDescent="0.25">
      <c r="A2716" t="s">
        <v>4486</v>
      </c>
      <c r="B2716" t="s">
        <v>4487</v>
      </c>
      <c r="C2716" t="s">
        <v>4488</v>
      </c>
      <c r="D2716" t="s">
        <v>4489</v>
      </c>
      <c r="E2716" t="s">
        <v>4490</v>
      </c>
      <c r="F2716" t="s">
        <v>5</v>
      </c>
      <c r="G2716" t="s">
        <v>5</v>
      </c>
      <c r="H2716" t="s">
        <v>5</v>
      </c>
      <c r="I2716" t="s">
        <v>3075</v>
      </c>
      <c r="J2716" t="s">
        <v>96</v>
      </c>
      <c r="K2716" s="3">
        <f t="shared" si="84"/>
        <v>0</v>
      </c>
      <c r="L2716" s="3">
        <f>IF(ISERROR(VLOOKUP(J2716,Lookups!$A$2:$A$16,1,FALSE)),1,0)</f>
        <v>0</v>
      </c>
      <c r="M2716" s="3">
        <f>IF(ISERROR(VLOOKUP(D2716,Data!$A$2:$D$223100,2,FALSE)),0,1)</f>
        <v>1</v>
      </c>
      <c r="N2716" s="3">
        <f t="shared" si="85"/>
        <v>0</v>
      </c>
      <c r="O2716" s="3" t="str">
        <f>IF(ISERROR(VLOOKUP(D2716,Data!$A$2:$C$223100,3,FALSE)),"INACTIVE",VLOOKUP(D2716,Data!$A$2:$C$223100,3,FALSE))</f>
        <v>Demand Letter</v>
      </c>
    </row>
    <row r="2717" spans="1:15" x14ac:dyDescent="0.25">
      <c r="A2717" t="s">
        <v>4486</v>
      </c>
      <c r="B2717" t="s">
        <v>4487</v>
      </c>
      <c r="C2717" t="s">
        <v>4488</v>
      </c>
      <c r="D2717" t="s">
        <v>4489</v>
      </c>
      <c r="E2717" t="s">
        <v>4491</v>
      </c>
      <c r="F2717" t="s">
        <v>5</v>
      </c>
      <c r="G2717" t="s">
        <v>5</v>
      </c>
      <c r="H2717" t="s">
        <v>5</v>
      </c>
      <c r="I2717" t="s">
        <v>3075</v>
      </c>
      <c r="J2717" t="s">
        <v>96</v>
      </c>
      <c r="K2717" s="3">
        <f t="shared" si="84"/>
        <v>0</v>
      </c>
      <c r="L2717" s="3">
        <f>IF(ISERROR(VLOOKUP(J2717,Lookups!$A$2:$A$16,1,FALSE)),1,0)</f>
        <v>0</v>
      </c>
      <c r="M2717" s="3">
        <f>IF(ISERROR(VLOOKUP(D2717,Data!$A$2:$D$223100,2,FALSE)),0,1)</f>
        <v>1</v>
      </c>
      <c r="N2717" s="3">
        <f t="shared" si="85"/>
        <v>0</v>
      </c>
      <c r="O2717" s="3" t="str">
        <f>IF(ISERROR(VLOOKUP(D2717,Data!$A$2:$C$223100,3,FALSE)),"INACTIVE",VLOOKUP(D2717,Data!$A$2:$C$223100,3,FALSE))</f>
        <v>Demand Letter</v>
      </c>
    </row>
    <row r="2718" spans="1:15" x14ac:dyDescent="0.25">
      <c r="A2718" t="s">
        <v>2078</v>
      </c>
      <c r="B2718" t="s">
        <v>2079</v>
      </c>
      <c r="C2718" t="s">
        <v>2080</v>
      </c>
      <c r="D2718" t="s">
        <v>2081</v>
      </c>
      <c r="E2718" t="s">
        <v>2082</v>
      </c>
      <c r="F2718" t="s">
        <v>2082</v>
      </c>
      <c r="G2718" t="s">
        <v>5</v>
      </c>
      <c r="H2718" t="s">
        <v>5</v>
      </c>
      <c r="I2718" t="s">
        <v>2083</v>
      </c>
      <c r="J2718" t="s">
        <v>40</v>
      </c>
      <c r="K2718" s="3">
        <f t="shared" si="84"/>
        <v>0</v>
      </c>
      <c r="L2718" s="3">
        <f>IF(ISERROR(VLOOKUP(J2718,Lookups!$A$2:$A$16,1,FALSE)),1,0)</f>
        <v>1</v>
      </c>
      <c r="M2718" s="3">
        <f>IF(ISERROR(VLOOKUP(D2718,Data!$A$2:$D$223100,2,FALSE)),0,1)</f>
        <v>1</v>
      </c>
      <c r="N2718" s="3">
        <f t="shared" si="85"/>
        <v>1</v>
      </c>
      <c r="O2718" s="3" t="str">
        <f>IF(ISERROR(VLOOKUP(D2718,Data!$A$2:$C$223100,3,FALSE)),"INACTIVE",VLOOKUP(D2718,Data!$A$2:$C$223100,3,FALSE))</f>
        <v>30+</v>
      </c>
    </row>
    <row r="2719" spans="1:15" x14ac:dyDescent="0.25">
      <c r="A2719" t="s">
        <v>2078</v>
      </c>
      <c r="B2719" t="s">
        <v>2079</v>
      </c>
      <c r="C2719" t="s">
        <v>2084</v>
      </c>
      <c r="D2719" t="s">
        <v>2085</v>
      </c>
      <c r="E2719" t="s">
        <v>2086</v>
      </c>
      <c r="F2719" t="s">
        <v>2086</v>
      </c>
      <c r="G2719" t="s">
        <v>5</v>
      </c>
      <c r="H2719" t="s">
        <v>5</v>
      </c>
      <c r="I2719" t="s">
        <v>2083</v>
      </c>
      <c r="J2719" t="s">
        <v>96</v>
      </c>
      <c r="K2719" s="3">
        <f t="shared" si="84"/>
        <v>0</v>
      </c>
      <c r="L2719" s="3">
        <f>IF(ISERROR(VLOOKUP(J2719,Lookups!$A$2:$A$16,1,FALSE)),1,0)</f>
        <v>0</v>
      </c>
      <c r="M2719" s="3">
        <f>IF(ISERROR(VLOOKUP(D2719,Data!$A$2:$D$223100,2,FALSE)),0,1)</f>
        <v>1</v>
      </c>
      <c r="N2719" s="3">
        <f t="shared" si="85"/>
        <v>0</v>
      </c>
      <c r="O2719" s="3" t="str">
        <f>IF(ISERROR(VLOOKUP(D2719,Data!$A$2:$C$223100,3,FALSE)),"INACTIVE",VLOOKUP(D2719,Data!$A$2:$C$223100,3,FALSE))</f>
        <v>BK13</v>
      </c>
    </row>
    <row r="2720" spans="1:15" x14ac:dyDescent="0.25">
      <c r="A2720" t="s">
        <v>2078</v>
      </c>
      <c r="B2720" t="s">
        <v>2079</v>
      </c>
      <c r="C2720" t="s">
        <v>2084</v>
      </c>
      <c r="D2720" t="s">
        <v>2085</v>
      </c>
      <c r="E2720" t="s">
        <v>5</v>
      </c>
      <c r="F2720" t="s">
        <v>2087</v>
      </c>
      <c r="G2720" t="s">
        <v>5</v>
      </c>
      <c r="H2720" t="s">
        <v>5</v>
      </c>
      <c r="I2720" t="s">
        <v>2083</v>
      </c>
      <c r="J2720" t="s">
        <v>96</v>
      </c>
      <c r="K2720" s="3">
        <f t="shared" si="84"/>
        <v>0</v>
      </c>
      <c r="L2720" s="3">
        <f>IF(ISERROR(VLOOKUP(J2720,Lookups!$A$2:$A$16,1,FALSE)),1,0)</f>
        <v>0</v>
      </c>
      <c r="M2720" s="3">
        <f>IF(ISERROR(VLOOKUP(D2720,Data!$A$2:$D$223100,2,FALSE)),0,1)</f>
        <v>1</v>
      </c>
      <c r="N2720" s="3">
        <f t="shared" si="85"/>
        <v>0</v>
      </c>
      <c r="O2720" s="3" t="str">
        <f>IF(ISERROR(VLOOKUP(D2720,Data!$A$2:$C$223100,3,FALSE)),"INACTIVE",VLOOKUP(D2720,Data!$A$2:$C$223100,3,FALSE))</f>
        <v>BK13</v>
      </c>
    </row>
    <row r="2721" spans="1:15" x14ac:dyDescent="0.25">
      <c r="A2721" t="s">
        <v>2078</v>
      </c>
      <c r="B2721" t="s">
        <v>2079</v>
      </c>
      <c r="C2721" t="s">
        <v>2084</v>
      </c>
      <c r="D2721" t="s">
        <v>2085</v>
      </c>
      <c r="E2721" t="s">
        <v>5</v>
      </c>
      <c r="F2721" t="s">
        <v>2088</v>
      </c>
      <c r="G2721" t="s">
        <v>5</v>
      </c>
      <c r="H2721" t="s">
        <v>5</v>
      </c>
      <c r="I2721" t="s">
        <v>2083</v>
      </c>
      <c r="J2721" t="s">
        <v>96</v>
      </c>
      <c r="K2721" s="3">
        <f t="shared" si="84"/>
        <v>0</v>
      </c>
      <c r="L2721" s="3">
        <f>IF(ISERROR(VLOOKUP(J2721,Lookups!$A$2:$A$16,1,FALSE)),1,0)</f>
        <v>0</v>
      </c>
      <c r="M2721" s="3">
        <f>IF(ISERROR(VLOOKUP(D2721,Data!$A$2:$D$223100,2,FALSE)),0,1)</f>
        <v>1</v>
      </c>
      <c r="N2721" s="3">
        <f t="shared" si="85"/>
        <v>0</v>
      </c>
      <c r="O2721" s="3" t="str">
        <f>IF(ISERROR(VLOOKUP(D2721,Data!$A$2:$C$223100,3,FALSE)),"INACTIVE",VLOOKUP(D2721,Data!$A$2:$C$223100,3,FALSE))</f>
        <v>BK13</v>
      </c>
    </row>
    <row r="2722" spans="1:15" x14ac:dyDescent="0.25">
      <c r="A2722" t="s">
        <v>2078</v>
      </c>
      <c r="B2722" t="s">
        <v>2079</v>
      </c>
      <c r="C2722" t="s">
        <v>2084</v>
      </c>
      <c r="D2722" t="s">
        <v>2085</v>
      </c>
      <c r="E2722" t="s">
        <v>5</v>
      </c>
      <c r="F2722" t="s">
        <v>2089</v>
      </c>
      <c r="G2722" t="s">
        <v>5</v>
      </c>
      <c r="H2722" t="s">
        <v>5</v>
      </c>
      <c r="I2722" t="s">
        <v>2083</v>
      </c>
      <c r="J2722" t="s">
        <v>96</v>
      </c>
      <c r="K2722" s="3">
        <f t="shared" si="84"/>
        <v>0</v>
      </c>
      <c r="L2722" s="3">
        <f>IF(ISERROR(VLOOKUP(J2722,Lookups!$A$2:$A$16,1,FALSE)),1,0)</f>
        <v>0</v>
      </c>
      <c r="M2722" s="3">
        <f>IF(ISERROR(VLOOKUP(D2722,Data!$A$2:$D$223100,2,FALSE)),0,1)</f>
        <v>1</v>
      </c>
      <c r="N2722" s="3">
        <f t="shared" si="85"/>
        <v>0</v>
      </c>
      <c r="O2722" s="3" t="str">
        <f>IF(ISERROR(VLOOKUP(D2722,Data!$A$2:$C$223100,3,FALSE)),"INACTIVE",VLOOKUP(D2722,Data!$A$2:$C$223100,3,FALSE))</f>
        <v>BK13</v>
      </c>
    </row>
    <row r="2723" spans="1:15" x14ac:dyDescent="0.25">
      <c r="A2723" t="s">
        <v>2078</v>
      </c>
      <c r="B2723" t="s">
        <v>2079</v>
      </c>
      <c r="C2723" t="s">
        <v>2084</v>
      </c>
      <c r="D2723" t="s">
        <v>2085</v>
      </c>
      <c r="E2723" t="s">
        <v>5</v>
      </c>
      <c r="F2723" t="s">
        <v>2090</v>
      </c>
      <c r="G2723" t="s">
        <v>5</v>
      </c>
      <c r="H2723" t="s">
        <v>5</v>
      </c>
      <c r="I2723" t="s">
        <v>2083</v>
      </c>
      <c r="J2723" t="s">
        <v>96</v>
      </c>
      <c r="K2723" s="3">
        <f t="shared" si="84"/>
        <v>0</v>
      </c>
      <c r="L2723" s="3">
        <f>IF(ISERROR(VLOOKUP(J2723,Lookups!$A$2:$A$16,1,FALSE)),1,0)</f>
        <v>0</v>
      </c>
      <c r="M2723" s="3">
        <f>IF(ISERROR(VLOOKUP(D2723,Data!$A$2:$D$223100,2,FALSE)),0,1)</f>
        <v>1</v>
      </c>
      <c r="N2723" s="3">
        <f t="shared" si="85"/>
        <v>0</v>
      </c>
      <c r="O2723" s="3" t="str">
        <f>IF(ISERROR(VLOOKUP(D2723,Data!$A$2:$C$223100,3,FALSE)),"INACTIVE",VLOOKUP(D2723,Data!$A$2:$C$223100,3,FALSE))</f>
        <v>BK13</v>
      </c>
    </row>
    <row r="2724" spans="1:15" x14ac:dyDescent="0.25">
      <c r="A2724" t="s">
        <v>2078</v>
      </c>
      <c r="B2724" t="s">
        <v>2079</v>
      </c>
      <c r="C2724" t="s">
        <v>2084</v>
      </c>
      <c r="D2724" t="s">
        <v>2085</v>
      </c>
      <c r="E2724" t="s">
        <v>5</v>
      </c>
      <c r="F2724" t="s">
        <v>2091</v>
      </c>
      <c r="G2724" t="s">
        <v>5</v>
      </c>
      <c r="H2724" t="s">
        <v>5</v>
      </c>
      <c r="I2724" t="s">
        <v>2083</v>
      </c>
      <c r="J2724" t="s">
        <v>96</v>
      </c>
      <c r="K2724" s="3">
        <f t="shared" si="84"/>
        <v>0</v>
      </c>
      <c r="L2724" s="3">
        <f>IF(ISERROR(VLOOKUP(J2724,Lookups!$A$2:$A$16,1,FALSE)),1,0)</f>
        <v>0</v>
      </c>
      <c r="M2724" s="3">
        <f>IF(ISERROR(VLOOKUP(D2724,Data!$A$2:$D$223100,2,FALSE)),0,1)</f>
        <v>1</v>
      </c>
      <c r="N2724" s="3">
        <f t="shared" si="85"/>
        <v>0</v>
      </c>
      <c r="O2724" s="3" t="str">
        <f>IF(ISERROR(VLOOKUP(D2724,Data!$A$2:$C$223100,3,FALSE)),"INACTIVE",VLOOKUP(D2724,Data!$A$2:$C$223100,3,FALSE))</f>
        <v>BK13</v>
      </c>
    </row>
    <row r="2725" spans="1:15" x14ac:dyDescent="0.25">
      <c r="A2725" t="s">
        <v>2078</v>
      </c>
      <c r="B2725" t="s">
        <v>2079</v>
      </c>
      <c r="C2725" t="s">
        <v>2084</v>
      </c>
      <c r="D2725" t="s">
        <v>2085</v>
      </c>
      <c r="E2725" t="s">
        <v>5</v>
      </c>
      <c r="F2725" t="s">
        <v>2092</v>
      </c>
      <c r="G2725" t="s">
        <v>5</v>
      </c>
      <c r="H2725" t="s">
        <v>5</v>
      </c>
      <c r="I2725" t="s">
        <v>2083</v>
      </c>
      <c r="J2725" t="s">
        <v>96</v>
      </c>
      <c r="K2725" s="3">
        <f t="shared" si="84"/>
        <v>0</v>
      </c>
      <c r="L2725" s="3">
        <f>IF(ISERROR(VLOOKUP(J2725,Lookups!$A$2:$A$16,1,FALSE)),1,0)</f>
        <v>0</v>
      </c>
      <c r="M2725" s="3">
        <f>IF(ISERROR(VLOOKUP(D2725,Data!$A$2:$D$223100,2,FALSE)),0,1)</f>
        <v>1</v>
      </c>
      <c r="N2725" s="3">
        <f t="shared" si="85"/>
        <v>0</v>
      </c>
      <c r="O2725" s="3" t="str">
        <f>IF(ISERROR(VLOOKUP(D2725,Data!$A$2:$C$223100,3,FALSE)),"INACTIVE",VLOOKUP(D2725,Data!$A$2:$C$223100,3,FALSE))</f>
        <v>BK13</v>
      </c>
    </row>
    <row r="2726" spans="1:15" x14ac:dyDescent="0.25">
      <c r="A2726" t="s">
        <v>2078</v>
      </c>
      <c r="B2726" t="s">
        <v>2079</v>
      </c>
      <c r="C2726" t="s">
        <v>2084</v>
      </c>
      <c r="D2726" t="s">
        <v>2085</v>
      </c>
      <c r="E2726" t="s">
        <v>5</v>
      </c>
      <c r="F2726" t="s">
        <v>2093</v>
      </c>
      <c r="G2726" t="s">
        <v>5</v>
      </c>
      <c r="H2726" t="s">
        <v>5</v>
      </c>
      <c r="I2726" t="s">
        <v>2083</v>
      </c>
      <c r="J2726" t="s">
        <v>96</v>
      </c>
      <c r="K2726" s="3">
        <f t="shared" si="84"/>
        <v>0</v>
      </c>
      <c r="L2726" s="3">
        <f>IF(ISERROR(VLOOKUP(J2726,Lookups!$A$2:$A$16,1,FALSE)),1,0)</f>
        <v>0</v>
      </c>
      <c r="M2726" s="3">
        <f>IF(ISERROR(VLOOKUP(D2726,Data!$A$2:$D$223100,2,FALSE)),0,1)</f>
        <v>1</v>
      </c>
      <c r="N2726" s="3">
        <f t="shared" si="85"/>
        <v>0</v>
      </c>
      <c r="O2726" s="3" t="str">
        <f>IF(ISERROR(VLOOKUP(D2726,Data!$A$2:$C$223100,3,FALSE)),"INACTIVE",VLOOKUP(D2726,Data!$A$2:$C$223100,3,FALSE))</f>
        <v>BK13</v>
      </c>
    </row>
    <row r="2727" spans="1:15" x14ac:dyDescent="0.25">
      <c r="A2727" t="s">
        <v>2078</v>
      </c>
      <c r="B2727" t="s">
        <v>2079</v>
      </c>
      <c r="C2727" t="s">
        <v>2084</v>
      </c>
      <c r="D2727" t="s">
        <v>2085</v>
      </c>
      <c r="E2727" t="s">
        <v>5</v>
      </c>
      <c r="F2727" t="s">
        <v>2094</v>
      </c>
      <c r="G2727" t="s">
        <v>5</v>
      </c>
      <c r="H2727" t="s">
        <v>5</v>
      </c>
      <c r="I2727" t="s">
        <v>2083</v>
      </c>
      <c r="J2727" t="s">
        <v>96</v>
      </c>
      <c r="K2727" s="3">
        <f t="shared" si="84"/>
        <v>0</v>
      </c>
      <c r="L2727" s="3">
        <f>IF(ISERROR(VLOOKUP(J2727,Lookups!$A$2:$A$16,1,FALSE)),1,0)</f>
        <v>0</v>
      </c>
      <c r="M2727" s="3">
        <f>IF(ISERROR(VLOOKUP(D2727,Data!$A$2:$D$223100,2,FALSE)),0,1)</f>
        <v>1</v>
      </c>
      <c r="N2727" s="3">
        <f t="shared" si="85"/>
        <v>0</v>
      </c>
      <c r="O2727" s="3" t="str">
        <f>IF(ISERROR(VLOOKUP(D2727,Data!$A$2:$C$223100,3,FALSE)),"INACTIVE",VLOOKUP(D2727,Data!$A$2:$C$223100,3,FALSE))</f>
        <v>BK13</v>
      </c>
    </row>
    <row r="2728" spans="1:15" x14ac:dyDescent="0.25">
      <c r="A2728" t="s">
        <v>2078</v>
      </c>
      <c r="B2728" t="s">
        <v>2079</v>
      </c>
      <c r="C2728" t="s">
        <v>2084</v>
      </c>
      <c r="D2728" t="s">
        <v>2085</v>
      </c>
      <c r="E2728" t="s">
        <v>5</v>
      </c>
      <c r="F2728" t="s">
        <v>2095</v>
      </c>
      <c r="G2728" t="s">
        <v>5</v>
      </c>
      <c r="H2728" t="s">
        <v>5</v>
      </c>
      <c r="I2728" t="s">
        <v>2083</v>
      </c>
      <c r="J2728" t="s">
        <v>96</v>
      </c>
      <c r="K2728" s="3">
        <f t="shared" si="84"/>
        <v>0</v>
      </c>
      <c r="L2728" s="3">
        <f>IF(ISERROR(VLOOKUP(J2728,Lookups!$A$2:$A$16,1,FALSE)),1,0)</f>
        <v>0</v>
      </c>
      <c r="M2728" s="3">
        <f>IF(ISERROR(VLOOKUP(D2728,Data!$A$2:$D$223100,2,FALSE)),0,1)</f>
        <v>1</v>
      </c>
      <c r="N2728" s="3">
        <f t="shared" si="85"/>
        <v>0</v>
      </c>
      <c r="O2728" s="3" t="str">
        <f>IF(ISERROR(VLOOKUP(D2728,Data!$A$2:$C$223100,3,FALSE)),"INACTIVE",VLOOKUP(D2728,Data!$A$2:$C$223100,3,FALSE))</f>
        <v>BK13</v>
      </c>
    </row>
    <row r="2729" spans="1:15" x14ac:dyDescent="0.25">
      <c r="A2729" t="s">
        <v>2078</v>
      </c>
      <c r="B2729" t="s">
        <v>2079</v>
      </c>
      <c r="C2729" t="s">
        <v>2084</v>
      </c>
      <c r="D2729" t="s">
        <v>2085</v>
      </c>
      <c r="E2729" t="s">
        <v>5</v>
      </c>
      <c r="F2729" t="s">
        <v>2096</v>
      </c>
      <c r="G2729" t="s">
        <v>5</v>
      </c>
      <c r="H2729" t="s">
        <v>5</v>
      </c>
      <c r="I2729" t="s">
        <v>2083</v>
      </c>
      <c r="J2729" t="s">
        <v>96</v>
      </c>
      <c r="K2729" s="3">
        <f t="shared" si="84"/>
        <v>0</v>
      </c>
      <c r="L2729" s="3">
        <f>IF(ISERROR(VLOOKUP(J2729,Lookups!$A$2:$A$16,1,FALSE)),1,0)</f>
        <v>0</v>
      </c>
      <c r="M2729" s="3">
        <f>IF(ISERROR(VLOOKUP(D2729,Data!$A$2:$D$223100,2,FALSE)),0,1)</f>
        <v>1</v>
      </c>
      <c r="N2729" s="3">
        <f t="shared" si="85"/>
        <v>0</v>
      </c>
      <c r="O2729" s="3" t="str">
        <f>IF(ISERROR(VLOOKUP(D2729,Data!$A$2:$C$223100,3,FALSE)),"INACTIVE",VLOOKUP(D2729,Data!$A$2:$C$223100,3,FALSE))</f>
        <v>BK13</v>
      </c>
    </row>
    <row r="2730" spans="1:15" x14ac:dyDescent="0.25">
      <c r="A2730" t="s">
        <v>2078</v>
      </c>
      <c r="B2730" t="s">
        <v>2079</v>
      </c>
      <c r="C2730" t="s">
        <v>2084</v>
      </c>
      <c r="D2730" t="s">
        <v>2085</v>
      </c>
      <c r="E2730" t="s">
        <v>5</v>
      </c>
      <c r="F2730" t="s">
        <v>2097</v>
      </c>
      <c r="G2730" t="s">
        <v>5</v>
      </c>
      <c r="H2730" t="s">
        <v>5</v>
      </c>
      <c r="I2730" t="s">
        <v>2083</v>
      </c>
      <c r="J2730" t="s">
        <v>96</v>
      </c>
      <c r="K2730" s="3">
        <f t="shared" si="84"/>
        <v>0</v>
      </c>
      <c r="L2730" s="3">
        <f>IF(ISERROR(VLOOKUP(J2730,Lookups!$A$2:$A$16,1,FALSE)),1,0)</f>
        <v>0</v>
      </c>
      <c r="M2730" s="3">
        <f>IF(ISERROR(VLOOKUP(D2730,Data!$A$2:$D$223100,2,FALSE)),0,1)</f>
        <v>1</v>
      </c>
      <c r="N2730" s="3">
        <f t="shared" si="85"/>
        <v>0</v>
      </c>
      <c r="O2730" s="3" t="str">
        <f>IF(ISERROR(VLOOKUP(D2730,Data!$A$2:$C$223100,3,FALSE)),"INACTIVE",VLOOKUP(D2730,Data!$A$2:$C$223100,3,FALSE))</f>
        <v>BK13</v>
      </c>
    </row>
    <row r="2731" spans="1:15" x14ac:dyDescent="0.25">
      <c r="A2731" t="s">
        <v>2078</v>
      </c>
      <c r="B2731" t="s">
        <v>2079</v>
      </c>
      <c r="C2731" t="s">
        <v>2084</v>
      </c>
      <c r="D2731" t="s">
        <v>2085</v>
      </c>
      <c r="E2731" t="s">
        <v>5</v>
      </c>
      <c r="F2731" t="s">
        <v>2098</v>
      </c>
      <c r="G2731" t="s">
        <v>5</v>
      </c>
      <c r="H2731" t="s">
        <v>5</v>
      </c>
      <c r="I2731" t="s">
        <v>2083</v>
      </c>
      <c r="J2731" t="s">
        <v>96</v>
      </c>
      <c r="K2731" s="3">
        <f t="shared" si="84"/>
        <v>0</v>
      </c>
      <c r="L2731" s="3">
        <f>IF(ISERROR(VLOOKUP(J2731,Lookups!$A$2:$A$16,1,FALSE)),1,0)</f>
        <v>0</v>
      </c>
      <c r="M2731" s="3">
        <f>IF(ISERROR(VLOOKUP(D2731,Data!$A$2:$D$223100,2,FALSE)),0,1)</f>
        <v>1</v>
      </c>
      <c r="N2731" s="3">
        <f t="shared" si="85"/>
        <v>0</v>
      </c>
      <c r="O2731" s="3" t="str">
        <f>IF(ISERROR(VLOOKUP(D2731,Data!$A$2:$C$223100,3,FALSE)),"INACTIVE",VLOOKUP(D2731,Data!$A$2:$C$223100,3,FALSE))</f>
        <v>BK13</v>
      </c>
    </row>
    <row r="2732" spans="1:15" x14ac:dyDescent="0.25">
      <c r="A2732" t="s">
        <v>3040</v>
      </c>
      <c r="B2732" t="s">
        <v>3041</v>
      </c>
      <c r="C2732" t="s">
        <v>3042</v>
      </c>
      <c r="D2732" t="s">
        <v>3043</v>
      </c>
      <c r="E2732" t="s">
        <v>3044</v>
      </c>
      <c r="F2732" t="s">
        <v>3044</v>
      </c>
      <c r="G2732" t="s">
        <v>5</v>
      </c>
      <c r="H2732" t="s">
        <v>5</v>
      </c>
      <c r="I2732" t="s">
        <v>2083</v>
      </c>
      <c r="J2732" t="s">
        <v>47</v>
      </c>
      <c r="K2732" s="3">
        <f t="shared" si="84"/>
        <v>0</v>
      </c>
      <c r="L2732" s="3">
        <f>IF(ISERROR(VLOOKUP(J2732,Lookups!$A$2:$A$16,1,FALSE)),1,0)</f>
        <v>1</v>
      </c>
      <c r="M2732" s="3">
        <f>IF(ISERROR(VLOOKUP(D2732,Data!$A$2:$D$223100,2,FALSE)),0,1)</f>
        <v>1</v>
      </c>
      <c r="N2732" s="3">
        <f t="shared" si="85"/>
        <v>1</v>
      </c>
      <c r="O2732" s="3" t="str">
        <f>IF(ISERROR(VLOOKUP(D2732,Data!$A$2:$C$223100,3,FALSE)),"INACTIVE",VLOOKUP(D2732,Data!$A$2:$C$223100,3,FALSE))</f>
        <v>Demand Letter</v>
      </c>
    </row>
    <row r="2733" spans="1:15" x14ac:dyDescent="0.25">
      <c r="A2733" t="s">
        <v>3040</v>
      </c>
      <c r="B2733" t="s">
        <v>3041</v>
      </c>
      <c r="C2733" t="s">
        <v>3045</v>
      </c>
      <c r="D2733" t="s">
        <v>3046</v>
      </c>
      <c r="E2733" t="s">
        <v>3047</v>
      </c>
      <c r="F2733" t="s">
        <v>3047</v>
      </c>
      <c r="G2733" t="s">
        <v>5</v>
      </c>
      <c r="H2733" t="s">
        <v>5</v>
      </c>
      <c r="I2733" t="s">
        <v>2083</v>
      </c>
      <c r="J2733" t="s">
        <v>47</v>
      </c>
      <c r="K2733" s="3">
        <f t="shared" si="84"/>
        <v>0</v>
      </c>
      <c r="L2733" s="3">
        <f>IF(ISERROR(VLOOKUP(J2733,Lookups!$A$2:$A$16,1,FALSE)),1,0)</f>
        <v>1</v>
      </c>
      <c r="M2733" s="3">
        <f>IF(ISERROR(VLOOKUP(D2733,Data!$A$2:$D$223100,2,FALSE)),0,1)</f>
        <v>1</v>
      </c>
      <c r="N2733" s="3">
        <f t="shared" si="85"/>
        <v>1</v>
      </c>
      <c r="O2733" s="3" t="str">
        <f>IF(ISERROR(VLOOKUP(D2733,Data!$A$2:$C$223100,3,FALSE)),"INACTIVE",VLOOKUP(D2733,Data!$A$2:$C$223100,3,FALSE))</f>
        <v>Current</v>
      </c>
    </row>
    <row r="2734" spans="1:15" x14ac:dyDescent="0.25">
      <c r="A2734" t="s">
        <v>3221</v>
      </c>
      <c r="B2734" t="s">
        <v>3222</v>
      </c>
      <c r="C2734" t="s">
        <v>3223</v>
      </c>
      <c r="D2734" t="s">
        <v>3224</v>
      </c>
      <c r="E2734" t="s">
        <v>3225</v>
      </c>
      <c r="F2734" t="s">
        <v>3225</v>
      </c>
      <c r="G2734" t="s">
        <v>5</v>
      </c>
      <c r="H2734" t="s">
        <v>5</v>
      </c>
      <c r="I2734" t="s">
        <v>2083</v>
      </c>
      <c r="J2734" t="s">
        <v>47</v>
      </c>
      <c r="K2734" s="3">
        <f t="shared" si="84"/>
        <v>0</v>
      </c>
      <c r="L2734" s="3">
        <f>IF(ISERROR(VLOOKUP(J2734,Lookups!$A$2:$A$16,1,FALSE)),1,0)</f>
        <v>1</v>
      </c>
      <c r="M2734" s="3">
        <f>IF(ISERROR(VLOOKUP(D2734,Data!$A$2:$D$223100,2,FALSE)),0,1)</f>
        <v>1</v>
      </c>
      <c r="N2734" s="3">
        <f t="shared" si="85"/>
        <v>1</v>
      </c>
      <c r="O2734" s="3" t="str">
        <f>IF(ISERROR(VLOOKUP(D2734,Data!$A$2:$C$223100,3,FALSE)),"INACTIVE",VLOOKUP(D2734,Data!$A$2:$C$223100,3,FALSE))</f>
        <v>Demand Letter</v>
      </c>
    </row>
    <row r="2735" spans="1:15" x14ac:dyDescent="0.25">
      <c r="A2735" t="s">
        <v>3221</v>
      </c>
      <c r="B2735" t="s">
        <v>3222</v>
      </c>
      <c r="C2735" t="s">
        <v>3226</v>
      </c>
      <c r="D2735" t="s">
        <v>3227</v>
      </c>
      <c r="E2735" t="s">
        <v>3228</v>
      </c>
      <c r="F2735" t="s">
        <v>3228</v>
      </c>
      <c r="G2735" t="s">
        <v>5</v>
      </c>
      <c r="H2735" t="s">
        <v>5</v>
      </c>
      <c r="I2735" t="s">
        <v>2083</v>
      </c>
      <c r="J2735" t="s">
        <v>40</v>
      </c>
      <c r="K2735" s="3">
        <f t="shared" si="84"/>
        <v>0</v>
      </c>
      <c r="L2735" s="3">
        <f>IF(ISERROR(VLOOKUP(J2735,Lookups!$A$2:$A$16,1,FALSE)),1,0)</f>
        <v>1</v>
      </c>
      <c r="M2735" s="3">
        <f>IF(ISERROR(VLOOKUP(D2735,Data!$A$2:$D$223100,2,FALSE)),0,1)</f>
        <v>1</v>
      </c>
      <c r="N2735" s="3">
        <f t="shared" si="85"/>
        <v>1</v>
      </c>
      <c r="O2735" s="3" t="str">
        <f>IF(ISERROR(VLOOKUP(D2735,Data!$A$2:$C$223100,3,FALSE)),"INACTIVE",VLOOKUP(D2735,Data!$A$2:$C$223100,3,FALSE))</f>
        <v>Current</v>
      </c>
    </row>
    <row r="2736" spans="1:15" x14ac:dyDescent="0.25">
      <c r="A2736" t="s">
        <v>3221</v>
      </c>
      <c r="B2736" t="s">
        <v>3222</v>
      </c>
      <c r="C2736" t="s">
        <v>3229</v>
      </c>
      <c r="D2736" t="s">
        <v>3230</v>
      </c>
      <c r="E2736" t="s">
        <v>3231</v>
      </c>
      <c r="F2736" t="s">
        <v>3231</v>
      </c>
      <c r="G2736" t="s">
        <v>5</v>
      </c>
      <c r="H2736" t="s">
        <v>5</v>
      </c>
      <c r="I2736" t="s">
        <v>2083</v>
      </c>
      <c r="J2736" t="s">
        <v>40</v>
      </c>
      <c r="K2736" s="3">
        <f t="shared" si="84"/>
        <v>0</v>
      </c>
      <c r="L2736" s="3">
        <f>IF(ISERROR(VLOOKUP(J2736,Lookups!$A$2:$A$16,1,FALSE)),1,0)</f>
        <v>1</v>
      </c>
      <c r="M2736" s="3">
        <f>IF(ISERROR(VLOOKUP(D2736,Data!$A$2:$D$223100,2,FALSE)),0,1)</f>
        <v>1</v>
      </c>
      <c r="N2736" s="3">
        <f t="shared" si="85"/>
        <v>1</v>
      </c>
      <c r="O2736" s="3" t="str">
        <f>IF(ISERROR(VLOOKUP(D2736,Data!$A$2:$C$223100,3,FALSE)),"INACTIVE",VLOOKUP(D2736,Data!$A$2:$C$223100,3,FALSE))</f>
        <v>Demand Letter</v>
      </c>
    </row>
    <row r="2737" spans="1:15" x14ac:dyDescent="0.25">
      <c r="A2737" t="s">
        <v>3221</v>
      </c>
      <c r="B2737" t="s">
        <v>3222</v>
      </c>
      <c r="C2737" t="s">
        <v>3232</v>
      </c>
      <c r="D2737" t="s">
        <v>3233</v>
      </c>
      <c r="E2737" t="s">
        <v>3234</v>
      </c>
      <c r="F2737" t="s">
        <v>3234</v>
      </c>
      <c r="G2737" t="s">
        <v>5</v>
      </c>
      <c r="H2737" t="s">
        <v>5</v>
      </c>
      <c r="I2737" t="s">
        <v>2083</v>
      </c>
      <c r="J2737" t="s">
        <v>40</v>
      </c>
      <c r="K2737" s="3">
        <f t="shared" si="84"/>
        <v>0</v>
      </c>
      <c r="L2737" s="3">
        <f>IF(ISERROR(VLOOKUP(J2737,Lookups!$A$2:$A$16,1,FALSE)),1,0)</f>
        <v>1</v>
      </c>
      <c r="M2737" s="3">
        <f>IF(ISERROR(VLOOKUP(D2737,Data!$A$2:$D$223100,2,FALSE)),0,1)</f>
        <v>1</v>
      </c>
      <c r="N2737" s="3">
        <f t="shared" si="85"/>
        <v>1</v>
      </c>
      <c r="O2737" s="3" t="str">
        <f>IF(ISERROR(VLOOKUP(D2737,Data!$A$2:$C$223100,3,FALSE)),"INACTIVE",VLOOKUP(D2737,Data!$A$2:$C$223100,3,FALSE))</f>
        <v>60+</v>
      </c>
    </row>
    <row r="2738" spans="1:15" x14ac:dyDescent="0.25">
      <c r="A2738" t="s">
        <v>3221</v>
      </c>
      <c r="B2738" t="s">
        <v>3222</v>
      </c>
      <c r="C2738" t="s">
        <v>3235</v>
      </c>
      <c r="D2738" t="s">
        <v>3236</v>
      </c>
      <c r="E2738" t="s">
        <v>3237</v>
      </c>
      <c r="F2738" t="s">
        <v>3237</v>
      </c>
      <c r="G2738" t="s">
        <v>5</v>
      </c>
      <c r="H2738" t="s">
        <v>5</v>
      </c>
      <c r="I2738" t="s">
        <v>2083</v>
      </c>
      <c r="J2738" t="s">
        <v>40</v>
      </c>
      <c r="K2738" s="3">
        <f t="shared" si="84"/>
        <v>0</v>
      </c>
      <c r="L2738" s="3">
        <f>IF(ISERROR(VLOOKUP(J2738,Lookups!$A$2:$A$16,1,FALSE)),1,0)</f>
        <v>1</v>
      </c>
      <c r="M2738" s="3">
        <f>IF(ISERROR(VLOOKUP(D2738,Data!$A$2:$D$223100,2,FALSE)),0,1)</f>
        <v>1</v>
      </c>
      <c r="N2738" s="3">
        <f t="shared" si="85"/>
        <v>1</v>
      </c>
      <c r="O2738" s="3" t="str">
        <f>IF(ISERROR(VLOOKUP(D2738,Data!$A$2:$C$223100,3,FALSE)),"INACTIVE",VLOOKUP(D2738,Data!$A$2:$C$223100,3,FALSE))</f>
        <v>Current</v>
      </c>
    </row>
    <row r="2739" spans="1:15" x14ac:dyDescent="0.25">
      <c r="A2739" t="s">
        <v>3221</v>
      </c>
      <c r="B2739" t="s">
        <v>3222</v>
      </c>
      <c r="C2739" t="s">
        <v>3238</v>
      </c>
      <c r="D2739" t="s">
        <v>3239</v>
      </c>
      <c r="E2739" t="s">
        <v>3240</v>
      </c>
      <c r="F2739" t="s">
        <v>3240</v>
      </c>
      <c r="G2739" t="s">
        <v>5</v>
      </c>
      <c r="H2739" t="s">
        <v>5</v>
      </c>
      <c r="I2739" t="s">
        <v>2083</v>
      </c>
      <c r="J2739" t="s">
        <v>40</v>
      </c>
      <c r="K2739" s="3">
        <f t="shared" si="84"/>
        <v>0</v>
      </c>
      <c r="L2739" s="3">
        <f>IF(ISERROR(VLOOKUP(J2739,Lookups!$A$2:$A$16,1,FALSE)),1,0)</f>
        <v>1</v>
      </c>
      <c r="M2739" s="3">
        <f>IF(ISERROR(VLOOKUP(D2739,Data!$A$2:$D$223100,2,FALSE)),0,1)</f>
        <v>1</v>
      </c>
      <c r="N2739" s="3">
        <f t="shared" si="85"/>
        <v>1</v>
      </c>
      <c r="O2739" s="3" t="str">
        <f>IF(ISERROR(VLOOKUP(D2739,Data!$A$2:$C$223100,3,FALSE)),"INACTIVE",VLOOKUP(D2739,Data!$A$2:$C$223100,3,FALSE))</f>
        <v>FC</v>
      </c>
    </row>
    <row r="2740" spans="1:15" x14ac:dyDescent="0.25">
      <c r="A2740" t="s">
        <v>3221</v>
      </c>
      <c r="B2740" t="s">
        <v>3222</v>
      </c>
      <c r="C2740" t="s">
        <v>3241</v>
      </c>
      <c r="D2740" t="s">
        <v>3242</v>
      </c>
      <c r="E2740" t="s">
        <v>3243</v>
      </c>
      <c r="F2740" t="s">
        <v>3243</v>
      </c>
      <c r="G2740" t="s">
        <v>5</v>
      </c>
      <c r="H2740" t="s">
        <v>5</v>
      </c>
      <c r="I2740" t="s">
        <v>2083</v>
      </c>
      <c r="J2740" t="s">
        <v>47</v>
      </c>
      <c r="K2740" s="3">
        <f t="shared" si="84"/>
        <v>0</v>
      </c>
      <c r="L2740" s="3">
        <f>IF(ISERROR(VLOOKUP(J2740,Lookups!$A$2:$A$16,1,FALSE)),1,0)</f>
        <v>1</v>
      </c>
      <c r="M2740" s="3">
        <f>IF(ISERROR(VLOOKUP(D2740,Data!$A$2:$D$223100,2,FALSE)),0,1)</f>
        <v>1</v>
      </c>
      <c r="N2740" s="3">
        <f t="shared" si="85"/>
        <v>1</v>
      </c>
      <c r="O2740" s="3" t="str">
        <f>IF(ISERROR(VLOOKUP(D2740,Data!$A$2:$C$223100,3,FALSE)),"INACTIVE",VLOOKUP(D2740,Data!$A$2:$C$223100,3,FALSE))</f>
        <v>Demand Letter</v>
      </c>
    </row>
    <row r="2741" spans="1:15" x14ac:dyDescent="0.25">
      <c r="A2741" t="s">
        <v>3221</v>
      </c>
      <c r="B2741" t="s">
        <v>3222</v>
      </c>
      <c r="C2741" t="s">
        <v>3244</v>
      </c>
      <c r="D2741" t="s">
        <v>3245</v>
      </c>
      <c r="E2741" t="s">
        <v>3246</v>
      </c>
      <c r="F2741" t="s">
        <v>3246</v>
      </c>
      <c r="G2741" t="s">
        <v>5</v>
      </c>
      <c r="H2741" t="s">
        <v>5</v>
      </c>
      <c r="I2741" t="s">
        <v>2083</v>
      </c>
      <c r="J2741" t="s">
        <v>47</v>
      </c>
      <c r="K2741" s="3">
        <f t="shared" si="84"/>
        <v>0</v>
      </c>
      <c r="L2741" s="3">
        <f>IF(ISERROR(VLOOKUP(J2741,Lookups!$A$2:$A$16,1,FALSE)),1,0)</f>
        <v>1</v>
      </c>
      <c r="M2741" s="3">
        <f>IF(ISERROR(VLOOKUP(D2741,Data!$A$2:$D$223100,2,FALSE)),0,1)</f>
        <v>1</v>
      </c>
      <c r="N2741" s="3">
        <f t="shared" si="85"/>
        <v>1</v>
      </c>
      <c r="O2741" s="3" t="str">
        <f>IF(ISERROR(VLOOKUP(D2741,Data!$A$2:$C$223100,3,FALSE)),"INACTIVE",VLOOKUP(D2741,Data!$A$2:$C$223100,3,FALSE))</f>
        <v>Current</v>
      </c>
    </row>
    <row r="2742" spans="1:15" x14ac:dyDescent="0.25">
      <c r="A2742" t="s">
        <v>3221</v>
      </c>
      <c r="B2742" t="s">
        <v>3222</v>
      </c>
      <c r="C2742" t="s">
        <v>3247</v>
      </c>
      <c r="D2742" t="s">
        <v>3248</v>
      </c>
      <c r="E2742" t="s">
        <v>3249</v>
      </c>
      <c r="F2742" t="s">
        <v>3249</v>
      </c>
      <c r="G2742" t="s">
        <v>5</v>
      </c>
      <c r="H2742" t="s">
        <v>5</v>
      </c>
      <c r="I2742" t="s">
        <v>2083</v>
      </c>
      <c r="J2742" t="s">
        <v>40</v>
      </c>
      <c r="K2742" s="3">
        <f t="shared" si="84"/>
        <v>0</v>
      </c>
      <c r="L2742" s="3">
        <f>IF(ISERROR(VLOOKUP(J2742,Lookups!$A$2:$A$16,1,FALSE)),1,0)</f>
        <v>1</v>
      </c>
      <c r="M2742" s="3">
        <f>IF(ISERROR(VLOOKUP(D2742,Data!$A$2:$D$223100,2,FALSE)),0,1)</f>
        <v>1</v>
      </c>
      <c r="N2742" s="3">
        <f t="shared" si="85"/>
        <v>1</v>
      </c>
      <c r="O2742" s="3" t="str">
        <f>IF(ISERROR(VLOOKUP(D2742,Data!$A$2:$C$223100,3,FALSE)),"INACTIVE",VLOOKUP(D2742,Data!$A$2:$C$223100,3,FALSE))</f>
        <v>FBA</v>
      </c>
    </row>
    <row r="2743" spans="1:15" x14ac:dyDescent="0.25">
      <c r="A2743" t="s">
        <v>3221</v>
      </c>
      <c r="B2743" t="s">
        <v>3222</v>
      </c>
      <c r="C2743" t="s">
        <v>3250</v>
      </c>
      <c r="D2743" t="s">
        <v>3251</v>
      </c>
      <c r="E2743" t="s">
        <v>3252</v>
      </c>
      <c r="F2743" t="s">
        <v>3252</v>
      </c>
      <c r="G2743" t="s">
        <v>5</v>
      </c>
      <c r="H2743" t="s">
        <v>5</v>
      </c>
      <c r="I2743" t="s">
        <v>2083</v>
      </c>
      <c r="J2743" t="s">
        <v>40</v>
      </c>
      <c r="K2743" s="3">
        <f t="shared" si="84"/>
        <v>0</v>
      </c>
      <c r="L2743" s="3">
        <f>IF(ISERROR(VLOOKUP(J2743,Lookups!$A$2:$A$16,1,FALSE)),1,0)</f>
        <v>1</v>
      </c>
      <c r="M2743" s="3">
        <f>IF(ISERROR(VLOOKUP(D2743,Data!$A$2:$D$223100,2,FALSE)),0,1)</f>
        <v>1</v>
      </c>
      <c r="N2743" s="3">
        <f t="shared" si="85"/>
        <v>1</v>
      </c>
      <c r="O2743" s="3" t="str">
        <f>IF(ISERROR(VLOOKUP(D2743,Data!$A$2:$C$223100,3,FALSE)),"INACTIVE",VLOOKUP(D2743,Data!$A$2:$C$223100,3,FALSE))</f>
        <v>90+</v>
      </c>
    </row>
    <row r="2744" spans="1:15" x14ac:dyDescent="0.25">
      <c r="A2744" t="s">
        <v>3221</v>
      </c>
      <c r="B2744" t="s">
        <v>3222</v>
      </c>
      <c r="C2744" t="s">
        <v>3253</v>
      </c>
      <c r="D2744" t="s">
        <v>3254</v>
      </c>
      <c r="E2744" t="s">
        <v>3255</v>
      </c>
      <c r="F2744" t="s">
        <v>3255</v>
      </c>
      <c r="G2744" t="s">
        <v>5</v>
      </c>
      <c r="H2744" t="s">
        <v>5</v>
      </c>
      <c r="I2744" t="s">
        <v>2083</v>
      </c>
      <c r="J2744" t="s">
        <v>40</v>
      </c>
      <c r="K2744" s="3">
        <f t="shared" si="84"/>
        <v>0</v>
      </c>
      <c r="L2744" s="3">
        <f>IF(ISERROR(VLOOKUP(J2744,Lookups!$A$2:$A$16,1,FALSE)),1,0)</f>
        <v>1</v>
      </c>
      <c r="M2744" s="3">
        <f>IF(ISERROR(VLOOKUP(D2744,Data!$A$2:$D$223100,2,FALSE)),0,1)</f>
        <v>1</v>
      </c>
      <c r="N2744" s="3">
        <f t="shared" si="85"/>
        <v>1</v>
      </c>
      <c r="O2744" s="3" t="str">
        <f>IF(ISERROR(VLOOKUP(D2744,Data!$A$2:$C$223100,3,FALSE)),"INACTIVE",VLOOKUP(D2744,Data!$A$2:$C$223100,3,FALSE))</f>
        <v>Current</v>
      </c>
    </row>
    <row r="2745" spans="1:15" x14ac:dyDescent="0.25">
      <c r="A2745" t="s">
        <v>3221</v>
      </c>
      <c r="B2745" t="s">
        <v>3222</v>
      </c>
      <c r="C2745" t="s">
        <v>3256</v>
      </c>
      <c r="D2745" t="s">
        <v>3257</v>
      </c>
      <c r="E2745" t="s">
        <v>3258</v>
      </c>
      <c r="F2745" t="s">
        <v>3258</v>
      </c>
      <c r="G2745" t="s">
        <v>5</v>
      </c>
      <c r="H2745" t="s">
        <v>5</v>
      </c>
      <c r="I2745" t="s">
        <v>2083</v>
      </c>
      <c r="J2745" t="s">
        <v>40</v>
      </c>
      <c r="K2745" s="3">
        <f t="shared" si="84"/>
        <v>0</v>
      </c>
      <c r="L2745" s="3">
        <f>IF(ISERROR(VLOOKUP(J2745,Lookups!$A$2:$A$16,1,FALSE)),1,0)</f>
        <v>1</v>
      </c>
      <c r="M2745" s="3">
        <f>IF(ISERROR(VLOOKUP(D2745,Data!$A$2:$D$223100,2,FALSE)),0,1)</f>
        <v>1</v>
      </c>
      <c r="N2745" s="3">
        <f t="shared" si="85"/>
        <v>1</v>
      </c>
      <c r="O2745" s="3" t="str">
        <f>IF(ISERROR(VLOOKUP(D2745,Data!$A$2:$C$223100,3,FALSE)),"INACTIVE",VLOOKUP(D2745,Data!$A$2:$C$223100,3,FALSE))</f>
        <v>Current</v>
      </c>
    </row>
    <row r="2746" spans="1:15" x14ac:dyDescent="0.25">
      <c r="A2746" t="s">
        <v>3221</v>
      </c>
      <c r="B2746" t="s">
        <v>3222</v>
      </c>
      <c r="C2746" t="s">
        <v>3259</v>
      </c>
      <c r="D2746" t="s">
        <v>3260</v>
      </c>
      <c r="E2746" t="s">
        <v>3261</v>
      </c>
      <c r="F2746" t="s">
        <v>3261</v>
      </c>
      <c r="G2746" t="s">
        <v>5</v>
      </c>
      <c r="H2746" t="s">
        <v>5</v>
      </c>
      <c r="I2746" t="s">
        <v>2083</v>
      </c>
      <c r="J2746" t="s">
        <v>47</v>
      </c>
      <c r="K2746" s="3">
        <f t="shared" si="84"/>
        <v>0</v>
      </c>
      <c r="L2746" s="3">
        <f>IF(ISERROR(VLOOKUP(J2746,Lookups!$A$2:$A$16,1,FALSE)),1,0)</f>
        <v>1</v>
      </c>
      <c r="M2746" s="3">
        <f>IF(ISERROR(VLOOKUP(D2746,Data!$A$2:$D$223100,2,FALSE)),0,1)</f>
        <v>1</v>
      </c>
      <c r="N2746" s="3">
        <f t="shared" si="85"/>
        <v>1</v>
      </c>
      <c r="O2746" s="3" t="str">
        <f>IF(ISERROR(VLOOKUP(D2746,Data!$A$2:$C$223100,3,FALSE)),"INACTIVE",VLOOKUP(D2746,Data!$A$2:$C$223100,3,FALSE))</f>
        <v>BK13</v>
      </c>
    </row>
    <row r="2747" spans="1:15" x14ac:dyDescent="0.25">
      <c r="A2747" t="s">
        <v>3221</v>
      </c>
      <c r="B2747" t="s">
        <v>3222</v>
      </c>
      <c r="C2747" t="s">
        <v>3262</v>
      </c>
      <c r="D2747" t="s">
        <v>3263</v>
      </c>
      <c r="E2747" t="s">
        <v>3264</v>
      </c>
      <c r="F2747" t="s">
        <v>3264</v>
      </c>
      <c r="G2747" t="s">
        <v>5</v>
      </c>
      <c r="H2747" t="s">
        <v>5</v>
      </c>
      <c r="I2747" t="s">
        <v>2083</v>
      </c>
      <c r="J2747" t="s">
        <v>40</v>
      </c>
      <c r="K2747" s="3">
        <f t="shared" si="84"/>
        <v>0</v>
      </c>
      <c r="L2747" s="3">
        <f>IF(ISERROR(VLOOKUP(J2747,Lookups!$A$2:$A$16,1,FALSE)),1,0)</f>
        <v>1</v>
      </c>
      <c r="M2747" s="3">
        <f>IF(ISERROR(VLOOKUP(D2747,Data!$A$2:$D$223100,2,FALSE)),0,1)</f>
        <v>1</v>
      </c>
      <c r="N2747" s="3">
        <f t="shared" si="85"/>
        <v>1</v>
      </c>
      <c r="O2747" s="3" t="str">
        <f>IF(ISERROR(VLOOKUP(D2747,Data!$A$2:$C$223100,3,FALSE)),"INACTIVE",VLOOKUP(D2747,Data!$A$2:$C$223100,3,FALSE))</f>
        <v>Current</v>
      </c>
    </row>
    <row r="2748" spans="1:15" x14ac:dyDescent="0.25">
      <c r="A2748" t="s">
        <v>3221</v>
      </c>
      <c r="B2748" t="s">
        <v>3222</v>
      </c>
      <c r="C2748" t="s">
        <v>3265</v>
      </c>
      <c r="D2748" t="s">
        <v>3266</v>
      </c>
      <c r="E2748" t="s">
        <v>3267</v>
      </c>
      <c r="F2748" t="s">
        <v>3267</v>
      </c>
      <c r="G2748" t="s">
        <v>5</v>
      </c>
      <c r="H2748" t="s">
        <v>5</v>
      </c>
      <c r="I2748" t="s">
        <v>2083</v>
      </c>
      <c r="J2748" t="s">
        <v>40</v>
      </c>
      <c r="K2748" s="3">
        <f t="shared" si="84"/>
        <v>0</v>
      </c>
      <c r="L2748" s="3">
        <f>IF(ISERROR(VLOOKUP(J2748,Lookups!$A$2:$A$16,1,FALSE)),1,0)</f>
        <v>1</v>
      </c>
      <c r="M2748" s="3">
        <f>IF(ISERROR(VLOOKUP(D2748,Data!$A$2:$D$223100,2,FALSE)),0,1)</f>
        <v>1</v>
      </c>
      <c r="N2748" s="3">
        <f t="shared" si="85"/>
        <v>1</v>
      </c>
      <c r="O2748" s="3" t="str">
        <f>IF(ISERROR(VLOOKUP(D2748,Data!$A$2:$C$223100,3,FALSE)),"INACTIVE",VLOOKUP(D2748,Data!$A$2:$C$223100,3,FALSE))</f>
        <v>BK13</v>
      </c>
    </row>
    <row r="2749" spans="1:15" x14ac:dyDescent="0.25">
      <c r="A2749" t="s">
        <v>3221</v>
      </c>
      <c r="B2749" t="s">
        <v>3222</v>
      </c>
      <c r="C2749" t="s">
        <v>3268</v>
      </c>
      <c r="D2749" t="s">
        <v>3269</v>
      </c>
      <c r="E2749" t="s">
        <v>3270</v>
      </c>
      <c r="F2749" t="s">
        <v>3270</v>
      </c>
      <c r="G2749" t="s">
        <v>5</v>
      </c>
      <c r="H2749" t="s">
        <v>5</v>
      </c>
      <c r="I2749" t="s">
        <v>2083</v>
      </c>
      <c r="J2749" t="s">
        <v>40</v>
      </c>
      <c r="K2749" s="3">
        <f t="shared" si="84"/>
        <v>0</v>
      </c>
      <c r="L2749" s="3">
        <f>IF(ISERROR(VLOOKUP(J2749,Lookups!$A$2:$A$16,1,FALSE)),1,0)</f>
        <v>1</v>
      </c>
      <c r="M2749" s="3">
        <f>IF(ISERROR(VLOOKUP(D2749,Data!$A$2:$D$223100,2,FALSE)),0,1)</f>
        <v>1</v>
      </c>
      <c r="N2749" s="3">
        <f t="shared" si="85"/>
        <v>1</v>
      </c>
      <c r="O2749" s="3" t="str">
        <f>IF(ISERROR(VLOOKUP(D2749,Data!$A$2:$C$223100,3,FALSE)),"INACTIVE",VLOOKUP(D2749,Data!$A$2:$C$223100,3,FALSE))</f>
        <v>Current</v>
      </c>
    </row>
    <row r="2750" spans="1:15" x14ac:dyDescent="0.25">
      <c r="A2750" t="s">
        <v>3221</v>
      </c>
      <c r="B2750" t="s">
        <v>3222</v>
      </c>
      <c r="C2750" t="s">
        <v>3271</v>
      </c>
      <c r="D2750" t="s">
        <v>3272</v>
      </c>
      <c r="E2750" t="s">
        <v>3273</v>
      </c>
      <c r="F2750" t="s">
        <v>3273</v>
      </c>
      <c r="G2750" t="s">
        <v>5</v>
      </c>
      <c r="H2750" t="s">
        <v>5</v>
      </c>
      <c r="I2750" t="s">
        <v>2083</v>
      </c>
      <c r="J2750" t="s">
        <v>40</v>
      </c>
      <c r="K2750" s="3">
        <f t="shared" si="84"/>
        <v>0</v>
      </c>
      <c r="L2750" s="3">
        <f>IF(ISERROR(VLOOKUP(J2750,Lookups!$A$2:$A$16,1,FALSE)),1,0)</f>
        <v>1</v>
      </c>
      <c r="M2750" s="3">
        <f>IF(ISERROR(VLOOKUP(D2750,Data!$A$2:$D$223100,2,FALSE)),0,1)</f>
        <v>1</v>
      </c>
      <c r="N2750" s="3">
        <f t="shared" si="85"/>
        <v>1</v>
      </c>
      <c r="O2750" s="3" t="str">
        <f>IF(ISERROR(VLOOKUP(D2750,Data!$A$2:$C$223100,3,FALSE)),"INACTIVE",VLOOKUP(D2750,Data!$A$2:$C$223100,3,FALSE))</f>
        <v>FBA</v>
      </c>
    </row>
    <row r="2751" spans="1:15" x14ac:dyDescent="0.25">
      <c r="A2751" t="s">
        <v>3221</v>
      </c>
      <c r="B2751" t="s">
        <v>3222</v>
      </c>
      <c r="C2751" t="s">
        <v>3274</v>
      </c>
      <c r="D2751" t="s">
        <v>3275</v>
      </c>
      <c r="E2751" t="s">
        <v>3276</v>
      </c>
      <c r="F2751" t="s">
        <v>3276</v>
      </c>
      <c r="G2751" t="s">
        <v>5</v>
      </c>
      <c r="H2751" t="s">
        <v>5</v>
      </c>
      <c r="I2751" t="s">
        <v>2083</v>
      </c>
      <c r="J2751" t="s">
        <v>40</v>
      </c>
      <c r="K2751" s="3">
        <f t="shared" si="84"/>
        <v>0</v>
      </c>
      <c r="L2751" s="3">
        <f>IF(ISERROR(VLOOKUP(J2751,Lookups!$A$2:$A$16,1,FALSE)),1,0)</f>
        <v>1</v>
      </c>
      <c r="M2751" s="3">
        <f>IF(ISERROR(VLOOKUP(D2751,Data!$A$2:$D$223100,2,FALSE)),0,1)</f>
        <v>1</v>
      </c>
      <c r="N2751" s="3">
        <f t="shared" si="85"/>
        <v>1</v>
      </c>
      <c r="O2751" s="3" t="str">
        <f>IF(ISERROR(VLOOKUP(D2751,Data!$A$2:$C$223100,3,FALSE)),"INACTIVE",VLOOKUP(D2751,Data!$A$2:$C$223100,3,FALSE))</f>
        <v>30+</v>
      </c>
    </row>
    <row r="2752" spans="1:15" x14ac:dyDescent="0.25">
      <c r="A2752" t="s">
        <v>3221</v>
      </c>
      <c r="B2752" t="s">
        <v>3222</v>
      </c>
      <c r="C2752" t="s">
        <v>3277</v>
      </c>
      <c r="D2752" t="s">
        <v>3278</v>
      </c>
      <c r="E2752" t="s">
        <v>3279</v>
      </c>
      <c r="F2752" t="s">
        <v>3279</v>
      </c>
      <c r="G2752" t="s">
        <v>5</v>
      </c>
      <c r="H2752" t="s">
        <v>5</v>
      </c>
      <c r="I2752" t="s">
        <v>2083</v>
      </c>
      <c r="J2752" t="s">
        <v>40</v>
      </c>
      <c r="K2752" s="3">
        <f t="shared" si="84"/>
        <v>0</v>
      </c>
      <c r="L2752" s="3">
        <f>IF(ISERROR(VLOOKUP(J2752,Lookups!$A$2:$A$16,1,FALSE)),1,0)</f>
        <v>1</v>
      </c>
      <c r="M2752" s="3">
        <f>IF(ISERROR(VLOOKUP(D2752,Data!$A$2:$D$223100,2,FALSE)),0,1)</f>
        <v>1</v>
      </c>
      <c r="N2752" s="3">
        <f t="shared" si="85"/>
        <v>1</v>
      </c>
      <c r="O2752" s="3" t="str">
        <f>IF(ISERROR(VLOOKUP(D2752,Data!$A$2:$C$223100,3,FALSE)),"INACTIVE",VLOOKUP(D2752,Data!$A$2:$C$223100,3,FALSE))</f>
        <v>Current</v>
      </c>
    </row>
    <row r="2753" spans="1:15" x14ac:dyDescent="0.25">
      <c r="A2753" t="s">
        <v>3221</v>
      </c>
      <c r="B2753" t="s">
        <v>3222</v>
      </c>
      <c r="C2753" t="s">
        <v>3280</v>
      </c>
      <c r="D2753" t="s">
        <v>3281</v>
      </c>
      <c r="E2753" t="s">
        <v>3282</v>
      </c>
      <c r="F2753" t="s">
        <v>3282</v>
      </c>
      <c r="G2753" t="s">
        <v>5</v>
      </c>
      <c r="H2753" t="s">
        <v>5</v>
      </c>
      <c r="I2753" t="s">
        <v>2083</v>
      </c>
      <c r="J2753" t="s">
        <v>40</v>
      </c>
      <c r="K2753" s="3">
        <f t="shared" si="84"/>
        <v>0</v>
      </c>
      <c r="L2753" s="3">
        <f>IF(ISERROR(VLOOKUP(J2753,Lookups!$A$2:$A$16,1,FALSE)),1,0)</f>
        <v>1</v>
      </c>
      <c r="M2753" s="3">
        <f>IF(ISERROR(VLOOKUP(D2753,Data!$A$2:$D$223100,2,FALSE)),0,1)</f>
        <v>1</v>
      </c>
      <c r="N2753" s="3">
        <f t="shared" si="85"/>
        <v>1</v>
      </c>
      <c r="O2753" s="3" t="str">
        <f>IF(ISERROR(VLOOKUP(D2753,Data!$A$2:$C$223100,3,FALSE)),"INACTIVE",VLOOKUP(D2753,Data!$A$2:$C$223100,3,FALSE))</f>
        <v>Current</v>
      </c>
    </row>
    <row r="2754" spans="1:15" x14ac:dyDescent="0.25">
      <c r="A2754" t="s">
        <v>3221</v>
      </c>
      <c r="B2754" t="s">
        <v>3222</v>
      </c>
      <c r="C2754" t="s">
        <v>3283</v>
      </c>
      <c r="D2754" t="s">
        <v>3284</v>
      </c>
      <c r="E2754" t="s">
        <v>3285</v>
      </c>
      <c r="F2754" t="s">
        <v>3285</v>
      </c>
      <c r="G2754" t="s">
        <v>5</v>
      </c>
      <c r="H2754" t="s">
        <v>5</v>
      </c>
      <c r="I2754" t="s">
        <v>2083</v>
      </c>
      <c r="J2754" t="s">
        <v>40</v>
      </c>
      <c r="K2754" s="3">
        <f t="shared" si="84"/>
        <v>0</v>
      </c>
      <c r="L2754" s="3">
        <f>IF(ISERROR(VLOOKUP(J2754,Lookups!$A$2:$A$16,1,FALSE)),1,0)</f>
        <v>1</v>
      </c>
      <c r="M2754" s="3">
        <f>IF(ISERROR(VLOOKUP(D2754,Data!$A$2:$D$223100,2,FALSE)),0,1)</f>
        <v>1</v>
      </c>
      <c r="N2754" s="3">
        <f t="shared" si="85"/>
        <v>1</v>
      </c>
      <c r="O2754" s="3" t="str">
        <f>IF(ISERROR(VLOOKUP(D2754,Data!$A$2:$C$223100,3,FALSE)),"INACTIVE",VLOOKUP(D2754,Data!$A$2:$C$223100,3,FALSE))</f>
        <v>150+</v>
      </c>
    </row>
    <row r="2755" spans="1:15" x14ac:dyDescent="0.25">
      <c r="A2755" t="s">
        <v>3221</v>
      </c>
      <c r="B2755" t="s">
        <v>3222</v>
      </c>
      <c r="C2755" t="s">
        <v>3286</v>
      </c>
      <c r="D2755" t="s">
        <v>3287</v>
      </c>
      <c r="E2755" t="s">
        <v>3288</v>
      </c>
      <c r="F2755" t="s">
        <v>3288</v>
      </c>
      <c r="G2755" t="s">
        <v>5</v>
      </c>
      <c r="H2755" t="s">
        <v>5</v>
      </c>
      <c r="I2755" t="s">
        <v>2083</v>
      </c>
      <c r="J2755" t="s">
        <v>40</v>
      </c>
      <c r="K2755" s="3">
        <f t="shared" ref="K2755:K2818" si="86">IF(ISERROR(FIND("LIEN",A2755,1)),0,1)</f>
        <v>0</v>
      </c>
      <c r="L2755" s="3">
        <f>IF(ISERROR(VLOOKUP(J2755,Lookups!$A$2:$A$16,1,FALSE)),1,0)</f>
        <v>1</v>
      </c>
      <c r="M2755" s="3">
        <f>IF(ISERROR(VLOOKUP(D2755,Data!$A$2:$D$223100,2,FALSE)),0,1)</f>
        <v>1</v>
      </c>
      <c r="N2755" s="3">
        <f t="shared" ref="N2755:N2818" si="87">IF(M2755=0,0,IF(SUM(K2755:L2755)&gt;0,1,0))</f>
        <v>1</v>
      </c>
      <c r="O2755" s="3" t="str">
        <f>IF(ISERROR(VLOOKUP(D2755,Data!$A$2:$C$223100,3,FALSE)),"INACTIVE",VLOOKUP(D2755,Data!$A$2:$C$223100,3,FALSE))</f>
        <v>Current</v>
      </c>
    </row>
    <row r="2756" spans="1:15" x14ac:dyDescent="0.25">
      <c r="A2756" t="s">
        <v>3221</v>
      </c>
      <c r="B2756" t="s">
        <v>3222</v>
      </c>
      <c r="C2756" t="s">
        <v>3289</v>
      </c>
      <c r="D2756" t="s">
        <v>3290</v>
      </c>
      <c r="E2756" t="s">
        <v>3291</v>
      </c>
      <c r="F2756" t="s">
        <v>3291</v>
      </c>
      <c r="G2756" t="s">
        <v>5</v>
      </c>
      <c r="H2756" t="s">
        <v>5</v>
      </c>
      <c r="I2756" t="s">
        <v>2083</v>
      </c>
      <c r="J2756" t="s">
        <v>40</v>
      </c>
      <c r="K2756" s="3">
        <f t="shared" si="86"/>
        <v>0</v>
      </c>
      <c r="L2756" s="3">
        <f>IF(ISERROR(VLOOKUP(J2756,Lookups!$A$2:$A$16,1,FALSE)),1,0)</f>
        <v>1</v>
      </c>
      <c r="M2756" s="3">
        <f>IF(ISERROR(VLOOKUP(D2756,Data!$A$2:$D$223100,2,FALSE)),0,1)</f>
        <v>1</v>
      </c>
      <c r="N2756" s="3">
        <f t="shared" si="87"/>
        <v>1</v>
      </c>
      <c r="O2756" s="3" t="str">
        <f>IF(ISERROR(VLOOKUP(D2756,Data!$A$2:$C$223100,3,FALSE)),"INACTIVE",VLOOKUP(D2756,Data!$A$2:$C$223100,3,FALSE))</f>
        <v>60+</v>
      </c>
    </row>
    <row r="2757" spans="1:15" x14ac:dyDescent="0.25">
      <c r="A2757" t="s">
        <v>3221</v>
      </c>
      <c r="B2757" t="s">
        <v>3222</v>
      </c>
      <c r="C2757" t="s">
        <v>3292</v>
      </c>
      <c r="D2757" t="s">
        <v>3293</v>
      </c>
      <c r="E2757" t="s">
        <v>3294</v>
      </c>
      <c r="F2757" t="s">
        <v>3294</v>
      </c>
      <c r="G2757" t="s">
        <v>5</v>
      </c>
      <c r="H2757" t="s">
        <v>5</v>
      </c>
      <c r="I2757" t="s">
        <v>2083</v>
      </c>
      <c r="J2757" t="s">
        <v>40</v>
      </c>
      <c r="K2757" s="3">
        <f t="shared" si="86"/>
        <v>0</v>
      </c>
      <c r="L2757" s="3">
        <f>IF(ISERROR(VLOOKUP(J2757,Lookups!$A$2:$A$16,1,FALSE)),1,0)</f>
        <v>1</v>
      </c>
      <c r="M2757" s="3">
        <f>IF(ISERROR(VLOOKUP(D2757,Data!$A$2:$D$223100,2,FALSE)),0,1)</f>
        <v>1</v>
      </c>
      <c r="N2757" s="3">
        <f t="shared" si="87"/>
        <v>1</v>
      </c>
      <c r="O2757" s="3" t="str">
        <f>IF(ISERROR(VLOOKUP(D2757,Data!$A$2:$C$223100,3,FALSE)),"INACTIVE",VLOOKUP(D2757,Data!$A$2:$C$223100,3,FALSE))</f>
        <v>Current</v>
      </c>
    </row>
    <row r="2758" spans="1:15" x14ac:dyDescent="0.25">
      <c r="A2758" t="s">
        <v>3221</v>
      </c>
      <c r="B2758" t="s">
        <v>3222</v>
      </c>
      <c r="C2758" t="s">
        <v>3295</v>
      </c>
      <c r="D2758" t="s">
        <v>3296</v>
      </c>
      <c r="E2758" t="s">
        <v>3297</v>
      </c>
      <c r="F2758" t="s">
        <v>3297</v>
      </c>
      <c r="G2758" t="s">
        <v>5</v>
      </c>
      <c r="H2758" t="s">
        <v>5</v>
      </c>
      <c r="I2758" t="s">
        <v>2083</v>
      </c>
      <c r="J2758" t="s">
        <v>40</v>
      </c>
      <c r="K2758" s="3">
        <f t="shared" si="86"/>
        <v>0</v>
      </c>
      <c r="L2758" s="3">
        <f>IF(ISERROR(VLOOKUP(J2758,Lookups!$A$2:$A$16,1,FALSE)),1,0)</f>
        <v>1</v>
      </c>
      <c r="M2758" s="3">
        <f>IF(ISERROR(VLOOKUP(D2758,Data!$A$2:$D$223100,2,FALSE)),0,1)</f>
        <v>1</v>
      </c>
      <c r="N2758" s="3">
        <f t="shared" si="87"/>
        <v>1</v>
      </c>
      <c r="O2758" s="3" t="str">
        <f>IF(ISERROR(VLOOKUP(D2758,Data!$A$2:$C$223100,3,FALSE)),"INACTIVE",VLOOKUP(D2758,Data!$A$2:$C$223100,3,FALSE))</f>
        <v>Current</v>
      </c>
    </row>
    <row r="2759" spans="1:15" x14ac:dyDescent="0.25">
      <c r="A2759" t="s">
        <v>3221</v>
      </c>
      <c r="B2759" t="s">
        <v>3222</v>
      </c>
      <c r="C2759" t="s">
        <v>3298</v>
      </c>
      <c r="D2759" t="s">
        <v>3299</v>
      </c>
      <c r="E2759" t="s">
        <v>3300</v>
      </c>
      <c r="F2759" t="s">
        <v>3300</v>
      </c>
      <c r="G2759" t="s">
        <v>5</v>
      </c>
      <c r="H2759" t="s">
        <v>5</v>
      </c>
      <c r="I2759" t="s">
        <v>2083</v>
      </c>
      <c r="J2759" t="s">
        <v>40</v>
      </c>
      <c r="K2759" s="3">
        <f t="shared" si="86"/>
        <v>0</v>
      </c>
      <c r="L2759" s="3">
        <f>IF(ISERROR(VLOOKUP(J2759,Lookups!$A$2:$A$16,1,FALSE)),1,0)</f>
        <v>1</v>
      </c>
      <c r="M2759" s="3">
        <f>IF(ISERROR(VLOOKUP(D2759,Data!$A$2:$D$223100,2,FALSE)),0,1)</f>
        <v>1</v>
      </c>
      <c r="N2759" s="3">
        <f t="shared" si="87"/>
        <v>1</v>
      </c>
      <c r="O2759" s="3" t="str">
        <f>IF(ISERROR(VLOOKUP(D2759,Data!$A$2:$C$223100,3,FALSE)),"INACTIVE",VLOOKUP(D2759,Data!$A$2:$C$223100,3,FALSE))</f>
        <v>Current</v>
      </c>
    </row>
    <row r="2760" spans="1:15" x14ac:dyDescent="0.25">
      <c r="A2760" t="s">
        <v>3221</v>
      </c>
      <c r="B2760" t="s">
        <v>3222</v>
      </c>
      <c r="C2760" t="s">
        <v>3301</v>
      </c>
      <c r="D2760" t="s">
        <v>3302</v>
      </c>
      <c r="E2760" t="s">
        <v>3303</v>
      </c>
      <c r="F2760" t="s">
        <v>3303</v>
      </c>
      <c r="G2760" t="s">
        <v>5</v>
      </c>
      <c r="H2760" t="s">
        <v>5</v>
      </c>
      <c r="I2760" t="s">
        <v>2083</v>
      </c>
      <c r="J2760" t="s">
        <v>40</v>
      </c>
      <c r="K2760" s="3">
        <f t="shared" si="86"/>
        <v>0</v>
      </c>
      <c r="L2760" s="3">
        <f>IF(ISERROR(VLOOKUP(J2760,Lookups!$A$2:$A$16,1,FALSE)),1,0)</f>
        <v>1</v>
      </c>
      <c r="M2760" s="3">
        <f>IF(ISERROR(VLOOKUP(D2760,Data!$A$2:$D$223100,2,FALSE)),0,1)</f>
        <v>1</v>
      </c>
      <c r="N2760" s="3">
        <f t="shared" si="87"/>
        <v>1</v>
      </c>
      <c r="O2760" s="3" t="str">
        <f>IF(ISERROR(VLOOKUP(D2760,Data!$A$2:$C$223100,3,FALSE)),"INACTIVE",VLOOKUP(D2760,Data!$A$2:$C$223100,3,FALSE))</f>
        <v>30+</v>
      </c>
    </row>
    <row r="2761" spans="1:15" x14ac:dyDescent="0.25">
      <c r="A2761" t="s">
        <v>3221</v>
      </c>
      <c r="B2761" t="s">
        <v>3222</v>
      </c>
      <c r="C2761" t="s">
        <v>3304</v>
      </c>
      <c r="D2761" t="s">
        <v>3305</v>
      </c>
      <c r="E2761" t="s">
        <v>3306</v>
      </c>
      <c r="F2761" t="s">
        <v>3306</v>
      </c>
      <c r="G2761" t="s">
        <v>5</v>
      </c>
      <c r="H2761" t="s">
        <v>5</v>
      </c>
      <c r="I2761" t="s">
        <v>2083</v>
      </c>
      <c r="J2761" t="s">
        <v>40</v>
      </c>
      <c r="K2761" s="3">
        <f t="shared" si="86"/>
        <v>0</v>
      </c>
      <c r="L2761" s="3">
        <f>IF(ISERROR(VLOOKUP(J2761,Lookups!$A$2:$A$16,1,FALSE)),1,0)</f>
        <v>1</v>
      </c>
      <c r="M2761" s="3">
        <f>IF(ISERROR(VLOOKUP(D2761,Data!$A$2:$D$223100,2,FALSE)),0,1)</f>
        <v>1</v>
      </c>
      <c r="N2761" s="3">
        <f t="shared" si="87"/>
        <v>1</v>
      </c>
      <c r="O2761" s="3" t="str">
        <f>IF(ISERROR(VLOOKUP(D2761,Data!$A$2:$C$223100,3,FALSE)),"INACTIVE",VLOOKUP(D2761,Data!$A$2:$C$223100,3,FALSE))</f>
        <v>Current</v>
      </c>
    </row>
    <row r="2762" spans="1:15" x14ac:dyDescent="0.25">
      <c r="A2762" t="s">
        <v>3221</v>
      </c>
      <c r="B2762" t="s">
        <v>3222</v>
      </c>
      <c r="C2762" t="s">
        <v>3307</v>
      </c>
      <c r="D2762" t="s">
        <v>3308</v>
      </c>
      <c r="E2762" t="s">
        <v>3309</v>
      </c>
      <c r="F2762" t="s">
        <v>3309</v>
      </c>
      <c r="G2762" t="s">
        <v>5</v>
      </c>
      <c r="H2762" t="s">
        <v>5</v>
      </c>
      <c r="I2762" t="s">
        <v>2083</v>
      </c>
      <c r="J2762" t="s">
        <v>40</v>
      </c>
      <c r="K2762" s="3">
        <f t="shared" si="86"/>
        <v>0</v>
      </c>
      <c r="L2762" s="3">
        <f>IF(ISERROR(VLOOKUP(J2762,Lookups!$A$2:$A$16,1,FALSE)),1,0)</f>
        <v>1</v>
      </c>
      <c r="M2762" s="3">
        <f>IF(ISERROR(VLOOKUP(D2762,Data!$A$2:$D$223100,2,FALSE)),0,1)</f>
        <v>1</v>
      </c>
      <c r="N2762" s="3">
        <f t="shared" si="87"/>
        <v>1</v>
      </c>
      <c r="O2762" s="3" t="str">
        <f>IF(ISERROR(VLOOKUP(D2762,Data!$A$2:$C$223100,3,FALSE)),"INACTIVE",VLOOKUP(D2762,Data!$A$2:$C$223100,3,FALSE))</f>
        <v>BK13</v>
      </c>
    </row>
    <row r="2763" spans="1:15" x14ac:dyDescent="0.25">
      <c r="A2763" t="s">
        <v>3221</v>
      </c>
      <c r="B2763" t="s">
        <v>3222</v>
      </c>
      <c r="C2763" t="s">
        <v>3310</v>
      </c>
      <c r="D2763" t="s">
        <v>3311</v>
      </c>
      <c r="E2763" t="s">
        <v>3312</v>
      </c>
      <c r="F2763" t="s">
        <v>3312</v>
      </c>
      <c r="G2763" t="s">
        <v>5</v>
      </c>
      <c r="H2763" t="s">
        <v>5</v>
      </c>
      <c r="I2763" t="s">
        <v>2083</v>
      </c>
      <c r="J2763" t="s">
        <v>40</v>
      </c>
      <c r="K2763" s="3">
        <f t="shared" si="86"/>
        <v>0</v>
      </c>
      <c r="L2763" s="3">
        <f>IF(ISERROR(VLOOKUP(J2763,Lookups!$A$2:$A$16,1,FALSE)),1,0)</f>
        <v>1</v>
      </c>
      <c r="M2763" s="3">
        <f>IF(ISERROR(VLOOKUP(D2763,Data!$A$2:$D$223100,2,FALSE)),0,1)</f>
        <v>1</v>
      </c>
      <c r="N2763" s="3">
        <f t="shared" si="87"/>
        <v>1</v>
      </c>
      <c r="O2763" s="3" t="str">
        <f>IF(ISERROR(VLOOKUP(D2763,Data!$A$2:$C$223100,3,FALSE)),"INACTIVE",VLOOKUP(D2763,Data!$A$2:$C$223100,3,FALSE))</f>
        <v>60+</v>
      </c>
    </row>
    <row r="2764" spans="1:15" x14ac:dyDescent="0.25">
      <c r="A2764" t="s">
        <v>3221</v>
      </c>
      <c r="B2764" t="s">
        <v>3222</v>
      </c>
      <c r="C2764" t="s">
        <v>3313</v>
      </c>
      <c r="D2764" t="s">
        <v>3314</v>
      </c>
      <c r="E2764" t="s">
        <v>3315</v>
      </c>
      <c r="F2764" t="s">
        <v>3315</v>
      </c>
      <c r="G2764" t="s">
        <v>5</v>
      </c>
      <c r="H2764" t="s">
        <v>5</v>
      </c>
      <c r="I2764" t="s">
        <v>2083</v>
      </c>
      <c r="J2764" t="s">
        <v>40</v>
      </c>
      <c r="K2764" s="3">
        <f t="shared" si="86"/>
        <v>0</v>
      </c>
      <c r="L2764" s="3">
        <f>IF(ISERROR(VLOOKUP(J2764,Lookups!$A$2:$A$16,1,FALSE)),1,0)</f>
        <v>1</v>
      </c>
      <c r="M2764" s="3">
        <f>IF(ISERROR(VLOOKUP(D2764,Data!$A$2:$D$223100,2,FALSE)),0,1)</f>
        <v>1</v>
      </c>
      <c r="N2764" s="3">
        <f t="shared" si="87"/>
        <v>1</v>
      </c>
      <c r="O2764" s="3" t="str">
        <f>IF(ISERROR(VLOOKUP(D2764,Data!$A$2:$C$223100,3,FALSE)),"INACTIVE",VLOOKUP(D2764,Data!$A$2:$C$223100,3,FALSE))</f>
        <v>Current</v>
      </c>
    </row>
    <row r="2765" spans="1:15" x14ac:dyDescent="0.25">
      <c r="A2765" t="s">
        <v>3221</v>
      </c>
      <c r="B2765" t="s">
        <v>3222</v>
      </c>
      <c r="C2765" t="s">
        <v>3316</v>
      </c>
      <c r="D2765" t="s">
        <v>3317</v>
      </c>
      <c r="E2765" t="s">
        <v>3318</v>
      </c>
      <c r="F2765" t="s">
        <v>3318</v>
      </c>
      <c r="G2765" t="s">
        <v>5</v>
      </c>
      <c r="H2765" t="s">
        <v>5</v>
      </c>
      <c r="I2765" t="s">
        <v>2083</v>
      </c>
      <c r="J2765" t="s">
        <v>40</v>
      </c>
      <c r="K2765" s="3">
        <f t="shared" si="86"/>
        <v>0</v>
      </c>
      <c r="L2765" s="3">
        <f>IF(ISERROR(VLOOKUP(J2765,Lookups!$A$2:$A$16,1,FALSE)),1,0)</f>
        <v>1</v>
      </c>
      <c r="M2765" s="3">
        <f>IF(ISERROR(VLOOKUP(D2765,Data!$A$2:$D$223100,2,FALSE)),0,1)</f>
        <v>1</v>
      </c>
      <c r="N2765" s="3">
        <f t="shared" si="87"/>
        <v>1</v>
      </c>
      <c r="O2765" s="3" t="str">
        <f>IF(ISERROR(VLOOKUP(D2765,Data!$A$2:$C$223100,3,FALSE)),"INACTIVE",VLOOKUP(D2765,Data!$A$2:$C$223100,3,FALSE))</f>
        <v>FBA</v>
      </c>
    </row>
    <row r="2766" spans="1:15" x14ac:dyDescent="0.25">
      <c r="A2766" t="s">
        <v>3221</v>
      </c>
      <c r="B2766" t="s">
        <v>3222</v>
      </c>
      <c r="C2766" t="s">
        <v>3319</v>
      </c>
      <c r="D2766" t="s">
        <v>3320</v>
      </c>
      <c r="E2766" t="s">
        <v>3321</v>
      </c>
      <c r="F2766" t="s">
        <v>3321</v>
      </c>
      <c r="G2766" t="s">
        <v>5</v>
      </c>
      <c r="H2766" t="s">
        <v>5</v>
      </c>
      <c r="I2766" t="s">
        <v>2083</v>
      </c>
      <c r="J2766" t="s">
        <v>40</v>
      </c>
      <c r="K2766" s="3">
        <f t="shared" si="86"/>
        <v>0</v>
      </c>
      <c r="L2766" s="3">
        <f>IF(ISERROR(VLOOKUP(J2766,Lookups!$A$2:$A$16,1,FALSE)),1,0)</f>
        <v>1</v>
      </c>
      <c r="M2766" s="3">
        <f>IF(ISERROR(VLOOKUP(D2766,Data!$A$2:$D$223100,2,FALSE)),0,1)</f>
        <v>1</v>
      </c>
      <c r="N2766" s="3">
        <f t="shared" si="87"/>
        <v>1</v>
      </c>
      <c r="O2766" s="3" t="str">
        <f>IF(ISERROR(VLOOKUP(D2766,Data!$A$2:$C$223100,3,FALSE)),"INACTIVE",VLOOKUP(D2766,Data!$A$2:$C$223100,3,FALSE))</f>
        <v>Current</v>
      </c>
    </row>
    <row r="2767" spans="1:15" x14ac:dyDescent="0.25">
      <c r="A2767" t="s">
        <v>3221</v>
      </c>
      <c r="B2767" t="s">
        <v>3222</v>
      </c>
      <c r="C2767" t="s">
        <v>3322</v>
      </c>
      <c r="D2767" t="s">
        <v>3323</v>
      </c>
      <c r="E2767" t="s">
        <v>3324</v>
      </c>
      <c r="F2767" t="s">
        <v>3324</v>
      </c>
      <c r="G2767" t="s">
        <v>5</v>
      </c>
      <c r="H2767" t="s">
        <v>5</v>
      </c>
      <c r="I2767" t="s">
        <v>2083</v>
      </c>
      <c r="J2767" t="s">
        <v>40</v>
      </c>
      <c r="K2767" s="3">
        <f t="shared" si="86"/>
        <v>0</v>
      </c>
      <c r="L2767" s="3">
        <f>IF(ISERROR(VLOOKUP(J2767,Lookups!$A$2:$A$16,1,FALSE)),1,0)</f>
        <v>1</v>
      </c>
      <c r="M2767" s="3">
        <f>IF(ISERROR(VLOOKUP(D2767,Data!$A$2:$D$223100,2,FALSE)),0,1)</f>
        <v>1</v>
      </c>
      <c r="N2767" s="3">
        <f t="shared" si="87"/>
        <v>1</v>
      </c>
      <c r="O2767" s="3" t="str">
        <f>IF(ISERROR(VLOOKUP(D2767,Data!$A$2:$C$223100,3,FALSE)),"INACTIVE",VLOOKUP(D2767,Data!$A$2:$C$223100,3,FALSE))</f>
        <v>FBA</v>
      </c>
    </row>
    <row r="2768" spans="1:15" x14ac:dyDescent="0.25">
      <c r="A2768" t="s">
        <v>3221</v>
      </c>
      <c r="B2768" t="s">
        <v>3222</v>
      </c>
      <c r="C2768" t="s">
        <v>3325</v>
      </c>
      <c r="D2768" t="s">
        <v>3326</v>
      </c>
      <c r="E2768" t="s">
        <v>3327</v>
      </c>
      <c r="F2768" t="s">
        <v>3327</v>
      </c>
      <c r="G2768" t="s">
        <v>5</v>
      </c>
      <c r="H2768" t="s">
        <v>5</v>
      </c>
      <c r="I2768" t="s">
        <v>2083</v>
      </c>
      <c r="J2768" t="s">
        <v>40</v>
      </c>
      <c r="K2768" s="3">
        <f t="shared" si="86"/>
        <v>0</v>
      </c>
      <c r="L2768" s="3">
        <f>IF(ISERROR(VLOOKUP(J2768,Lookups!$A$2:$A$16,1,FALSE)),1,0)</f>
        <v>1</v>
      </c>
      <c r="M2768" s="3">
        <f>IF(ISERROR(VLOOKUP(D2768,Data!$A$2:$D$223100,2,FALSE)),0,1)</f>
        <v>1</v>
      </c>
      <c r="N2768" s="3">
        <f t="shared" si="87"/>
        <v>1</v>
      </c>
      <c r="O2768" s="3" t="str">
        <f>IF(ISERROR(VLOOKUP(D2768,Data!$A$2:$C$223100,3,FALSE)),"INACTIVE",VLOOKUP(D2768,Data!$A$2:$C$223100,3,FALSE))</f>
        <v>FBA</v>
      </c>
    </row>
    <row r="2769" spans="1:15" x14ac:dyDescent="0.25">
      <c r="A2769" t="s">
        <v>3221</v>
      </c>
      <c r="B2769" t="s">
        <v>3222</v>
      </c>
      <c r="C2769" t="s">
        <v>3328</v>
      </c>
      <c r="D2769" t="s">
        <v>3329</v>
      </c>
      <c r="E2769" t="s">
        <v>3330</v>
      </c>
      <c r="F2769" t="s">
        <v>3330</v>
      </c>
      <c r="G2769" t="s">
        <v>5</v>
      </c>
      <c r="H2769" t="s">
        <v>5</v>
      </c>
      <c r="I2769" t="s">
        <v>2083</v>
      </c>
      <c r="J2769" t="s">
        <v>40</v>
      </c>
      <c r="K2769" s="3">
        <f t="shared" si="86"/>
        <v>0</v>
      </c>
      <c r="L2769" s="3">
        <f>IF(ISERROR(VLOOKUP(J2769,Lookups!$A$2:$A$16,1,FALSE)),1,0)</f>
        <v>1</v>
      </c>
      <c r="M2769" s="3">
        <f>IF(ISERROR(VLOOKUP(D2769,Data!$A$2:$D$223100,2,FALSE)),0,1)</f>
        <v>1</v>
      </c>
      <c r="N2769" s="3">
        <f t="shared" si="87"/>
        <v>1</v>
      </c>
      <c r="O2769" s="3" t="str">
        <f>IF(ISERROR(VLOOKUP(D2769,Data!$A$2:$C$223100,3,FALSE)),"INACTIVE",VLOOKUP(D2769,Data!$A$2:$C$223100,3,FALSE))</f>
        <v>Demand Letter</v>
      </c>
    </row>
    <row r="2770" spans="1:15" x14ac:dyDescent="0.25">
      <c r="A2770" t="s">
        <v>3221</v>
      </c>
      <c r="B2770" t="s">
        <v>3222</v>
      </c>
      <c r="C2770" t="s">
        <v>3331</v>
      </c>
      <c r="D2770" t="s">
        <v>3332</v>
      </c>
      <c r="E2770" t="s">
        <v>3333</v>
      </c>
      <c r="F2770" t="s">
        <v>3333</v>
      </c>
      <c r="G2770" t="s">
        <v>5</v>
      </c>
      <c r="H2770" t="s">
        <v>5</v>
      </c>
      <c r="I2770" t="s">
        <v>2083</v>
      </c>
      <c r="J2770" t="s">
        <v>40</v>
      </c>
      <c r="K2770" s="3">
        <f t="shared" si="86"/>
        <v>0</v>
      </c>
      <c r="L2770" s="3">
        <f>IF(ISERROR(VLOOKUP(J2770,Lookups!$A$2:$A$16,1,FALSE)),1,0)</f>
        <v>1</v>
      </c>
      <c r="M2770" s="3">
        <f>IF(ISERROR(VLOOKUP(D2770,Data!$A$2:$D$223100,2,FALSE)),0,1)</f>
        <v>1</v>
      </c>
      <c r="N2770" s="3">
        <f t="shared" si="87"/>
        <v>1</v>
      </c>
      <c r="O2770" s="3" t="str">
        <f>IF(ISERROR(VLOOKUP(D2770,Data!$A$2:$C$223100,3,FALSE)),"INACTIVE",VLOOKUP(D2770,Data!$A$2:$C$223100,3,FALSE))</f>
        <v>FBA</v>
      </c>
    </row>
    <row r="2771" spans="1:15" x14ac:dyDescent="0.25">
      <c r="A2771" t="s">
        <v>3221</v>
      </c>
      <c r="B2771" t="s">
        <v>3222</v>
      </c>
      <c r="C2771" t="s">
        <v>3334</v>
      </c>
      <c r="D2771" t="s">
        <v>3335</v>
      </c>
      <c r="E2771" t="s">
        <v>3336</v>
      </c>
      <c r="F2771" t="s">
        <v>3336</v>
      </c>
      <c r="G2771" t="s">
        <v>5</v>
      </c>
      <c r="H2771" t="s">
        <v>5</v>
      </c>
      <c r="I2771" t="s">
        <v>2083</v>
      </c>
      <c r="J2771" t="s">
        <v>40</v>
      </c>
      <c r="K2771" s="3">
        <f t="shared" si="86"/>
        <v>0</v>
      </c>
      <c r="L2771" s="3">
        <f>IF(ISERROR(VLOOKUP(J2771,Lookups!$A$2:$A$16,1,FALSE)),1,0)</f>
        <v>1</v>
      </c>
      <c r="M2771" s="3">
        <f>IF(ISERROR(VLOOKUP(D2771,Data!$A$2:$D$223100,2,FALSE)),0,1)</f>
        <v>1</v>
      </c>
      <c r="N2771" s="3">
        <f t="shared" si="87"/>
        <v>1</v>
      </c>
      <c r="O2771" s="3" t="str">
        <f>IF(ISERROR(VLOOKUP(D2771,Data!$A$2:$C$223100,3,FALSE)),"INACTIVE",VLOOKUP(D2771,Data!$A$2:$C$223100,3,FALSE))</f>
        <v>Current</v>
      </c>
    </row>
    <row r="2772" spans="1:15" x14ac:dyDescent="0.25">
      <c r="A2772" t="s">
        <v>3221</v>
      </c>
      <c r="B2772" t="s">
        <v>3222</v>
      </c>
      <c r="C2772" t="s">
        <v>3337</v>
      </c>
      <c r="D2772" t="s">
        <v>3338</v>
      </c>
      <c r="E2772" t="s">
        <v>3339</v>
      </c>
      <c r="F2772" t="s">
        <v>3339</v>
      </c>
      <c r="G2772" t="s">
        <v>5</v>
      </c>
      <c r="H2772" t="s">
        <v>5</v>
      </c>
      <c r="I2772" t="s">
        <v>2083</v>
      </c>
      <c r="J2772" t="s">
        <v>40</v>
      </c>
      <c r="K2772" s="3">
        <f t="shared" si="86"/>
        <v>0</v>
      </c>
      <c r="L2772" s="3">
        <f>IF(ISERROR(VLOOKUP(J2772,Lookups!$A$2:$A$16,1,FALSE)),1,0)</f>
        <v>1</v>
      </c>
      <c r="M2772" s="3">
        <f>IF(ISERROR(VLOOKUP(D2772,Data!$A$2:$D$223100,2,FALSE)),0,1)</f>
        <v>1</v>
      </c>
      <c r="N2772" s="3">
        <f t="shared" si="87"/>
        <v>1</v>
      </c>
      <c r="O2772" s="3" t="str">
        <f>IF(ISERROR(VLOOKUP(D2772,Data!$A$2:$C$223100,3,FALSE)),"INACTIVE",VLOOKUP(D2772,Data!$A$2:$C$223100,3,FALSE))</f>
        <v>Current</v>
      </c>
    </row>
    <row r="2773" spans="1:15" x14ac:dyDescent="0.25">
      <c r="A2773" t="s">
        <v>3221</v>
      </c>
      <c r="B2773" t="s">
        <v>3222</v>
      </c>
      <c r="C2773" t="s">
        <v>3340</v>
      </c>
      <c r="D2773" t="s">
        <v>3341</v>
      </c>
      <c r="E2773" t="s">
        <v>3342</v>
      </c>
      <c r="F2773" t="s">
        <v>3342</v>
      </c>
      <c r="G2773" t="s">
        <v>5</v>
      </c>
      <c r="H2773" t="s">
        <v>5</v>
      </c>
      <c r="I2773" t="s">
        <v>2083</v>
      </c>
      <c r="J2773" t="s">
        <v>40</v>
      </c>
      <c r="K2773" s="3">
        <f t="shared" si="86"/>
        <v>0</v>
      </c>
      <c r="L2773" s="3">
        <f>IF(ISERROR(VLOOKUP(J2773,Lookups!$A$2:$A$16,1,FALSE)),1,0)</f>
        <v>1</v>
      </c>
      <c r="M2773" s="3">
        <f>IF(ISERROR(VLOOKUP(D2773,Data!$A$2:$D$223100,2,FALSE)),0,1)</f>
        <v>1</v>
      </c>
      <c r="N2773" s="3">
        <f t="shared" si="87"/>
        <v>1</v>
      </c>
      <c r="O2773" s="3" t="str">
        <f>IF(ISERROR(VLOOKUP(D2773,Data!$A$2:$C$223100,3,FALSE)),"INACTIVE",VLOOKUP(D2773,Data!$A$2:$C$223100,3,FALSE))</f>
        <v>Current</v>
      </c>
    </row>
    <row r="2774" spans="1:15" x14ac:dyDescent="0.25">
      <c r="A2774" t="s">
        <v>3221</v>
      </c>
      <c r="B2774" t="s">
        <v>3222</v>
      </c>
      <c r="C2774" t="s">
        <v>3343</v>
      </c>
      <c r="D2774" t="s">
        <v>3344</v>
      </c>
      <c r="E2774" t="s">
        <v>3345</v>
      </c>
      <c r="F2774" t="s">
        <v>3345</v>
      </c>
      <c r="G2774" t="s">
        <v>5</v>
      </c>
      <c r="H2774" t="s">
        <v>5</v>
      </c>
      <c r="I2774" t="s">
        <v>2083</v>
      </c>
      <c r="J2774" t="s">
        <v>40</v>
      </c>
      <c r="K2774" s="3">
        <f t="shared" si="86"/>
        <v>0</v>
      </c>
      <c r="L2774" s="3">
        <f>IF(ISERROR(VLOOKUP(J2774,Lookups!$A$2:$A$16,1,FALSE)),1,0)</f>
        <v>1</v>
      </c>
      <c r="M2774" s="3">
        <f>IF(ISERROR(VLOOKUP(D2774,Data!$A$2:$D$223100,2,FALSE)),0,1)</f>
        <v>1</v>
      </c>
      <c r="N2774" s="3">
        <f t="shared" si="87"/>
        <v>1</v>
      </c>
      <c r="O2774" s="3" t="str">
        <f>IF(ISERROR(VLOOKUP(D2774,Data!$A$2:$C$223100,3,FALSE)),"INACTIVE",VLOOKUP(D2774,Data!$A$2:$C$223100,3,FALSE))</f>
        <v>Current</v>
      </c>
    </row>
    <row r="2775" spans="1:15" x14ac:dyDescent="0.25">
      <c r="A2775" t="s">
        <v>3221</v>
      </c>
      <c r="B2775" t="s">
        <v>3222</v>
      </c>
      <c r="C2775" t="s">
        <v>3346</v>
      </c>
      <c r="D2775" t="s">
        <v>3347</v>
      </c>
      <c r="E2775" t="s">
        <v>3348</v>
      </c>
      <c r="F2775" t="s">
        <v>3348</v>
      </c>
      <c r="G2775" t="s">
        <v>5</v>
      </c>
      <c r="H2775" t="s">
        <v>5</v>
      </c>
      <c r="I2775" t="s">
        <v>2083</v>
      </c>
      <c r="J2775" t="s">
        <v>40</v>
      </c>
      <c r="K2775" s="3">
        <f t="shared" si="86"/>
        <v>0</v>
      </c>
      <c r="L2775" s="3">
        <f>IF(ISERROR(VLOOKUP(J2775,Lookups!$A$2:$A$16,1,FALSE)),1,0)</f>
        <v>1</v>
      </c>
      <c r="M2775" s="3">
        <f>IF(ISERROR(VLOOKUP(D2775,Data!$A$2:$D$223100,2,FALSE)),0,1)</f>
        <v>1</v>
      </c>
      <c r="N2775" s="3">
        <f t="shared" si="87"/>
        <v>1</v>
      </c>
      <c r="O2775" s="3" t="str">
        <f>IF(ISERROR(VLOOKUP(D2775,Data!$A$2:$C$223100,3,FALSE)),"INACTIVE",VLOOKUP(D2775,Data!$A$2:$C$223100,3,FALSE))</f>
        <v>Current</v>
      </c>
    </row>
    <row r="2776" spans="1:15" x14ac:dyDescent="0.25">
      <c r="A2776" t="s">
        <v>3221</v>
      </c>
      <c r="B2776" t="s">
        <v>3222</v>
      </c>
      <c r="C2776" t="s">
        <v>3349</v>
      </c>
      <c r="D2776" t="s">
        <v>3350</v>
      </c>
      <c r="E2776" t="s">
        <v>3351</v>
      </c>
      <c r="F2776" t="s">
        <v>3351</v>
      </c>
      <c r="G2776" t="s">
        <v>5</v>
      </c>
      <c r="H2776" t="s">
        <v>5</v>
      </c>
      <c r="I2776" t="s">
        <v>2083</v>
      </c>
      <c r="J2776" t="s">
        <v>40</v>
      </c>
      <c r="K2776" s="3">
        <f t="shared" si="86"/>
        <v>0</v>
      </c>
      <c r="L2776" s="3">
        <f>IF(ISERROR(VLOOKUP(J2776,Lookups!$A$2:$A$16,1,FALSE)),1,0)</f>
        <v>1</v>
      </c>
      <c r="M2776" s="3">
        <f>IF(ISERROR(VLOOKUP(D2776,Data!$A$2:$D$223100,2,FALSE)),0,1)</f>
        <v>1</v>
      </c>
      <c r="N2776" s="3">
        <f t="shared" si="87"/>
        <v>1</v>
      </c>
      <c r="O2776" s="3" t="str">
        <f>IF(ISERROR(VLOOKUP(D2776,Data!$A$2:$C$223100,3,FALSE)),"INACTIVE",VLOOKUP(D2776,Data!$A$2:$C$223100,3,FALSE))</f>
        <v>120+</v>
      </c>
    </row>
    <row r="2777" spans="1:15" x14ac:dyDescent="0.25">
      <c r="A2777" t="s">
        <v>3221</v>
      </c>
      <c r="B2777" t="s">
        <v>3222</v>
      </c>
      <c r="C2777" t="s">
        <v>3352</v>
      </c>
      <c r="D2777" t="s">
        <v>3353</v>
      </c>
      <c r="E2777" t="s">
        <v>3354</v>
      </c>
      <c r="F2777" t="s">
        <v>3354</v>
      </c>
      <c r="G2777" t="s">
        <v>5</v>
      </c>
      <c r="H2777" t="s">
        <v>5</v>
      </c>
      <c r="I2777" t="s">
        <v>2083</v>
      </c>
      <c r="J2777" t="s">
        <v>40</v>
      </c>
      <c r="K2777" s="3">
        <f t="shared" si="86"/>
        <v>0</v>
      </c>
      <c r="L2777" s="3">
        <f>IF(ISERROR(VLOOKUP(J2777,Lookups!$A$2:$A$16,1,FALSE)),1,0)</f>
        <v>1</v>
      </c>
      <c r="M2777" s="3">
        <f>IF(ISERROR(VLOOKUP(D2777,Data!$A$2:$D$223100,2,FALSE)),0,1)</f>
        <v>1</v>
      </c>
      <c r="N2777" s="3">
        <f t="shared" si="87"/>
        <v>1</v>
      </c>
      <c r="O2777" s="3" t="str">
        <f>IF(ISERROR(VLOOKUP(D2777,Data!$A$2:$C$223100,3,FALSE)),"INACTIVE",VLOOKUP(D2777,Data!$A$2:$C$223100,3,FALSE))</f>
        <v>Demand Letter</v>
      </c>
    </row>
    <row r="2778" spans="1:15" x14ac:dyDescent="0.25">
      <c r="A2778" t="s">
        <v>3221</v>
      </c>
      <c r="B2778" t="s">
        <v>3222</v>
      </c>
      <c r="C2778" t="s">
        <v>3355</v>
      </c>
      <c r="D2778" t="s">
        <v>3356</v>
      </c>
      <c r="E2778" t="s">
        <v>3357</v>
      </c>
      <c r="F2778" t="s">
        <v>3357</v>
      </c>
      <c r="G2778" t="s">
        <v>5</v>
      </c>
      <c r="H2778" t="s">
        <v>5</v>
      </c>
      <c r="I2778" t="s">
        <v>2083</v>
      </c>
      <c r="J2778" t="s">
        <v>40</v>
      </c>
      <c r="K2778" s="3">
        <f t="shared" si="86"/>
        <v>0</v>
      </c>
      <c r="L2778" s="3">
        <f>IF(ISERROR(VLOOKUP(J2778,Lookups!$A$2:$A$16,1,FALSE)),1,0)</f>
        <v>1</v>
      </c>
      <c r="M2778" s="3">
        <f>IF(ISERROR(VLOOKUP(D2778,Data!$A$2:$D$223100,2,FALSE)),0,1)</f>
        <v>1</v>
      </c>
      <c r="N2778" s="3">
        <f t="shared" si="87"/>
        <v>1</v>
      </c>
      <c r="O2778" s="3" t="str">
        <f>IF(ISERROR(VLOOKUP(D2778,Data!$A$2:$C$223100,3,FALSE)),"INACTIVE",VLOOKUP(D2778,Data!$A$2:$C$223100,3,FALSE))</f>
        <v>Current</v>
      </c>
    </row>
    <row r="2779" spans="1:15" x14ac:dyDescent="0.25">
      <c r="A2779" t="s">
        <v>3221</v>
      </c>
      <c r="B2779" t="s">
        <v>3222</v>
      </c>
      <c r="C2779" t="s">
        <v>3358</v>
      </c>
      <c r="D2779" t="s">
        <v>3359</v>
      </c>
      <c r="E2779" t="s">
        <v>3360</v>
      </c>
      <c r="F2779" t="s">
        <v>3360</v>
      </c>
      <c r="G2779" t="s">
        <v>5</v>
      </c>
      <c r="H2779" t="s">
        <v>5</v>
      </c>
      <c r="I2779" t="s">
        <v>2083</v>
      </c>
      <c r="J2779" t="s">
        <v>40</v>
      </c>
      <c r="K2779" s="3">
        <f t="shared" si="86"/>
        <v>0</v>
      </c>
      <c r="L2779" s="3">
        <f>IF(ISERROR(VLOOKUP(J2779,Lookups!$A$2:$A$16,1,FALSE)),1,0)</f>
        <v>1</v>
      </c>
      <c r="M2779" s="3">
        <f>IF(ISERROR(VLOOKUP(D2779,Data!$A$2:$D$223100,2,FALSE)),0,1)</f>
        <v>1</v>
      </c>
      <c r="N2779" s="3">
        <f t="shared" si="87"/>
        <v>1</v>
      </c>
      <c r="O2779" s="3" t="str">
        <f>IF(ISERROR(VLOOKUP(D2779,Data!$A$2:$C$223100,3,FALSE)),"INACTIVE",VLOOKUP(D2779,Data!$A$2:$C$223100,3,FALSE))</f>
        <v>BK13</v>
      </c>
    </row>
    <row r="2780" spans="1:15" x14ac:dyDescent="0.25">
      <c r="A2780" t="s">
        <v>3221</v>
      </c>
      <c r="B2780" t="s">
        <v>3222</v>
      </c>
      <c r="C2780" t="s">
        <v>3361</v>
      </c>
      <c r="D2780" t="s">
        <v>3362</v>
      </c>
      <c r="E2780" t="s">
        <v>3363</v>
      </c>
      <c r="F2780" t="s">
        <v>3363</v>
      </c>
      <c r="G2780" t="s">
        <v>5</v>
      </c>
      <c r="H2780" t="s">
        <v>5</v>
      </c>
      <c r="I2780" t="s">
        <v>2083</v>
      </c>
      <c r="J2780" t="s">
        <v>40</v>
      </c>
      <c r="K2780" s="3">
        <f t="shared" si="86"/>
        <v>0</v>
      </c>
      <c r="L2780" s="3">
        <f>IF(ISERROR(VLOOKUP(J2780,Lookups!$A$2:$A$16,1,FALSE)),1,0)</f>
        <v>1</v>
      </c>
      <c r="M2780" s="3">
        <f>IF(ISERROR(VLOOKUP(D2780,Data!$A$2:$D$223100,2,FALSE)),0,1)</f>
        <v>1</v>
      </c>
      <c r="N2780" s="3">
        <f t="shared" si="87"/>
        <v>1</v>
      </c>
      <c r="O2780" s="3" t="str">
        <f>IF(ISERROR(VLOOKUP(D2780,Data!$A$2:$C$223100,3,FALSE)),"INACTIVE",VLOOKUP(D2780,Data!$A$2:$C$223100,3,FALSE))</f>
        <v>30+</v>
      </c>
    </row>
    <row r="2781" spans="1:15" x14ac:dyDescent="0.25">
      <c r="A2781" t="s">
        <v>3221</v>
      </c>
      <c r="B2781" t="s">
        <v>3222</v>
      </c>
      <c r="C2781" t="s">
        <v>3364</v>
      </c>
      <c r="D2781" t="s">
        <v>3365</v>
      </c>
      <c r="E2781" t="s">
        <v>3366</v>
      </c>
      <c r="F2781" t="s">
        <v>3366</v>
      </c>
      <c r="G2781" t="s">
        <v>5</v>
      </c>
      <c r="H2781" t="s">
        <v>5</v>
      </c>
      <c r="I2781" t="s">
        <v>2083</v>
      </c>
      <c r="J2781" t="s">
        <v>40</v>
      </c>
      <c r="K2781" s="3">
        <f t="shared" si="86"/>
        <v>0</v>
      </c>
      <c r="L2781" s="3">
        <f>IF(ISERROR(VLOOKUP(J2781,Lookups!$A$2:$A$16,1,FALSE)),1,0)</f>
        <v>1</v>
      </c>
      <c r="M2781" s="3">
        <f>IF(ISERROR(VLOOKUP(D2781,Data!$A$2:$D$223100,2,FALSE)),0,1)</f>
        <v>1</v>
      </c>
      <c r="N2781" s="3">
        <f t="shared" si="87"/>
        <v>1</v>
      </c>
      <c r="O2781" s="3" t="str">
        <f>IF(ISERROR(VLOOKUP(D2781,Data!$A$2:$C$223100,3,FALSE)),"INACTIVE",VLOOKUP(D2781,Data!$A$2:$C$223100,3,FALSE))</f>
        <v>Current</v>
      </c>
    </row>
    <row r="2782" spans="1:15" x14ac:dyDescent="0.25">
      <c r="A2782" t="s">
        <v>3221</v>
      </c>
      <c r="B2782" t="s">
        <v>3222</v>
      </c>
      <c r="C2782" t="s">
        <v>3367</v>
      </c>
      <c r="D2782" t="s">
        <v>3368</v>
      </c>
      <c r="E2782" t="s">
        <v>3369</v>
      </c>
      <c r="F2782" t="s">
        <v>3369</v>
      </c>
      <c r="G2782" t="s">
        <v>5</v>
      </c>
      <c r="H2782" t="s">
        <v>5</v>
      </c>
      <c r="I2782" t="s">
        <v>2083</v>
      </c>
      <c r="J2782" t="s">
        <v>40</v>
      </c>
      <c r="K2782" s="3">
        <f t="shared" si="86"/>
        <v>0</v>
      </c>
      <c r="L2782" s="3">
        <f>IF(ISERROR(VLOOKUP(J2782,Lookups!$A$2:$A$16,1,FALSE)),1,0)</f>
        <v>1</v>
      </c>
      <c r="M2782" s="3">
        <f>IF(ISERROR(VLOOKUP(D2782,Data!$A$2:$D$223100,2,FALSE)),0,1)</f>
        <v>1</v>
      </c>
      <c r="N2782" s="3">
        <f t="shared" si="87"/>
        <v>1</v>
      </c>
      <c r="O2782" s="3" t="str">
        <f>IF(ISERROR(VLOOKUP(D2782,Data!$A$2:$C$223100,3,FALSE)),"INACTIVE",VLOOKUP(D2782,Data!$A$2:$C$223100,3,FALSE))</f>
        <v>Demand Letter</v>
      </c>
    </row>
    <row r="2783" spans="1:15" x14ac:dyDescent="0.25">
      <c r="A2783" t="s">
        <v>3221</v>
      </c>
      <c r="B2783" t="s">
        <v>3222</v>
      </c>
      <c r="C2783" t="s">
        <v>3370</v>
      </c>
      <c r="D2783" t="s">
        <v>3371</v>
      </c>
      <c r="E2783" t="s">
        <v>3372</v>
      </c>
      <c r="F2783" t="s">
        <v>3372</v>
      </c>
      <c r="G2783" t="s">
        <v>5</v>
      </c>
      <c r="H2783" t="s">
        <v>5</v>
      </c>
      <c r="I2783" t="s">
        <v>2083</v>
      </c>
      <c r="J2783" t="s">
        <v>40</v>
      </c>
      <c r="K2783" s="3">
        <f t="shared" si="86"/>
        <v>0</v>
      </c>
      <c r="L2783" s="3">
        <f>IF(ISERROR(VLOOKUP(J2783,Lookups!$A$2:$A$16,1,FALSE)),1,0)</f>
        <v>1</v>
      </c>
      <c r="M2783" s="3">
        <f>IF(ISERROR(VLOOKUP(D2783,Data!$A$2:$D$223100,2,FALSE)),0,1)</f>
        <v>1</v>
      </c>
      <c r="N2783" s="3">
        <f t="shared" si="87"/>
        <v>1</v>
      </c>
      <c r="O2783" s="3" t="str">
        <f>IF(ISERROR(VLOOKUP(D2783,Data!$A$2:$C$223100,3,FALSE)),"INACTIVE",VLOOKUP(D2783,Data!$A$2:$C$223100,3,FALSE))</f>
        <v>Current</v>
      </c>
    </row>
    <row r="2784" spans="1:15" x14ac:dyDescent="0.25">
      <c r="A2784" t="s">
        <v>3221</v>
      </c>
      <c r="B2784" t="s">
        <v>3222</v>
      </c>
      <c r="C2784" t="s">
        <v>3373</v>
      </c>
      <c r="D2784" t="s">
        <v>3374</v>
      </c>
      <c r="E2784" t="s">
        <v>3375</v>
      </c>
      <c r="F2784" t="s">
        <v>3375</v>
      </c>
      <c r="G2784" t="s">
        <v>5</v>
      </c>
      <c r="H2784" t="s">
        <v>5</v>
      </c>
      <c r="I2784" t="s">
        <v>2083</v>
      </c>
      <c r="J2784" t="s">
        <v>40</v>
      </c>
      <c r="K2784" s="3">
        <f t="shared" si="86"/>
        <v>0</v>
      </c>
      <c r="L2784" s="3">
        <f>IF(ISERROR(VLOOKUP(J2784,Lookups!$A$2:$A$16,1,FALSE)),1,0)</f>
        <v>1</v>
      </c>
      <c r="M2784" s="3">
        <f>IF(ISERROR(VLOOKUP(D2784,Data!$A$2:$D$223100,2,FALSE)),0,1)</f>
        <v>1</v>
      </c>
      <c r="N2784" s="3">
        <f t="shared" si="87"/>
        <v>1</v>
      </c>
      <c r="O2784" s="3" t="str">
        <f>IF(ISERROR(VLOOKUP(D2784,Data!$A$2:$C$223100,3,FALSE)),"INACTIVE",VLOOKUP(D2784,Data!$A$2:$C$223100,3,FALSE))</f>
        <v>FBA</v>
      </c>
    </row>
    <row r="2785" spans="1:15" x14ac:dyDescent="0.25">
      <c r="A2785" t="s">
        <v>3221</v>
      </c>
      <c r="B2785" t="s">
        <v>3222</v>
      </c>
      <c r="C2785" t="s">
        <v>3376</v>
      </c>
      <c r="D2785" t="s">
        <v>3377</v>
      </c>
      <c r="E2785" t="s">
        <v>3378</v>
      </c>
      <c r="F2785" t="s">
        <v>3378</v>
      </c>
      <c r="G2785" t="s">
        <v>5</v>
      </c>
      <c r="H2785" t="s">
        <v>5</v>
      </c>
      <c r="I2785" t="s">
        <v>2083</v>
      </c>
      <c r="J2785" t="s">
        <v>40</v>
      </c>
      <c r="K2785" s="3">
        <f t="shared" si="86"/>
        <v>0</v>
      </c>
      <c r="L2785" s="3">
        <f>IF(ISERROR(VLOOKUP(J2785,Lookups!$A$2:$A$16,1,FALSE)),1,0)</f>
        <v>1</v>
      </c>
      <c r="M2785" s="3">
        <f>IF(ISERROR(VLOOKUP(D2785,Data!$A$2:$D$223100,2,FALSE)),0,1)</f>
        <v>1</v>
      </c>
      <c r="N2785" s="3">
        <f t="shared" si="87"/>
        <v>1</v>
      </c>
      <c r="O2785" s="3" t="str">
        <f>IF(ISERROR(VLOOKUP(D2785,Data!$A$2:$C$223100,3,FALSE)),"INACTIVE",VLOOKUP(D2785,Data!$A$2:$C$223100,3,FALSE))</f>
        <v>Current</v>
      </c>
    </row>
    <row r="2786" spans="1:15" x14ac:dyDescent="0.25">
      <c r="A2786" t="s">
        <v>3221</v>
      </c>
      <c r="B2786" t="s">
        <v>3222</v>
      </c>
      <c r="C2786" t="s">
        <v>3379</v>
      </c>
      <c r="D2786" t="s">
        <v>3380</v>
      </c>
      <c r="E2786" t="s">
        <v>3381</v>
      </c>
      <c r="F2786" t="s">
        <v>3381</v>
      </c>
      <c r="G2786" t="s">
        <v>5</v>
      </c>
      <c r="H2786" t="s">
        <v>5</v>
      </c>
      <c r="I2786" t="s">
        <v>2083</v>
      </c>
      <c r="J2786" t="s">
        <v>40</v>
      </c>
      <c r="K2786" s="3">
        <f t="shared" si="86"/>
        <v>0</v>
      </c>
      <c r="L2786" s="3">
        <f>IF(ISERROR(VLOOKUP(J2786,Lookups!$A$2:$A$16,1,FALSE)),1,0)</f>
        <v>1</v>
      </c>
      <c r="M2786" s="3">
        <f>IF(ISERROR(VLOOKUP(D2786,Data!$A$2:$D$223100,2,FALSE)),0,1)</f>
        <v>1</v>
      </c>
      <c r="N2786" s="3">
        <f t="shared" si="87"/>
        <v>1</v>
      </c>
      <c r="O2786" s="3" t="str">
        <f>IF(ISERROR(VLOOKUP(D2786,Data!$A$2:$C$223100,3,FALSE)),"INACTIVE",VLOOKUP(D2786,Data!$A$2:$C$223100,3,FALSE))</f>
        <v>Current</v>
      </c>
    </row>
    <row r="2787" spans="1:15" x14ac:dyDescent="0.25">
      <c r="A2787" t="s">
        <v>3221</v>
      </c>
      <c r="B2787" t="s">
        <v>3222</v>
      </c>
      <c r="C2787" t="s">
        <v>3382</v>
      </c>
      <c r="D2787" t="s">
        <v>3383</v>
      </c>
      <c r="E2787" t="s">
        <v>3384</v>
      </c>
      <c r="F2787" t="s">
        <v>3384</v>
      </c>
      <c r="G2787" t="s">
        <v>5</v>
      </c>
      <c r="H2787" t="s">
        <v>5</v>
      </c>
      <c r="I2787" t="s">
        <v>2083</v>
      </c>
      <c r="J2787" t="s">
        <v>40</v>
      </c>
      <c r="K2787" s="3">
        <f t="shared" si="86"/>
        <v>0</v>
      </c>
      <c r="L2787" s="3">
        <f>IF(ISERROR(VLOOKUP(J2787,Lookups!$A$2:$A$16,1,FALSE)),1,0)</f>
        <v>1</v>
      </c>
      <c r="M2787" s="3">
        <f>IF(ISERROR(VLOOKUP(D2787,Data!$A$2:$D$223100,2,FALSE)),0,1)</f>
        <v>1</v>
      </c>
      <c r="N2787" s="3">
        <f t="shared" si="87"/>
        <v>1</v>
      </c>
      <c r="O2787" s="3" t="str">
        <f>IF(ISERROR(VLOOKUP(D2787,Data!$A$2:$C$223100,3,FALSE)),"INACTIVE",VLOOKUP(D2787,Data!$A$2:$C$223100,3,FALSE))</f>
        <v>30+</v>
      </c>
    </row>
    <row r="2788" spans="1:15" x14ac:dyDescent="0.25">
      <c r="A2788" t="s">
        <v>3221</v>
      </c>
      <c r="B2788" t="s">
        <v>3222</v>
      </c>
      <c r="C2788" t="s">
        <v>3385</v>
      </c>
      <c r="D2788" t="s">
        <v>3386</v>
      </c>
      <c r="E2788" t="s">
        <v>3387</v>
      </c>
      <c r="F2788" t="s">
        <v>3387</v>
      </c>
      <c r="G2788" t="s">
        <v>5</v>
      </c>
      <c r="H2788" t="s">
        <v>5</v>
      </c>
      <c r="I2788" t="s">
        <v>2083</v>
      </c>
      <c r="J2788" t="s">
        <v>40</v>
      </c>
      <c r="K2788" s="3">
        <f t="shared" si="86"/>
        <v>0</v>
      </c>
      <c r="L2788" s="3">
        <f>IF(ISERROR(VLOOKUP(J2788,Lookups!$A$2:$A$16,1,FALSE)),1,0)</f>
        <v>1</v>
      </c>
      <c r="M2788" s="3">
        <f>IF(ISERROR(VLOOKUP(D2788,Data!$A$2:$D$223100,2,FALSE)),0,1)</f>
        <v>1</v>
      </c>
      <c r="N2788" s="3">
        <f t="shared" si="87"/>
        <v>1</v>
      </c>
      <c r="O2788" s="3" t="str">
        <f>IF(ISERROR(VLOOKUP(D2788,Data!$A$2:$C$223100,3,FALSE)),"INACTIVE",VLOOKUP(D2788,Data!$A$2:$C$223100,3,FALSE))</f>
        <v>60+</v>
      </c>
    </row>
    <row r="2789" spans="1:15" x14ac:dyDescent="0.25">
      <c r="A2789" t="s">
        <v>3221</v>
      </c>
      <c r="B2789" t="s">
        <v>3222</v>
      </c>
      <c r="C2789" t="s">
        <v>3388</v>
      </c>
      <c r="D2789" t="s">
        <v>3389</v>
      </c>
      <c r="E2789" t="s">
        <v>3390</v>
      </c>
      <c r="F2789" t="s">
        <v>3390</v>
      </c>
      <c r="G2789" t="s">
        <v>5</v>
      </c>
      <c r="H2789" t="s">
        <v>5</v>
      </c>
      <c r="I2789" t="s">
        <v>2083</v>
      </c>
      <c r="J2789" t="s">
        <v>40</v>
      </c>
      <c r="K2789" s="3">
        <f t="shared" si="86"/>
        <v>0</v>
      </c>
      <c r="L2789" s="3">
        <f>IF(ISERROR(VLOOKUP(J2789,Lookups!$A$2:$A$16,1,FALSE)),1,0)</f>
        <v>1</v>
      </c>
      <c r="M2789" s="3">
        <f>IF(ISERROR(VLOOKUP(D2789,Data!$A$2:$D$223100,2,FALSE)),0,1)</f>
        <v>1</v>
      </c>
      <c r="N2789" s="3">
        <f t="shared" si="87"/>
        <v>1</v>
      </c>
      <c r="O2789" s="3" t="str">
        <f>IF(ISERROR(VLOOKUP(D2789,Data!$A$2:$C$223100,3,FALSE)),"INACTIVE",VLOOKUP(D2789,Data!$A$2:$C$223100,3,FALSE))</f>
        <v>Demand Letter</v>
      </c>
    </row>
    <row r="2790" spans="1:15" x14ac:dyDescent="0.25">
      <c r="A2790" t="s">
        <v>3221</v>
      </c>
      <c r="B2790" t="s">
        <v>3222</v>
      </c>
      <c r="C2790" t="s">
        <v>3391</v>
      </c>
      <c r="D2790" t="s">
        <v>3392</v>
      </c>
      <c r="E2790" t="s">
        <v>3393</v>
      </c>
      <c r="F2790" t="s">
        <v>3393</v>
      </c>
      <c r="G2790" t="s">
        <v>5</v>
      </c>
      <c r="H2790" t="s">
        <v>5</v>
      </c>
      <c r="I2790" t="s">
        <v>2083</v>
      </c>
      <c r="J2790" t="s">
        <v>40</v>
      </c>
      <c r="K2790" s="3">
        <f t="shared" si="86"/>
        <v>0</v>
      </c>
      <c r="L2790" s="3">
        <f>IF(ISERROR(VLOOKUP(J2790,Lookups!$A$2:$A$16,1,FALSE)),1,0)</f>
        <v>1</v>
      </c>
      <c r="M2790" s="3">
        <f>IF(ISERROR(VLOOKUP(D2790,Data!$A$2:$D$223100,2,FALSE)),0,1)</f>
        <v>1</v>
      </c>
      <c r="N2790" s="3">
        <f t="shared" si="87"/>
        <v>1</v>
      </c>
      <c r="O2790" s="3" t="str">
        <f>IF(ISERROR(VLOOKUP(D2790,Data!$A$2:$C$223100,3,FALSE)),"INACTIVE",VLOOKUP(D2790,Data!$A$2:$C$223100,3,FALSE))</f>
        <v>Current</v>
      </c>
    </row>
    <row r="2791" spans="1:15" x14ac:dyDescent="0.25">
      <c r="A2791" t="s">
        <v>3221</v>
      </c>
      <c r="B2791" t="s">
        <v>3222</v>
      </c>
      <c r="C2791" t="s">
        <v>3394</v>
      </c>
      <c r="D2791" t="s">
        <v>3395</v>
      </c>
      <c r="E2791" t="s">
        <v>3396</v>
      </c>
      <c r="F2791" t="s">
        <v>3396</v>
      </c>
      <c r="G2791" t="s">
        <v>5</v>
      </c>
      <c r="H2791" t="s">
        <v>5</v>
      </c>
      <c r="I2791" t="s">
        <v>2083</v>
      </c>
      <c r="J2791" t="s">
        <v>40</v>
      </c>
      <c r="K2791" s="3">
        <f t="shared" si="86"/>
        <v>0</v>
      </c>
      <c r="L2791" s="3">
        <f>IF(ISERROR(VLOOKUP(J2791,Lookups!$A$2:$A$16,1,FALSE)),1,0)</f>
        <v>1</v>
      </c>
      <c r="M2791" s="3">
        <f>IF(ISERROR(VLOOKUP(D2791,Data!$A$2:$D$223100,2,FALSE)),0,1)</f>
        <v>1</v>
      </c>
      <c r="N2791" s="3">
        <f t="shared" si="87"/>
        <v>1</v>
      </c>
      <c r="O2791" s="3" t="str">
        <f>IF(ISERROR(VLOOKUP(D2791,Data!$A$2:$C$223100,3,FALSE)),"INACTIVE",VLOOKUP(D2791,Data!$A$2:$C$223100,3,FALSE))</f>
        <v>120+</v>
      </c>
    </row>
    <row r="2792" spans="1:15" x14ac:dyDescent="0.25">
      <c r="A2792" t="s">
        <v>3221</v>
      </c>
      <c r="B2792" t="s">
        <v>3222</v>
      </c>
      <c r="C2792" t="s">
        <v>3397</v>
      </c>
      <c r="D2792" t="s">
        <v>3398</v>
      </c>
      <c r="E2792" t="s">
        <v>3399</v>
      </c>
      <c r="F2792" t="s">
        <v>3399</v>
      </c>
      <c r="G2792" t="s">
        <v>5</v>
      </c>
      <c r="H2792" t="s">
        <v>5</v>
      </c>
      <c r="I2792" t="s">
        <v>2083</v>
      </c>
      <c r="J2792" t="s">
        <v>40</v>
      </c>
      <c r="K2792" s="3">
        <f t="shared" si="86"/>
        <v>0</v>
      </c>
      <c r="L2792" s="3">
        <f>IF(ISERROR(VLOOKUP(J2792,Lookups!$A$2:$A$16,1,FALSE)),1,0)</f>
        <v>1</v>
      </c>
      <c r="M2792" s="3">
        <f>IF(ISERROR(VLOOKUP(D2792,Data!$A$2:$D$223100,2,FALSE)),0,1)</f>
        <v>1</v>
      </c>
      <c r="N2792" s="3">
        <f t="shared" si="87"/>
        <v>1</v>
      </c>
      <c r="O2792" s="3" t="str">
        <f>IF(ISERROR(VLOOKUP(D2792,Data!$A$2:$C$223100,3,FALSE)),"INACTIVE",VLOOKUP(D2792,Data!$A$2:$C$223100,3,FALSE))</f>
        <v>FBA</v>
      </c>
    </row>
    <row r="2793" spans="1:15" x14ac:dyDescent="0.25">
      <c r="A2793" t="s">
        <v>3221</v>
      </c>
      <c r="B2793" t="s">
        <v>3222</v>
      </c>
      <c r="C2793" t="s">
        <v>3400</v>
      </c>
      <c r="D2793" t="s">
        <v>3401</v>
      </c>
      <c r="E2793" t="s">
        <v>3402</v>
      </c>
      <c r="F2793" t="s">
        <v>3402</v>
      </c>
      <c r="G2793" t="s">
        <v>5</v>
      </c>
      <c r="H2793" t="s">
        <v>5</v>
      </c>
      <c r="I2793" t="s">
        <v>2083</v>
      </c>
      <c r="J2793" t="s">
        <v>40</v>
      </c>
      <c r="K2793" s="3">
        <f t="shared" si="86"/>
        <v>0</v>
      </c>
      <c r="L2793" s="3">
        <f>IF(ISERROR(VLOOKUP(J2793,Lookups!$A$2:$A$16,1,FALSE)),1,0)</f>
        <v>1</v>
      </c>
      <c r="M2793" s="3">
        <f>IF(ISERROR(VLOOKUP(D2793,Data!$A$2:$D$223100,2,FALSE)),0,1)</f>
        <v>1</v>
      </c>
      <c r="N2793" s="3">
        <f t="shared" si="87"/>
        <v>1</v>
      </c>
      <c r="O2793" s="3" t="str">
        <f>IF(ISERROR(VLOOKUP(D2793,Data!$A$2:$C$223100,3,FALSE)),"INACTIVE",VLOOKUP(D2793,Data!$A$2:$C$223100,3,FALSE))</f>
        <v>30+</v>
      </c>
    </row>
    <row r="2794" spans="1:15" x14ac:dyDescent="0.25">
      <c r="A2794" t="s">
        <v>3221</v>
      </c>
      <c r="B2794" t="s">
        <v>3222</v>
      </c>
      <c r="C2794" t="s">
        <v>3403</v>
      </c>
      <c r="D2794" t="s">
        <v>3404</v>
      </c>
      <c r="E2794" t="s">
        <v>3405</v>
      </c>
      <c r="F2794" t="s">
        <v>3405</v>
      </c>
      <c r="G2794" t="s">
        <v>5</v>
      </c>
      <c r="H2794" t="s">
        <v>5</v>
      </c>
      <c r="I2794" t="s">
        <v>2083</v>
      </c>
      <c r="J2794" t="s">
        <v>47</v>
      </c>
      <c r="K2794" s="3">
        <f t="shared" si="86"/>
        <v>0</v>
      </c>
      <c r="L2794" s="3">
        <f>IF(ISERROR(VLOOKUP(J2794,Lookups!$A$2:$A$16,1,FALSE)),1,0)</f>
        <v>1</v>
      </c>
      <c r="M2794" s="3">
        <f>IF(ISERROR(VLOOKUP(D2794,Data!$A$2:$D$223100,2,FALSE)),0,1)</f>
        <v>1</v>
      </c>
      <c r="N2794" s="3">
        <f t="shared" si="87"/>
        <v>1</v>
      </c>
      <c r="O2794" s="3" t="str">
        <f>IF(ISERROR(VLOOKUP(D2794,Data!$A$2:$C$223100,3,FALSE)),"INACTIVE",VLOOKUP(D2794,Data!$A$2:$C$223100,3,FALSE))</f>
        <v>60+</v>
      </c>
    </row>
    <row r="2795" spans="1:15" x14ac:dyDescent="0.25">
      <c r="A2795" t="s">
        <v>3221</v>
      </c>
      <c r="B2795" t="s">
        <v>3222</v>
      </c>
      <c r="C2795" t="s">
        <v>3406</v>
      </c>
      <c r="D2795" t="s">
        <v>3407</v>
      </c>
      <c r="E2795" t="s">
        <v>3408</v>
      </c>
      <c r="F2795" t="s">
        <v>3408</v>
      </c>
      <c r="G2795" t="s">
        <v>5</v>
      </c>
      <c r="H2795" t="s">
        <v>5</v>
      </c>
      <c r="I2795" t="s">
        <v>2083</v>
      </c>
      <c r="J2795" t="s">
        <v>40</v>
      </c>
      <c r="K2795" s="3">
        <f t="shared" si="86"/>
        <v>0</v>
      </c>
      <c r="L2795" s="3">
        <f>IF(ISERROR(VLOOKUP(J2795,Lookups!$A$2:$A$16,1,FALSE)),1,0)</f>
        <v>1</v>
      </c>
      <c r="M2795" s="3">
        <f>IF(ISERROR(VLOOKUP(D2795,Data!$A$2:$D$223100,2,FALSE)),0,1)</f>
        <v>1</v>
      </c>
      <c r="N2795" s="3">
        <f t="shared" si="87"/>
        <v>1</v>
      </c>
      <c r="O2795" s="3" t="str">
        <f>IF(ISERROR(VLOOKUP(D2795,Data!$A$2:$C$223100,3,FALSE)),"INACTIVE",VLOOKUP(D2795,Data!$A$2:$C$223100,3,FALSE))</f>
        <v>30+</v>
      </c>
    </row>
    <row r="2796" spans="1:15" x14ac:dyDescent="0.25">
      <c r="A2796" t="s">
        <v>3221</v>
      </c>
      <c r="B2796" t="s">
        <v>3222</v>
      </c>
      <c r="C2796" t="s">
        <v>3409</v>
      </c>
      <c r="D2796" t="s">
        <v>3410</v>
      </c>
      <c r="E2796" t="s">
        <v>3411</v>
      </c>
      <c r="F2796" t="s">
        <v>3411</v>
      </c>
      <c r="G2796" t="s">
        <v>5</v>
      </c>
      <c r="H2796" t="s">
        <v>5</v>
      </c>
      <c r="I2796" t="s">
        <v>2083</v>
      </c>
      <c r="J2796" t="s">
        <v>40</v>
      </c>
      <c r="K2796" s="3">
        <f t="shared" si="86"/>
        <v>0</v>
      </c>
      <c r="L2796" s="3">
        <f>IF(ISERROR(VLOOKUP(J2796,Lookups!$A$2:$A$16,1,FALSE)),1,0)</f>
        <v>1</v>
      </c>
      <c r="M2796" s="3">
        <f>IF(ISERROR(VLOOKUP(D2796,Data!$A$2:$D$223100,2,FALSE)),0,1)</f>
        <v>1</v>
      </c>
      <c r="N2796" s="3">
        <f t="shared" si="87"/>
        <v>1</v>
      </c>
      <c r="O2796" s="3" t="str">
        <f>IF(ISERROR(VLOOKUP(D2796,Data!$A$2:$C$223100,3,FALSE)),"INACTIVE",VLOOKUP(D2796,Data!$A$2:$C$223100,3,FALSE))</f>
        <v>Current</v>
      </c>
    </row>
    <row r="2797" spans="1:15" x14ac:dyDescent="0.25">
      <c r="A2797" t="s">
        <v>3221</v>
      </c>
      <c r="B2797" t="s">
        <v>3222</v>
      </c>
      <c r="C2797" t="s">
        <v>3412</v>
      </c>
      <c r="D2797" t="s">
        <v>3413</v>
      </c>
      <c r="E2797" t="s">
        <v>3414</v>
      </c>
      <c r="F2797" t="s">
        <v>3414</v>
      </c>
      <c r="G2797" t="s">
        <v>5</v>
      </c>
      <c r="H2797" t="s">
        <v>5</v>
      </c>
      <c r="I2797" t="s">
        <v>2083</v>
      </c>
      <c r="J2797" t="s">
        <v>40</v>
      </c>
      <c r="K2797" s="3">
        <f t="shared" si="86"/>
        <v>0</v>
      </c>
      <c r="L2797" s="3">
        <f>IF(ISERROR(VLOOKUP(J2797,Lookups!$A$2:$A$16,1,FALSE)),1,0)</f>
        <v>1</v>
      </c>
      <c r="M2797" s="3">
        <f>IF(ISERROR(VLOOKUP(D2797,Data!$A$2:$D$223100,2,FALSE)),0,1)</f>
        <v>1</v>
      </c>
      <c r="N2797" s="3">
        <f t="shared" si="87"/>
        <v>1</v>
      </c>
      <c r="O2797" s="3" t="str">
        <f>IF(ISERROR(VLOOKUP(D2797,Data!$A$2:$C$223100,3,FALSE)),"INACTIVE",VLOOKUP(D2797,Data!$A$2:$C$223100,3,FALSE))</f>
        <v>FBA</v>
      </c>
    </row>
    <row r="2798" spans="1:15" x14ac:dyDescent="0.25">
      <c r="A2798" t="s">
        <v>3221</v>
      </c>
      <c r="B2798" t="s">
        <v>3222</v>
      </c>
      <c r="C2798" t="s">
        <v>3415</v>
      </c>
      <c r="D2798" t="s">
        <v>3416</v>
      </c>
      <c r="E2798" t="s">
        <v>3417</v>
      </c>
      <c r="F2798" t="s">
        <v>3417</v>
      </c>
      <c r="G2798" t="s">
        <v>5</v>
      </c>
      <c r="H2798" t="s">
        <v>5</v>
      </c>
      <c r="I2798" t="s">
        <v>2083</v>
      </c>
      <c r="J2798" t="s">
        <v>40</v>
      </c>
      <c r="K2798" s="3">
        <f t="shared" si="86"/>
        <v>0</v>
      </c>
      <c r="L2798" s="3">
        <f>IF(ISERROR(VLOOKUP(J2798,Lookups!$A$2:$A$16,1,FALSE)),1,0)</f>
        <v>1</v>
      </c>
      <c r="M2798" s="3">
        <f>IF(ISERROR(VLOOKUP(D2798,Data!$A$2:$D$223100,2,FALSE)),0,1)</f>
        <v>1</v>
      </c>
      <c r="N2798" s="3">
        <f t="shared" si="87"/>
        <v>1</v>
      </c>
      <c r="O2798" s="3" t="str">
        <f>IF(ISERROR(VLOOKUP(D2798,Data!$A$2:$C$223100,3,FALSE)),"INACTIVE",VLOOKUP(D2798,Data!$A$2:$C$223100,3,FALSE))</f>
        <v>Current</v>
      </c>
    </row>
    <row r="2799" spans="1:15" x14ac:dyDescent="0.25">
      <c r="A2799" t="s">
        <v>3221</v>
      </c>
      <c r="B2799" t="s">
        <v>3222</v>
      </c>
      <c r="C2799" t="s">
        <v>3418</v>
      </c>
      <c r="D2799" t="s">
        <v>3419</v>
      </c>
      <c r="E2799" t="s">
        <v>3420</v>
      </c>
      <c r="F2799" t="s">
        <v>3420</v>
      </c>
      <c r="G2799" t="s">
        <v>5</v>
      </c>
      <c r="H2799" t="s">
        <v>5</v>
      </c>
      <c r="I2799" t="s">
        <v>2083</v>
      </c>
      <c r="J2799" t="s">
        <v>40</v>
      </c>
      <c r="K2799" s="3">
        <f t="shared" si="86"/>
        <v>0</v>
      </c>
      <c r="L2799" s="3">
        <f>IF(ISERROR(VLOOKUP(J2799,Lookups!$A$2:$A$16,1,FALSE)),1,0)</f>
        <v>1</v>
      </c>
      <c r="M2799" s="3">
        <f>IF(ISERROR(VLOOKUP(D2799,Data!$A$2:$D$223100,2,FALSE)),0,1)</f>
        <v>1</v>
      </c>
      <c r="N2799" s="3">
        <f t="shared" si="87"/>
        <v>1</v>
      </c>
      <c r="O2799" s="3" t="str">
        <f>IF(ISERROR(VLOOKUP(D2799,Data!$A$2:$C$223100,3,FALSE)),"INACTIVE",VLOOKUP(D2799,Data!$A$2:$C$223100,3,FALSE))</f>
        <v>Current</v>
      </c>
    </row>
    <row r="2800" spans="1:15" x14ac:dyDescent="0.25">
      <c r="A2800" t="s">
        <v>3221</v>
      </c>
      <c r="B2800" t="s">
        <v>3222</v>
      </c>
      <c r="C2800" t="s">
        <v>3421</v>
      </c>
      <c r="D2800" t="s">
        <v>3422</v>
      </c>
      <c r="E2800" t="s">
        <v>3423</v>
      </c>
      <c r="F2800" t="s">
        <v>3423</v>
      </c>
      <c r="G2800" t="s">
        <v>5</v>
      </c>
      <c r="H2800" t="s">
        <v>5</v>
      </c>
      <c r="I2800" t="s">
        <v>2083</v>
      </c>
      <c r="J2800" t="s">
        <v>40</v>
      </c>
      <c r="K2800" s="3">
        <f t="shared" si="86"/>
        <v>0</v>
      </c>
      <c r="L2800" s="3">
        <f>IF(ISERROR(VLOOKUP(J2800,Lookups!$A$2:$A$16,1,FALSE)),1,0)</f>
        <v>1</v>
      </c>
      <c r="M2800" s="3">
        <f>IF(ISERROR(VLOOKUP(D2800,Data!$A$2:$D$223100,2,FALSE)),0,1)</f>
        <v>1</v>
      </c>
      <c r="N2800" s="3">
        <f t="shared" si="87"/>
        <v>1</v>
      </c>
      <c r="O2800" s="3" t="str">
        <f>IF(ISERROR(VLOOKUP(D2800,Data!$A$2:$C$223100,3,FALSE)),"INACTIVE",VLOOKUP(D2800,Data!$A$2:$C$223100,3,FALSE))</f>
        <v>FBA</v>
      </c>
    </row>
    <row r="2801" spans="1:15" x14ac:dyDescent="0.25">
      <c r="A2801" t="s">
        <v>3558</v>
      </c>
      <c r="B2801" t="s">
        <v>3559</v>
      </c>
      <c r="C2801" t="s">
        <v>3560</v>
      </c>
      <c r="D2801" t="s">
        <v>3561</v>
      </c>
      <c r="E2801" t="s">
        <v>3562</v>
      </c>
      <c r="F2801" t="s">
        <v>3562</v>
      </c>
      <c r="G2801" t="s">
        <v>5</v>
      </c>
      <c r="H2801" t="s">
        <v>5</v>
      </c>
      <c r="I2801" t="s">
        <v>2083</v>
      </c>
      <c r="J2801" t="s">
        <v>40</v>
      </c>
      <c r="K2801" s="3">
        <f t="shared" si="86"/>
        <v>0</v>
      </c>
      <c r="L2801" s="3">
        <f>IF(ISERROR(VLOOKUP(J2801,Lookups!$A$2:$A$16,1,FALSE)),1,0)</f>
        <v>1</v>
      </c>
      <c r="M2801" s="3">
        <f>IF(ISERROR(VLOOKUP(D2801,Data!$A$2:$D$223100,2,FALSE)),0,1)</f>
        <v>1</v>
      </c>
      <c r="N2801" s="3">
        <f t="shared" si="87"/>
        <v>1</v>
      </c>
      <c r="O2801" s="3" t="str">
        <f>IF(ISERROR(VLOOKUP(D2801,Data!$A$2:$C$223100,3,FALSE)),"INACTIVE",VLOOKUP(D2801,Data!$A$2:$C$223100,3,FALSE))</f>
        <v>FBA</v>
      </c>
    </row>
    <row r="2802" spans="1:15" x14ac:dyDescent="0.25">
      <c r="A2802" t="s">
        <v>3558</v>
      </c>
      <c r="B2802" t="s">
        <v>3559</v>
      </c>
      <c r="C2802" t="s">
        <v>3563</v>
      </c>
      <c r="D2802" t="s">
        <v>3564</v>
      </c>
      <c r="E2802" t="s">
        <v>3565</v>
      </c>
      <c r="F2802" t="s">
        <v>3565</v>
      </c>
      <c r="G2802" t="s">
        <v>5</v>
      </c>
      <c r="H2802" t="s">
        <v>5</v>
      </c>
      <c r="I2802" t="s">
        <v>2083</v>
      </c>
      <c r="J2802" t="s">
        <v>47</v>
      </c>
      <c r="K2802" s="3">
        <f t="shared" si="86"/>
        <v>0</v>
      </c>
      <c r="L2802" s="3">
        <f>IF(ISERROR(VLOOKUP(J2802,Lookups!$A$2:$A$16,1,FALSE)),1,0)</f>
        <v>1</v>
      </c>
      <c r="M2802" s="3">
        <f>IF(ISERROR(VLOOKUP(D2802,Data!$A$2:$D$223100,2,FALSE)),0,1)</f>
        <v>1</v>
      </c>
      <c r="N2802" s="3">
        <f t="shared" si="87"/>
        <v>1</v>
      </c>
      <c r="O2802" s="3" t="str">
        <f>IF(ISERROR(VLOOKUP(D2802,Data!$A$2:$C$223100,3,FALSE)),"INACTIVE",VLOOKUP(D2802,Data!$A$2:$C$223100,3,FALSE))</f>
        <v>Demand Letter</v>
      </c>
    </row>
    <row r="2803" spans="1:15" x14ac:dyDescent="0.25">
      <c r="A2803" t="s">
        <v>3566</v>
      </c>
      <c r="B2803" t="s">
        <v>3567</v>
      </c>
      <c r="C2803" t="s">
        <v>3568</v>
      </c>
      <c r="D2803" t="s">
        <v>3569</v>
      </c>
      <c r="E2803" t="s">
        <v>3570</v>
      </c>
      <c r="F2803" t="s">
        <v>3570</v>
      </c>
      <c r="G2803" t="s">
        <v>5</v>
      </c>
      <c r="H2803" t="s">
        <v>5</v>
      </c>
      <c r="I2803" t="s">
        <v>2083</v>
      </c>
      <c r="J2803" t="s">
        <v>36</v>
      </c>
      <c r="K2803" s="3">
        <f t="shared" si="86"/>
        <v>0</v>
      </c>
      <c r="L2803" s="3">
        <f>IF(ISERROR(VLOOKUP(J2803,Lookups!$A$2:$A$16,1,FALSE)),1,0)</f>
        <v>1</v>
      </c>
      <c r="M2803" s="3">
        <f>IF(ISERROR(VLOOKUP(D2803,Data!$A$2:$D$223100,2,FALSE)),0,1)</f>
        <v>1</v>
      </c>
      <c r="N2803" s="3">
        <f t="shared" si="87"/>
        <v>1</v>
      </c>
      <c r="O2803" s="3" t="str">
        <f>IF(ISERROR(VLOOKUP(D2803,Data!$A$2:$C$223100,3,FALSE)),"INACTIVE",VLOOKUP(D2803,Data!$A$2:$C$223100,3,FALSE))</f>
        <v>60+</v>
      </c>
    </row>
    <row r="2804" spans="1:15" x14ac:dyDescent="0.25">
      <c r="A2804" t="s">
        <v>3566</v>
      </c>
      <c r="B2804" t="s">
        <v>3567</v>
      </c>
      <c r="C2804" t="s">
        <v>3571</v>
      </c>
      <c r="D2804" t="s">
        <v>3572</v>
      </c>
      <c r="E2804" t="s">
        <v>3573</v>
      </c>
      <c r="F2804" t="s">
        <v>3573</v>
      </c>
      <c r="G2804" t="s">
        <v>5</v>
      </c>
      <c r="H2804" t="s">
        <v>5</v>
      </c>
      <c r="I2804" t="s">
        <v>2083</v>
      </c>
      <c r="J2804" t="s">
        <v>40</v>
      </c>
      <c r="K2804" s="3">
        <f t="shared" si="86"/>
        <v>0</v>
      </c>
      <c r="L2804" s="3">
        <f>IF(ISERROR(VLOOKUP(J2804,Lookups!$A$2:$A$16,1,FALSE)),1,0)</f>
        <v>1</v>
      </c>
      <c r="M2804" s="3">
        <f>IF(ISERROR(VLOOKUP(D2804,Data!$A$2:$D$223100,2,FALSE)),0,1)</f>
        <v>1</v>
      </c>
      <c r="N2804" s="3">
        <f t="shared" si="87"/>
        <v>1</v>
      </c>
      <c r="O2804" s="3" t="str">
        <f>IF(ISERROR(VLOOKUP(D2804,Data!$A$2:$C$223100,3,FALSE)),"INACTIVE",VLOOKUP(D2804,Data!$A$2:$C$223100,3,FALSE))</f>
        <v>180+</v>
      </c>
    </row>
    <row r="2805" spans="1:15" x14ac:dyDescent="0.25">
      <c r="A2805" t="s">
        <v>3566</v>
      </c>
      <c r="B2805" t="s">
        <v>3567</v>
      </c>
      <c r="C2805" t="s">
        <v>3568</v>
      </c>
      <c r="D2805" t="s">
        <v>3569</v>
      </c>
      <c r="E2805" t="s">
        <v>5</v>
      </c>
      <c r="F2805" t="s">
        <v>3574</v>
      </c>
      <c r="G2805" t="s">
        <v>5</v>
      </c>
      <c r="H2805" t="s">
        <v>5</v>
      </c>
      <c r="I2805" t="s">
        <v>2083</v>
      </c>
      <c r="J2805" t="s">
        <v>36</v>
      </c>
      <c r="K2805" s="3">
        <f t="shared" si="86"/>
        <v>0</v>
      </c>
      <c r="L2805" s="3">
        <f>IF(ISERROR(VLOOKUP(J2805,Lookups!$A$2:$A$16,1,FALSE)),1,0)</f>
        <v>1</v>
      </c>
      <c r="M2805" s="3">
        <f>IF(ISERROR(VLOOKUP(D2805,Data!$A$2:$D$223100,2,FALSE)),0,1)</f>
        <v>1</v>
      </c>
      <c r="N2805" s="3">
        <f t="shared" si="87"/>
        <v>1</v>
      </c>
      <c r="O2805" s="3" t="str">
        <f>IF(ISERROR(VLOOKUP(D2805,Data!$A$2:$C$223100,3,FALSE)),"INACTIVE",VLOOKUP(D2805,Data!$A$2:$C$223100,3,FALSE))</f>
        <v>60+</v>
      </c>
    </row>
    <row r="2806" spans="1:15" x14ac:dyDescent="0.25">
      <c r="A2806" t="s">
        <v>3566</v>
      </c>
      <c r="B2806" t="s">
        <v>3567</v>
      </c>
      <c r="C2806" t="s">
        <v>3568</v>
      </c>
      <c r="D2806" t="s">
        <v>3569</v>
      </c>
      <c r="E2806" t="s">
        <v>5</v>
      </c>
      <c r="F2806" t="s">
        <v>3575</v>
      </c>
      <c r="G2806" t="s">
        <v>5</v>
      </c>
      <c r="H2806" t="s">
        <v>5</v>
      </c>
      <c r="I2806" t="s">
        <v>2083</v>
      </c>
      <c r="J2806" t="s">
        <v>36</v>
      </c>
      <c r="K2806" s="3">
        <f t="shared" si="86"/>
        <v>0</v>
      </c>
      <c r="L2806" s="3">
        <f>IF(ISERROR(VLOOKUP(J2806,Lookups!$A$2:$A$16,1,FALSE)),1,0)</f>
        <v>1</v>
      </c>
      <c r="M2806" s="3">
        <f>IF(ISERROR(VLOOKUP(D2806,Data!$A$2:$D$223100,2,FALSE)),0,1)</f>
        <v>1</v>
      </c>
      <c r="N2806" s="3">
        <f t="shared" si="87"/>
        <v>1</v>
      </c>
      <c r="O2806" s="3" t="str">
        <f>IF(ISERROR(VLOOKUP(D2806,Data!$A$2:$C$223100,3,FALSE)),"INACTIVE",VLOOKUP(D2806,Data!$A$2:$C$223100,3,FALSE))</f>
        <v>60+</v>
      </c>
    </row>
    <row r="2807" spans="1:15" x14ac:dyDescent="0.25">
      <c r="A2807" t="s">
        <v>1440</v>
      </c>
      <c r="B2807" t="s">
        <v>1441</v>
      </c>
      <c r="C2807" t="s">
        <v>1442</v>
      </c>
      <c r="D2807" t="s">
        <v>1443</v>
      </c>
      <c r="E2807" t="s">
        <v>1444</v>
      </c>
      <c r="F2807" t="s">
        <v>1444</v>
      </c>
      <c r="G2807" t="s">
        <v>5</v>
      </c>
      <c r="H2807" t="s">
        <v>5</v>
      </c>
      <c r="I2807" t="s">
        <v>1445</v>
      </c>
      <c r="J2807" t="s">
        <v>47</v>
      </c>
      <c r="K2807" s="3">
        <f t="shared" si="86"/>
        <v>0</v>
      </c>
      <c r="L2807" s="3">
        <f>IF(ISERROR(VLOOKUP(J2807,Lookups!$A$2:$A$16,1,FALSE)),1,0)</f>
        <v>1</v>
      </c>
      <c r="M2807" s="3">
        <f>IF(ISERROR(VLOOKUP(D2807,Data!$A$2:$D$223100,2,FALSE)),0,1)</f>
        <v>1</v>
      </c>
      <c r="N2807" s="3">
        <f t="shared" si="87"/>
        <v>1</v>
      </c>
      <c r="O2807" s="3" t="str">
        <f>IF(ISERROR(VLOOKUP(D2807,Data!$A$2:$C$223100,3,FALSE)),"INACTIVE",VLOOKUP(D2807,Data!$A$2:$C$223100,3,FALSE))</f>
        <v>FC</v>
      </c>
    </row>
    <row r="2808" spans="1:15" x14ac:dyDescent="0.25">
      <c r="A2808" t="s">
        <v>1440</v>
      </c>
      <c r="B2808" t="s">
        <v>1441</v>
      </c>
      <c r="C2808" t="s">
        <v>1446</v>
      </c>
      <c r="D2808" t="s">
        <v>1447</v>
      </c>
      <c r="E2808" t="s">
        <v>1448</v>
      </c>
      <c r="F2808" t="s">
        <v>1448</v>
      </c>
      <c r="G2808" t="s">
        <v>5</v>
      </c>
      <c r="H2808" t="s">
        <v>5</v>
      </c>
      <c r="I2808" t="s">
        <v>1445</v>
      </c>
      <c r="J2808" t="s">
        <v>40</v>
      </c>
      <c r="K2808" s="3">
        <f t="shared" si="86"/>
        <v>0</v>
      </c>
      <c r="L2808" s="3">
        <f>IF(ISERROR(VLOOKUP(J2808,Lookups!$A$2:$A$16,1,FALSE)),1,0)</f>
        <v>1</v>
      </c>
      <c r="M2808" s="3">
        <f>IF(ISERROR(VLOOKUP(D2808,Data!$A$2:$D$223100,2,FALSE)),0,1)</f>
        <v>1</v>
      </c>
      <c r="N2808" s="3">
        <f t="shared" si="87"/>
        <v>1</v>
      </c>
      <c r="O2808" s="3" t="str">
        <f>IF(ISERROR(VLOOKUP(D2808,Data!$A$2:$C$223100,3,FALSE)),"INACTIVE",VLOOKUP(D2808,Data!$A$2:$C$223100,3,FALSE))</f>
        <v>30+</v>
      </c>
    </row>
    <row r="2809" spans="1:15" x14ac:dyDescent="0.25">
      <c r="A2809" t="s">
        <v>1449</v>
      </c>
      <c r="B2809" t="s">
        <v>1450</v>
      </c>
      <c r="C2809" t="s">
        <v>1451</v>
      </c>
      <c r="D2809" t="s">
        <v>1452</v>
      </c>
      <c r="E2809" t="s">
        <v>1453</v>
      </c>
      <c r="F2809" t="s">
        <v>1453</v>
      </c>
      <c r="G2809" t="s">
        <v>5</v>
      </c>
      <c r="H2809" t="s">
        <v>5</v>
      </c>
      <c r="I2809" t="s">
        <v>1445</v>
      </c>
      <c r="J2809" t="s">
        <v>40</v>
      </c>
      <c r="K2809" s="3">
        <f t="shared" si="86"/>
        <v>0</v>
      </c>
      <c r="L2809" s="3">
        <f>IF(ISERROR(VLOOKUP(J2809,Lookups!$A$2:$A$16,1,FALSE)),1,0)</f>
        <v>1</v>
      </c>
      <c r="M2809" s="3">
        <f>IF(ISERROR(VLOOKUP(D2809,Data!$A$2:$D$223100,2,FALSE)),0,1)</f>
        <v>1</v>
      </c>
      <c r="N2809" s="3">
        <f t="shared" si="87"/>
        <v>1</v>
      </c>
      <c r="O2809" s="3" t="str">
        <f>IF(ISERROR(VLOOKUP(D2809,Data!$A$2:$C$223100,3,FALSE)),"INACTIVE",VLOOKUP(D2809,Data!$A$2:$C$223100,3,FALSE))</f>
        <v>FBA</v>
      </c>
    </row>
    <row r="2810" spans="1:15" x14ac:dyDescent="0.25">
      <c r="A2810" t="s">
        <v>1449</v>
      </c>
      <c r="B2810" t="s">
        <v>1450</v>
      </c>
      <c r="C2810" t="s">
        <v>1454</v>
      </c>
      <c r="D2810" t="s">
        <v>1455</v>
      </c>
      <c r="E2810" t="s">
        <v>1456</v>
      </c>
      <c r="F2810" t="s">
        <v>1456</v>
      </c>
      <c r="G2810" t="s">
        <v>5</v>
      </c>
      <c r="H2810" t="s">
        <v>5</v>
      </c>
      <c r="I2810" t="s">
        <v>1445</v>
      </c>
      <c r="J2810" t="s">
        <v>40</v>
      </c>
      <c r="K2810" s="3">
        <f t="shared" si="86"/>
        <v>0</v>
      </c>
      <c r="L2810" s="3">
        <f>IF(ISERROR(VLOOKUP(J2810,Lookups!$A$2:$A$16,1,FALSE)),1,0)</f>
        <v>1</v>
      </c>
      <c r="M2810" s="3">
        <f>IF(ISERROR(VLOOKUP(D2810,Data!$A$2:$D$223100,2,FALSE)),0,1)</f>
        <v>1</v>
      </c>
      <c r="N2810" s="3">
        <f t="shared" si="87"/>
        <v>1</v>
      </c>
      <c r="O2810" s="3" t="str">
        <f>IF(ISERROR(VLOOKUP(D2810,Data!$A$2:$C$223100,3,FALSE)),"INACTIVE",VLOOKUP(D2810,Data!$A$2:$C$223100,3,FALSE))</f>
        <v>120+</v>
      </c>
    </row>
    <row r="2811" spans="1:15" x14ac:dyDescent="0.25">
      <c r="A2811" t="s">
        <v>1449</v>
      </c>
      <c r="B2811" t="s">
        <v>1450</v>
      </c>
      <c r="C2811" t="s">
        <v>1457</v>
      </c>
      <c r="D2811" t="s">
        <v>1458</v>
      </c>
      <c r="E2811" t="s">
        <v>1459</v>
      </c>
      <c r="F2811" t="s">
        <v>1459</v>
      </c>
      <c r="G2811" t="s">
        <v>5</v>
      </c>
      <c r="H2811" t="s">
        <v>5</v>
      </c>
      <c r="I2811" t="s">
        <v>1445</v>
      </c>
      <c r="J2811" t="s">
        <v>40</v>
      </c>
      <c r="K2811" s="3">
        <f t="shared" si="86"/>
        <v>0</v>
      </c>
      <c r="L2811" s="3">
        <f>IF(ISERROR(VLOOKUP(J2811,Lookups!$A$2:$A$16,1,FALSE)),1,0)</f>
        <v>1</v>
      </c>
      <c r="M2811" s="3">
        <f>IF(ISERROR(VLOOKUP(D2811,Data!$A$2:$D$223100,2,FALSE)),0,1)</f>
        <v>1</v>
      </c>
      <c r="N2811" s="3">
        <f t="shared" si="87"/>
        <v>1</v>
      </c>
      <c r="O2811" s="3" t="str">
        <f>IF(ISERROR(VLOOKUP(D2811,Data!$A$2:$C$223100,3,FALSE)),"INACTIVE",VLOOKUP(D2811,Data!$A$2:$C$223100,3,FALSE))</f>
        <v>Current</v>
      </c>
    </row>
    <row r="2812" spans="1:15" x14ac:dyDescent="0.25">
      <c r="A2812" t="s">
        <v>1449</v>
      </c>
      <c r="B2812" t="s">
        <v>1450</v>
      </c>
      <c r="C2812" t="s">
        <v>1460</v>
      </c>
      <c r="D2812" t="s">
        <v>1461</v>
      </c>
      <c r="E2812" t="s">
        <v>1462</v>
      </c>
      <c r="F2812" t="s">
        <v>1462</v>
      </c>
      <c r="G2812" t="s">
        <v>5</v>
      </c>
      <c r="H2812" t="s">
        <v>5</v>
      </c>
      <c r="I2812" t="s">
        <v>1445</v>
      </c>
      <c r="J2812" t="s">
        <v>40</v>
      </c>
      <c r="K2812" s="3">
        <f t="shared" si="86"/>
        <v>0</v>
      </c>
      <c r="L2812" s="3">
        <f>IF(ISERROR(VLOOKUP(J2812,Lookups!$A$2:$A$16,1,FALSE)),1,0)</f>
        <v>1</v>
      </c>
      <c r="M2812" s="3">
        <f>IF(ISERROR(VLOOKUP(D2812,Data!$A$2:$D$223100,2,FALSE)),0,1)</f>
        <v>1</v>
      </c>
      <c r="N2812" s="3">
        <f t="shared" si="87"/>
        <v>1</v>
      </c>
      <c r="O2812" s="3" t="str">
        <f>IF(ISERROR(VLOOKUP(D2812,Data!$A$2:$C$223100,3,FALSE)),"INACTIVE",VLOOKUP(D2812,Data!$A$2:$C$223100,3,FALSE))</f>
        <v>60+</v>
      </c>
    </row>
    <row r="2813" spans="1:15" x14ac:dyDescent="0.25">
      <c r="A2813" t="s">
        <v>1449</v>
      </c>
      <c r="B2813" t="s">
        <v>1450</v>
      </c>
      <c r="C2813" t="s">
        <v>1463</v>
      </c>
      <c r="D2813" t="s">
        <v>1464</v>
      </c>
      <c r="E2813" t="s">
        <v>1465</v>
      </c>
      <c r="F2813" t="s">
        <v>1465</v>
      </c>
      <c r="G2813" t="s">
        <v>5</v>
      </c>
      <c r="H2813" t="s">
        <v>5</v>
      </c>
      <c r="I2813" t="s">
        <v>1445</v>
      </c>
      <c r="J2813" t="s">
        <v>40</v>
      </c>
      <c r="K2813" s="3">
        <f t="shared" si="86"/>
        <v>0</v>
      </c>
      <c r="L2813" s="3">
        <f>IF(ISERROR(VLOOKUP(J2813,Lookups!$A$2:$A$16,1,FALSE)),1,0)</f>
        <v>1</v>
      </c>
      <c r="M2813" s="3">
        <f>IF(ISERROR(VLOOKUP(D2813,Data!$A$2:$D$223100,2,FALSE)),0,1)</f>
        <v>1</v>
      </c>
      <c r="N2813" s="3">
        <f t="shared" si="87"/>
        <v>1</v>
      </c>
      <c r="O2813" s="3" t="str">
        <f>IF(ISERROR(VLOOKUP(D2813,Data!$A$2:$C$223100,3,FALSE)),"INACTIVE",VLOOKUP(D2813,Data!$A$2:$C$223100,3,FALSE))</f>
        <v>FBA</v>
      </c>
    </row>
    <row r="2814" spans="1:15" x14ac:dyDescent="0.25">
      <c r="A2814" t="s">
        <v>1552</v>
      </c>
      <c r="B2814" t="s">
        <v>1553</v>
      </c>
      <c r="C2814" t="s">
        <v>1554</v>
      </c>
      <c r="D2814" t="s">
        <v>1555</v>
      </c>
      <c r="E2814" t="s">
        <v>1556</v>
      </c>
      <c r="F2814" t="s">
        <v>5</v>
      </c>
      <c r="G2814" t="s">
        <v>5</v>
      </c>
      <c r="H2814" t="s">
        <v>5</v>
      </c>
      <c r="I2814" t="s">
        <v>1445</v>
      </c>
      <c r="J2814" t="s">
        <v>96</v>
      </c>
      <c r="K2814" s="3">
        <f t="shared" si="86"/>
        <v>0</v>
      </c>
      <c r="L2814" s="3">
        <f>IF(ISERROR(VLOOKUP(J2814,Lookups!$A$2:$A$16,1,FALSE)),1,0)</f>
        <v>0</v>
      </c>
      <c r="M2814" s="3">
        <f>IF(ISERROR(VLOOKUP(D2814,Data!$A$2:$D$223100,2,FALSE)),0,1)</f>
        <v>1</v>
      </c>
      <c r="N2814" s="3">
        <f t="shared" si="87"/>
        <v>0</v>
      </c>
      <c r="O2814" s="3" t="str">
        <f>IF(ISERROR(VLOOKUP(D2814,Data!$A$2:$C$223100,3,FALSE)),"INACTIVE",VLOOKUP(D2814,Data!$A$2:$C$223100,3,FALSE))</f>
        <v>BK13</v>
      </c>
    </row>
    <row r="2815" spans="1:15" x14ac:dyDescent="0.25">
      <c r="A2815" t="s">
        <v>1552</v>
      </c>
      <c r="B2815" t="s">
        <v>1553</v>
      </c>
      <c r="C2815" t="s">
        <v>1554</v>
      </c>
      <c r="D2815" t="s">
        <v>1555</v>
      </c>
      <c r="E2815" t="s">
        <v>1557</v>
      </c>
      <c r="F2815" t="s">
        <v>5</v>
      </c>
      <c r="G2815" t="s">
        <v>5</v>
      </c>
      <c r="H2815" t="s">
        <v>5</v>
      </c>
      <c r="I2815" t="s">
        <v>1445</v>
      </c>
      <c r="J2815" t="s">
        <v>96</v>
      </c>
      <c r="K2815" s="3">
        <f t="shared" si="86"/>
        <v>0</v>
      </c>
      <c r="L2815" s="3">
        <f>IF(ISERROR(VLOOKUP(J2815,Lookups!$A$2:$A$16,1,FALSE)),1,0)</f>
        <v>0</v>
      </c>
      <c r="M2815" s="3">
        <f>IF(ISERROR(VLOOKUP(D2815,Data!$A$2:$D$223100,2,FALSE)),0,1)</f>
        <v>1</v>
      </c>
      <c r="N2815" s="3">
        <f t="shared" si="87"/>
        <v>0</v>
      </c>
      <c r="O2815" s="3" t="str">
        <f>IF(ISERROR(VLOOKUP(D2815,Data!$A$2:$C$223100,3,FALSE)),"INACTIVE",VLOOKUP(D2815,Data!$A$2:$C$223100,3,FALSE))</f>
        <v>BK13</v>
      </c>
    </row>
    <row r="2816" spans="1:15" x14ac:dyDescent="0.25">
      <c r="A2816" t="s">
        <v>1906</v>
      </c>
      <c r="B2816" t="s">
        <v>1907</v>
      </c>
      <c r="C2816" t="s">
        <v>1908</v>
      </c>
      <c r="D2816" t="s">
        <v>1909</v>
      </c>
      <c r="E2816" t="s">
        <v>1910</v>
      </c>
      <c r="F2816" t="s">
        <v>5</v>
      </c>
      <c r="G2816" t="s">
        <v>5</v>
      </c>
      <c r="H2816" t="s">
        <v>5</v>
      </c>
      <c r="I2816" t="s">
        <v>1445</v>
      </c>
      <c r="J2816" t="s">
        <v>96</v>
      </c>
      <c r="K2816" s="3">
        <f t="shared" si="86"/>
        <v>0</v>
      </c>
      <c r="L2816" s="3">
        <f>IF(ISERROR(VLOOKUP(J2816,Lookups!$A$2:$A$16,1,FALSE)),1,0)</f>
        <v>0</v>
      </c>
      <c r="M2816" s="3">
        <f>IF(ISERROR(VLOOKUP(D2816,Data!$A$2:$D$223100,2,FALSE)),0,1)</f>
        <v>1</v>
      </c>
      <c r="N2816" s="3">
        <f t="shared" si="87"/>
        <v>0</v>
      </c>
      <c r="O2816" s="3" t="str">
        <f>IF(ISERROR(VLOOKUP(D2816,Data!$A$2:$C$223100,3,FALSE)),"INACTIVE",VLOOKUP(D2816,Data!$A$2:$C$223100,3,FALSE))</f>
        <v>Current</v>
      </c>
    </row>
    <row r="2817" spans="1:15" x14ac:dyDescent="0.25">
      <c r="A2817" t="s">
        <v>1906</v>
      </c>
      <c r="B2817" t="s">
        <v>1907</v>
      </c>
      <c r="C2817" t="s">
        <v>1908</v>
      </c>
      <c r="D2817" t="s">
        <v>1909</v>
      </c>
      <c r="E2817" t="s">
        <v>1911</v>
      </c>
      <c r="F2817" t="s">
        <v>5</v>
      </c>
      <c r="G2817" t="s">
        <v>5</v>
      </c>
      <c r="H2817" t="s">
        <v>5</v>
      </c>
      <c r="I2817" t="s">
        <v>1445</v>
      </c>
      <c r="J2817" t="s">
        <v>96</v>
      </c>
      <c r="K2817" s="3">
        <f t="shared" si="86"/>
        <v>0</v>
      </c>
      <c r="L2817" s="3">
        <f>IF(ISERROR(VLOOKUP(J2817,Lookups!$A$2:$A$16,1,FALSE)),1,0)</f>
        <v>0</v>
      </c>
      <c r="M2817" s="3">
        <f>IF(ISERROR(VLOOKUP(D2817,Data!$A$2:$D$223100,2,FALSE)),0,1)</f>
        <v>1</v>
      </c>
      <c r="N2817" s="3">
        <f t="shared" si="87"/>
        <v>0</v>
      </c>
      <c r="O2817" s="3" t="str">
        <f>IF(ISERROR(VLOOKUP(D2817,Data!$A$2:$C$223100,3,FALSE)),"INACTIVE",VLOOKUP(D2817,Data!$A$2:$C$223100,3,FALSE))</f>
        <v>Current</v>
      </c>
    </row>
    <row r="2818" spans="1:15" x14ac:dyDescent="0.25">
      <c r="A2818" t="s">
        <v>1906</v>
      </c>
      <c r="B2818" t="s">
        <v>1907</v>
      </c>
      <c r="C2818" t="s">
        <v>1908</v>
      </c>
      <c r="D2818" t="s">
        <v>1909</v>
      </c>
      <c r="E2818" t="s">
        <v>1912</v>
      </c>
      <c r="F2818" t="s">
        <v>5</v>
      </c>
      <c r="G2818" t="s">
        <v>5</v>
      </c>
      <c r="H2818" t="s">
        <v>5</v>
      </c>
      <c r="I2818" t="s">
        <v>1445</v>
      </c>
      <c r="J2818" t="s">
        <v>96</v>
      </c>
      <c r="K2818" s="3">
        <f t="shared" si="86"/>
        <v>0</v>
      </c>
      <c r="L2818" s="3">
        <f>IF(ISERROR(VLOOKUP(J2818,Lookups!$A$2:$A$16,1,FALSE)),1,0)</f>
        <v>0</v>
      </c>
      <c r="M2818" s="3">
        <f>IF(ISERROR(VLOOKUP(D2818,Data!$A$2:$D$223100,2,FALSE)),0,1)</f>
        <v>1</v>
      </c>
      <c r="N2818" s="3">
        <f t="shared" si="87"/>
        <v>0</v>
      </c>
      <c r="O2818" s="3" t="str">
        <f>IF(ISERROR(VLOOKUP(D2818,Data!$A$2:$C$223100,3,FALSE)),"INACTIVE",VLOOKUP(D2818,Data!$A$2:$C$223100,3,FALSE))</f>
        <v>Current</v>
      </c>
    </row>
    <row r="2819" spans="1:15" x14ac:dyDescent="0.25">
      <c r="A2819" t="s">
        <v>1906</v>
      </c>
      <c r="B2819" t="s">
        <v>1907</v>
      </c>
      <c r="C2819" t="s">
        <v>1908</v>
      </c>
      <c r="D2819" t="s">
        <v>1909</v>
      </c>
      <c r="E2819" t="s">
        <v>1913</v>
      </c>
      <c r="F2819" t="s">
        <v>5</v>
      </c>
      <c r="G2819" t="s">
        <v>5</v>
      </c>
      <c r="H2819" t="s">
        <v>5</v>
      </c>
      <c r="I2819" t="s">
        <v>1445</v>
      </c>
      <c r="J2819" t="s">
        <v>96</v>
      </c>
      <c r="K2819" s="3">
        <f t="shared" ref="K2819:K2882" si="88">IF(ISERROR(FIND("LIEN",A2819,1)),0,1)</f>
        <v>0</v>
      </c>
      <c r="L2819" s="3">
        <f>IF(ISERROR(VLOOKUP(J2819,Lookups!$A$2:$A$16,1,FALSE)),1,0)</f>
        <v>0</v>
      </c>
      <c r="M2819" s="3">
        <f>IF(ISERROR(VLOOKUP(D2819,Data!$A$2:$D$223100,2,FALSE)),0,1)</f>
        <v>1</v>
      </c>
      <c r="N2819" s="3">
        <f t="shared" ref="N2819:N2882" si="89">IF(M2819=0,0,IF(SUM(K2819:L2819)&gt;0,1,0))</f>
        <v>0</v>
      </c>
      <c r="O2819" s="3" t="str">
        <f>IF(ISERROR(VLOOKUP(D2819,Data!$A$2:$C$223100,3,FALSE)),"INACTIVE",VLOOKUP(D2819,Data!$A$2:$C$223100,3,FALSE))</f>
        <v>Current</v>
      </c>
    </row>
    <row r="2820" spans="1:15" x14ac:dyDescent="0.25">
      <c r="A2820" t="s">
        <v>1906</v>
      </c>
      <c r="B2820" t="s">
        <v>1907</v>
      </c>
      <c r="C2820" t="s">
        <v>1914</v>
      </c>
      <c r="D2820" t="s">
        <v>1915</v>
      </c>
      <c r="E2820" t="s">
        <v>5</v>
      </c>
      <c r="F2820" t="s">
        <v>1916</v>
      </c>
      <c r="G2820" t="s">
        <v>5</v>
      </c>
      <c r="H2820" t="s">
        <v>5</v>
      </c>
      <c r="I2820" t="s">
        <v>1445</v>
      </c>
      <c r="J2820" t="s">
        <v>573</v>
      </c>
      <c r="K2820" s="3">
        <f t="shared" si="88"/>
        <v>0</v>
      </c>
      <c r="L2820" s="3">
        <f>IF(ISERROR(VLOOKUP(J2820,Lookups!$A$2:$A$16,1,FALSE)),1,0)</f>
        <v>1</v>
      </c>
      <c r="M2820" s="3">
        <f>IF(ISERROR(VLOOKUP(D2820,Data!$A$2:$D$223100,2,FALSE)),0,1)</f>
        <v>1</v>
      </c>
      <c r="N2820" s="3">
        <f t="shared" si="89"/>
        <v>1</v>
      </c>
      <c r="O2820" s="3" t="str">
        <f>IF(ISERROR(VLOOKUP(D2820,Data!$A$2:$C$223100,3,FALSE)),"INACTIVE",VLOOKUP(D2820,Data!$A$2:$C$223100,3,FALSE))</f>
        <v>60+</v>
      </c>
    </row>
    <row r="2821" spans="1:15" x14ac:dyDescent="0.25">
      <c r="A2821" t="s">
        <v>1906</v>
      </c>
      <c r="B2821" t="s">
        <v>1907</v>
      </c>
      <c r="C2821" t="s">
        <v>1917</v>
      </c>
      <c r="D2821" t="s">
        <v>1918</v>
      </c>
      <c r="E2821" t="s">
        <v>1919</v>
      </c>
      <c r="F2821" t="s">
        <v>1919</v>
      </c>
      <c r="G2821" t="s">
        <v>5</v>
      </c>
      <c r="H2821" t="s">
        <v>5</v>
      </c>
      <c r="I2821" t="s">
        <v>1445</v>
      </c>
      <c r="J2821" t="s">
        <v>47</v>
      </c>
      <c r="K2821" s="3">
        <f t="shared" si="88"/>
        <v>0</v>
      </c>
      <c r="L2821" s="3">
        <f>IF(ISERROR(VLOOKUP(J2821,Lookups!$A$2:$A$16,1,FALSE)),1,0)</f>
        <v>1</v>
      </c>
      <c r="M2821" s="3">
        <f>IF(ISERROR(VLOOKUP(D2821,Data!$A$2:$D$223100,2,FALSE)),0,1)</f>
        <v>0</v>
      </c>
      <c r="N2821" s="3">
        <f t="shared" si="89"/>
        <v>0</v>
      </c>
      <c r="O2821" s="3" t="str">
        <f>IF(ISERROR(VLOOKUP(D2821,Data!$A$2:$C$223100,3,FALSE)),"INACTIVE",VLOOKUP(D2821,Data!$A$2:$C$223100,3,FALSE))</f>
        <v>INACTIVE</v>
      </c>
    </row>
    <row r="2822" spans="1:15" x14ac:dyDescent="0.25">
      <c r="A2822" t="s">
        <v>1906</v>
      </c>
      <c r="B2822" t="s">
        <v>1907</v>
      </c>
      <c r="C2822" t="s">
        <v>1920</v>
      </c>
      <c r="D2822" t="s">
        <v>1921</v>
      </c>
      <c r="E2822" t="s">
        <v>1922</v>
      </c>
      <c r="F2822" t="s">
        <v>1922</v>
      </c>
      <c r="G2822" t="s">
        <v>5</v>
      </c>
      <c r="H2822" t="s">
        <v>5</v>
      </c>
      <c r="I2822" t="s">
        <v>1445</v>
      </c>
      <c r="J2822" t="s">
        <v>47</v>
      </c>
      <c r="K2822" s="3">
        <f t="shared" si="88"/>
        <v>0</v>
      </c>
      <c r="L2822" s="3">
        <f>IF(ISERROR(VLOOKUP(J2822,Lookups!$A$2:$A$16,1,FALSE)),1,0)</f>
        <v>1</v>
      </c>
      <c r="M2822" s="3">
        <f>IF(ISERROR(VLOOKUP(D2822,Data!$A$2:$D$223100,2,FALSE)),0,1)</f>
        <v>1</v>
      </c>
      <c r="N2822" s="3">
        <f t="shared" si="89"/>
        <v>1</v>
      </c>
      <c r="O2822" s="3" t="str">
        <f>IF(ISERROR(VLOOKUP(D2822,Data!$A$2:$C$223100,3,FALSE)),"INACTIVE",VLOOKUP(D2822,Data!$A$2:$C$223100,3,FALSE))</f>
        <v>FC</v>
      </c>
    </row>
    <row r="2823" spans="1:15" x14ac:dyDescent="0.25">
      <c r="A2823" t="s">
        <v>1906</v>
      </c>
      <c r="B2823" t="s">
        <v>1907</v>
      </c>
      <c r="C2823" t="s">
        <v>1923</v>
      </c>
      <c r="D2823" t="s">
        <v>1924</v>
      </c>
      <c r="E2823" t="s">
        <v>1925</v>
      </c>
      <c r="F2823" t="s">
        <v>1925</v>
      </c>
      <c r="G2823" t="s">
        <v>5</v>
      </c>
      <c r="H2823" t="s">
        <v>5</v>
      </c>
      <c r="I2823" t="s">
        <v>1445</v>
      </c>
      <c r="J2823" t="s">
        <v>40</v>
      </c>
      <c r="K2823" s="3">
        <f t="shared" si="88"/>
        <v>0</v>
      </c>
      <c r="L2823" s="3">
        <f>IF(ISERROR(VLOOKUP(J2823,Lookups!$A$2:$A$16,1,FALSE)),1,0)</f>
        <v>1</v>
      </c>
      <c r="M2823" s="3">
        <f>IF(ISERROR(VLOOKUP(D2823,Data!$A$2:$D$223100,2,FALSE)),0,1)</f>
        <v>1</v>
      </c>
      <c r="N2823" s="3">
        <f t="shared" si="89"/>
        <v>1</v>
      </c>
      <c r="O2823" s="3" t="str">
        <f>IF(ISERROR(VLOOKUP(D2823,Data!$A$2:$C$223100,3,FALSE)),"INACTIVE",VLOOKUP(D2823,Data!$A$2:$C$223100,3,FALSE))</f>
        <v>Current</v>
      </c>
    </row>
    <row r="2824" spans="1:15" x14ac:dyDescent="0.25">
      <c r="A2824" t="s">
        <v>1906</v>
      </c>
      <c r="B2824" t="s">
        <v>1907</v>
      </c>
      <c r="C2824" t="s">
        <v>1926</v>
      </c>
      <c r="D2824" t="s">
        <v>1927</v>
      </c>
      <c r="E2824" t="s">
        <v>1928</v>
      </c>
      <c r="F2824" t="s">
        <v>1928</v>
      </c>
      <c r="G2824" t="s">
        <v>5</v>
      </c>
      <c r="H2824" t="s">
        <v>5</v>
      </c>
      <c r="I2824" t="s">
        <v>1445</v>
      </c>
      <c r="J2824" t="s">
        <v>40</v>
      </c>
      <c r="K2824" s="3">
        <f t="shared" si="88"/>
        <v>0</v>
      </c>
      <c r="L2824" s="3">
        <f>IF(ISERROR(VLOOKUP(J2824,Lookups!$A$2:$A$16,1,FALSE)),1,0)</f>
        <v>1</v>
      </c>
      <c r="M2824" s="3">
        <f>IF(ISERROR(VLOOKUP(D2824,Data!$A$2:$D$223100,2,FALSE)),0,1)</f>
        <v>1</v>
      </c>
      <c r="N2824" s="3">
        <f t="shared" si="89"/>
        <v>1</v>
      </c>
      <c r="O2824" s="3" t="str">
        <f>IF(ISERROR(VLOOKUP(D2824,Data!$A$2:$C$223100,3,FALSE)),"INACTIVE",VLOOKUP(D2824,Data!$A$2:$C$223100,3,FALSE))</f>
        <v>Current</v>
      </c>
    </row>
    <row r="2825" spans="1:15" x14ac:dyDescent="0.25">
      <c r="A2825" t="s">
        <v>1906</v>
      </c>
      <c r="B2825" t="s">
        <v>1907</v>
      </c>
      <c r="C2825" t="s">
        <v>1929</v>
      </c>
      <c r="D2825" t="s">
        <v>1930</v>
      </c>
      <c r="E2825" t="s">
        <v>1931</v>
      </c>
      <c r="F2825" t="s">
        <v>1931</v>
      </c>
      <c r="G2825" t="s">
        <v>5</v>
      </c>
      <c r="H2825" t="s">
        <v>5</v>
      </c>
      <c r="I2825" t="s">
        <v>1445</v>
      </c>
      <c r="J2825" t="s">
        <v>47</v>
      </c>
      <c r="K2825" s="3">
        <f t="shared" si="88"/>
        <v>0</v>
      </c>
      <c r="L2825" s="3">
        <f>IF(ISERROR(VLOOKUP(J2825,Lookups!$A$2:$A$16,1,FALSE)),1,0)</f>
        <v>1</v>
      </c>
      <c r="M2825" s="3">
        <f>IF(ISERROR(VLOOKUP(D2825,Data!$A$2:$D$223100,2,FALSE)),0,1)</f>
        <v>1</v>
      </c>
      <c r="N2825" s="3">
        <f t="shared" si="89"/>
        <v>1</v>
      </c>
      <c r="O2825" s="3" t="str">
        <f>IF(ISERROR(VLOOKUP(D2825,Data!$A$2:$C$223100,3,FALSE)),"INACTIVE",VLOOKUP(D2825,Data!$A$2:$C$223100,3,FALSE))</f>
        <v>FC</v>
      </c>
    </row>
    <row r="2826" spans="1:15" x14ac:dyDescent="0.25">
      <c r="A2826" t="s">
        <v>1906</v>
      </c>
      <c r="B2826" t="s">
        <v>1907</v>
      </c>
      <c r="C2826" t="s">
        <v>1932</v>
      </c>
      <c r="D2826" t="s">
        <v>1933</v>
      </c>
      <c r="E2826" t="s">
        <v>1934</v>
      </c>
      <c r="F2826" t="s">
        <v>1934</v>
      </c>
      <c r="G2826" t="s">
        <v>5</v>
      </c>
      <c r="H2826" t="s">
        <v>5</v>
      </c>
      <c r="I2826" t="s">
        <v>1445</v>
      </c>
      <c r="J2826" t="s">
        <v>40</v>
      </c>
      <c r="K2826" s="3">
        <f t="shared" si="88"/>
        <v>0</v>
      </c>
      <c r="L2826" s="3">
        <f>IF(ISERROR(VLOOKUP(J2826,Lookups!$A$2:$A$16,1,FALSE)),1,0)</f>
        <v>1</v>
      </c>
      <c r="M2826" s="3">
        <f>IF(ISERROR(VLOOKUP(D2826,Data!$A$2:$D$223100,2,FALSE)),0,1)</f>
        <v>1</v>
      </c>
      <c r="N2826" s="3">
        <f t="shared" si="89"/>
        <v>1</v>
      </c>
      <c r="O2826" s="3" t="str">
        <f>IF(ISERROR(VLOOKUP(D2826,Data!$A$2:$C$223100,3,FALSE)),"INACTIVE",VLOOKUP(D2826,Data!$A$2:$C$223100,3,FALSE))</f>
        <v>BK13</v>
      </c>
    </row>
    <row r="2827" spans="1:15" x14ac:dyDescent="0.25">
      <c r="A2827" t="s">
        <v>1906</v>
      </c>
      <c r="B2827" t="s">
        <v>1907</v>
      </c>
      <c r="C2827" t="s">
        <v>1935</v>
      </c>
      <c r="D2827" t="s">
        <v>1936</v>
      </c>
      <c r="E2827" t="s">
        <v>1937</v>
      </c>
      <c r="F2827" t="s">
        <v>1937</v>
      </c>
      <c r="G2827" t="s">
        <v>5</v>
      </c>
      <c r="H2827" t="s">
        <v>5</v>
      </c>
      <c r="I2827" t="s">
        <v>1445</v>
      </c>
      <c r="J2827" t="s">
        <v>96</v>
      </c>
      <c r="K2827" s="3">
        <f t="shared" si="88"/>
        <v>0</v>
      </c>
      <c r="L2827" s="3">
        <f>IF(ISERROR(VLOOKUP(J2827,Lookups!$A$2:$A$16,1,FALSE)),1,0)</f>
        <v>0</v>
      </c>
      <c r="M2827" s="3">
        <f>IF(ISERROR(VLOOKUP(D2827,Data!$A$2:$D$223100,2,FALSE)),0,1)</f>
        <v>1</v>
      </c>
      <c r="N2827" s="3">
        <f t="shared" si="89"/>
        <v>0</v>
      </c>
      <c r="O2827" s="3" t="str">
        <f>IF(ISERROR(VLOOKUP(D2827,Data!$A$2:$C$223100,3,FALSE)),"INACTIVE",VLOOKUP(D2827,Data!$A$2:$C$223100,3,FALSE))</f>
        <v>Current</v>
      </c>
    </row>
    <row r="2828" spans="1:15" x14ac:dyDescent="0.25">
      <c r="A2828" t="s">
        <v>1906</v>
      </c>
      <c r="B2828" t="s">
        <v>1907</v>
      </c>
      <c r="C2828" t="s">
        <v>1938</v>
      </c>
      <c r="D2828" t="s">
        <v>1939</v>
      </c>
      <c r="E2828" t="s">
        <v>1940</v>
      </c>
      <c r="F2828" t="s">
        <v>1940</v>
      </c>
      <c r="G2828" t="s">
        <v>5</v>
      </c>
      <c r="H2828" t="s">
        <v>5</v>
      </c>
      <c r="I2828" t="s">
        <v>1445</v>
      </c>
      <c r="J2828" t="s">
        <v>96</v>
      </c>
      <c r="K2828" s="3">
        <f t="shared" si="88"/>
        <v>0</v>
      </c>
      <c r="L2828" s="3">
        <f>IF(ISERROR(VLOOKUP(J2828,Lookups!$A$2:$A$16,1,FALSE)),1,0)</f>
        <v>0</v>
      </c>
      <c r="M2828" s="3">
        <f>IF(ISERROR(VLOOKUP(D2828,Data!$A$2:$D$223100,2,FALSE)),0,1)</f>
        <v>1</v>
      </c>
      <c r="N2828" s="3">
        <f t="shared" si="89"/>
        <v>0</v>
      </c>
      <c r="O2828" s="3" t="str">
        <f>IF(ISERROR(VLOOKUP(D2828,Data!$A$2:$C$223100,3,FALSE)),"INACTIVE",VLOOKUP(D2828,Data!$A$2:$C$223100,3,FALSE))</f>
        <v>90+</v>
      </c>
    </row>
    <row r="2829" spans="1:15" x14ac:dyDescent="0.25">
      <c r="A2829" t="s">
        <v>1906</v>
      </c>
      <c r="B2829" t="s">
        <v>1907</v>
      </c>
      <c r="C2829" t="s">
        <v>1941</v>
      </c>
      <c r="D2829" t="s">
        <v>1942</v>
      </c>
      <c r="E2829" t="s">
        <v>1943</v>
      </c>
      <c r="F2829" t="s">
        <v>1943</v>
      </c>
      <c r="G2829" t="s">
        <v>5</v>
      </c>
      <c r="H2829" t="s">
        <v>5</v>
      </c>
      <c r="I2829" t="s">
        <v>1445</v>
      </c>
      <c r="J2829" t="s">
        <v>96</v>
      </c>
      <c r="K2829" s="3">
        <f t="shared" si="88"/>
        <v>0</v>
      </c>
      <c r="L2829" s="3">
        <f>IF(ISERROR(VLOOKUP(J2829,Lookups!$A$2:$A$16,1,FALSE)),1,0)</f>
        <v>0</v>
      </c>
      <c r="M2829" s="3">
        <f>IF(ISERROR(VLOOKUP(D2829,Data!$A$2:$D$223100,2,FALSE)),0,1)</f>
        <v>1</v>
      </c>
      <c r="N2829" s="3">
        <f t="shared" si="89"/>
        <v>0</v>
      </c>
      <c r="O2829" s="3" t="str">
        <f>IF(ISERROR(VLOOKUP(D2829,Data!$A$2:$C$223100,3,FALSE)),"INACTIVE",VLOOKUP(D2829,Data!$A$2:$C$223100,3,FALSE))</f>
        <v>Demand Letter</v>
      </c>
    </row>
    <row r="2830" spans="1:15" x14ac:dyDescent="0.25">
      <c r="A2830" t="s">
        <v>1906</v>
      </c>
      <c r="B2830" t="s">
        <v>1907</v>
      </c>
      <c r="C2830" t="s">
        <v>1944</v>
      </c>
      <c r="D2830" t="s">
        <v>1945</v>
      </c>
      <c r="E2830" t="s">
        <v>1946</v>
      </c>
      <c r="F2830" t="s">
        <v>1946</v>
      </c>
      <c r="G2830" t="s">
        <v>5</v>
      </c>
      <c r="H2830" t="s">
        <v>5</v>
      </c>
      <c r="I2830" t="s">
        <v>1445</v>
      </c>
      <c r="J2830" t="s">
        <v>96</v>
      </c>
      <c r="K2830" s="3">
        <f t="shared" si="88"/>
        <v>0</v>
      </c>
      <c r="L2830" s="3">
        <f>IF(ISERROR(VLOOKUP(J2830,Lookups!$A$2:$A$16,1,FALSE)),1,0)</f>
        <v>0</v>
      </c>
      <c r="M2830" s="3">
        <f>IF(ISERROR(VLOOKUP(D2830,Data!$A$2:$D$223100,2,FALSE)),0,1)</f>
        <v>1</v>
      </c>
      <c r="N2830" s="3">
        <f t="shared" si="89"/>
        <v>0</v>
      </c>
      <c r="O2830" s="3" t="str">
        <f>IF(ISERROR(VLOOKUP(D2830,Data!$A$2:$C$223100,3,FALSE)),"INACTIVE",VLOOKUP(D2830,Data!$A$2:$C$223100,3,FALSE))</f>
        <v>FC</v>
      </c>
    </row>
    <row r="2831" spans="1:15" x14ac:dyDescent="0.25">
      <c r="A2831" t="s">
        <v>1906</v>
      </c>
      <c r="B2831" t="s">
        <v>1907</v>
      </c>
      <c r="C2831" t="s">
        <v>1947</v>
      </c>
      <c r="D2831" t="s">
        <v>1948</v>
      </c>
      <c r="E2831" t="s">
        <v>1949</v>
      </c>
      <c r="F2831" t="s">
        <v>1949</v>
      </c>
      <c r="G2831" t="s">
        <v>5</v>
      </c>
      <c r="H2831" t="s">
        <v>5</v>
      </c>
      <c r="I2831" t="s">
        <v>1445</v>
      </c>
      <c r="J2831" t="s">
        <v>96</v>
      </c>
      <c r="K2831" s="3">
        <f t="shared" si="88"/>
        <v>0</v>
      </c>
      <c r="L2831" s="3">
        <f>IF(ISERROR(VLOOKUP(J2831,Lookups!$A$2:$A$16,1,FALSE)),1,0)</f>
        <v>0</v>
      </c>
      <c r="M2831" s="3">
        <f>IF(ISERROR(VLOOKUP(D2831,Data!$A$2:$D$223100,2,FALSE)),0,1)</f>
        <v>1</v>
      </c>
      <c r="N2831" s="3">
        <f t="shared" si="89"/>
        <v>0</v>
      </c>
      <c r="O2831" s="3" t="str">
        <f>IF(ISERROR(VLOOKUP(D2831,Data!$A$2:$C$223100,3,FALSE)),"INACTIVE",VLOOKUP(D2831,Data!$A$2:$C$223100,3,FALSE))</f>
        <v>FBA</v>
      </c>
    </row>
    <row r="2832" spans="1:15" x14ac:dyDescent="0.25">
      <c r="A2832" t="s">
        <v>1906</v>
      </c>
      <c r="B2832" t="s">
        <v>1907</v>
      </c>
      <c r="C2832" t="s">
        <v>1950</v>
      </c>
      <c r="D2832" t="s">
        <v>1951</v>
      </c>
      <c r="E2832" t="s">
        <v>1952</v>
      </c>
      <c r="F2832" t="s">
        <v>1952</v>
      </c>
      <c r="G2832" t="s">
        <v>5</v>
      </c>
      <c r="H2832" t="s">
        <v>5</v>
      </c>
      <c r="I2832" t="s">
        <v>1445</v>
      </c>
      <c r="J2832" t="s">
        <v>96</v>
      </c>
      <c r="K2832" s="3">
        <f t="shared" si="88"/>
        <v>0</v>
      </c>
      <c r="L2832" s="3">
        <f>IF(ISERROR(VLOOKUP(J2832,Lookups!$A$2:$A$16,1,FALSE)),1,0)</f>
        <v>0</v>
      </c>
      <c r="M2832" s="3">
        <f>IF(ISERROR(VLOOKUP(D2832,Data!$A$2:$D$223100,2,FALSE)),0,1)</f>
        <v>1</v>
      </c>
      <c r="N2832" s="3">
        <f t="shared" si="89"/>
        <v>0</v>
      </c>
      <c r="O2832" s="3" t="str">
        <f>IF(ISERROR(VLOOKUP(D2832,Data!$A$2:$C$223100,3,FALSE)),"INACTIVE",VLOOKUP(D2832,Data!$A$2:$C$223100,3,FALSE))</f>
        <v>Current</v>
      </c>
    </row>
    <row r="2833" spans="1:15" x14ac:dyDescent="0.25">
      <c r="A2833" t="s">
        <v>1906</v>
      </c>
      <c r="B2833" t="s">
        <v>1907</v>
      </c>
      <c r="C2833" t="s">
        <v>1953</v>
      </c>
      <c r="D2833" t="s">
        <v>1954</v>
      </c>
      <c r="E2833" t="s">
        <v>1955</v>
      </c>
      <c r="F2833" t="s">
        <v>1955</v>
      </c>
      <c r="G2833" t="s">
        <v>5</v>
      </c>
      <c r="H2833" t="s">
        <v>5</v>
      </c>
      <c r="I2833" t="s">
        <v>1445</v>
      </c>
      <c r="J2833" t="s">
        <v>96</v>
      </c>
      <c r="K2833" s="3">
        <f t="shared" si="88"/>
        <v>0</v>
      </c>
      <c r="L2833" s="3">
        <f>IF(ISERROR(VLOOKUP(J2833,Lookups!$A$2:$A$16,1,FALSE)),1,0)</f>
        <v>0</v>
      </c>
      <c r="M2833" s="3">
        <f>IF(ISERROR(VLOOKUP(D2833,Data!$A$2:$D$223100,2,FALSE)),0,1)</f>
        <v>1</v>
      </c>
      <c r="N2833" s="3">
        <f t="shared" si="89"/>
        <v>0</v>
      </c>
      <c r="O2833" s="3" t="str">
        <f>IF(ISERROR(VLOOKUP(D2833,Data!$A$2:$C$223100,3,FALSE)),"INACTIVE",VLOOKUP(D2833,Data!$A$2:$C$223100,3,FALSE))</f>
        <v>Demand Letter</v>
      </c>
    </row>
    <row r="2834" spans="1:15" x14ac:dyDescent="0.25">
      <c r="A2834" t="s">
        <v>1906</v>
      </c>
      <c r="B2834" t="s">
        <v>1907</v>
      </c>
      <c r="C2834" t="s">
        <v>1956</v>
      </c>
      <c r="D2834" t="s">
        <v>1957</v>
      </c>
      <c r="E2834" t="s">
        <v>1958</v>
      </c>
      <c r="F2834" t="s">
        <v>1958</v>
      </c>
      <c r="G2834" t="s">
        <v>5</v>
      </c>
      <c r="H2834" t="s">
        <v>5</v>
      </c>
      <c r="I2834" t="s">
        <v>1445</v>
      </c>
      <c r="J2834" t="s">
        <v>47</v>
      </c>
      <c r="K2834" s="3">
        <f t="shared" si="88"/>
        <v>0</v>
      </c>
      <c r="L2834" s="3">
        <f>IF(ISERROR(VLOOKUP(J2834,Lookups!$A$2:$A$16,1,FALSE)),1,0)</f>
        <v>1</v>
      </c>
      <c r="M2834" s="3">
        <f>IF(ISERROR(VLOOKUP(D2834,Data!$A$2:$D$223100,2,FALSE)),0,1)</f>
        <v>1</v>
      </c>
      <c r="N2834" s="3">
        <f t="shared" si="89"/>
        <v>1</v>
      </c>
      <c r="O2834" s="3" t="str">
        <f>IF(ISERROR(VLOOKUP(D2834,Data!$A$2:$C$223100,3,FALSE)),"INACTIVE",VLOOKUP(D2834,Data!$A$2:$C$223100,3,FALSE))</f>
        <v>90+</v>
      </c>
    </row>
    <row r="2835" spans="1:15" x14ac:dyDescent="0.25">
      <c r="A2835" t="s">
        <v>1906</v>
      </c>
      <c r="B2835" t="s">
        <v>1907</v>
      </c>
      <c r="C2835" t="s">
        <v>1959</v>
      </c>
      <c r="D2835" t="s">
        <v>1960</v>
      </c>
      <c r="E2835" t="s">
        <v>1961</v>
      </c>
      <c r="F2835" t="s">
        <v>1961</v>
      </c>
      <c r="G2835" t="s">
        <v>5</v>
      </c>
      <c r="H2835" t="s">
        <v>5</v>
      </c>
      <c r="I2835" t="s">
        <v>1445</v>
      </c>
      <c r="J2835" t="s">
        <v>40</v>
      </c>
      <c r="K2835" s="3">
        <f t="shared" si="88"/>
        <v>0</v>
      </c>
      <c r="L2835" s="3">
        <f>IF(ISERROR(VLOOKUP(J2835,Lookups!$A$2:$A$16,1,FALSE)),1,0)</f>
        <v>1</v>
      </c>
      <c r="M2835" s="3">
        <f>IF(ISERROR(VLOOKUP(D2835,Data!$A$2:$D$223100,2,FALSE)),0,1)</f>
        <v>1</v>
      </c>
      <c r="N2835" s="3">
        <f t="shared" si="89"/>
        <v>1</v>
      </c>
      <c r="O2835" s="3" t="str">
        <f>IF(ISERROR(VLOOKUP(D2835,Data!$A$2:$C$223100,3,FALSE)),"INACTIVE",VLOOKUP(D2835,Data!$A$2:$C$223100,3,FALSE))</f>
        <v>60+</v>
      </c>
    </row>
    <row r="2836" spans="1:15" x14ac:dyDescent="0.25">
      <c r="A2836" t="s">
        <v>1906</v>
      </c>
      <c r="B2836" t="s">
        <v>1907</v>
      </c>
      <c r="C2836" t="s">
        <v>1962</v>
      </c>
      <c r="D2836" t="s">
        <v>1963</v>
      </c>
      <c r="E2836" t="s">
        <v>1964</v>
      </c>
      <c r="F2836" t="s">
        <v>1964</v>
      </c>
      <c r="G2836" t="s">
        <v>5</v>
      </c>
      <c r="H2836" t="s">
        <v>5</v>
      </c>
      <c r="I2836" t="s">
        <v>1445</v>
      </c>
      <c r="J2836" t="s">
        <v>47</v>
      </c>
      <c r="K2836" s="3">
        <f t="shared" si="88"/>
        <v>0</v>
      </c>
      <c r="L2836" s="3">
        <f>IF(ISERROR(VLOOKUP(J2836,Lookups!$A$2:$A$16,1,FALSE)),1,0)</f>
        <v>1</v>
      </c>
      <c r="M2836" s="3">
        <f>IF(ISERROR(VLOOKUP(D2836,Data!$A$2:$D$223100,2,FALSE)),0,1)</f>
        <v>1</v>
      </c>
      <c r="N2836" s="3">
        <f t="shared" si="89"/>
        <v>1</v>
      </c>
      <c r="O2836" s="3" t="str">
        <f>IF(ISERROR(VLOOKUP(D2836,Data!$A$2:$C$223100,3,FALSE)),"INACTIVE",VLOOKUP(D2836,Data!$A$2:$C$223100,3,FALSE))</f>
        <v>FC</v>
      </c>
    </row>
    <row r="2837" spans="1:15" x14ac:dyDescent="0.25">
      <c r="A2837" t="s">
        <v>1906</v>
      </c>
      <c r="B2837" t="s">
        <v>1907</v>
      </c>
      <c r="C2837" t="s">
        <v>1965</v>
      </c>
      <c r="D2837" t="s">
        <v>1966</v>
      </c>
      <c r="E2837" t="s">
        <v>1967</v>
      </c>
      <c r="F2837" t="s">
        <v>1967</v>
      </c>
      <c r="G2837" t="s">
        <v>5</v>
      </c>
      <c r="H2837" t="s">
        <v>5</v>
      </c>
      <c r="I2837" t="s">
        <v>1445</v>
      </c>
      <c r="J2837" t="s">
        <v>47</v>
      </c>
      <c r="K2837" s="3">
        <f t="shared" si="88"/>
        <v>0</v>
      </c>
      <c r="L2837" s="3">
        <f>IF(ISERROR(VLOOKUP(J2837,Lookups!$A$2:$A$16,1,FALSE)),1,0)</f>
        <v>1</v>
      </c>
      <c r="M2837" s="3">
        <f>IF(ISERROR(VLOOKUP(D2837,Data!$A$2:$D$223100,2,FALSE)),0,1)</f>
        <v>1</v>
      </c>
      <c r="N2837" s="3">
        <f t="shared" si="89"/>
        <v>1</v>
      </c>
      <c r="O2837" s="3" t="str">
        <f>IF(ISERROR(VLOOKUP(D2837,Data!$A$2:$C$223100,3,FALSE)),"INACTIVE",VLOOKUP(D2837,Data!$A$2:$C$223100,3,FALSE))</f>
        <v>Current</v>
      </c>
    </row>
    <row r="2838" spans="1:15" x14ac:dyDescent="0.25">
      <c r="A2838" t="s">
        <v>1906</v>
      </c>
      <c r="B2838" t="s">
        <v>1907</v>
      </c>
      <c r="C2838" t="s">
        <v>1968</v>
      </c>
      <c r="D2838" t="s">
        <v>1969</v>
      </c>
      <c r="E2838" t="s">
        <v>1970</v>
      </c>
      <c r="F2838" t="s">
        <v>1970</v>
      </c>
      <c r="G2838" t="s">
        <v>5</v>
      </c>
      <c r="H2838" t="s">
        <v>5</v>
      </c>
      <c r="I2838" t="s">
        <v>1445</v>
      </c>
      <c r="J2838" t="s">
        <v>40</v>
      </c>
      <c r="K2838" s="3">
        <f t="shared" si="88"/>
        <v>0</v>
      </c>
      <c r="L2838" s="3">
        <f>IF(ISERROR(VLOOKUP(J2838,Lookups!$A$2:$A$16,1,FALSE)),1,0)</f>
        <v>1</v>
      </c>
      <c r="M2838" s="3">
        <f>IF(ISERROR(VLOOKUP(D2838,Data!$A$2:$D$223100,2,FALSE)),0,1)</f>
        <v>1</v>
      </c>
      <c r="N2838" s="3">
        <f t="shared" si="89"/>
        <v>1</v>
      </c>
      <c r="O2838" s="3" t="str">
        <f>IF(ISERROR(VLOOKUP(D2838,Data!$A$2:$C$223100,3,FALSE)),"INACTIVE",VLOOKUP(D2838,Data!$A$2:$C$223100,3,FALSE))</f>
        <v>FBA</v>
      </c>
    </row>
    <row r="2839" spans="1:15" x14ac:dyDescent="0.25">
      <c r="A2839" t="s">
        <v>1906</v>
      </c>
      <c r="B2839" t="s">
        <v>1907</v>
      </c>
      <c r="C2839" t="s">
        <v>1971</v>
      </c>
      <c r="D2839" t="s">
        <v>1972</v>
      </c>
      <c r="E2839" t="s">
        <v>1973</v>
      </c>
      <c r="F2839" t="s">
        <v>1973</v>
      </c>
      <c r="G2839" t="s">
        <v>5</v>
      </c>
      <c r="H2839" t="s">
        <v>5</v>
      </c>
      <c r="I2839" t="s">
        <v>1445</v>
      </c>
      <c r="J2839" t="s">
        <v>47</v>
      </c>
      <c r="K2839" s="3">
        <f t="shared" si="88"/>
        <v>0</v>
      </c>
      <c r="L2839" s="3">
        <f>IF(ISERROR(VLOOKUP(J2839,Lookups!$A$2:$A$16,1,FALSE)),1,0)</f>
        <v>1</v>
      </c>
      <c r="M2839" s="3">
        <f>IF(ISERROR(VLOOKUP(D2839,Data!$A$2:$D$223100,2,FALSE)),0,1)</f>
        <v>1</v>
      </c>
      <c r="N2839" s="3">
        <f t="shared" si="89"/>
        <v>1</v>
      </c>
      <c r="O2839" s="3" t="str">
        <f>IF(ISERROR(VLOOKUP(D2839,Data!$A$2:$C$223100,3,FALSE)),"INACTIVE",VLOOKUP(D2839,Data!$A$2:$C$223100,3,FALSE))</f>
        <v>FC</v>
      </c>
    </row>
    <row r="2840" spans="1:15" x14ac:dyDescent="0.25">
      <c r="A2840" t="s">
        <v>1906</v>
      </c>
      <c r="B2840" t="s">
        <v>1907</v>
      </c>
      <c r="C2840" t="s">
        <v>1974</v>
      </c>
      <c r="D2840" t="s">
        <v>1975</v>
      </c>
      <c r="E2840" t="s">
        <v>1976</v>
      </c>
      <c r="F2840" t="s">
        <v>1976</v>
      </c>
      <c r="G2840" t="s">
        <v>5</v>
      </c>
      <c r="H2840" t="s">
        <v>5</v>
      </c>
      <c r="I2840" t="s">
        <v>1445</v>
      </c>
      <c r="J2840" t="s">
        <v>47</v>
      </c>
      <c r="K2840" s="3">
        <f t="shared" si="88"/>
        <v>0</v>
      </c>
      <c r="L2840" s="3">
        <f>IF(ISERROR(VLOOKUP(J2840,Lookups!$A$2:$A$16,1,FALSE)),1,0)</f>
        <v>1</v>
      </c>
      <c r="M2840" s="3">
        <f>IF(ISERROR(VLOOKUP(D2840,Data!$A$2:$D$223100,2,FALSE)),0,1)</f>
        <v>1</v>
      </c>
      <c r="N2840" s="3">
        <f t="shared" si="89"/>
        <v>1</v>
      </c>
      <c r="O2840" s="3" t="str">
        <f>IF(ISERROR(VLOOKUP(D2840,Data!$A$2:$C$223100,3,FALSE)),"INACTIVE",VLOOKUP(D2840,Data!$A$2:$C$223100,3,FALSE))</f>
        <v>Current</v>
      </c>
    </row>
    <row r="2841" spans="1:15" x14ac:dyDescent="0.25">
      <c r="A2841" t="s">
        <v>1906</v>
      </c>
      <c r="B2841" t="s">
        <v>1907</v>
      </c>
      <c r="C2841" t="s">
        <v>1977</v>
      </c>
      <c r="D2841" t="s">
        <v>1978</v>
      </c>
      <c r="E2841" t="s">
        <v>1979</v>
      </c>
      <c r="F2841" t="s">
        <v>1979</v>
      </c>
      <c r="G2841" t="s">
        <v>5</v>
      </c>
      <c r="H2841" t="s">
        <v>5</v>
      </c>
      <c r="I2841" t="s">
        <v>1445</v>
      </c>
      <c r="J2841" t="s">
        <v>47</v>
      </c>
      <c r="K2841" s="3">
        <f t="shared" si="88"/>
        <v>0</v>
      </c>
      <c r="L2841" s="3">
        <f>IF(ISERROR(VLOOKUP(J2841,Lookups!$A$2:$A$16,1,FALSE)),1,0)</f>
        <v>1</v>
      </c>
      <c r="M2841" s="3">
        <f>IF(ISERROR(VLOOKUP(D2841,Data!$A$2:$D$223100,2,FALSE)),0,1)</f>
        <v>1</v>
      </c>
      <c r="N2841" s="3">
        <f t="shared" si="89"/>
        <v>1</v>
      </c>
      <c r="O2841" s="3" t="str">
        <f>IF(ISERROR(VLOOKUP(D2841,Data!$A$2:$C$223100,3,FALSE)),"INACTIVE",VLOOKUP(D2841,Data!$A$2:$C$223100,3,FALSE))</f>
        <v>30+</v>
      </c>
    </row>
    <row r="2842" spans="1:15" x14ac:dyDescent="0.25">
      <c r="A2842" t="s">
        <v>1906</v>
      </c>
      <c r="B2842" t="s">
        <v>1907</v>
      </c>
      <c r="C2842" t="s">
        <v>1980</v>
      </c>
      <c r="D2842" t="s">
        <v>1981</v>
      </c>
      <c r="E2842" t="s">
        <v>1982</v>
      </c>
      <c r="F2842" t="s">
        <v>1982</v>
      </c>
      <c r="G2842" t="s">
        <v>5</v>
      </c>
      <c r="H2842" t="s">
        <v>5</v>
      </c>
      <c r="I2842" t="s">
        <v>1445</v>
      </c>
      <c r="J2842" t="s">
        <v>47</v>
      </c>
      <c r="K2842" s="3">
        <f t="shared" si="88"/>
        <v>0</v>
      </c>
      <c r="L2842" s="3">
        <f>IF(ISERROR(VLOOKUP(J2842,Lookups!$A$2:$A$16,1,FALSE)),1,0)</f>
        <v>1</v>
      </c>
      <c r="M2842" s="3">
        <f>IF(ISERROR(VLOOKUP(D2842,Data!$A$2:$D$223100,2,FALSE)),0,1)</f>
        <v>1</v>
      </c>
      <c r="N2842" s="3">
        <f t="shared" si="89"/>
        <v>1</v>
      </c>
      <c r="O2842" s="3" t="str">
        <f>IF(ISERROR(VLOOKUP(D2842,Data!$A$2:$C$223100,3,FALSE)),"INACTIVE",VLOOKUP(D2842,Data!$A$2:$C$223100,3,FALSE))</f>
        <v>Demand Letter</v>
      </c>
    </row>
    <row r="2843" spans="1:15" x14ac:dyDescent="0.25">
      <c r="A2843" t="s">
        <v>1906</v>
      </c>
      <c r="B2843" t="s">
        <v>1907</v>
      </c>
      <c r="C2843" t="s">
        <v>1983</v>
      </c>
      <c r="D2843" t="s">
        <v>1984</v>
      </c>
      <c r="E2843" t="s">
        <v>1985</v>
      </c>
      <c r="F2843" t="s">
        <v>1985</v>
      </c>
      <c r="G2843" t="s">
        <v>5</v>
      </c>
      <c r="H2843" t="s">
        <v>5</v>
      </c>
      <c r="I2843" t="s">
        <v>1445</v>
      </c>
      <c r="J2843" t="s">
        <v>40</v>
      </c>
      <c r="K2843" s="3">
        <f t="shared" si="88"/>
        <v>0</v>
      </c>
      <c r="L2843" s="3">
        <f>IF(ISERROR(VLOOKUP(J2843,Lookups!$A$2:$A$16,1,FALSE)),1,0)</f>
        <v>1</v>
      </c>
      <c r="M2843" s="3">
        <f>IF(ISERROR(VLOOKUP(D2843,Data!$A$2:$D$223100,2,FALSE)),0,1)</f>
        <v>1</v>
      </c>
      <c r="N2843" s="3">
        <f t="shared" si="89"/>
        <v>1</v>
      </c>
      <c r="O2843" s="3" t="str">
        <f>IF(ISERROR(VLOOKUP(D2843,Data!$A$2:$C$223100,3,FALSE)),"INACTIVE",VLOOKUP(D2843,Data!$A$2:$C$223100,3,FALSE))</f>
        <v>Demand Letter</v>
      </c>
    </row>
    <row r="2844" spans="1:15" x14ac:dyDescent="0.25">
      <c r="A2844" t="s">
        <v>1906</v>
      </c>
      <c r="B2844" t="s">
        <v>1907</v>
      </c>
      <c r="C2844" t="s">
        <v>1908</v>
      </c>
      <c r="D2844" t="s">
        <v>1909</v>
      </c>
      <c r="E2844" t="s">
        <v>1986</v>
      </c>
      <c r="F2844" t="s">
        <v>1986</v>
      </c>
      <c r="G2844" t="s">
        <v>5</v>
      </c>
      <c r="H2844" t="s">
        <v>5</v>
      </c>
      <c r="I2844" t="s">
        <v>1445</v>
      </c>
      <c r="J2844" t="s">
        <v>96</v>
      </c>
      <c r="K2844" s="3">
        <f t="shared" si="88"/>
        <v>0</v>
      </c>
      <c r="L2844" s="3">
        <f>IF(ISERROR(VLOOKUP(J2844,Lookups!$A$2:$A$16,1,FALSE)),1,0)</f>
        <v>0</v>
      </c>
      <c r="M2844" s="3">
        <f>IF(ISERROR(VLOOKUP(D2844,Data!$A$2:$D$223100,2,FALSE)),0,1)</f>
        <v>1</v>
      </c>
      <c r="N2844" s="3">
        <f t="shared" si="89"/>
        <v>0</v>
      </c>
      <c r="O2844" s="3" t="str">
        <f>IF(ISERROR(VLOOKUP(D2844,Data!$A$2:$C$223100,3,FALSE)),"INACTIVE",VLOOKUP(D2844,Data!$A$2:$C$223100,3,FALSE))</f>
        <v>Current</v>
      </c>
    </row>
    <row r="2845" spans="1:15" x14ac:dyDescent="0.25">
      <c r="A2845" t="s">
        <v>1906</v>
      </c>
      <c r="B2845" t="s">
        <v>1907</v>
      </c>
      <c r="C2845" t="s">
        <v>1987</v>
      </c>
      <c r="D2845" t="s">
        <v>1988</v>
      </c>
      <c r="E2845" t="s">
        <v>1989</v>
      </c>
      <c r="F2845" t="s">
        <v>1989</v>
      </c>
      <c r="G2845" t="s">
        <v>5</v>
      </c>
      <c r="H2845" t="s">
        <v>5</v>
      </c>
      <c r="I2845" t="s">
        <v>1445</v>
      </c>
      <c r="J2845" t="s">
        <v>47</v>
      </c>
      <c r="K2845" s="3">
        <f t="shared" si="88"/>
        <v>0</v>
      </c>
      <c r="L2845" s="3">
        <f>IF(ISERROR(VLOOKUP(J2845,Lookups!$A$2:$A$16,1,FALSE)),1,0)</f>
        <v>1</v>
      </c>
      <c r="M2845" s="3">
        <f>IF(ISERROR(VLOOKUP(D2845,Data!$A$2:$D$223100,2,FALSE)),0,1)</f>
        <v>1</v>
      </c>
      <c r="N2845" s="3">
        <f t="shared" si="89"/>
        <v>1</v>
      </c>
      <c r="O2845" s="3" t="str">
        <f>IF(ISERROR(VLOOKUP(D2845,Data!$A$2:$C$223100,3,FALSE)),"INACTIVE",VLOOKUP(D2845,Data!$A$2:$C$223100,3,FALSE))</f>
        <v>Current</v>
      </c>
    </row>
    <row r="2846" spans="1:15" x14ac:dyDescent="0.25">
      <c r="A2846" t="s">
        <v>1906</v>
      </c>
      <c r="B2846" t="s">
        <v>1907</v>
      </c>
      <c r="C2846" t="s">
        <v>1990</v>
      </c>
      <c r="D2846" t="s">
        <v>1991</v>
      </c>
      <c r="E2846" t="s">
        <v>1992</v>
      </c>
      <c r="F2846" t="s">
        <v>1992</v>
      </c>
      <c r="G2846" t="s">
        <v>5</v>
      </c>
      <c r="H2846" t="s">
        <v>5</v>
      </c>
      <c r="I2846" t="s">
        <v>1445</v>
      </c>
      <c r="J2846" t="s">
        <v>47</v>
      </c>
      <c r="K2846" s="3">
        <f t="shared" si="88"/>
        <v>0</v>
      </c>
      <c r="L2846" s="3">
        <f>IF(ISERROR(VLOOKUP(J2846,Lookups!$A$2:$A$16,1,FALSE)),1,0)</f>
        <v>1</v>
      </c>
      <c r="M2846" s="3">
        <f>IF(ISERROR(VLOOKUP(D2846,Data!$A$2:$D$223100,2,FALSE)),0,1)</f>
        <v>1</v>
      </c>
      <c r="N2846" s="3">
        <f t="shared" si="89"/>
        <v>1</v>
      </c>
      <c r="O2846" s="3" t="str">
        <f>IF(ISERROR(VLOOKUP(D2846,Data!$A$2:$C$223100,3,FALSE)),"INACTIVE",VLOOKUP(D2846,Data!$A$2:$C$223100,3,FALSE))</f>
        <v>FC</v>
      </c>
    </row>
    <row r="2847" spans="1:15" x14ac:dyDescent="0.25">
      <c r="A2847" t="s">
        <v>1906</v>
      </c>
      <c r="B2847" t="s">
        <v>1907</v>
      </c>
      <c r="C2847" t="s">
        <v>1993</v>
      </c>
      <c r="D2847" t="s">
        <v>1994</v>
      </c>
      <c r="E2847" t="s">
        <v>1995</v>
      </c>
      <c r="F2847" t="s">
        <v>1995</v>
      </c>
      <c r="G2847" t="s">
        <v>5</v>
      </c>
      <c r="H2847" t="s">
        <v>5</v>
      </c>
      <c r="I2847" t="s">
        <v>1445</v>
      </c>
      <c r="J2847" t="s">
        <v>40</v>
      </c>
      <c r="K2847" s="3">
        <f t="shared" si="88"/>
        <v>0</v>
      </c>
      <c r="L2847" s="3">
        <f>IF(ISERROR(VLOOKUP(J2847,Lookups!$A$2:$A$16,1,FALSE)),1,0)</f>
        <v>1</v>
      </c>
      <c r="M2847" s="3">
        <f>IF(ISERROR(VLOOKUP(D2847,Data!$A$2:$D$223100,2,FALSE)),0,1)</f>
        <v>1</v>
      </c>
      <c r="N2847" s="3">
        <f t="shared" si="89"/>
        <v>1</v>
      </c>
      <c r="O2847" s="3" t="str">
        <f>IF(ISERROR(VLOOKUP(D2847,Data!$A$2:$C$223100,3,FALSE)),"INACTIVE",VLOOKUP(D2847,Data!$A$2:$C$223100,3,FALSE))</f>
        <v>FC</v>
      </c>
    </row>
    <row r="2848" spans="1:15" x14ac:dyDescent="0.25">
      <c r="A2848" t="s">
        <v>1906</v>
      </c>
      <c r="B2848" t="s">
        <v>1907</v>
      </c>
      <c r="C2848" t="s">
        <v>1996</v>
      </c>
      <c r="D2848" t="s">
        <v>1997</v>
      </c>
      <c r="E2848" t="s">
        <v>1998</v>
      </c>
      <c r="F2848" t="s">
        <v>1998</v>
      </c>
      <c r="G2848" t="s">
        <v>5</v>
      </c>
      <c r="H2848" t="s">
        <v>5</v>
      </c>
      <c r="I2848" t="s">
        <v>1445</v>
      </c>
      <c r="J2848" t="s">
        <v>40</v>
      </c>
      <c r="K2848" s="3">
        <f t="shared" si="88"/>
        <v>0</v>
      </c>
      <c r="L2848" s="3">
        <f>IF(ISERROR(VLOOKUP(J2848,Lookups!$A$2:$A$16,1,FALSE)),1,0)</f>
        <v>1</v>
      </c>
      <c r="M2848" s="3">
        <f>IF(ISERROR(VLOOKUP(D2848,Data!$A$2:$D$223100,2,FALSE)),0,1)</f>
        <v>0</v>
      </c>
      <c r="N2848" s="3">
        <f t="shared" si="89"/>
        <v>0</v>
      </c>
      <c r="O2848" s="3" t="str">
        <f>IF(ISERROR(VLOOKUP(D2848,Data!$A$2:$C$223100,3,FALSE)),"INACTIVE",VLOOKUP(D2848,Data!$A$2:$C$223100,3,FALSE))</f>
        <v>INACTIVE</v>
      </c>
    </row>
    <row r="2849" spans="1:15" x14ac:dyDescent="0.25">
      <c r="A2849" t="s">
        <v>1906</v>
      </c>
      <c r="B2849" t="s">
        <v>1907</v>
      </c>
      <c r="C2849" t="s">
        <v>1999</v>
      </c>
      <c r="D2849" t="s">
        <v>2000</v>
      </c>
      <c r="E2849" t="s">
        <v>2001</v>
      </c>
      <c r="F2849" t="s">
        <v>2001</v>
      </c>
      <c r="G2849" t="s">
        <v>5</v>
      </c>
      <c r="H2849" t="s">
        <v>5</v>
      </c>
      <c r="I2849" t="s">
        <v>1445</v>
      </c>
      <c r="J2849" t="s">
        <v>47</v>
      </c>
      <c r="K2849" s="3">
        <f t="shared" si="88"/>
        <v>0</v>
      </c>
      <c r="L2849" s="3">
        <f>IF(ISERROR(VLOOKUP(J2849,Lookups!$A$2:$A$16,1,FALSE)),1,0)</f>
        <v>1</v>
      </c>
      <c r="M2849" s="3">
        <f>IF(ISERROR(VLOOKUP(D2849,Data!$A$2:$D$223100,2,FALSE)),0,1)</f>
        <v>1</v>
      </c>
      <c r="N2849" s="3">
        <f t="shared" si="89"/>
        <v>1</v>
      </c>
      <c r="O2849" s="3" t="str">
        <f>IF(ISERROR(VLOOKUP(D2849,Data!$A$2:$C$223100,3,FALSE)),"INACTIVE",VLOOKUP(D2849,Data!$A$2:$C$223100,3,FALSE))</f>
        <v>PP</v>
      </c>
    </row>
    <row r="2850" spans="1:15" x14ac:dyDescent="0.25">
      <c r="A2850" t="s">
        <v>1906</v>
      </c>
      <c r="B2850" t="s">
        <v>1907</v>
      </c>
      <c r="C2850" t="s">
        <v>1914</v>
      </c>
      <c r="D2850" t="s">
        <v>1915</v>
      </c>
      <c r="E2850" t="s">
        <v>2002</v>
      </c>
      <c r="F2850" t="s">
        <v>2002</v>
      </c>
      <c r="G2850" t="s">
        <v>5</v>
      </c>
      <c r="H2850" t="s">
        <v>5</v>
      </c>
      <c r="I2850" t="s">
        <v>1445</v>
      </c>
      <c r="J2850" t="s">
        <v>573</v>
      </c>
      <c r="K2850" s="3">
        <f t="shared" si="88"/>
        <v>0</v>
      </c>
      <c r="L2850" s="3">
        <f>IF(ISERROR(VLOOKUP(J2850,Lookups!$A$2:$A$16,1,FALSE)),1,0)</f>
        <v>1</v>
      </c>
      <c r="M2850" s="3">
        <f>IF(ISERROR(VLOOKUP(D2850,Data!$A$2:$D$223100,2,FALSE)),0,1)</f>
        <v>1</v>
      </c>
      <c r="N2850" s="3">
        <f t="shared" si="89"/>
        <v>1</v>
      </c>
      <c r="O2850" s="3" t="str">
        <f>IF(ISERROR(VLOOKUP(D2850,Data!$A$2:$C$223100,3,FALSE)),"INACTIVE",VLOOKUP(D2850,Data!$A$2:$C$223100,3,FALSE))</f>
        <v>60+</v>
      </c>
    </row>
    <row r="2851" spans="1:15" x14ac:dyDescent="0.25">
      <c r="A2851" t="s">
        <v>3600</v>
      </c>
      <c r="B2851" t="s">
        <v>3601</v>
      </c>
      <c r="C2851" t="s">
        <v>3602</v>
      </c>
      <c r="D2851" t="s">
        <v>3603</v>
      </c>
      <c r="E2851" t="s">
        <v>3604</v>
      </c>
      <c r="F2851" t="s">
        <v>5</v>
      </c>
      <c r="G2851" t="s">
        <v>5</v>
      </c>
      <c r="H2851" t="s">
        <v>5</v>
      </c>
      <c r="I2851" t="s">
        <v>1445</v>
      </c>
      <c r="J2851" t="s">
        <v>96</v>
      </c>
      <c r="K2851" s="3">
        <f t="shared" si="88"/>
        <v>0</v>
      </c>
      <c r="L2851" s="3">
        <f>IF(ISERROR(VLOOKUP(J2851,Lookups!$A$2:$A$16,1,FALSE)),1,0)</f>
        <v>0</v>
      </c>
      <c r="M2851" s="3">
        <f>IF(ISERROR(VLOOKUP(D2851,Data!$A$2:$D$223100,2,FALSE)),0,1)</f>
        <v>1</v>
      </c>
      <c r="N2851" s="3">
        <f t="shared" si="89"/>
        <v>0</v>
      </c>
      <c r="O2851" s="3" t="str">
        <f>IF(ISERROR(VLOOKUP(D2851,Data!$A$2:$C$223100,3,FALSE)),"INACTIVE",VLOOKUP(D2851,Data!$A$2:$C$223100,3,FALSE))</f>
        <v>Demand Letter</v>
      </c>
    </row>
    <row r="2852" spans="1:15" x14ac:dyDescent="0.25">
      <c r="A2852" t="s">
        <v>3600</v>
      </c>
      <c r="B2852" t="s">
        <v>3601</v>
      </c>
      <c r="C2852" t="s">
        <v>3602</v>
      </c>
      <c r="D2852" t="s">
        <v>3603</v>
      </c>
      <c r="E2852" t="s">
        <v>3605</v>
      </c>
      <c r="F2852" t="s">
        <v>5</v>
      </c>
      <c r="G2852" t="s">
        <v>5</v>
      </c>
      <c r="H2852" t="s">
        <v>5</v>
      </c>
      <c r="I2852" t="s">
        <v>1445</v>
      </c>
      <c r="J2852" t="s">
        <v>96</v>
      </c>
      <c r="K2852" s="3">
        <f t="shared" si="88"/>
        <v>0</v>
      </c>
      <c r="L2852" s="3">
        <f>IF(ISERROR(VLOOKUP(J2852,Lookups!$A$2:$A$16,1,FALSE)),1,0)</f>
        <v>0</v>
      </c>
      <c r="M2852" s="3">
        <f>IF(ISERROR(VLOOKUP(D2852,Data!$A$2:$D$223100,2,FALSE)),0,1)</f>
        <v>1</v>
      </c>
      <c r="N2852" s="3">
        <f t="shared" si="89"/>
        <v>0</v>
      </c>
      <c r="O2852" s="3" t="str">
        <f>IF(ISERROR(VLOOKUP(D2852,Data!$A$2:$C$223100,3,FALSE)),"INACTIVE",VLOOKUP(D2852,Data!$A$2:$C$223100,3,FALSE))</f>
        <v>Demand Letter</v>
      </c>
    </row>
    <row r="2853" spans="1:15" x14ac:dyDescent="0.25">
      <c r="A2853" t="s">
        <v>3600</v>
      </c>
      <c r="B2853" t="s">
        <v>3601</v>
      </c>
      <c r="C2853" t="s">
        <v>3602</v>
      </c>
      <c r="D2853" t="s">
        <v>3603</v>
      </c>
      <c r="E2853" t="s">
        <v>3606</v>
      </c>
      <c r="F2853" t="s">
        <v>5</v>
      </c>
      <c r="G2853" t="s">
        <v>5</v>
      </c>
      <c r="H2853" t="s">
        <v>5</v>
      </c>
      <c r="I2853" t="s">
        <v>1445</v>
      </c>
      <c r="J2853" t="s">
        <v>96</v>
      </c>
      <c r="K2853" s="3">
        <f t="shared" si="88"/>
        <v>0</v>
      </c>
      <c r="L2853" s="3">
        <f>IF(ISERROR(VLOOKUP(J2853,Lookups!$A$2:$A$16,1,FALSE)),1,0)</f>
        <v>0</v>
      </c>
      <c r="M2853" s="3">
        <f>IF(ISERROR(VLOOKUP(D2853,Data!$A$2:$D$223100,2,FALSE)),0,1)</f>
        <v>1</v>
      </c>
      <c r="N2853" s="3">
        <f t="shared" si="89"/>
        <v>0</v>
      </c>
      <c r="O2853" s="3" t="str">
        <f>IF(ISERROR(VLOOKUP(D2853,Data!$A$2:$C$223100,3,FALSE)),"INACTIVE",VLOOKUP(D2853,Data!$A$2:$C$223100,3,FALSE))</f>
        <v>Demand Letter</v>
      </c>
    </row>
    <row r="2854" spans="1:15" x14ac:dyDescent="0.25">
      <c r="A2854" t="s">
        <v>3600</v>
      </c>
      <c r="B2854" t="s">
        <v>3601</v>
      </c>
      <c r="C2854" t="s">
        <v>3607</v>
      </c>
      <c r="D2854" t="s">
        <v>3608</v>
      </c>
      <c r="E2854" t="s">
        <v>3609</v>
      </c>
      <c r="F2854" t="s">
        <v>5</v>
      </c>
      <c r="G2854" t="s">
        <v>5</v>
      </c>
      <c r="H2854" t="s">
        <v>5</v>
      </c>
      <c r="I2854" t="s">
        <v>1445</v>
      </c>
      <c r="J2854" t="s">
        <v>7</v>
      </c>
      <c r="K2854" s="3">
        <f t="shared" si="88"/>
        <v>0</v>
      </c>
      <c r="L2854" s="3">
        <f>IF(ISERROR(VLOOKUP(J2854,Lookups!$A$2:$A$16,1,FALSE)),1,0)</f>
        <v>1</v>
      </c>
      <c r="M2854" s="3">
        <f>IF(ISERROR(VLOOKUP(D2854,Data!$A$2:$D$223100,2,FALSE)),0,1)</f>
        <v>1</v>
      </c>
      <c r="N2854" s="3">
        <f t="shared" si="89"/>
        <v>1</v>
      </c>
      <c r="O2854" s="3" t="str">
        <f>IF(ISERROR(VLOOKUP(D2854,Data!$A$2:$C$223100,3,FALSE)),"INACTIVE",VLOOKUP(D2854,Data!$A$2:$C$223100,3,FALSE))</f>
        <v>BK13</v>
      </c>
    </row>
    <row r="2855" spans="1:15" x14ac:dyDescent="0.25">
      <c r="A2855" t="s">
        <v>3600</v>
      </c>
      <c r="B2855" t="s">
        <v>3601</v>
      </c>
      <c r="C2855" t="s">
        <v>3607</v>
      </c>
      <c r="D2855" t="s">
        <v>3608</v>
      </c>
      <c r="E2855" t="s">
        <v>3610</v>
      </c>
      <c r="F2855" t="s">
        <v>5</v>
      </c>
      <c r="G2855" t="s">
        <v>5</v>
      </c>
      <c r="H2855" t="s">
        <v>5</v>
      </c>
      <c r="I2855" t="s">
        <v>1445</v>
      </c>
      <c r="J2855" t="s">
        <v>7</v>
      </c>
      <c r="K2855" s="3">
        <f t="shared" si="88"/>
        <v>0</v>
      </c>
      <c r="L2855" s="3">
        <f>IF(ISERROR(VLOOKUP(J2855,Lookups!$A$2:$A$16,1,FALSE)),1,0)</f>
        <v>1</v>
      </c>
      <c r="M2855" s="3">
        <f>IF(ISERROR(VLOOKUP(D2855,Data!$A$2:$D$223100,2,FALSE)),0,1)</f>
        <v>1</v>
      </c>
      <c r="N2855" s="3">
        <f t="shared" si="89"/>
        <v>1</v>
      </c>
      <c r="O2855" s="3" t="str">
        <f>IF(ISERROR(VLOOKUP(D2855,Data!$A$2:$C$223100,3,FALSE)),"INACTIVE",VLOOKUP(D2855,Data!$A$2:$C$223100,3,FALSE))</f>
        <v>BK13</v>
      </c>
    </row>
    <row r="2856" spans="1:15" x14ac:dyDescent="0.25">
      <c r="A2856" t="s">
        <v>3600</v>
      </c>
      <c r="B2856" t="s">
        <v>3601</v>
      </c>
      <c r="C2856" t="s">
        <v>3611</v>
      </c>
      <c r="D2856" t="s">
        <v>3612</v>
      </c>
      <c r="E2856" t="s">
        <v>3613</v>
      </c>
      <c r="F2856" t="s">
        <v>5</v>
      </c>
      <c r="G2856" t="s">
        <v>5</v>
      </c>
      <c r="H2856" t="s">
        <v>5</v>
      </c>
      <c r="I2856" t="s">
        <v>1445</v>
      </c>
      <c r="J2856" t="s">
        <v>7</v>
      </c>
      <c r="K2856" s="3">
        <f t="shared" si="88"/>
        <v>0</v>
      </c>
      <c r="L2856" s="3">
        <f>IF(ISERROR(VLOOKUP(J2856,Lookups!$A$2:$A$16,1,FALSE)),1,0)</f>
        <v>1</v>
      </c>
      <c r="M2856" s="3">
        <f>IF(ISERROR(VLOOKUP(D2856,Data!$A$2:$D$223100,2,FALSE)),0,1)</f>
        <v>1</v>
      </c>
      <c r="N2856" s="3">
        <f t="shared" si="89"/>
        <v>1</v>
      </c>
      <c r="O2856" s="3" t="str">
        <f>IF(ISERROR(VLOOKUP(D2856,Data!$A$2:$C$223100,3,FALSE)),"INACTIVE",VLOOKUP(D2856,Data!$A$2:$C$223100,3,FALSE))</f>
        <v>180+</v>
      </c>
    </row>
    <row r="2857" spans="1:15" x14ac:dyDescent="0.25">
      <c r="A2857" t="s">
        <v>3600</v>
      </c>
      <c r="B2857" t="s">
        <v>3601</v>
      </c>
      <c r="C2857" t="s">
        <v>3611</v>
      </c>
      <c r="D2857" t="s">
        <v>3612</v>
      </c>
      <c r="E2857" t="s">
        <v>3614</v>
      </c>
      <c r="F2857" t="s">
        <v>5</v>
      </c>
      <c r="G2857" t="s">
        <v>5</v>
      </c>
      <c r="H2857" t="s">
        <v>5</v>
      </c>
      <c r="I2857" t="s">
        <v>1445</v>
      </c>
      <c r="J2857" t="s">
        <v>7</v>
      </c>
      <c r="K2857" s="3">
        <f t="shared" si="88"/>
        <v>0</v>
      </c>
      <c r="L2857" s="3">
        <f>IF(ISERROR(VLOOKUP(J2857,Lookups!$A$2:$A$16,1,FALSE)),1,0)</f>
        <v>1</v>
      </c>
      <c r="M2857" s="3">
        <f>IF(ISERROR(VLOOKUP(D2857,Data!$A$2:$D$223100,2,FALSE)),0,1)</f>
        <v>1</v>
      </c>
      <c r="N2857" s="3">
        <f t="shared" si="89"/>
        <v>1</v>
      </c>
      <c r="O2857" s="3" t="str">
        <f>IF(ISERROR(VLOOKUP(D2857,Data!$A$2:$C$223100,3,FALSE)),"INACTIVE",VLOOKUP(D2857,Data!$A$2:$C$223100,3,FALSE))</f>
        <v>180+</v>
      </c>
    </row>
    <row r="2858" spans="1:15" x14ac:dyDescent="0.25">
      <c r="A2858" t="s">
        <v>3600</v>
      </c>
      <c r="B2858" t="s">
        <v>3601</v>
      </c>
      <c r="C2858" t="s">
        <v>3615</v>
      </c>
      <c r="D2858" t="s">
        <v>3616</v>
      </c>
      <c r="E2858" t="s">
        <v>3617</v>
      </c>
      <c r="F2858" t="s">
        <v>5</v>
      </c>
      <c r="G2858" t="s">
        <v>5</v>
      </c>
      <c r="H2858" t="s">
        <v>5</v>
      </c>
      <c r="I2858" t="s">
        <v>1445</v>
      </c>
      <c r="J2858" t="s">
        <v>7</v>
      </c>
      <c r="K2858" s="3">
        <f t="shared" si="88"/>
        <v>0</v>
      </c>
      <c r="L2858" s="3">
        <f>IF(ISERROR(VLOOKUP(J2858,Lookups!$A$2:$A$16,1,FALSE)),1,0)</f>
        <v>1</v>
      </c>
      <c r="M2858" s="3">
        <f>IF(ISERROR(VLOOKUP(D2858,Data!$A$2:$D$223100,2,FALSE)),0,1)</f>
        <v>1</v>
      </c>
      <c r="N2858" s="3">
        <f t="shared" si="89"/>
        <v>1</v>
      </c>
      <c r="O2858" s="3" t="str">
        <f>IF(ISERROR(VLOOKUP(D2858,Data!$A$2:$C$223100,3,FALSE)),"INACTIVE",VLOOKUP(D2858,Data!$A$2:$C$223100,3,FALSE))</f>
        <v>Current</v>
      </c>
    </row>
    <row r="2859" spans="1:15" x14ac:dyDescent="0.25">
      <c r="A2859" t="s">
        <v>3600</v>
      </c>
      <c r="B2859" t="s">
        <v>3601</v>
      </c>
      <c r="C2859" t="s">
        <v>3615</v>
      </c>
      <c r="D2859" t="s">
        <v>3616</v>
      </c>
      <c r="E2859" t="s">
        <v>3618</v>
      </c>
      <c r="F2859" t="s">
        <v>5</v>
      </c>
      <c r="G2859" t="s">
        <v>5</v>
      </c>
      <c r="H2859" t="s">
        <v>5</v>
      </c>
      <c r="I2859" t="s">
        <v>1445</v>
      </c>
      <c r="J2859" t="s">
        <v>7</v>
      </c>
      <c r="K2859" s="3">
        <f t="shared" si="88"/>
        <v>0</v>
      </c>
      <c r="L2859" s="3">
        <f>IF(ISERROR(VLOOKUP(J2859,Lookups!$A$2:$A$16,1,FALSE)),1,0)</f>
        <v>1</v>
      </c>
      <c r="M2859" s="3">
        <f>IF(ISERROR(VLOOKUP(D2859,Data!$A$2:$D$223100,2,FALSE)),0,1)</f>
        <v>1</v>
      </c>
      <c r="N2859" s="3">
        <f t="shared" si="89"/>
        <v>1</v>
      </c>
      <c r="O2859" s="3" t="str">
        <f>IF(ISERROR(VLOOKUP(D2859,Data!$A$2:$C$223100,3,FALSE)),"INACTIVE",VLOOKUP(D2859,Data!$A$2:$C$223100,3,FALSE))</f>
        <v>Current</v>
      </c>
    </row>
    <row r="2860" spans="1:15" x14ac:dyDescent="0.25">
      <c r="A2860" t="s">
        <v>3600</v>
      </c>
      <c r="B2860" t="s">
        <v>3601</v>
      </c>
      <c r="C2860" t="s">
        <v>3619</v>
      </c>
      <c r="D2860" t="s">
        <v>3620</v>
      </c>
      <c r="E2860" t="s">
        <v>3621</v>
      </c>
      <c r="F2860" t="s">
        <v>5</v>
      </c>
      <c r="G2860" t="s">
        <v>5</v>
      </c>
      <c r="H2860" t="s">
        <v>5</v>
      </c>
      <c r="I2860" t="s">
        <v>1445</v>
      </c>
      <c r="J2860" t="s">
        <v>14</v>
      </c>
      <c r="K2860" s="3">
        <f t="shared" si="88"/>
        <v>0</v>
      </c>
      <c r="L2860" s="3">
        <f>IF(ISERROR(VLOOKUP(J2860,Lookups!$A$2:$A$16,1,FALSE)),1,0)</f>
        <v>1</v>
      </c>
      <c r="M2860" s="3">
        <f>IF(ISERROR(VLOOKUP(D2860,Data!$A$2:$D$223100,2,FALSE)),0,1)</f>
        <v>1</v>
      </c>
      <c r="N2860" s="3">
        <f t="shared" si="89"/>
        <v>1</v>
      </c>
      <c r="O2860" s="3" t="str">
        <f>IF(ISERROR(VLOOKUP(D2860,Data!$A$2:$C$223100,3,FALSE)),"INACTIVE",VLOOKUP(D2860,Data!$A$2:$C$223100,3,FALSE))</f>
        <v>Demand Letter</v>
      </c>
    </row>
    <row r="2861" spans="1:15" x14ac:dyDescent="0.25">
      <c r="A2861" t="s">
        <v>3820</v>
      </c>
      <c r="B2861" t="s">
        <v>3821</v>
      </c>
      <c r="C2861" t="s">
        <v>3822</v>
      </c>
      <c r="D2861" t="s">
        <v>3823</v>
      </c>
      <c r="E2861" t="s">
        <v>3824</v>
      </c>
      <c r="F2861" t="s">
        <v>5</v>
      </c>
      <c r="G2861" t="s">
        <v>5</v>
      </c>
      <c r="H2861" t="s">
        <v>5</v>
      </c>
      <c r="I2861" t="s">
        <v>1445</v>
      </c>
      <c r="J2861" t="s">
        <v>96</v>
      </c>
      <c r="K2861" s="3">
        <f t="shared" si="88"/>
        <v>0</v>
      </c>
      <c r="L2861" s="3">
        <f>IF(ISERROR(VLOOKUP(J2861,Lookups!$A$2:$A$16,1,FALSE)),1,0)</f>
        <v>0</v>
      </c>
      <c r="M2861" s="3">
        <f>IF(ISERROR(VLOOKUP(D2861,Data!$A$2:$D$223100,2,FALSE)),0,1)</f>
        <v>1</v>
      </c>
      <c r="N2861" s="3">
        <f t="shared" si="89"/>
        <v>0</v>
      </c>
      <c r="O2861" s="3" t="str">
        <f>IF(ISERROR(VLOOKUP(D2861,Data!$A$2:$C$223100,3,FALSE)),"INACTIVE",VLOOKUP(D2861,Data!$A$2:$C$223100,3,FALSE))</f>
        <v>Current</v>
      </c>
    </row>
    <row r="2862" spans="1:15" x14ac:dyDescent="0.25">
      <c r="A2862" t="s">
        <v>3852</v>
      </c>
      <c r="B2862" t="s">
        <v>3853</v>
      </c>
      <c r="C2862" t="s">
        <v>3854</v>
      </c>
      <c r="D2862" t="s">
        <v>3855</v>
      </c>
      <c r="E2862" t="s">
        <v>3856</v>
      </c>
      <c r="F2862" t="s">
        <v>5</v>
      </c>
      <c r="G2862" t="s">
        <v>5</v>
      </c>
      <c r="H2862" t="s">
        <v>5</v>
      </c>
      <c r="I2862" t="s">
        <v>1445</v>
      </c>
      <c r="J2862" t="s">
        <v>90</v>
      </c>
      <c r="K2862" s="3">
        <f t="shared" si="88"/>
        <v>0</v>
      </c>
      <c r="L2862" s="3">
        <f>IF(ISERROR(VLOOKUP(J2862,Lookups!$A$2:$A$16,1,FALSE)),1,0)</f>
        <v>0</v>
      </c>
      <c r="M2862" s="3">
        <f>IF(ISERROR(VLOOKUP(D2862,Data!$A$2:$D$223100,2,FALSE)),0,1)</f>
        <v>1</v>
      </c>
      <c r="N2862" s="3">
        <f t="shared" si="89"/>
        <v>0</v>
      </c>
      <c r="O2862" s="3" t="str">
        <f>IF(ISERROR(VLOOKUP(D2862,Data!$A$2:$C$223100,3,FALSE)),"INACTIVE",VLOOKUP(D2862,Data!$A$2:$C$223100,3,FALSE))</f>
        <v>Current</v>
      </c>
    </row>
    <row r="2863" spans="1:15" x14ac:dyDescent="0.25">
      <c r="A2863" t="s">
        <v>3852</v>
      </c>
      <c r="B2863" t="s">
        <v>3853</v>
      </c>
      <c r="C2863" t="s">
        <v>3857</v>
      </c>
      <c r="D2863" t="s">
        <v>3858</v>
      </c>
      <c r="E2863" t="s">
        <v>3859</v>
      </c>
      <c r="F2863" t="s">
        <v>5</v>
      </c>
      <c r="G2863" t="s">
        <v>5</v>
      </c>
      <c r="H2863" t="s">
        <v>5</v>
      </c>
      <c r="I2863" t="s">
        <v>1445</v>
      </c>
      <c r="J2863" t="s">
        <v>90</v>
      </c>
      <c r="K2863" s="3">
        <f t="shared" si="88"/>
        <v>0</v>
      </c>
      <c r="L2863" s="3">
        <f>IF(ISERROR(VLOOKUP(J2863,Lookups!$A$2:$A$16,1,FALSE)),1,0)</f>
        <v>0</v>
      </c>
      <c r="M2863" s="3">
        <f>IF(ISERROR(VLOOKUP(D2863,Data!$A$2:$D$223100,2,FALSE)),0,1)</f>
        <v>1</v>
      </c>
      <c r="N2863" s="3">
        <f t="shared" si="89"/>
        <v>0</v>
      </c>
      <c r="O2863" s="3" t="str">
        <f>IF(ISERROR(VLOOKUP(D2863,Data!$A$2:$C$223100,3,FALSE)),"INACTIVE",VLOOKUP(D2863,Data!$A$2:$C$223100,3,FALSE))</f>
        <v>Current</v>
      </c>
    </row>
    <row r="2864" spans="1:15" x14ac:dyDescent="0.25">
      <c r="A2864" t="s">
        <v>1545</v>
      </c>
      <c r="B2864" t="s">
        <v>1546</v>
      </c>
      <c r="C2864" t="s">
        <v>1547</v>
      </c>
      <c r="D2864" t="s">
        <v>1548</v>
      </c>
      <c r="E2864" t="s">
        <v>1549</v>
      </c>
      <c r="F2864" t="s">
        <v>5</v>
      </c>
      <c r="G2864" t="s">
        <v>5</v>
      </c>
      <c r="H2864" t="s">
        <v>5</v>
      </c>
      <c r="I2864" t="s">
        <v>1550</v>
      </c>
      <c r="J2864" t="s">
        <v>96</v>
      </c>
      <c r="K2864" s="3">
        <f t="shared" si="88"/>
        <v>0</v>
      </c>
      <c r="L2864" s="3">
        <f>IF(ISERROR(VLOOKUP(J2864,Lookups!$A$2:$A$16,1,FALSE)),1,0)</f>
        <v>0</v>
      </c>
      <c r="M2864" s="3">
        <f>IF(ISERROR(VLOOKUP(D2864,Data!$A$2:$D$223100,2,FALSE)),0,1)</f>
        <v>1</v>
      </c>
      <c r="N2864" s="3">
        <f t="shared" si="89"/>
        <v>0</v>
      </c>
      <c r="O2864" s="3" t="str">
        <f>IF(ISERROR(VLOOKUP(D2864,Data!$A$2:$C$223100,3,FALSE)),"INACTIVE",VLOOKUP(D2864,Data!$A$2:$C$223100,3,FALSE))</f>
        <v>Current</v>
      </c>
    </row>
    <row r="2865" spans="1:15" x14ac:dyDescent="0.25">
      <c r="A2865" t="s">
        <v>1545</v>
      </c>
      <c r="B2865" t="s">
        <v>1546</v>
      </c>
      <c r="C2865" t="s">
        <v>1547</v>
      </c>
      <c r="D2865" t="s">
        <v>1548</v>
      </c>
      <c r="E2865" t="s">
        <v>1551</v>
      </c>
      <c r="F2865" t="s">
        <v>5</v>
      </c>
      <c r="G2865" t="s">
        <v>5</v>
      </c>
      <c r="H2865" t="s">
        <v>5</v>
      </c>
      <c r="I2865" t="s">
        <v>1550</v>
      </c>
      <c r="J2865" t="s">
        <v>96</v>
      </c>
      <c r="K2865" s="3">
        <f t="shared" si="88"/>
        <v>0</v>
      </c>
      <c r="L2865" s="3">
        <f>IF(ISERROR(VLOOKUP(J2865,Lookups!$A$2:$A$16,1,FALSE)),1,0)</f>
        <v>0</v>
      </c>
      <c r="M2865" s="3">
        <f>IF(ISERROR(VLOOKUP(D2865,Data!$A$2:$D$223100,2,FALSE)),0,1)</f>
        <v>1</v>
      </c>
      <c r="N2865" s="3">
        <f t="shared" si="89"/>
        <v>0</v>
      </c>
      <c r="O2865" s="3" t="str">
        <f>IF(ISERROR(VLOOKUP(D2865,Data!$A$2:$C$223100,3,FALSE)),"INACTIVE",VLOOKUP(D2865,Data!$A$2:$C$223100,3,FALSE))</f>
        <v>Current</v>
      </c>
    </row>
    <row r="2866" spans="1:15" x14ac:dyDescent="0.25">
      <c r="A2866" t="s">
        <v>1558</v>
      </c>
      <c r="B2866" t="s">
        <v>1559</v>
      </c>
      <c r="C2866" t="s">
        <v>1560</v>
      </c>
      <c r="D2866" t="s">
        <v>1561</v>
      </c>
      <c r="E2866" t="s">
        <v>1562</v>
      </c>
      <c r="F2866" t="s">
        <v>5</v>
      </c>
      <c r="G2866" t="s">
        <v>5</v>
      </c>
      <c r="H2866" t="s">
        <v>5</v>
      </c>
      <c r="I2866" t="s">
        <v>1550</v>
      </c>
      <c r="J2866" t="s">
        <v>96</v>
      </c>
      <c r="K2866" s="3">
        <f t="shared" si="88"/>
        <v>0</v>
      </c>
      <c r="L2866" s="3">
        <f>IF(ISERROR(VLOOKUP(J2866,Lookups!$A$2:$A$16,1,FALSE)),1,0)</f>
        <v>0</v>
      </c>
      <c r="M2866" s="3">
        <f>IF(ISERROR(VLOOKUP(D2866,Data!$A$2:$D$223100,2,FALSE)),0,1)</f>
        <v>1</v>
      </c>
      <c r="N2866" s="3">
        <f t="shared" si="89"/>
        <v>0</v>
      </c>
      <c r="O2866" s="3" t="str">
        <f>IF(ISERROR(VLOOKUP(D2866,Data!$A$2:$C$223100,3,FALSE)),"INACTIVE",VLOOKUP(D2866,Data!$A$2:$C$223100,3,FALSE))</f>
        <v>180+</v>
      </c>
    </row>
    <row r="2867" spans="1:15" x14ac:dyDescent="0.25">
      <c r="A2867" t="s">
        <v>1558</v>
      </c>
      <c r="B2867" t="s">
        <v>1559</v>
      </c>
      <c r="C2867" t="s">
        <v>1560</v>
      </c>
      <c r="D2867" t="s">
        <v>1561</v>
      </c>
      <c r="E2867" t="s">
        <v>1562</v>
      </c>
      <c r="F2867" t="s">
        <v>5</v>
      </c>
      <c r="G2867" t="s">
        <v>5</v>
      </c>
      <c r="H2867" t="s">
        <v>5</v>
      </c>
      <c r="I2867" t="s">
        <v>1550</v>
      </c>
      <c r="J2867" t="s">
        <v>96</v>
      </c>
      <c r="K2867" s="3">
        <f t="shared" si="88"/>
        <v>0</v>
      </c>
      <c r="L2867" s="3">
        <f>IF(ISERROR(VLOOKUP(J2867,Lookups!$A$2:$A$16,1,FALSE)),1,0)</f>
        <v>0</v>
      </c>
      <c r="M2867" s="3">
        <f>IF(ISERROR(VLOOKUP(D2867,Data!$A$2:$D$223100,2,FALSE)),0,1)</f>
        <v>1</v>
      </c>
      <c r="N2867" s="3">
        <f t="shared" si="89"/>
        <v>0</v>
      </c>
      <c r="O2867" s="3" t="str">
        <f>IF(ISERROR(VLOOKUP(D2867,Data!$A$2:$C$223100,3,FALSE)),"INACTIVE",VLOOKUP(D2867,Data!$A$2:$C$223100,3,FALSE))</f>
        <v>180+</v>
      </c>
    </row>
    <row r="2868" spans="1:15" x14ac:dyDescent="0.25">
      <c r="A2868" t="s">
        <v>1558</v>
      </c>
      <c r="B2868" t="s">
        <v>1559</v>
      </c>
      <c r="C2868" t="s">
        <v>1560</v>
      </c>
      <c r="D2868" t="s">
        <v>1561</v>
      </c>
      <c r="E2868" t="s">
        <v>1562</v>
      </c>
      <c r="F2868" t="s">
        <v>5</v>
      </c>
      <c r="G2868" t="s">
        <v>5</v>
      </c>
      <c r="H2868" t="s">
        <v>5</v>
      </c>
      <c r="I2868" t="s">
        <v>1550</v>
      </c>
      <c r="J2868" t="s">
        <v>96</v>
      </c>
      <c r="K2868" s="3">
        <f t="shared" si="88"/>
        <v>0</v>
      </c>
      <c r="L2868" s="3">
        <f>IF(ISERROR(VLOOKUP(J2868,Lookups!$A$2:$A$16,1,FALSE)),1,0)</f>
        <v>0</v>
      </c>
      <c r="M2868" s="3">
        <f>IF(ISERROR(VLOOKUP(D2868,Data!$A$2:$D$223100,2,FALSE)),0,1)</f>
        <v>1</v>
      </c>
      <c r="N2868" s="3">
        <f t="shared" si="89"/>
        <v>0</v>
      </c>
      <c r="O2868" s="3" t="str">
        <f>IF(ISERROR(VLOOKUP(D2868,Data!$A$2:$C$223100,3,FALSE)),"INACTIVE",VLOOKUP(D2868,Data!$A$2:$C$223100,3,FALSE))</f>
        <v>180+</v>
      </c>
    </row>
    <row r="2869" spans="1:15" x14ac:dyDescent="0.25">
      <c r="A2869" t="s">
        <v>1558</v>
      </c>
      <c r="B2869" t="s">
        <v>1559</v>
      </c>
      <c r="C2869" t="s">
        <v>1563</v>
      </c>
      <c r="D2869" t="s">
        <v>1564</v>
      </c>
      <c r="E2869" t="s">
        <v>1565</v>
      </c>
      <c r="F2869" t="s">
        <v>5</v>
      </c>
      <c r="G2869" t="s">
        <v>5</v>
      </c>
      <c r="H2869" t="s">
        <v>5</v>
      </c>
      <c r="I2869" t="s">
        <v>1550</v>
      </c>
      <c r="J2869" t="s">
        <v>90</v>
      </c>
      <c r="K2869" s="3">
        <f t="shared" si="88"/>
        <v>0</v>
      </c>
      <c r="L2869" s="3">
        <f>IF(ISERROR(VLOOKUP(J2869,Lookups!$A$2:$A$16,1,FALSE)),1,0)</f>
        <v>0</v>
      </c>
      <c r="M2869" s="3">
        <f>IF(ISERROR(VLOOKUP(D2869,Data!$A$2:$D$223100,2,FALSE)),0,1)</f>
        <v>1</v>
      </c>
      <c r="N2869" s="3">
        <f t="shared" si="89"/>
        <v>0</v>
      </c>
      <c r="O2869" s="3" t="str">
        <f>IF(ISERROR(VLOOKUP(D2869,Data!$A$2:$C$223100,3,FALSE)),"INACTIVE",VLOOKUP(D2869,Data!$A$2:$C$223100,3,FALSE))</f>
        <v>180+</v>
      </c>
    </row>
    <row r="2870" spans="1:15" x14ac:dyDescent="0.25">
      <c r="A2870" t="s">
        <v>2009</v>
      </c>
      <c r="B2870" t="s">
        <v>2010</v>
      </c>
      <c r="C2870" t="s">
        <v>2011</v>
      </c>
      <c r="D2870" t="s">
        <v>2012</v>
      </c>
      <c r="E2870" t="s">
        <v>2013</v>
      </c>
      <c r="F2870" t="s">
        <v>5</v>
      </c>
      <c r="G2870" t="s">
        <v>5</v>
      </c>
      <c r="H2870" t="s">
        <v>5</v>
      </c>
      <c r="I2870" t="s">
        <v>1550</v>
      </c>
      <c r="J2870" t="s">
        <v>36</v>
      </c>
      <c r="K2870" s="3">
        <f t="shared" si="88"/>
        <v>0</v>
      </c>
      <c r="L2870" s="3">
        <f>IF(ISERROR(VLOOKUP(J2870,Lookups!$A$2:$A$16,1,FALSE)),1,0)</f>
        <v>1</v>
      </c>
      <c r="M2870" s="3">
        <f>IF(ISERROR(VLOOKUP(D2870,Data!$A$2:$D$223100,2,FALSE)),0,1)</f>
        <v>1</v>
      </c>
      <c r="N2870" s="3">
        <f t="shared" si="89"/>
        <v>1</v>
      </c>
      <c r="O2870" s="3" t="str">
        <f>IF(ISERROR(VLOOKUP(D2870,Data!$A$2:$C$223100,3,FALSE)),"INACTIVE",VLOOKUP(D2870,Data!$A$2:$C$223100,3,FALSE))</f>
        <v>Current</v>
      </c>
    </row>
    <row r="2871" spans="1:15" x14ac:dyDescent="0.25">
      <c r="A2871" t="s">
        <v>2009</v>
      </c>
      <c r="B2871" t="s">
        <v>2010</v>
      </c>
      <c r="C2871" t="s">
        <v>2011</v>
      </c>
      <c r="D2871" t="s">
        <v>2012</v>
      </c>
      <c r="E2871" t="s">
        <v>5</v>
      </c>
      <c r="F2871" t="s">
        <v>2014</v>
      </c>
      <c r="G2871" t="s">
        <v>5</v>
      </c>
      <c r="H2871" t="s">
        <v>5</v>
      </c>
      <c r="I2871" t="s">
        <v>1550</v>
      </c>
      <c r="J2871" t="s">
        <v>36</v>
      </c>
      <c r="K2871" s="3">
        <f t="shared" si="88"/>
        <v>0</v>
      </c>
      <c r="L2871" s="3">
        <f>IF(ISERROR(VLOOKUP(J2871,Lookups!$A$2:$A$16,1,FALSE)),1,0)</f>
        <v>1</v>
      </c>
      <c r="M2871" s="3">
        <f>IF(ISERROR(VLOOKUP(D2871,Data!$A$2:$D$223100,2,FALSE)),0,1)</f>
        <v>1</v>
      </c>
      <c r="N2871" s="3">
        <f t="shared" si="89"/>
        <v>1</v>
      </c>
      <c r="O2871" s="3" t="str">
        <f>IF(ISERROR(VLOOKUP(D2871,Data!$A$2:$C$223100,3,FALSE)),"INACTIVE",VLOOKUP(D2871,Data!$A$2:$C$223100,3,FALSE))</f>
        <v>Current</v>
      </c>
    </row>
    <row r="2872" spans="1:15" x14ac:dyDescent="0.25">
      <c r="A2872" t="s">
        <v>2009</v>
      </c>
      <c r="B2872" t="s">
        <v>2010</v>
      </c>
      <c r="C2872" t="s">
        <v>2015</v>
      </c>
      <c r="D2872" t="s">
        <v>2016</v>
      </c>
      <c r="E2872" t="s">
        <v>5</v>
      </c>
      <c r="F2872" t="s">
        <v>2017</v>
      </c>
      <c r="G2872" t="s">
        <v>5</v>
      </c>
      <c r="H2872" t="s">
        <v>5</v>
      </c>
      <c r="I2872" t="s">
        <v>1550</v>
      </c>
      <c r="J2872" t="s">
        <v>36</v>
      </c>
      <c r="K2872" s="3">
        <f t="shared" si="88"/>
        <v>0</v>
      </c>
      <c r="L2872" s="3">
        <f>IF(ISERROR(VLOOKUP(J2872,Lookups!$A$2:$A$16,1,FALSE)),1,0)</f>
        <v>1</v>
      </c>
      <c r="M2872" s="3">
        <f>IF(ISERROR(VLOOKUP(D2872,Data!$A$2:$D$223100,2,FALSE)),0,1)</f>
        <v>1</v>
      </c>
      <c r="N2872" s="3">
        <f t="shared" si="89"/>
        <v>1</v>
      </c>
      <c r="O2872" s="3" t="str">
        <f>IF(ISERROR(VLOOKUP(D2872,Data!$A$2:$C$223100,3,FALSE)),"INACTIVE",VLOOKUP(D2872,Data!$A$2:$C$223100,3,FALSE))</f>
        <v>Current</v>
      </c>
    </row>
    <row r="2873" spans="1:15" x14ac:dyDescent="0.25">
      <c r="A2873" t="s">
        <v>2009</v>
      </c>
      <c r="B2873" t="s">
        <v>2010</v>
      </c>
      <c r="C2873" t="s">
        <v>2018</v>
      </c>
      <c r="D2873" t="s">
        <v>2019</v>
      </c>
      <c r="E2873" t="s">
        <v>5</v>
      </c>
      <c r="F2873" t="s">
        <v>2020</v>
      </c>
      <c r="G2873" t="s">
        <v>5</v>
      </c>
      <c r="H2873" t="s">
        <v>5</v>
      </c>
      <c r="I2873" t="s">
        <v>1550</v>
      </c>
      <c r="J2873" t="s">
        <v>573</v>
      </c>
      <c r="K2873" s="3">
        <f t="shared" si="88"/>
        <v>0</v>
      </c>
      <c r="L2873" s="3">
        <f>IF(ISERROR(VLOOKUP(J2873,Lookups!$A$2:$A$16,1,FALSE)),1,0)</f>
        <v>1</v>
      </c>
      <c r="M2873" s="3">
        <f>IF(ISERROR(VLOOKUP(D2873,Data!$A$2:$D$223100,2,FALSE)),0,1)</f>
        <v>1</v>
      </c>
      <c r="N2873" s="3">
        <f t="shared" si="89"/>
        <v>1</v>
      </c>
      <c r="O2873" s="3" t="str">
        <f>IF(ISERROR(VLOOKUP(D2873,Data!$A$2:$C$223100,3,FALSE)),"INACTIVE",VLOOKUP(D2873,Data!$A$2:$C$223100,3,FALSE))</f>
        <v>Demand Letter</v>
      </c>
    </row>
    <row r="2874" spans="1:15" x14ac:dyDescent="0.25">
      <c r="A2874" t="s">
        <v>2009</v>
      </c>
      <c r="B2874" t="s">
        <v>2010</v>
      </c>
      <c r="C2874" t="s">
        <v>2021</v>
      </c>
      <c r="D2874" t="s">
        <v>2022</v>
      </c>
      <c r="E2874" t="s">
        <v>2023</v>
      </c>
      <c r="F2874" t="s">
        <v>5</v>
      </c>
      <c r="G2874" t="s">
        <v>5</v>
      </c>
      <c r="H2874" t="s">
        <v>5</v>
      </c>
      <c r="I2874" t="s">
        <v>1550</v>
      </c>
      <c r="J2874" t="s">
        <v>36</v>
      </c>
      <c r="K2874" s="3">
        <f t="shared" si="88"/>
        <v>0</v>
      </c>
      <c r="L2874" s="3">
        <f>IF(ISERROR(VLOOKUP(J2874,Lookups!$A$2:$A$16,1,FALSE)),1,0)</f>
        <v>1</v>
      </c>
      <c r="M2874" s="3">
        <f>IF(ISERROR(VLOOKUP(D2874,Data!$A$2:$D$223100,2,FALSE)),0,1)</f>
        <v>1</v>
      </c>
      <c r="N2874" s="3">
        <f t="shared" si="89"/>
        <v>1</v>
      </c>
      <c r="O2874" s="3" t="str">
        <f>IF(ISERROR(VLOOKUP(D2874,Data!$A$2:$C$223100,3,FALSE)),"INACTIVE",VLOOKUP(D2874,Data!$A$2:$C$223100,3,FALSE))</f>
        <v>FBA</v>
      </c>
    </row>
    <row r="2875" spans="1:15" x14ac:dyDescent="0.25">
      <c r="A2875" t="s">
        <v>2009</v>
      </c>
      <c r="B2875" t="s">
        <v>2010</v>
      </c>
      <c r="C2875" t="s">
        <v>2021</v>
      </c>
      <c r="D2875" t="s">
        <v>2022</v>
      </c>
      <c r="E2875" t="s">
        <v>2024</v>
      </c>
      <c r="F2875" t="s">
        <v>5</v>
      </c>
      <c r="G2875" t="s">
        <v>5</v>
      </c>
      <c r="H2875" t="s">
        <v>5</v>
      </c>
      <c r="I2875" t="s">
        <v>1550</v>
      </c>
      <c r="J2875" t="s">
        <v>36</v>
      </c>
      <c r="K2875" s="3">
        <f t="shared" si="88"/>
        <v>0</v>
      </c>
      <c r="L2875" s="3">
        <f>IF(ISERROR(VLOOKUP(J2875,Lookups!$A$2:$A$16,1,FALSE)),1,0)</f>
        <v>1</v>
      </c>
      <c r="M2875" s="3">
        <f>IF(ISERROR(VLOOKUP(D2875,Data!$A$2:$D$223100,2,FALSE)),0,1)</f>
        <v>1</v>
      </c>
      <c r="N2875" s="3">
        <f t="shared" si="89"/>
        <v>1</v>
      </c>
      <c r="O2875" s="3" t="str">
        <f>IF(ISERROR(VLOOKUP(D2875,Data!$A$2:$C$223100,3,FALSE)),"INACTIVE",VLOOKUP(D2875,Data!$A$2:$C$223100,3,FALSE))</f>
        <v>FBA</v>
      </c>
    </row>
    <row r="2876" spans="1:15" x14ac:dyDescent="0.25">
      <c r="A2876" t="s">
        <v>2009</v>
      </c>
      <c r="B2876" t="s">
        <v>2010</v>
      </c>
      <c r="C2876" t="s">
        <v>2025</v>
      </c>
      <c r="D2876" t="s">
        <v>2026</v>
      </c>
      <c r="E2876" t="s">
        <v>2027</v>
      </c>
      <c r="F2876" t="s">
        <v>2027</v>
      </c>
      <c r="G2876" t="s">
        <v>5</v>
      </c>
      <c r="H2876" t="s">
        <v>5</v>
      </c>
      <c r="I2876" t="s">
        <v>1550</v>
      </c>
      <c r="J2876" t="s">
        <v>40</v>
      </c>
      <c r="K2876" s="3">
        <f t="shared" si="88"/>
        <v>0</v>
      </c>
      <c r="L2876" s="3">
        <f>IF(ISERROR(VLOOKUP(J2876,Lookups!$A$2:$A$16,1,FALSE)),1,0)</f>
        <v>1</v>
      </c>
      <c r="M2876" s="3">
        <f>IF(ISERROR(VLOOKUP(D2876,Data!$A$2:$D$223100,2,FALSE)),0,1)</f>
        <v>1</v>
      </c>
      <c r="N2876" s="3">
        <f t="shared" si="89"/>
        <v>1</v>
      </c>
      <c r="O2876" s="3" t="str">
        <f>IF(ISERROR(VLOOKUP(D2876,Data!$A$2:$C$223100,3,FALSE)),"INACTIVE",VLOOKUP(D2876,Data!$A$2:$C$223100,3,FALSE))</f>
        <v>120+</v>
      </c>
    </row>
    <row r="2877" spans="1:15" x14ac:dyDescent="0.25">
      <c r="A2877" t="s">
        <v>2009</v>
      </c>
      <c r="B2877" t="s">
        <v>2010</v>
      </c>
      <c r="C2877" t="s">
        <v>2028</v>
      </c>
      <c r="D2877" t="s">
        <v>2029</v>
      </c>
      <c r="E2877" t="s">
        <v>2030</v>
      </c>
      <c r="F2877" t="s">
        <v>2030</v>
      </c>
      <c r="G2877" t="s">
        <v>5</v>
      </c>
      <c r="H2877" t="s">
        <v>5</v>
      </c>
      <c r="I2877" t="s">
        <v>1550</v>
      </c>
      <c r="J2877" t="s">
        <v>40</v>
      </c>
      <c r="K2877" s="3">
        <f t="shared" si="88"/>
        <v>0</v>
      </c>
      <c r="L2877" s="3">
        <f>IF(ISERROR(VLOOKUP(J2877,Lookups!$A$2:$A$16,1,FALSE)),1,0)</f>
        <v>1</v>
      </c>
      <c r="M2877" s="3">
        <f>IF(ISERROR(VLOOKUP(D2877,Data!$A$2:$D$223100,2,FALSE)),0,1)</f>
        <v>1</v>
      </c>
      <c r="N2877" s="3">
        <f t="shared" si="89"/>
        <v>1</v>
      </c>
      <c r="O2877" s="3" t="str">
        <f>IF(ISERROR(VLOOKUP(D2877,Data!$A$2:$C$223100,3,FALSE)),"INACTIVE",VLOOKUP(D2877,Data!$A$2:$C$223100,3,FALSE))</f>
        <v>60+</v>
      </c>
    </row>
    <row r="2878" spans="1:15" x14ac:dyDescent="0.25">
      <c r="A2878" t="s">
        <v>2009</v>
      </c>
      <c r="B2878" t="s">
        <v>2010</v>
      </c>
      <c r="C2878" t="s">
        <v>2031</v>
      </c>
      <c r="D2878" t="s">
        <v>2032</v>
      </c>
      <c r="E2878" t="s">
        <v>2033</v>
      </c>
      <c r="F2878" t="s">
        <v>2033</v>
      </c>
      <c r="G2878" t="s">
        <v>5</v>
      </c>
      <c r="H2878" t="s">
        <v>5</v>
      </c>
      <c r="I2878" t="s">
        <v>1550</v>
      </c>
      <c r="J2878" t="s">
        <v>40</v>
      </c>
      <c r="K2878" s="3">
        <f t="shared" si="88"/>
        <v>0</v>
      </c>
      <c r="L2878" s="3">
        <f>IF(ISERROR(VLOOKUP(J2878,Lookups!$A$2:$A$16,1,FALSE)),1,0)</f>
        <v>1</v>
      </c>
      <c r="M2878" s="3">
        <f>IF(ISERROR(VLOOKUP(D2878,Data!$A$2:$D$223100,2,FALSE)),0,1)</f>
        <v>1</v>
      </c>
      <c r="N2878" s="3">
        <f t="shared" si="89"/>
        <v>1</v>
      </c>
      <c r="O2878" s="3" t="str">
        <f>IF(ISERROR(VLOOKUP(D2878,Data!$A$2:$C$223100,3,FALSE)),"INACTIVE",VLOOKUP(D2878,Data!$A$2:$C$223100,3,FALSE))</f>
        <v>Current</v>
      </c>
    </row>
    <row r="2879" spans="1:15" x14ac:dyDescent="0.25">
      <c r="A2879" t="s">
        <v>2009</v>
      </c>
      <c r="B2879" t="s">
        <v>2010</v>
      </c>
      <c r="C2879" t="s">
        <v>2011</v>
      </c>
      <c r="D2879" t="s">
        <v>2012</v>
      </c>
      <c r="E2879" t="s">
        <v>2034</v>
      </c>
      <c r="F2879" t="s">
        <v>2034</v>
      </c>
      <c r="G2879" t="s">
        <v>5</v>
      </c>
      <c r="H2879" t="s">
        <v>5</v>
      </c>
      <c r="I2879" t="s">
        <v>1550</v>
      </c>
      <c r="J2879" t="s">
        <v>36</v>
      </c>
      <c r="K2879" s="3">
        <f t="shared" si="88"/>
        <v>0</v>
      </c>
      <c r="L2879" s="3">
        <f>IF(ISERROR(VLOOKUP(J2879,Lookups!$A$2:$A$16,1,FALSE)),1,0)</f>
        <v>1</v>
      </c>
      <c r="M2879" s="3">
        <f>IF(ISERROR(VLOOKUP(D2879,Data!$A$2:$D$223100,2,FALSE)),0,1)</f>
        <v>1</v>
      </c>
      <c r="N2879" s="3">
        <f t="shared" si="89"/>
        <v>1</v>
      </c>
      <c r="O2879" s="3" t="str">
        <f>IF(ISERROR(VLOOKUP(D2879,Data!$A$2:$C$223100,3,FALSE)),"INACTIVE",VLOOKUP(D2879,Data!$A$2:$C$223100,3,FALSE))</f>
        <v>Current</v>
      </c>
    </row>
    <row r="2880" spans="1:15" x14ac:dyDescent="0.25">
      <c r="A2880" t="s">
        <v>2009</v>
      </c>
      <c r="B2880" t="s">
        <v>2010</v>
      </c>
      <c r="C2880" t="s">
        <v>2035</v>
      </c>
      <c r="D2880" t="s">
        <v>2036</v>
      </c>
      <c r="E2880" t="s">
        <v>2037</v>
      </c>
      <c r="F2880" t="s">
        <v>2037</v>
      </c>
      <c r="G2880" t="s">
        <v>5</v>
      </c>
      <c r="H2880" t="s">
        <v>5</v>
      </c>
      <c r="I2880" t="s">
        <v>1550</v>
      </c>
      <c r="J2880" t="s">
        <v>47</v>
      </c>
      <c r="K2880" s="3">
        <f t="shared" si="88"/>
        <v>0</v>
      </c>
      <c r="L2880" s="3">
        <f>IF(ISERROR(VLOOKUP(J2880,Lookups!$A$2:$A$16,1,FALSE)),1,0)</f>
        <v>1</v>
      </c>
      <c r="M2880" s="3">
        <f>IF(ISERROR(VLOOKUP(D2880,Data!$A$2:$D$223100,2,FALSE)),0,1)</f>
        <v>1</v>
      </c>
      <c r="N2880" s="3">
        <f t="shared" si="89"/>
        <v>1</v>
      </c>
      <c r="O2880" s="3" t="str">
        <f>IF(ISERROR(VLOOKUP(D2880,Data!$A$2:$C$223100,3,FALSE)),"INACTIVE",VLOOKUP(D2880,Data!$A$2:$C$223100,3,FALSE))</f>
        <v>Demand Letter</v>
      </c>
    </row>
    <row r="2881" spans="1:15" x14ac:dyDescent="0.25">
      <c r="A2881" t="s">
        <v>2009</v>
      </c>
      <c r="B2881" t="s">
        <v>2010</v>
      </c>
      <c r="C2881" t="s">
        <v>2038</v>
      </c>
      <c r="D2881" t="s">
        <v>2039</v>
      </c>
      <c r="E2881" t="s">
        <v>2040</v>
      </c>
      <c r="F2881" t="s">
        <v>2040</v>
      </c>
      <c r="G2881" t="s">
        <v>5</v>
      </c>
      <c r="H2881" t="s">
        <v>5</v>
      </c>
      <c r="I2881" t="s">
        <v>1550</v>
      </c>
      <c r="J2881" t="s">
        <v>40</v>
      </c>
      <c r="K2881" s="3">
        <f t="shared" si="88"/>
        <v>0</v>
      </c>
      <c r="L2881" s="3">
        <f>IF(ISERROR(VLOOKUP(J2881,Lookups!$A$2:$A$16,1,FALSE)),1,0)</f>
        <v>1</v>
      </c>
      <c r="M2881" s="3">
        <f>IF(ISERROR(VLOOKUP(D2881,Data!$A$2:$D$223100,2,FALSE)),0,1)</f>
        <v>1</v>
      </c>
      <c r="N2881" s="3">
        <f t="shared" si="89"/>
        <v>1</v>
      </c>
      <c r="O2881" s="3" t="str">
        <f>IF(ISERROR(VLOOKUP(D2881,Data!$A$2:$C$223100,3,FALSE)),"INACTIVE",VLOOKUP(D2881,Data!$A$2:$C$223100,3,FALSE))</f>
        <v>150+</v>
      </c>
    </row>
    <row r="2882" spans="1:15" x14ac:dyDescent="0.25">
      <c r="A2882" t="s">
        <v>2009</v>
      </c>
      <c r="B2882" t="s">
        <v>2010</v>
      </c>
      <c r="C2882" t="s">
        <v>2041</v>
      </c>
      <c r="D2882" t="s">
        <v>2042</v>
      </c>
      <c r="E2882" t="s">
        <v>2043</v>
      </c>
      <c r="F2882" t="s">
        <v>2043</v>
      </c>
      <c r="G2882" t="s">
        <v>5</v>
      </c>
      <c r="H2882" t="s">
        <v>5</v>
      </c>
      <c r="I2882" t="s">
        <v>1550</v>
      </c>
      <c r="J2882" t="s">
        <v>40</v>
      </c>
      <c r="K2882" s="3">
        <f t="shared" si="88"/>
        <v>0</v>
      </c>
      <c r="L2882" s="3">
        <f>IF(ISERROR(VLOOKUP(J2882,Lookups!$A$2:$A$16,1,FALSE)),1,0)</f>
        <v>1</v>
      </c>
      <c r="M2882" s="3">
        <f>IF(ISERROR(VLOOKUP(D2882,Data!$A$2:$D$223100,2,FALSE)),0,1)</f>
        <v>1</v>
      </c>
      <c r="N2882" s="3">
        <f t="shared" si="89"/>
        <v>1</v>
      </c>
      <c r="O2882" s="3" t="str">
        <f>IF(ISERROR(VLOOKUP(D2882,Data!$A$2:$C$223100,3,FALSE)),"INACTIVE",VLOOKUP(D2882,Data!$A$2:$C$223100,3,FALSE))</f>
        <v>FBA</v>
      </c>
    </row>
    <row r="2883" spans="1:15" x14ac:dyDescent="0.25">
      <c r="A2883" t="s">
        <v>2009</v>
      </c>
      <c r="B2883" t="s">
        <v>2010</v>
      </c>
      <c r="C2883" t="s">
        <v>2015</v>
      </c>
      <c r="D2883" t="s">
        <v>2016</v>
      </c>
      <c r="E2883" t="s">
        <v>2044</v>
      </c>
      <c r="F2883" t="s">
        <v>2044</v>
      </c>
      <c r="G2883" t="s">
        <v>5</v>
      </c>
      <c r="H2883" t="s">
        <v>5</v>
      </c>
      <c r="I2883" t="s">
        <v>1550</v>
      </c>
      <c r="J2883" t="s">
        <v>36</v>
      </c>
      <c r="K2883" s="3">
        <f t="shared" ref="K2883:K2946" si="90">IF(ISERROR(FIND("LIEN",A2883,1)),0,1)</f>
        <v>0</v>
      </c>
      <c r="L2883" s="3">
        <f>IF(ISERROR(VLOOKUP(J2883,Lookups!$A$2:$A$16,1,FALSE)),1,0)</f>
        <v>1</v>
      </c>
      <c r="M2883" s="3">
        <f>IF(ISERROR(VLOOKUP(D2883,Data!$A$2:$D$223100,2,FALSE)),0,1)</f>
        <v>1</v>
      </c>
      <c r="N2883" s="3">
        <f t="shared" ref="N2883:N2946" si="91">IF(M2883=0,0,IF(SUM(K2883:L2883)&gt;0,1,0))</f>
        <v>1</v>
      </c>
      <c r="O2883" s="3" t="str">
        <f>IF(ISERROR(VLOOKUP(D2883,Data!$A$2:$C$223100,3,FALSE)),"INACTIVE",VLOOKUP(D2883,Data!$A$2:$C$223100,3,FALSE))</f>
        <v>Current</v>
      </c>
    </row>
    <row r="2884" spans="1:15" x14ac:dyDescent="0.25">
      <c r="A2884" t="s">
        <v>2009</v>
      </c>
      <c r="B2884" t="s">
        <v>2010</v>
      </c>
      <c r="C2884" t="s">
        <v>2045</v>
      </c>
      <c r="D2884" t="s">
        <v>2046</v>
      </c>
      <c r="E2884" t="s">
        <v>2047</v>
      </c>
      <c r="F2884" t="s">
        <v>2047</v>
      </c>
      <c r="G2884" t="s">
        <v>5</v>
      </c>
      <c r="H2884" t="s">
        <v>5</v>
      </c>
      <c r="I2884" t="s">
        <v>1550</v>
      </c>
      <c r="J2884" t="s">
        <v>47</v>
      </c>
      <c r="K2884" s="3">
        <f t="shared" si="90"/>
        <v>0</v>
      </c>
      <c r="L2884" s="3">
        <f>IF(ISERROR(VLOOKUP(J2884,Lookups!$A$2:$A$16,1,FALSE)),1,0)</f>
        <v>1</v>
      </c>
      <c r="M2884" s="3">
        <f>IF(ISERROR(VLOOKUP(D2884,Data!$A$2:$D$223100,2,FALSE)),0,1)</f>
        <v>1</v>
      </c>
      <c r="N2884" s="3">
        <f t="shared" si="91"/>
        <v>1</v>
      </c>
      <c r="O2884" s="3" t="str">
        <f>IF(ISERROR(VLOOKUP(D2884,Data!$A$2:$C$223100,3,FALSE)),"INACTIVE",VLOOKUP(D2884,Data!$A$2:$C$223100,3,FALSE))</f>
        <v>FC</v>
      </c>
    </row>
    <row r="2885" spans="1:15" x14ac:dyDescent="0.25">
      <c r="A2885" t="s">
        <v>2009</v>
      </c>
      <c r="B2885" t="s">
        <v>2010</v>
      </c>
      <c r="C2885" t="s">
        <v>2048</v>
      </c>
      <c r="D2885" t="s">
        <v>2049</v>
      </c>
      <c r="E2885" t="s">
        <v>2050</v>
      </c>
      <c r="F2885" t="s">
        <v>2050</v>
      </c>
      <c r="G2885" t="s">
        <v>5</v>
      </c>
      <c r="H2885" t="s">
        <v>5</v>
      </c>
      <c r="I2885" t="s">
        <v>1550</v>
      </c>
      <c r="J2885" t="s">
        <v>40</v>
      </c>
      <c r="K2885" s="3">
        <f t="shared" si="90"/>
        <v>0</v>
      </c>
      <c r="L2885" s="3">
        <f>IF(ISERROR(VLOOKUP(J2885,Lookups!$A$2:$A$16,1,FALSE)),1,0)</f>
        <v>1</v>
      </c>
      <c r="M2885" s="3">
        <f>IF(ISERROR(VLOOKUP(D2885,Data!$A$2:$D$223100,2,FALSE)),0,1)</f>
        <v>1</v>
      </c>
      <c r="N2885" s="3">
        <f t="shared" si="91"/>
        <v>1</v>
      </c>
      <c r="O2885" s="3" t="str">
        <f>IF(ISERROR(VLOOKUP(D2885,Data!$A$2:$C$223100,3,FALSE)),"INACTIVE",VLOOKUP(D2885,Data!$A$2:$C$223100,3,FALSE))</f>
        <v>180+</v>
      </c>
    </row>
    <row r="2886" spans="1:15" x14ac:dyDescent="0.25">
      <c r="A2886" t="s">
        <v>2009</v>
      </c>
      <c r="B2886" t="s">
        <v>2010</v>
      </c>
      <c r="C2886" t="s">
        <v>2051</v>
      </c>
      <c r="D2886" t="s">
        <v>2052</v>
      </c>
      <c r="E2886" t="s">
        <v>2053</v>
      </c>
      <c r="F2886" t="s">
        <v>2053</v>
      </c>
      <c r="G2886" t="s">
        <v>5</v>
      </c>
      <c r="H2886" t="s">
        <v>5</v>
      </c>
      <c r="I2886" t="s">
        <v>1550</v>
      </c>
      <c r="J2886" t="s">
        <v>40</v>
      </c>
      <c r="K2886" s="3">
        <f t="shared" si="90"/>
        <v>0</v>
      </c>
      <c r="L2886" s="3">
        <f>IF(ISERROR(VLOOKUP(J2886,Lookups!$A$2:$A$16,1,FALSE)),1,0)</f>
        <v>1</v>
      </c>
      <c r="M2886" s="3">
        <f>IF(ISERROR(VLOOKUP(D2886,Data!$A$2:$D$223100,2,FALSE)),0,1)</f>
        <v>1</v>
      </c>
      <c r="N2886" s="3">
        <f t="shared" si="91"/>
        <v>1</v>
      </c>
      <c r="O2886" s="3" t="str">
        <f>IF(ISERROR(VLOOKUP(D2886,Data!$A$2:$C$223100,3,FALSE)),"INACTIVE",VLOOKUP(D2886,Data!$A$2:$C$223100,3,FALSE))</f>
        <v>60+</v>
      </c>
    </row>
    <row r="2887" spans="1:15" x14ac:dyDescent="0.25">
      <c r="A2887" t="s">
        <v>2009</v>
      </c>
      <c r="B2887" t="s">
        <v>2010</v>
      </c>
      <c r="C2887" t="s">
        <v>2054</v>
      </c>
      <c r="D2887" t="s">
        <v>2055</v>
      </c>
      <c r="E2887" t="s">
        <v>2056</v>
      </c>
      <c r="F2887" t="s">
        <v>2056</v>
      </c>
      <c r="G2887" t="s">
        <v>5</v>
      </c>
      <c r="H2887" t="s">
        <v>5</v>
      </c>
      <c r="I2887" t="s">
        <v>1550</v>
      </c>
      <c r="J2887" t="s">
        <v>40</v>
      </c>
      <c r="K2887" s="3">
        <f t="shared" si="90"/>
        <v>0</v>
      </c>
      <c r="L2887" s="3">
        <f>IF(ISERROR(VLOOKUP(J2887,Lookups!$A$2:$A$16,1,FALSE)),1,0)</f>
        <v>1</v>
      </c>
      <c r="M2887" s="3">
        <f>IF(ISERROR(VLOOKUP(D2887,Data!$A$2:$D$223100,2,FALSE)),0,1)</f>
        <v>1</v>
      </c>
      <c r="N2887" s="3">
        <f t="shared" si="91"/>
        <v>1</v>
      </c>
      <c r="O2887" s="3" t="str">
        <f>IF(ISERROR(VLOOKUP(D2887,Data!$A$2:$C$223100,3,FALSE)),"INACTIVE",VLOOKUP(D2887,Data!$A$2:$C$223100,3,FALSE))</f>
        <v>150+</v>
      </c>
    </row>
    <row r="2888" spans="1:15" x14ac:dyDescent="0.25">
      <c r="A2888" t="s">
        <v>2009</v>
      </c>
      <c r="B2888" t="s">
        <v>2010</v>
      </c>
      <c r="C2888" t="s">
        <v>2018</v>
      </c>
      <c r="D2888" t="s">
        <v>2019</v>
      </c>
      <c r="E2888" t="s">
        <v>2057</v>
      </c>
      <c r="F2888" t="s">
        <v>2057</v>
      </c>
      <c r="G2888" t="s">
        <v>5</v>
      </c>
      <c r="H2888" t="s">
        <v>5</v>
      </c>
      <c r="I2888" t="s">
        <v>1550</v>
      </c>
      <c r="J2888" t="s">
        <v>573</v>
      </c>
      <c r="K2888" s="3">
        <f t="shared" si="90"/>
        <v>0</v>
      </c>
      <c r="L2888" s="3">
        <f>IF(ISERROR(VLOOKUP(J2888,Lookups!$A$2:$A$16,1,FALSE)),1,0)</f>
        <v>1</v>
      </c>
      <c r="M2888" s="3">
        <f>IF(ISERROR(VLOOKUP(D2888,Data!$A$2:$D$223100,2,FALSE)),0,1)</f>
        <v>1</v>
      </c>
      <c r="N2888" s="3">
        <f t="shared" si="91"/>
        <v>1</v>
      </c>
      <c r="O2888" s="3" t="str">
        <f>IF(ISERROR(VLOOKUP(D2888,Data!$A$2:$C$223100,3,FALSE)),"INACTIVE",VLOOKUP(D2888,Data!$A$2:$C$223100,3,FALSE))</f>
        <v>Demand Letter</v>
      </c>
    </row>
    <row r="2889" spans="1:15" x14ac:dyDescent="0.25">
      <c r="A2889" t="s">
        <v>2009</v>
      </c>
      <c r="B2889" t="s">
        <v>2010</v>
      </c>
      <c r="C2889" t="s">
        <v>2058</v>
      </c>
      <c r="D2889" t="s">
        <v>2059</v>
      </c>
      <c r="E2889" t="s">
        <v>2060</v>
      </c>
      <c r="F2889" t="s">
        <v>2060</v>
      </c>
      <c r="G2889" t="s">
        <v>5</v>
      </c>
      <c r="H2889" t="s">
        <v>5</v>
      </c>
      <c r="I2889" t="s">
        <v>1550</v>
      </c>
      <c r="J2889" t="s">
        <v>40</v>
      </c>
      <c r="K2889" s="3">
        <f t="shared" si="90"/>
        <v>0</v>
      </c>
      <c r="L2889" s="3">
        <f>IF(ISERROR(VLOOKUP(J2889,Lookups!$A$2:$A$16,1,FALSE)),1,0)</f>
        <v>1</v>
      </c>
      <c r="M2889" s="3">
        <f>IF(ISERROR(VLOOKUP(D2889,Data!$A$2:$D$223100,2,FALSE)),0,1)</f>
        <v>1</v>
      </c>
      <c r="N2889" s="3">
        <f t="shared" si="91"/>
        <v>1</v>
      </c>
      <c r="O2889" s="3" t="str">
        <f>IF(ISERROR(VLOOKUP(D2889,Data!$A$2:$C$223100,3,FALSE)),"INACTIVE",VLOOKUP(D2889,Data!$A$2:$C$223100,3,FALSE))</f>
        <v>60+</v>
      </c>
    </row>
    <row r="2890" spans="1:15" x14ac:dyDescent="0.25">
      <c r="A2890" t="s">
        <v>2009</v>
      </c>
      <c r="B2890" t="s">
        <v>2010</v>
      </c>
      <c r="C2890" t="s">
        <v>2061</v>
      </c>
      <c r="D2890" t="s">
        <v>2062</v>
      </c>
      <c r="E2890" t="s">
        <v>2063</v>
      </c>
      <c r="F2890" t="s">
        <v>2063</v>
      </c>
      <c r="G2890" t="s">
        <v>5</v>
      </c>
      <c r="H2890" t="s">
        <v>5</v>
      </c>
      <c r="I2890" t="s">
        <v>1550</v>
      </c>
      <c r="J2890" t="s">
        <v>40</v>
      </c>
      <c r="K2890" s="3">
        <f t="shared" si="90"/>
        <v>0</v>
      </c>
      <c r="L2890" s="3">
        <f>IF(ISERROR(VLOOKUP(J2890,Lookups!$A$2:$A$16,1,FALSE)),1,0)</f>
        <v>1</v>
      </c>
      <c r="M2890" s="3">
        <f>IF(ISERROR(VLOOKUP(D2890,Data!$A$2:$D$223100,2,FALSE)),0,1)</f>
        <v>1</v>
      </c>
      <c r="N2890" s="3">
        <f t="shared" si="91"/>
        <v>1</v>
      </c>
      <c r="O2890" s="3" t="str">
        <f>IF(ISERROR(VLOOKUP(D2890,Data!$A$2:$C$223100,3,FALSE)),"INACTIVE",VLOOKUP(D2890,Data!$A$2:$C$223100,3,FALSE))</f>
        <v>Demand Letter</v>
      </c>
    </row>
    <row r="2891" spans="1:15" x14ac:dyDescent="0.25">
      <c r="A2891" t="s">
        <v>2009</v>
      </c>
      <c r="B2891" t="s">
        <v>2010</v>
      </c>
      <c r="C2891" t="s">
        <v>2064</v>
      </c>
      <c r="D2891" t="s">
        <v>2065</v>
      </c>
      <c r="E2891" t="s">
        <v>2066</v>
      </c>
      <c r="F2891" t="s">
        <v>2066</v>
      </c>
      <c r="G2891" t="s">
        <v>5</v>
      </c>
      <c r="H2891" t="s">
        <v>5</v>
      </c>
      <c r="I2891" t="s">
        <v>1550</v>
      </c>
      <c r="J2891" t="s">
        <v>47</v>
      </c>
      <c r="K2891" s="3">
        <f t="shared" si="90"/>
        <v>0</v>
      </c>
      <c r="L2891" s="3">
        <f>IF(ISERROR(VLOOKUP(J2891,Lookups!$A$2:$A$16,1,FALSE)),1,0)</f>
        <v>1</v>
      </c>
      <c r="M2891" s="3">
        <f>IF(ISERROR(VLOOKUP(D2891,Data!$A$2:$D$223100,2,FALSE)),0,1)</f>
        <v>1</v>
      </c>
      <c r="N2891" s="3">
        <f t="shared" si="91"/>
        <v>1</v>
      </c>
      <c r="O2891" s="3" t="str">
        <f>IF(ISERROR(VLOOKUP(D2891,Data!$A$2:$C$223100,3,FALSE)),"INACTIVE",VLOOKUP(D2891,Data!$A$2:$C$223100,3,FALSE))</f>
        <v>Current</v>
      </c>
    </row>
    <row r="2892" spans="1:15" x14ac:dyDescent="0.25">
      <c r="A2892" t="s">
        <v>2009</v>
      </c>
      <c r="B2892" t="s">
        <v>2010</v>
      </c>
      <c r="C2892" t="s">
        <v>2067</v>
      </c>
      <c r="D2892" t="s">
        <v>2068</v>
      </c>
      <c r="E2892" t="s">
        <v>2069</v>
      </c>
      <c r="F2892" t="s">
        <v>2069</v>
      </c>
      <c r="G2892" t="s">
        <v>5</v>
      </c>
      <c r="H2892" t="s">
        <v>5</v>
      </c>
      <c r="I2892" t="s">
        <v>1550</v>
      </c>
      <c r="J2892" t="s">
        <v>40</v>
      </c>
      <c r="K2892" s="3">
        <f t="shared" si="90"/>
        <v>0</v>
      </c>
      <c r="L2892" s="3">
        <f>IF(ISERROR(VLOOKUP(J2892,Lookups!$A$2:$A$16,1,FALSE)),1,0)</f>
        <v>1</v>
      </c>
      <c r="M2892" s="3">
        <f>IF(ISERROR(VLOOKUP(D2892,Data!$A$2:$D$223100,2,FALSE)),0,1)</f>
        <v>0</v>
      </c>
      <c r="N2892" s="3">
        <f t="shared" si="91"/>
        <v>0</v>
      </c>
      <c r="O2892" s="3" t="str">
        <f>IF(ISERROR(VLOOKUP(D2892,Data!$A$2:$C$223100,3,FALSE)),"INACTIVE",VLOOKUP(D2892,Data!$A$2:$C$223100,3,FALSE))</f>
        <v>INACTIVE</v>
      </c>
    </row>
    <row r="2893" spans="1:15" x14ac:dyDescent="0.25">
      <c r="A2893" t="s">
        <v>2009</v>
      </c>
      <c r="B2893" t="s">
        <v>2010</v>
      </c>
      <c r="C2893" t="s">
        <v>2070</v>
      </c>
      <c r="D2893" t="s">
        <v>2071</v>
      </c>
      <c r="E2893" t="s">
        <v>2072</v>
      </c>
      <c r="F2893" t="s">
        <v>2072</v>
      </c>
      <c r="G2893" t="s">
        <v>5</v>
      </c>
      <c r="H2893" t="s">
        <v>5</v>
      </c>
      <c r="I2893" t="s">
        <v>1550</v>
      </c>
      <c r="J2893" t="s">
        <v>40</v>
      </c>
      <c r="K2893" s="3">
        <f t="shared" si="90"/>
        <v>0</v>
      </c>
      <c r="L2893" s="3">
        <f>IF(ISERROR(VLOOKUP(J2893,Lookups!$A$2:$A$16,1,FALSE)),1,0)</f>
        <v>1</v>
      </c>
      <c r="M2893" s="3">
        <f>IF(ISERROR(VLOOKUP(D2893,Data!$A$2:$D$223100,2,FALSE)),0,1)</f>
        <v>1</v>
      </c>
      <c r="N2893" s="3">
        <f t="shared" si="91"/>
        <v>1</v>
      </c>
      <c r="O2893" s="3" t="str">
        <f>IF(ISERROR(VLOOKUP(D2893,Data!$A$2:$C$223100,3,FALSE)),"INACTIVE",VLOOKUP(D2893,Data!$A$2:$C$223100,3,FALSE))</f>
        <v>Current</v>
      </c>
    </row>
    <row r="2894" spans="1:15" x14ac:dyDescent="0.25">
      <c r="A2894" t="s">
        <v>3048</v>
      </c>
      <c r="B2894" t="s">
        <v>3049</v>
      </c>
      <c r="C2894" t="s">
        <v>3050</v>
      </c>
      <c r="D2894" t="s">
        <v>3051</v>
      </c>
      <c r="E2894" t="s">
        <v>3052</v>
      </c>
      <c r="F2894" t="s">
        <v>3052</v>
      </c>
      <c r="G2894" t="s">
        <v>5</v>
      </c>
      <c r="H2894" t="s">
        <v>5</v>
      </c>
      <c r="I2894" t="s">
        <v>1550</v>
      </c>
      <c r="J2894" t="s">
        <v>47</v>
      </c>
      <c r="K2894" s="3">
        <f t="shared" si="90"/>
        <v>0</v>
      </c>
      <c r="L2894" s="3">
        <f>IF(ISERROR(VLOOKUP(J2894,Lookups!$A$2:$A$16,1,FALSE)),1,0)</f>
        <v>1</v>
      </c>
      <c r="M2894" s="3">
        <f>IF(ISERROR(VLOOKUP(D2894,Data!$A$2:$D$223100,2,FALSE)),0,1)</f>
        <v>1</v>
      </c>
      <c r="N2894" s="3">
        <f t="shared" si="91"/>
        <v>1</v>
      </c>
      <c r="O2894" s="3" t="str">
        <f>IF(ISERROR(VLOOKUP(D2894,Data!$A$2:$C$223100,3,FALSE)),"INACTIVE",VLOOKUP(D2894,Data!$A$2:$C$223100,3,FALSE))</f>
        <v>Demand Letter</v>
      </c>
    </row>
    <row r="2895" spans="1:15" x14ac:dyDescent="0.25">
      <c r="A2895" t="s">
        <v>3048</v>
      </c>
      <c r="B2895" t="s">
        <v>3049</v>
      </c>
      <c r="C2895" t="s">
        <v>3053</v>
      </c>
      <c r="D2895" t="s">
        <v>3054</v>
      </c>
      <c r="E2895" t="s">
        <v>3055</v>
      </c>
      <c r="F2895" t="s">
        <v>3055</v>
      </c>
      <c r="G2895" t="s">
        <v>5</v>
      </c>
      <c r="H2895" t="s">
        <v>5</v>
      </c>
      <c r="I2895" t="s">
        <v>1550</v>
      </c>
      <c r="J2895" t="s">
        <v>47</v>
      </c>
      <c r="K2895" s="3">
        <f t="shared" si="90"/>
        <v>0</v>
      </c>
      <c r="L2895" s="3">
        <f>IF(ISERROR(VLOOKUP(J2895,Lookups!$A$2:$A$16,1,FALSE)),1,0)</f>
        <v>1</v>
      </c>
      <c r="M2895" s="3">
        <f>IF(ISERROR(VLOOKUP(D2895,Data!$A$2:$D$223100,2,FALSE)),0,1)</f>
        <v>1</v>
      </c>
      <c r="N2895" s="3">
        <f t="shared" si="91"/>
        <v>1</v>
      </c>
      <c r="O2895" s="3" t="str">
        <f>IF(ISERROR(VLOOKUP(D2895,Data!$A$2:$C$223100,3,FALSE)),"INACTIVE",VLOOKUP(D2895,Data!$A$2:$C$223100,3,FALSE))</f>
        <v>FC</v>
      </c>
    </row>
    <row r="2896" spans="1:15" x14ac:dyDescent="0.25">
      <c r="A2896" t="s">
        <v>950</v>
      </c>
      <c r="B2896" t="s">
        <v>951</v>
      </c>
      <c r="C2896" t="s">
        <v>952</v>
      </c>
      <c r="D2896" t="s">
        <v>953</v>
      </c>
      <c r="E2896" t="s">
        <v>954</v>
      </c>
      <c r="F2896" t="s">
        <v>5</v>
      </c>
      <c r="G2896" t="s">
        <v>5</v>
      </c>
      <c r="H2896" t="s">
        <v>5</v>
      </c>
      <c r="I2896" t="s">
        <v>955</v>
      </c>
      <c r="J2896" t="s">
        <v>96</v>
      </c>
      <c r="K2896" s="3">
        <f t="shared" si="90"/>
        <v>0</v>
      </c>
      <c r="L2896" s="3">
        <f>IF(ISERROR(VLOOKUP(J2896,Lookups!$A$2:$A$16,1,FALSE)),1,0)</f>
        <v>0</v>
      </c>
      <c r="M2896" s="3">
        <f>IF(ISERROR(VLOOKUP(D2896,Data!$A$2:$D$223100,2,FALSE)),0,1)</f>
        <v>1</v>
      </c>
      <c r="N2896" s="3">
        <f t="shared" si="91"/>
        <v>0</v>
      </c>
      <c r="O2896" s="3" t="str">
        <f>IF(ISERROR(VLOOKUP(D2896,Data!$A$2:$C$223100,3,FALSE)),"INACTIVE",VLOOKUP(D2896,Data!$A$2:$C$223100,3,FALSE))</f>
        <v>Current</v>
      </c>
    </row>
    <row r="2897" spans="1:15" x14ac:dyDescent="0.25">
      <c r="A2897" t="s">
        <v>1346</v>
      </c>
      <c r="B2897" t="s">
        <v>1347</v>
      </c>
      <c r="C2897" t="s">
        <v>1348</v>
      </c>
      <c r="D2897" t="s">
        <v>1349</v>
      </c>
      <c r="E2897" t="s">
        <v>1350</v>
      </c>
      <c r="F2897" t="s">
        <v>5</v>
      </c>
      <c r="G2897" t="s">
        <v>5</v>
      </c>
      <c r="H2897" t="s">
        <v>5</v>
      </c>
      <c r="I2897" t="s">
        <v>955</v>
      </c>
      <c r="J2897" t="s">
        <v>96</v>
      </c>
      <c r="K2897" s="3">
        <f t="shared" si="90"/>
        <v>0</v>
      </c>
      <c r="L2897" s="3">
        <f>IF(ISERROR(VLOOKUP(J2897,Lookups!$A$2:$A$16,1,FALSE)),1,0)</f>
        <v>0</v>
      </c>
      <c r="M2897" s="3">
        <f>IF(ISERROR(VLOOKUP(D2897,Data!$A$2:$D$223100,2,FALSE)),0,1)</f>
        <v>1</v>
      </c>
      <c r="N2897" s="3">
        <f t="shared" si="91"/>
        <v>0</v>
      </c>
      <c r="O2897" s="3" t="str">
        <f>IF(ISERROR(VLOOKUP(D2897,Data!$A$2:$C$223100,3,FALSE)),"INACTIVE",VLOOKUP(D2897,Data!$A$2:$C$223100,3,FALSE))</f>
        <v>FC</v>
      </c>
    </row>
    <row r="2898" spans="1:15" x14ac:dyDescent="0.25">
      <c r="A2898" t="s">
        <v>1346</v>
      </c>
      <c r="B2898" t="s">
        <v>1347</v>
      </c>
      <c r="C2898" t="s">
        <v>1348</v>
      </c>
      <c r="D2898" t="s">
        <v>1349</v>
      </c>
      <c r="E2898" t="s">
        <v>1351</v>
      </c>
      <c r="F2898" t="s">
        <v>5</v>
      </c>
      <c r="G2898" t="s">
        <v>5</v>
      </c>
      <c r="H2898" t="s">
        <v>5</v>
      </c>
      <c r="I2898" t="s">
        <v>955</v>
      </c>
      <c r="J2898" t="s">
        <v>96</v>
      </c>
      <c r="K2898" s="3">
        <f t="shared" si="90"/>
        <v>0</v>
      </c>
      <c r="L2898" s="3">
        <f>IF(ISERROR(VLOOKUP(J2898,Lookups!$A$2:$A$16,1,FALSE)),1,0)</f>
        <v>0</v>
      </c>
      <c r="M2898" s="3">
        <f>IF(ISERROR(VLOOKUP(D2898,Data!$A$2:$D$223100,2,FALSE)),0,1)</f>
        <v>1</v>
      </c>
      <c r="N2898" s="3">
        <f t="shared" si="91"/>
        <v>0</v>
      </c>
      <c r="O2898" s="3" t="str">
        <f>IF(ISERROR(VLOOKUP(D2898,Data!$A$2:$C$223100,3,FALSE)),"INACTIVE",VLOOKUP(D2898,Data!$A$2:$C$223100,3,FALSE))</f>
        <v>FC</v>
      </c>
    </row>
    <row r="2899" spans="1:15" x14ac:dyDescent="0.25">
      <c r="A2899" t="s">
        <v>1346</v>
      </c>
      <c r="B2899" t="s">
        <v>1347</v>
      </c>
      <c r="C2899" t="s">
        <v>1352</v>
      </c>
      <c r="D2899" t="s">
        <v>1353</v>
      </c>
      <c r="E2899" t="s">
        <v>1354</v>
      </c>
      <c r="F2899" t="s">
        <v>5</v>
      </c>
      <c r="G2899" t="s">
        <v>5</v>
      </c>
      <c r="H2899" t="s">
        <v>5</v>
      </c>
      <c r="I2899" t="s">
        <v>955</v>
      </c>
      <c r="J2899" t="s">
        <v>96</v>
      </c>
      <c r="K2899" s="3">
        <f t="shared" si="90"/>
        <v>0</v>
      </c>
      <c r="L2899" s="3">
        <f>IF(ISERROR(VLOOKUP(J2899,Lookups!$A$2:$A$16,1,FALSE)),1,0)</f>
        <v>0</v>
      </c>
      <c r="M2899" s="3">
        <f>IF(ISERROR(VLOOKUP(D2899,Data!$A$2:$D$223100,2,FALSE)),0,1)</f>
        <v>1</v>
      </c>
      <c r="N2899" s="3">
        <f t="shared" si="91"/>
        <v>0</v>
      </c>
      <c r="O2899" s="3" t="str">
        <f>IF(ISERROR(VLOOKUP(D2899,Data!$A$2:$C$223100,3,FALSE)),"INACTIVE",VLOOKUP(D2899,Data!$A$2:$C$223100,3,FALSE))</f>
        <v>BK13</v>
      </c>
    </row>
    <row r="2900" spans="1:15" x14ac:dyDescent="0.25">
      <c r="A2900" t="s">
        <v>1346</v>
      </c>
      <c r="B2900" t="s">
        <v>1347</v>
      </c>
      <c r="C2900" t="s">
        <v>1352</v>
      </c>
      <c r="D2900" t="s">
        <v>1353</v>
      </c>
      <c r="E2900" t="s">
        <v>1355</v>
      </c>
      <c r="F2900" t="s">
        <v>5</v>
      </c>
      <c r="G2900" t="s">
        <v>5</v>
      </c>
      <c r="H2900" t="s">
        <v>5</v>
      </c>
      <c r="I2900" t="s">
        <v>955</v>
      </c>
      <c r="J2900" t="s">
        <v>96</v>
      </c>
      <c r="K2900" s="3">
        <f t="shared" si="90"/>
        <v>0</v>
      </c>
      <c r="L2900" s="3">
        <f>IF(ISERROR(VLOOKUP(J2900,Lookups!$A$2:$A$16,1,FALSE)),1,0)</f>
        <v>0</v>
      </c>
      <c r="M2900" s="3">
        <f>IF(ISERROR(VLOOKUP(D2900,Data!$A$2:$D$223100,2,FALSE)),0,1)</f>
        <v>1</v>
      </c>
      <c r="N2900" s="3">
        <f t="shared" si="91"/>
        <v>0</v>
      </c>
      <c r="O2900" s="3" t="str">
        <f>IF(ISERROR(VLOOKUP(D2900,Data!$A$2:$C$223100,3,FALSE)),"INACTIVE",VLOOKUP(D2900,Data!$A$2:$C$223100,3,FALSE))</f>
        <v>BK13</v>
      </c>
    </row>
    <row r="2901" spans="1:15" x14ac:dyDescent="0.25">
      <c r="A2901" t="s">
        <v>1346</v>
      </c>
      <c r="B2901" t="s">
        <v>1347</v>
      </c>
      <c r="C2901" t="s">
        <v>1356</v>
      </c>
      <c r="D2901" t="s">
        <v>1357</v>
      </c>
      <c r="E2901" t="s">
        <v>1358</v>
      </c>
      <c r="F2901" t="s">
        <v>5</v>
      </c>
      <c r="G2901" t="s">
        <v>5</v>
      </c>
      <c r="H2901" t="s">
        <v>5</v>
      </c>
      <c r="I2901" t="s">
        <v>955</v>
      </c>
      <c r="J2901" t="s">
        <v>90</v>
      </c>
      <c r="K2901" s="3">
        <f t="shared" si="90"/>
        <v>0</v>
      </c>
      <c r="L2901" s="3">
        <f>IF(ISERROR(VLOOKUP(J2901,Lookups!$A$2:$A$16,1,FALSE)),1,0)</f>
        <v>0</v>
      </c>
      <c r="M2901" s="3">
        <f>IF(ISERROR(VLOOKUP(D2901,Data!$A$2:$D$223100,2,FALSE)),0,1)</f>
        <v>1</v>
      </c>
      <c r="N2901" s="3">
        <f t="shared" si="91"/>
        <v>0</v>
      </c>
      <c r="O2901" s="3" t="str">
        <f>IF(ISERROR(VLOOKUP(D2901,Data!$A$2:$C$223100,3,FALSE)),"INACTIVE",VLOOKUP(D2901,Data!$A$2:$C$223100,3,FALSE))</f>
        <v>FC</v>
      </c>
    </row>
    <row r="2902" spans="1:15" x14ac:dyDescent="0.25">
      <c r="A2902" t="s">
        <v>1490</v>
      </c>
      <c r="B2902" t="s">
        <v>1491</v>
      </c>
      <c r="C2902" t="s">
        <v>1492</v>
      </c>
      <c r="D2902" t="s">
        <v>1493</v>
      </c>
      <c r="E2902" t="s">
        <v>1494</v>
      </c>
      <c r="F2902" t="s">
        <v>1494</v>
      </c>
      <c r="G2902" t="s">
        <v>5</v>
      </c>
      <c r="H2902" t="s">
        <v>5</v>
      </c>
      <c r="I2902" t="s">
        <v>955</v>
      </c>
      <c r="J2902" t="s">
        <v>40</v>
      </c>
      <c r="K2902" s="3">
        <f t="shared" si="90"/>
        <v>0</v>
      </c>
      <c r="L2902" s="3">
        <f>IF(ISERROR(VLOOKUP(J2902,Lookups!$A$2:$A$16,1,FALSE)),1,0)</f>
        <v>1</v>
      </c>
      <c r="M2902" s="3">
        <f>IF(ISERROR(VLOOKUP(D2902,Data!$A$2:$D$223100,2,FALSE)),0,1)</f>
        <v>1</v>
      </c>
      <c r="N2902" s="3">
        <f t="shared" si="91"/>
        <v>1</v>
      </c>
      <c r="O2902" s="3" t="str">
        <f>IF(ISERROR(VLOOKUP(D2902,Data!$A$2:$C$223100,3,FALSE)),"INACTIVE",VLOOKUP(D2902,Data!$A$2:$C$223100,3,FALSE))</f>
        <v>Current</v>
      </c>
    </row>
    <row r="2903" spans="1:15" x14ac:dyDescent="0.25">
      <c r="A2903" t="s">
        <v>1490</v>
      </c>
      <c r="B2903" t="s">
        <v>1491</v>
      </c>
      <c r="C2903" t="s">
        <v>1495</v>
      </c>
      <c r="D2903" t="s">
        <v>1496</v>
      </c>
      <c r="E2903" t="s">
        <v>1497</v>
      </c>
      <c r="F2903" t="s">
        <v>1497</v>
      </c>
      <c r="G2903" t="s">
        <v>5</v>
      </c>
      <c r="H2903" t="s">
        <v>5</v>
      </c>
      <c r="I2903" t="s">
        <v>955</v>
      </c>
      <c r="J2903" t="s">
        <v>40</v>
      </c>
      <c r="K2903" s="3">
        <f t="shared" si="90"/>
        <v>0</v>
      </c>
      <c r="L2903" s="3">
        <f>IF(ISERROR(VLOOKUP(J2903,Lookups!$A$2:$A$16,1,FALSE)),1,0)</f>
        <v>1</v>
      </c>
      <c r="M2903" s="3">
        <f>IF(ISERROR(VLOOKUP(D2903,Data!$A$2:$D$223100,2,FALSE)),0,1)</f>
        <v>1</v>
      </c>
      <c r="N2903" s="3">
        <f t="shared" si="91"/>
        <v>1</v>
      </c>
      <c r="O2903" s="3" t="str">
        <f>IF(ISERROR(VLOOKUP(D2903,Data!$A$2:$C$223100,3,FALSE)),"INACTIVE",VLOOKUP(D2903,Data!$A$2:$C$223100,3,FALSE))</f>
        <v>Current</v>
      </c>
    </row>
    <row r="2904" spans="1:15" x14ac:dyDescent="0.25">
      <c r="A2904" t="s">
        <v>1566</v>
      </c>
      <c r="B2904" t="s">
        <v>1567</v>
      </c>
      <c r="C2904" t="s">
        <v>1568</v>
      </c>
      <c r="D2904" t="s">
        <v>1569</v>
      </c>
      <c r="E2904" t="s">
        <v>1570</v>
      </c>
      <c r="F2904" t="s">
        <v>5</v>
      </c>
      <c r="G2904" t="s">
        <v>5</v>
      </c>
      <c r="H2904" t="s">
        <v>5</v>
      </c>
      <c r="I2904" t="s">
        <v>955</v>
      </c>
      <c r="J2904" t="s">
        <v>96</v>
      </c>
      <c r="K2904" s="3">
        <f t="shared" si="90"/>
        <v>0</v>
      </c>
      <c r="L2904" s="3">
        <f>IF(ISERROR(VLOOKUP(J2904,Lookups!$A$2:$A$16,1,FALSE)),1,0)</f>
        <v>0</v>
      </c>
      <c r="M2904" s="3">
        <f>IF(ISERROR(VLOOKUP(D2904,Data!$A$2:$D$223100,2,FALSE)),0,1)</f>
        <v>1</v>
      </c>
      <c r="N2904" s="3">
        <f t="shared" si="91"/>
        <v>0</v>
      </c>
      <c r="O2904" s="3" t="str">
        <f>IF(ISERROR(VLOOKUP(D2904,Data!$A$2:$C$223100,3,FALSE)),"INACTIVE",VLOOKUP(D2904,Data!$A$2:$C$223100,3,FALSE))</f>
        <v>Current</v>
      </c>
    </row>
    <row r="2905" spans="1:15" x14ac:dyDescent="0.25">
      <c r="A2905" t="s">
        <v>1566</v>
      </c>
      <c r="B2905" t="s">
        <v>1567</v>
      </c>
      <c r="C2905" t="s">
        <v>1568</v>
      </c>
      <c r="D2905" t="s">
        <v>1569</v>
      </c>
      <c r="E2905" t="s">
        <v>1571</v>
      </c>
      <c r="F2905" t="s">
        <v>5</v>
      </c>
      <c r="G2905" t="s">
        <v>5</v>
      </c>
      <c r="H2905" t="s">
        <v>5</v>
      </c>
      <c r="I2905" t="s">
        <v>955</v>
      </c>
      <c r="J2905" t="s">
        <v>96</v>
      </c>
      <c r="K2905" s="3">
        <f t="shared" si="90"/>
        <v>0</v>
      </c>
      <c r="L2905" s="3">
        <f>IF(ISERROR(VLOOKUP(J2905,Lookups!$A$2:$A$16,1,FALSE)),1,0)</f>
        <v>0</v>
      </c>
      <c r="M2905" s="3">
        <f>IF(ISERROR(VLOOKUP(D2905,Data!$A$2:$D$223100,2,FALSE)),0,1)</f>
        <v>1</v>
      </c>
      <c r="N2905" s="3">
        <f t="shared" si="91"/>
        <v>0</v>
      </c>
      <c r="O2905" s="3" t="str">
        <f>IF(ISERROR(VLOOKUP(D2905,Data!$A$2:$C$223100,3,FALSE)),"INACTIVE",VLOOKUP(D2905,Data!$A$2:$C$223100,3,FALSE))</f>
        <v>Current</v>
      </c>
    </row>
    <row r="2906" spans="1:15" x14ac:dyDescent="0.25">
      <c r="A2906" t="s">
        <v>3494</v>
      </c>
      <c r="B2906" t="s">
        <v>3495</v>
      </c>
      <c r="C2906" t="s">
        <v>3496</v>
      </c>
      <c r="D2906" t="s">
        <v>3497</v>
      </c>
      <c r="E2906" t="s">
        <v>3498</v>
      </c>
      <c r="F2906" t="s">
        <v>3498</v>
      </c>
      <c r="G2906" t="s">
        <v>5</v>
      </c>
      <c r="H2906" t="s">
        <v>5</v>
      </c>
      <c r="I2906" t="s">
        <v>955</v>
      </c>
      <c r="J2906" t="s">
        <v>40</v>
      </c>
      <c r="K2906" s="3">
        <f t="shared" si="90"/>
        <v>0</v>
      </c>
      <c r="L2906" s="3">
        <f>IF(ISERROR(VLOOKUP(J2906,Lookups!$A$2:$A$16,1,FALSE)),1,0)</f>
        <v>1</v>
      </c>
      <c r="M2906" s="3">
        <f>IF(ISERROR(VLOOKUP(D2906,Data!$A$2:$D$223100,2,FALSE)),0,1)</f>
        <v>1</v>
      </c>
      <c r="N2906" s="3">
        <f t="shared" si="91"/>
        <v>1</v>
      </c>
      <c r="O2906" s="3" t="str">
        <f>IF(ISERROR(VLOOKUP(D2906,Data!$A$2:$C$223100,3,FALSE)),"INACTIVE",VLOOKUP(D2906,Data!$A$2:$C$223100,3,FALSE))</f>
        <v>90+</v>
      </c>
    </row>
    <row r="2907" spans="1:15" x14ac:dyDescent="0.25">
      <c r="A2907" t="s">
        <v>3494</v>
      </c>
      <c r="B2907" t="s">
        <v>3495</v>
      </c>
      <c r="C2907" t="s">
        <v>3499</v>
      </c>
      <c r="D2907" t="s">
        <v>3500</v>
      </c>
      <c r="E2907" t="s">
        <v>3501</v>
      </c>
      <c r="F2907" t="s">
        <v>3501</v>
      </c>
      <c r="G2907" t="s">
        <v>5</v>
      </c>
      <c r="H2907" t="s">
        <v>5</v>
      </c>
      <c r="I2907" t="s">
        <v>955</v>
      </c>
      <c r="J2907" t="s">
        <v>40</v>
      </c>
      <c r="K2907" s="3">
        <f t="shared" si="90"/>
        <v>0</v>
      </c>
      <c r="L2907" s="3">
        <f>IF(ISERROR(VLOOKUP(J2907,Lookups!$A$2:$A$16,1,FALSE)),1,0)</f>
        <v>1</v>
      </c>
      <c r="M2907" s="3">
        <f>IF(ISERROR(VLOOKUP(D2907,Data!$A$2:$D$223100,2,FALSE)),0,1)</f>
        <v>1</v>
      </c>
      <c r="N2907" s="3">
        <f t="shared" si="91"/>
        <v>1</v>
      </c>
      <c r="O2907" s="3" t="str">
        <f>IF(ISERROR(VLOOKUP(D2907,Data!$A$2:$C$223100,3,FALSE)),"INACTIVE",VLOOKUP(D2907,Data!$A$2:$C$223100,3,FALSE))</f>
        <v>Demand Letter</v>
      </c>
    </row>
    <row r="2908" spans="1:15" x14ac:dyDescent="0.25">
      <c r="A2908" t="s">
        <v>3494</v>
      </c>
      <c r="B2908" t="s">
        <v>3495</v>
      </c>
      <c r="C2908" t="s">
        <v>3502</v>
      </c>
      <c r="D2908" t="s">
        <v>3503</v>
      </c>
      <c r="E2908" t="s">
        <v>3504</v>
      </c>
      <c r="F2908" t="s">
        <v>3504</v>
      </c>
      <c r="G2908" t="s">
        <v>5</v>
      </c>
      <c r="H2908" t="s">
        <v>5</v>
      </c>
      <c r="I2908" t="s">
        <v>955</v>
      </c>
      <c r="J2908" t="s">
        <v>47</v>
      </c>
      <c r="K2908" s="3">
        <f t="shared" si="90"/>
        <v>0</v>
      </c>
      <c r="L2908" s="3">
        <f>IF(ISERROR(VLOOKUP(J2908,Lookups!$A$2:$A$16,1,FALSE)),1,0)</f>
        <v>1</v>
      </c>
      <c r="M2908" s="3">
        <f>IF(ISERROR(VLOOKUP(D2908,Data!$A$2:$D$223100,2,FALSE)),0,1)</f>
        <v>1</v>
      </c>
      <c r="N2908" s="3">
        <f t="shared" si="91"/>
        <v>1</v>
      </c>
      <c r="O2908" s="3" t="str">
        <f>IF(ISERROR(VLOOKUP(D2908,Data!$A$2:$C$223100,3,FALSE)),"INACTIVE",VLOOKUP(D2908,Data!$A$2:$C$223100,3,FALSE))</f>
        <v>FBA</v>
      </c>
    </row>
    <row r="2909" spans="1:15" x14ac:dyDescent="0.25">
      <c r="A2909" t="s">
        <v>3494</v>
      </c>
      <c r="B2909" t="s">
        <v>3495</v>
      </c>
      <c r="C2909" t="s">
        <v>3505</v>
      </c>
      <c r="D2909" t="s">
        <v>3506</v>
      </c>
      <c r="E2909" t="s">
        <v>3507</v>
      </c>
      <c r="F2909" t="s">
        <v>3507</v>
      </c>
      <c r="G2909" t="s">
        <v>5</v>
      </c>
      <c r="H2909" t="s">
        <v>5</v>
      </c>
      <c r="I2909" t="s">
        <v>955</v>
      </c>
      <c r="J2909" t="s">
        <v>40</v>
      </c>
      <c r="K2909" s="3">
        <f t="shared" si="90"/>
        <v>0</v>
      </c>
      <c r="L2909" s="3">
        <f>IF(ISERROR(VLOOKUP(J2909,Lookups!$A$2:$A$16,1,FALSE)),1,0)</f>
        <v>1</v>
      </c>
      <c r="M2909" s="3">
        <f>IF(ISERROR(VLOOKUP(D2909,Data!$A$2:$D$223100,2,FALSE)),0,1)</f>
        <v>1</v>
      </c>
      <c r="N2909" s="3">
        <f t="shared" si="91"/>
        <v>1</v>
      </c>
      <c r="O2909" s="3" t="str">
        <f>IF(ISERROR(VLOOKUP(D2909,Data!$A$2:$C$223100,3,FALSE)),"INACTIVE",VLOOKUP(D2909,Data!$A$2:$C$223100,3,FALSE))</f>
        <v>FC</v>
      </c>
    </row>
    <row r="2910" spans="1:15" x14ac:dyDescent="0.25">
      <c r="A2910" t="s">
        <v>3494</v>
      </c>
      <c r="B2910" t="s">
        <v>3495</v>
      </c>
      <c r="C2910" t="s">
        <v>3508</v>
      </c>
      <c r="D2910" t="s">
        <v>3509</v>
      </c>
      <c r="E2910" t="s">
        <v>3510</v>
      </c>
      <c r="F2910" t="s">
        <v>3510</v>
      </c>
      <c r="G2910" t="s">
        <v>5</v>
      </c>
      <c r="H2910" t="s">
        <v>5</v>
      </c>
      <c r="I2910" t="s">
        <v>955</v>
      </c>
      <c r="J2910" t="s">
        <v>40</v>
      </c>
      <c r="K2910" s="3">
        <f t="shared" si="90"/>
        <v>0</v>
      </c>
      <c r="L2910" s="3">
        <f>IF(ISERROR(VLOOKUP(J2910,Lookups!$A$2:$A$16,1,FALSE)),1,0)</f>
        <v>1</v>
      </c>
      <c r="M2910" s="3">
        <f>IF(ISERROR(VLOOKUP(D2910,Data!$A$2:$D$223100,2,FALSE)),0,1)</f>
        <v>1</v>
      </c>
      <c r="N2910" s="3">
        <f t="shared" si="91"/>
        <v>1</v>
      </c>
      <c r="O2910" s="3" t="str">
        <f>IF(ISERROR(VLOOKUP(D2910,Data!$A$2:$C$223100,3,FALSE)),"INACTIVE",VLOOKUP(D2910,Data!$A$2:$C$223100,3,FALSE))</f>
        <v>PP</v>
      </c>
    </row>
    <row r="2911" spans="1:15" x14ac:dyDescent="0.25">
      <c r="A2911" t="s">
        <v>3494</v>
      </c>
      <c r="B2911" t="s">
        <v>3495</v>
      </c>
      <c r="C2911" t="s">
        <v>3511</v>
      </c>
      <c r="D2911" t="s">
        <v>3512</v>
      </c>
      <c r="E2911" t="s">
        <v>3513</v>
      </c>
      <c r="F2911" t="s">
        <v>3513</v>
      </c>
      <c r="G2911" t="s">
        <v>5</v>
      </c>
      <c r="H2911" t="s">
        <v>5</v>
      </c>
      <c r="I2911" t="s">
        <v>955</v>
      </c>
      <c r="J2911" t="s">
        <v>40</v>
      </c>
      <c r="K2911" s="3">
        <f t="shared" si="90"/>
        <v>0</v>
      </c>
      <c r="L2911" s="3">
        <f>IF(ISERROR(VLOOKUP(J2911,Lookups!$A$2:$A$16,1,FALSE)),1,0)</f>
        <v>1</v>
      </c>
      <c r="M2911" s="3">
        <f>IF(ISERROR(VLOOKUP(D2911,Data!$A$2:$D$223100,2,FALSE)),0,1)</f>
        <v>0</v>
      </c>
      <c r="N2911" s="3">
        <f t="shared" si="91"/>
        <v>0</v>
      </c>
      <c r="O2911" s="3" t="str">
        <f>IF(ISERROR(VLOOKUP(D2911,Data!$A$2:$C$223100,3,FALSE)),"INACTIVE",VLOOKUP(D2911,Data!$A$2:$C$223100,3,FALSE))</f>
        <v>INACTIVE</v>
      </c>
    </row>
    <row r="2912" spans="1:15" x14ac:dyDescent="0.25">
      <c r="A2912" t="s">
        <v>3494</v>
      </c>
      <c r="B2912" t="s">
        <v>3495</v>
      </c>
      <c r="C2912" t="s">
        <v>3514</v>
      </c>
      <c r="D2912" t="s">
        <v>3515</v>
      </c>
      <c r="E2912" t="s">
        <v>3516</v>
      </c>
      <c r="F2912" t="s">
        <v>3516</v>
      </c>
      <c r="G2912" t="s">
        <v>5</v>
      </c>
      <c r="H2912" t="s">
        <v>5</v>
      </c>
      <c r="I2912" t="s">
        <v>955</v>
      </c>
      <c r="J2912" t="s">
        <v>40</v>
      </c>
      <c r="K2912" s="3">
        <f t="shared" si="90"/>
        <v>0</v>
      </c>
      <c r="L2912" s="3">
        <f>IF(ISERROR(VLOOKUP(J2912,Lookups!$A$2:$A$16,1,FALSE)),1,0)</f>
        <v>1</v>
      </c>
      <c r="M2912" s="3">
        <f>IF(ISERROR(VLOOKUP(D2912,Data!$A$2:$D$223100,2,FALSE)),0,1)</f>
        <v>1</v>
      </c>
      <c r="N2912" s="3">
        <f t="shared" si="91"/>
        <v>1</v>
      </c>
      <c r="O2912" s="3" t="str">
        <f>IF(ISERROR(VLOOKUP(D2912,Data!$A$2:$C$223100,3,FALSE)),"INACTIVE",VLOOKUP(D2912,Data!$A$2:$C$223100,3,FALSE))</f>
        <v>60+</v>
      </c>
    </row>
    <row r="2913" spans="1:15" x14ac:dyDescent="0.25">
      <c r="A2913" t="s">
        <v>3494</v>
      </c>
      <c r="B2913" t="s">
        <v>3495</v>
      </c>
      <c r="C2913" t="s">
        <v>3517</v>
      </c>
      <c r="D2913" t="s">
        <v>3518</v>
      </c>
      <c r="E2913" t="s">
        <v>3519</v>
      </c>
      <c r="F2913" t="s">
        <v>3519</v>
      </c>
      <c r="G2913" t="s">
        <v>5</v>
      </c>
      <c r="H2913" t="s">
        <v>5</v>
      </c>
      <c r="I2913" t="s">
        <v>955</v>
      </c>
      <c r="J2913" t="s">
        <v>47</v>
      </c>
      <c r="K2913" s="3">
        <f t="shared" si="90"/>
        <v>0</v>
      </c>
      <c r="L2913" s="3">
        <f>IF(ISERROR(VLOOKUP(J2913,Lookups!$A$2:$A$16,1,FALSE)),1,0)</f>
        <v>1</v>
      </c>
      <c r="M2913" s="3">
        <f>IF(ISERROR(VLOOKUP(D2913,Data!$A$2:$D$223100,2,FALSE)),0,1)</f>
        <v>1</v>
      </c>
      <c r="N2913" s="3">
        <f t="shared" si="91"/>
        <v>1</v>
      </c>
      <c r="O2913" s="3" t="str">
        <f>IF(ISERROR(VLOOKUP(D2913,Data!$A$2:$C$223100,3,FALSE)),"INACTIVE",VLOOKUP(D2913,Data!$A$2:$C$223100,3,FALSE))</f>
        <v>Demand Letter</v>
      </c>
    </row>
    <row r="2914" spans="1:15" x14ac:dyDescent="0.25">
      <c r="A2914" t="s">
        <v>3494</v>
      </c>
      <c r="B2914" t="s">
        <v>3495</v>
      </c>
      <c r="C2914" t="s">
        <v>3520</v>
      </c>
      <c r="D2914" t="s">
        <v>3521</v>
      </c>
      <c r="E2914" t="s">
        <v>3522</v>
      </c>
      <c r="F2914" t="s">
        <v>3522</v>
      </c>
      <c r="G2914" t="s">
        <v>5</v>
      </c>
      <c r="H2914" t="s">
        <v>5</v>
      </c>
      <c r="I2914" t="s">
        <v>955</v>
      </c>
      <c r="J2914" t="s">
        <v>47</v>
      </c>
      <c r="K2914" s="3">
        <f t="shared" si="90"/>
        <v>0</v>
      </c>
      <c r="L2914" s="3">
        <f>IF(ISERROR(VLOOKUP(J2914,Lookups!$A$2:$A$16,1,FALSE)),1,0)</f>
        <v>1</v>
      </c>
      <c r="M2914" s="3">
        <f>IF(ISERROR(VLOOKUP(D2914,Data!$A$2:$D$223100,2,FALSE)),0,1)</f>
        <v>1</v>
      </c>
      <c r="N2914" s="3">
        <f t="shared" si="91"/>
        <v>1</v>
      </c>
      <c r="O2914" s="3" t="str">
        <f>IF(ISERROR(VLOOKUP(D2914,Data!$A$2:$C$223100,3,FALSE)),"INACTIVE",VLOOKUP(D2914,Data!$A$2:$C$223100,3,FALSE))</f>
        <v>Demand Letter</v>
      </c>
    </row>
    <row r="2915" spans="1:15" x14ac:dyDescent="0.25">
      <c r="A2915" t="s">
        <v>701</v>
      </c>
      <c r="B2915" t="s">
        <v>702</v>
      </c>
      <c r="C2915" t="s">
        <v>710</v>
      </c>
      <c r="D2915" t="s">
        <v>711</v>
      </c>
      <c r="E2915" t="s">
        <v>712</v>
      </c>
      <c r="F2915" t="s">
        <v>712</v>
      </c>
      <c r="G2915" t="s">
        <v>5</v>
      </c>
      <c r="H2915" t="s">
        <v>5</v>
      </c>
      <c r="I2915" t="s">
        <v>713</v>
      </c>
      <c r="J2915" t="s">
        <v>47</v>
      </c>
      <c r="K2915" s="3">
        <f t="shared" si="90"/>
        <v>0</v>
      </c>
      <c r="L2915" s="3">
        <f>IF(ISERROR(VLOOKUP(J2915,Lookups!$A$2:$A$16,1,FALSE)),1,0)</f>
        <v>1</v>
      </c>
      <c r="M2915" s="3">
        <f>IF(ISERROR(VLOOKUP(D2915,Data!$A$2:$D$223100,2,FALSE)),0,1)</f>
        <v>1</v>
      </c>
      <c r="N2915" s="3">
        <f t="shared" si="91"/>
        <v>1</v>
      </c>
      <c r="O2915" s="3" t="str">
        <f>IF(ISERROR(VLOOKUP(D2915,Data!$A$2:$C$223100,3,FALSE)),"INACTIVE",VLOOKUP(D2915,Data!$A$2:$C$223100,3,FALSE))</f>
        <v>FBA</v>
      </c>
    </row>
    <row r="2916" spans="1:15" x14ac:dyDescent="0.25">
      <c r="A2916" t="s">
        <v>701</v>
      </c>
      <c r="B2916" t="s">
        <v>702</v>
      </c>
      <c r="C2916" t="s">
        <v>703</v>
      </c>
      <c r="D2916" t="s">
        <v>704</v>
      </c>
      <c r="E2916" t="s">
        <v>714</v>
      </c>
      <c r="F2916" t="s">
        <v>714</v>
      </c>
      <c r="G2916" t="s">
        <v>5</v>
      </c>
      <c r="H2916" t="s">
        <v>5</v>
      </c>
      <c r="I2916" t="s">
        <v>713</v>
      </c>
      <c r="J2916" t="s">
        <v>14</v>
      </c>
      <c r="K2916" s="3">
        <f t="shared" si="90"/>
        <v>0</v>
      </c>
      <c r="L2916" s="3">
        <f>IF(ISERROR(VLOOKUP(J2916,Lookups!$A$2:$A$16,1,FALSE)),1,0)</f>
        <v>1</v>
      </c>
      <c r="M2916" s="3">
        <f>IF(ISERROR(VLOOKUP(D2916,Data!$A$2:$D$223100,2,FALSE)),0,1)</f>
        <v>1</v>
      </c>
      <c r="N2916" s="3">
        <f t="shared" si="91"/>
        <v>1</v>
      </c>
      <c r="O2916" s="3" t="str">
        <f>IF(ISERROR(VLOOKUP(D2916,Data!$A$2:$C$223100,3,FALSE)),"INACTIVE",VLOOKUP(D2916,Data!$A$2:$C$223100,3,FALSE))</f>
        <v>120+</v>
      </c>
    </row>
    <row r="2917" spans="1:15" x14ac:dyDescent="0.25">
      <c r="A2917" t="s">
        <v>701</v>
      </c>
      <c r="B2917" t="s">
        <v>702</v>
      </c>
      <c r="C2917" t="s">
        <v>715</v>
      </c>
      <c r="D2917" t="s">
        <v>716</v>
      </c>
      <c r="E2917" t="s">
        <v>717</v>
      </c>
      <c r="F2917" t="s">
        <v>717</v>
      </c>
      <c r="G2917" t="s">
        <v>5</v>
      </c>
      <c r="H2917" t="s">
        <v>5</v>
      </c>
      <c r="I2917" t="s">
        <v>713</v>
      </c>
      <c r="J2917" t="s">
        <v>47</v>
      </c>
      <c r="K2917" s="3">
        <f t="shared" si="90"/>
        <v>0</v>
      </c>
      <c r="L2917" s="3">
        <f>IF(ISERROR(VLOOKUP(J2917,Lookups!$A$2:$A$16,1,FALSE)),1,0)</f>
        <v>1</v>
      </c>
      <c r="M2917" s="3">
        <f>IF(ISERROR(VLOOKUP(D2917,Data!$A$2:$D$223100,2,FALSE)),0,1)</f>
        <v>1</v>
      </c>
      <c r="N2917" s="3">
        <f t="shared" si="91"/>
        <v>1</v>
      </c>
      <c r="O2917" s="3" t="str">
        <f>IF(ISERROR(VLOOKUP(D2917,Data!$A$2:$C$223100,3,FALSE)),"INACTIVE",VLOOKUP(D2917,Data!$A$2:$C$223100,3,FALSE))</f>
        <v>Current</v>
      </c>
    </row>
    <row r="2918" spans="1:15" x14ac:dyDescent="0.25">
      <c r="A2918" t="s">
        <v>701</v>
      </c>
      <c r="B2918" t="s">
        <v>702</v>
      </c>
      <c r="C2918" t="s">
        <v>718</v>
      </c>
      <c r="D2918" t="s">
        <v>719</v>
      </c>
      <c r="E2918" t="s">
        <v>720</v>
      </c>
      <c r="F2918" t="s">
        <v>720</v>
      </c>
      <c r="G2918" t="s">
        <v>5</v>
      </c>
      <c r="H2918" t="s">
        <v>5</v>
      </c>
      <c r="I2918" t="s">
        <v>713</v>
      </c>
      <c r="J2918" t="s">
        <v>40</v>
      </c>
      <c r="K2918" s="3">
        <f t="shared" si="90"/>
        <v>0</v>
      </c>
      <c r="L2918" s="3">
        <f>IF(ISERROR(VLOOKUP(J2918,Lookups!$A$2:$A$16,1,FALSE)),1,0)</f>
        <v>1</v>
      </c>
      <c r="M2918" s="3">
        <f>IF(ISERROR(VLOOKUP(D2918,Data!$A$2:$D$223100,2,FALSE)),0,1)</f>
        <v>1</v>
      </c>
      <c r="N2918" s="3">
        <f t="shared" si="91"/>
        <v>1</v>
      </c>
      <c r="O2918" s="3" t="str">
        <f>IF(ISERROR(VLOOKUP(D2918,Data!$A$2:$C$223100,3,FALSE)),"INACTIVE",VLOOKUP(D2918,Data!$A$2:$C$223100,3,FALSE))</f>
        <v>60+</v>
      </c>
    </row>
    <row r="2919" spans="1:15" x14ac:dyDescent="0.25">
      <c r="A2919" t="s">
        <v>701</v>
      </c>
      <c r="B2919" t="s">
        <v>702</v>
      </c>
      <c r="C2919" t="s">
        <v>721</v>
      </c>
      <c r="D2919" t="s">
        <v>722</v>
      </c>
      <c r="E2919" t="s">
        <v>723</v>
      </c>
      <c r="F2919" t="s">
        <v>723</v>
      </c>
      <c r="G2919" t="s">
        <v>5</v>
      </c>
      <c r="H2919" t="s">
        <v>5</v>
      </c>
      <c r="I2919" t="s">
        <v>713</v>
      </c>
      <c r="J2919" t="s">
        <v>40</v>
      </c>
      <c r="K2919" s="3">
        <f t="shared" si="90"/>
        <v>0</v>
      </c>
      <c r="L2919" s="3">
        <f>IF(ISERROR(VLOOKUP(J2919,Lookups!$A$2:$A$16,1,FALSE)),1,0)</f>
        <v>1</v>
      </c>
      <c r="M2919" s="3">
        <f>IF(ISERROR(VLOOKUP(D2919,Data!$A$2:$D$223100,2,FALSE)),0,1)</f>
        <v>1</v>
      </c>
      <c r="N2919" s="3">
        <f t="shared" si="91"/>
        <v>1</v>
      </c>
      <c r="O2919" s="3" t="str">
        <f>IF(ISERROR(VLOOKUP(D2919,Data!$A$2:$C$223100,3,FALSE)),"INACTIVE",VLOOKUP(D2919,Data!$A$2:$C$223100,3,FALSE))</f>
        <v>Current</v>
      </c>
    </row>
    <row r="2920" spans="1:15" x14ac:dyDescent="0.25">
      <c r="A2920" t="s">
        <v>701</v>
      </c>
      <c r="B2920" t="s">
        <v>702</v>
      </c>
      <c r="C2920" t="s">
        <v>724</v>
      </c>
      <c r="D2920" t="s">
        <v>725</v>
      </c>
      <c r="E2920" t="s">
        <v>726</v>
      </c>
      <c r="F2920" t="s">
        <v>726</v>
      </c>
      <c r="G2920" t="s">
        <v>5</v>
      </c>
      <c r="H2920" t="s">
        <v>5</v>
      </c>
      <c r="I2920" t="s">
        <v>713</v>
      </c>
      <c r="J2920" t="s">
        <v>40</v>
      </c>
      <c r="K2920" s="3">
        <f t="shared" si="90"/>
        <v>0</v>
      </c>
      <c r="L2920" s="3">
        <f>IF(ISERROR(VLOOKUP(J2920,Lookups!$A$2:$A$16,1,FALSE)),1,0)</f>
        <v>1</v>
      </c>
      <c r="M2920" s="3">
        <f>IF(ISERROR(VLOOKUP(D2920,Data!$A$2:$D$223100,2,FALSE)),0,1)</f>
        <v>1</v>
      </c>
      <c r="N2920" s="3">
        <f t="shared" si="91"/>
        <v>1</v>
      </c>
      <c r="O2920" s="3" t="str">
        <f>IF(ISERROR(VLOOKUP(D2920,Data!$A$2:$C$223100,3,FALSE)),"INACTIVE",VLOOKUP(D2920,Data!$A$2:$C$223100,3,FALSE))</f>
        <v>30+</v>
      </c>
    </row>
    <row r="2921" spans="1:15" x14ac:dyDescent="0.25">
      <c r="A2921" t="s">
        <v>701</v>
      </c>
      <c r="B2921" t="s">
        <v>702</v>
      </c>
      <c r="C2921" t="s">
        <v>727</v>
      </c>
      <c r="D2921" t="s">
        <v>728</v>
      </c>
      <c r="E2921" t="s">
        <v>729</v>
      </c>
      <c r="F2921" t="s">
        <v>729</v>
      </c>
      <c r="G2921" t="s">
        <v>5</v>
      </c>
      <c r="H2921" t="s">
        <v>5</v>
      </c>
      <c r="I2921" t="s">
        <v>713</v>
      </c>
      <c r="J2921" t="s">
        <v>47</v>
      </c>
      <c r="K2921" s="3">
        <f t="shared" si="90"/>
        <v>0</v>
      </c>
      <c r="L2921" s="3">
        <f>IF(ISERROR(VLOOKUP(J2921,Lookups!$A$2:$A$16,1,FALSE)),1,0)</f>
        <v>1</v>
      </c>
      <c r="M2921" s="3">
        <f>IF(ISERROR(VLOOKUP(D2921,Data!$A$2:$D$223100,2,FALSE)),0,1)</f>
        <v>1</v>
      </c>
      <c r="N2921" s="3">
        <f t="shared" si="91"/>
        <v>1</v>
      </c>
      <c r="O2921" s="3" t="str">
        <f>IF(ISERROR(VLOOKUP(D2921,Data!$A$2:$C$223100,3,FALSE)),"INACTIVE",VLOOKUP(D2921,Data!$A$2:$C$223100,3,FALSE))</f>
        <v>Demand Letter</v>
      </c>
    </row>
    <row r="2922" spans="1:15" x14ac:dyDescent="0.25">
      <c r="A2922" t="s">
        <v>701</v>
      </c>
      <c r="B2922" t="s">
        <v>702</v>
      </c>
      <c r="C2922" t="s">
        <v>730</v>
      </c>
      <c r="D2922" t="s">
        <v>731</v>
      </c>
      <c r="E2922" t="s">
        <v>732</v>
      </c>
      <c r="F2922" t="s">
        <v>732</v>
      </c>
      <c r="G2922" t="s">
        <v>5</v>
      </c>
      <c r="H2922" t="s">
        <v>5</v>
      </c>
      <c r="I2922" t="s">
        <v>713</v>
      </c>
      <c r="J2922" t="s">
        <v>40</v>
      </c>
      <c r="K2922" s="3">
        <f t="shared" si="90"/>
        <v>0</v>
      </c>
      <c r="L2922" s="3">
        <f>IF(ISERROR(VLOOKUP(J2922,Lookups!$A$2:$A$16,1,FALSE)),1,0)</f>
        <v>1</v>
      </c>
      <c r="M2922" s="3">
        <f>IF(ISERROR(VLOOKUP(D2922,Data!$A$2:$D$223100,2,FALSE)),0,1)</f>
        <v>1</v>
      </c>
      <c r="N2922" s="3">
        <f t="shared" si="91"/>
        <v>1</v>
      </c>
      <c r="O2922" s="3" t="str">
        <f>IF(ISERROR(VLOOKUP(D2922,Data!$A$2:$C$223100,3,FALSE)),"INACTIVE",VLOOKUP(D2922,Data!$A$2:$C$223100,3,FALSE))</f>
        <v>120+</v>
      </c>
    </row>
    <row r="2923" spans="1:15" x14ac:dyDescent="0.25">
      <c r="A2923" t="s">
        <v>701</v>
      </c>
      <c r="B2923" t="s">
        <v>702</v>
      </c>
      <c r="C2923" t="s">
        <v>733</v>
      </c>
      <c r="D2923" t="s">
        <v>734</v>
      </c>
      <c r="E2923" t="s">
        <v>735</v>
      </c>
      <c r="F2923" t="s">
        <v>735</v>
      </c>
      <c r="G2923" t="s">
        <v>5</v>
      </c>
      <c r="H2923" t="s">
        <v>5</v>
      </c>
      <c r="I2923" t="s">
        <v>713</v>
      </c>
      <c r="J2923" t="s">
        <v>40</v>
      </c>
      <c r="K2923" s="3">
        <f t="shared" si="90"/>
        <v>0</v>
      </c>
      <c r="L2923" s="3">
        <f>IF(ISERROR(VLOOKUP(J2923,Lookups!$A$2:$A$16,1,FALSE)),1,0)</f>
        <v>1</v>
      </c>
      <c r="M2923" s="3">
        <f>IF(ISERROR(VLOOKUP(D2923,Data!$A$2:$D$223100,2,FALSE)),0,1)</f>
        <v>1</v>
      </c>
      <c r="N2923" s="3">
        <f t="shared" si="91"/>
        <v>1</v>
      </c>
      <c r="O2923" s="3" t="str">
        <f>IF(ISERROR(VLOOKUP(D2923,Data!$A$2:$C$223100,3,FALSE)),"INACTIVE",VLOOKUP(D2923,Data!$A$2:$C$223100,3,FALSE))</f>
        <v>Demand Letter</v>
      </c>
    </row>
    <row r="2924" spans="1:15" x14ac:dyDescent="0.25">
      <c r="A2924" t="s">
        <v>701</v>
      </c>
      <c r="B2924" t="s">
        <v>702</v>
      </c>
      <c r="C2924" t="s">
        <v>736</v>
      </c>
      <c r="D2924" t="s">
        <v>737</v>
      </c>
      <c r="E2924" t="s">
        <v>738</v>
      </c>
      <c r="F2924" t="s">
        <v>738</v>
      </c>
      <c r="G2924" t="s">
        <v>5</v>
      </c>
      <c r="H2924" t="s">
        <v>5</v>
      </c>
      <c r="I2924" t="s">
        <v>713</v>
      </c>
      <c r="J2924" t="s">
        <v>40</v>
      </c>
      <c r="K2924" s="3">
        <f t="shared" si="90"/>
        <v>0</v>
      </c>
      <c r="L2924" s="3">
        <f>IF(ISERROR(VLOOKUP(J2924,Lookups!$A$2:$A$16,1,FALSE)),1,0)</f>
        <v>1</v>
      </c>
      <c r="M2924" s="3">
        <f>IF(ISERROR(VLOOKUP(D2924,Data!$A$2:$D$223100,2,FALSE)),0,1)</f>
        <v>1</v>
      </c>
      <c r="N2924" s="3">
        <f t="shared" si="91"/>
        <v>1</v>
      </c>
      <c r="O2924" s="3" t="str">
        <f>IF(ISERROR(VLOOKUP(D2924,Data!$A$2:$C$223100,3,FALSE)),"INACTIVE",VLOOKUP(D2924,Data!$A$2:$C$223100,3,FALSE))</f>
        <v>PP</v>
      </c>
    </row>
    <row r="2925" spans="1:15" x14ac:dyDescent="0.25">
      <c r="A2925" t="s">
        <v>701</v>
      </c>
      <c r="B2925" t="s">
        <v>702</v>
      </c>
      <c r="C2925" t="s">
        <v>739</v>
      </c>
      <c r="D2925" t="s">
        <v>740</v>
      </c>
      <c r="E2925" t="s">
        <v>741</v>
      </c>
      <c r="F2925" t="s">
        <v>741</v>
      </c>
      <c r="G2925" t="s">
        <v>5</v>
      </c>
      <c r="H2925" t="s">
        <v>5</v>
      </c>
      <c r="I2925" t="s">
        <v>713</v>
      </c>
      <c r="J2925" t="s">
        <v>40</v>
      </c>
      <c r="K2925" s="3">
        <f t="shared" si="90"/>
        <v>0</v>
      </c>
      <c r="L2925" s="3">
        <f>IF(ISERROR(VLOOKUP(J2925,Lookups!$A$2:$A$16,1,FALSE)),1,0)</f>
        <v>1</v>
      </c>
      <c r="M2925" s="3">
        <f>IF(ISERROR(VLOOKUP(D2925,Data!$A$2:$D$223100,2,FALSE)),0,1)</f>
        <v>1</v>
      </c>
      <c r="N2925" s="3">
        <f t="shared" si="91"/>
        <v>1</v>
      </c>
      <c r="O2925" s="3" t="str">
        <f>IF(ISERROR(VLOOKUP(D2925,Data!$A$2:$C$223100,3,FALSE)),"INACTIVE",VLOOKUP(D2925,Data!$A$2:$C$223100,3,FALSE))</f>
        <v>BK13</v>
      </c>
    </row>
    <row r="2926" spans="1:15" x14ac:dyDescent="0.25">
      <c r="A2926" t="s">
        <v>701</v>
      </c>
      <c r="B2926" t="s">
        <v>702</v>
      </c>
      <c r="C2926" t="s">
        <v>742</v>
      </c>
      <c r="D2926" t="s">
        <v>743</v>
      </c>
      <c r="E2926" t="s">
        <v>744</v>
      </c>
      <c r="F2926" t="s">
        <v>744</v>
      </c>
      <c r="G2926" t="s">
        <v>5</v>
      </c>
      <c r="H2926" t="s">
        <v>5</v>
      </c>
      <c r="I2926" t="s">
        <v>713</v>
      </c>
      <c r="J2926" t="s">
        <v>40</v>
      </c>
      <c r="K2926" s="3">
        <f t="shared" si="90"/>
        <v>0</v>
      </c>
      <c r="L2926" s="3">
        <f>IF(ISERROR(VLOOKUP(J2926,Lookups!$A$2:$A$16,1,FALSE)),1,0)</f>
        <v>1</v>
      </c>
      <c r="M2926" s="3">
        <f>IF(ISERROR(VLOOKUP(D2926,Data!$A$2:$D$223100,2,FALSE)),0,1)</f>
        <v>1</v>
      </c>
      <c r="N2926" s="3">
        <f t="shared" si="91"/>
        <v>1</v>
      </c>
      <c r="O2926" s="3" t="str">
        <f>IF(ISERROR(VLOOKUP(D2926,Data!$A$2:$C$223100,3,FALSE)),"INACTIVE",VLOOKUP(D2926,Data!$A$2:$C$223100,3,FALSE))</f>
        <v>FBA</v>
      </c>
    </row>
    <row r="2927" spans="1:15" x14ac:dyDescent="0.25">
      <c r="A2927" t="s">
        <v>701</v>
      </c>
      <c r="B2927" t="s">
        <v>702</v>
      </c>
      <c r="C2927" t="s">
        <v>745</v>
      </c>
      <c r="D2927" t="s">
        <v>746</v>
      </c>
      <c r="E2927" t="s">
        <v>747</v>
      </c>
      <c r="F2927" t="s">
        <v>747</v>
      </c>
      <c r="G2927" t="s">
        <v>5</v>
      </c>
      <c r="H2927" t="s">
        <v>5</v>
      </c>
      <c r="I2927" t="s">
        <v>713</v>
      </c>
      <c r="J2927" t="s">
        <v>40</v>
      </c>
      <c r="K2927" s="3">
        <f t="shared" si="90"/>
        <v>0</v>
      </c>
      <c r="L2927" s="3">
        <f>IF(ISERROR(VLOOKUP(J2927,Lookups!$A$2:$A$16,1,FALSE)),1,0)</f>
        <v>1</v>
      </c>
      <c r="M2927" s="3">
        <f>IF(ISERROR(VLOOKUP(D2927,Data!$A$2:$D$223100,2,FALSE)),0,1)</f>
        <v>1</v>
      </c>
      <c r="N2927" s="3">
        <f t="shared" si="91"/>
        <v>1</v>
      </c>
      <c r="O2927" s="3" t="str">
        <f>IF(ISERROR(VLOOKUP(D2927,Data!$A$2:$C$223100,3,FALSE)),"INACTIVE",VLOOKUP(D2927,Data!$A$2:$C$223100,3,FALSE))</f>
        <v>Current</v>
      </c>
    </row>
    <row r="2928" spans="1:15" x14ac:dyDescent="0.25">
      <c r="A2928" t="s">
        <v>701</v>
      </c>
      <c r="B2928" t="s">
        <v>702</v>
      </c>
      <c r="C2928" t="s">
        <v>707</v>
      </c>
      <c r="D2928" t="s">
        <v>708</v>
      </c>
      <c r="E2928" t="s">
        <v>748</v>
      </c>
      <c r="F2928" t="s">
        <v>748</v>
      </c>
      <c r="G2928" t="s">
        <v>5</v>
      </c>
      <c r="H2928" t="s">
        <v>5</v>
      </c>
      <c r="I2928" t="s">
        <v>713</v>
      </c>
      <c r="J2928" t="s">
        <v>573</v>
      </c>
      <c r="K2928" s="3">
        <f t="shared" si="90"/>
        <v>0</v>
      </c>
      <c r="L2928" s="3">
        <f>IF(ISERROR(VLOOKUP(J2928,Lookups!$A$2:$A$16,1,FALSE)),1,0)</f>
        <v>1</v>
      </c>
      <c r="M2928" s="3">
        <f>IF(ISERROR(VLOOKUP(D2928,Data!$A$2:$D$223100,2,FALSE)),0,1)</f>
        <v>1</v>
      </c>
      <c r="N2928" s="3">
        <f t="shared" si="91"/>
        <v>1</v>
      </c>
      <c r="O2928" s="3" t="str">
        <f>IF(ISERROR(VLOOKUP(D2928,Data!$A$2:$C$223100,3,FALSE)),"INACTIVE",VLOOKUP(D2928,Data!$A$2:$C$223100,3,FALSE))</f>
        <v>Demand Letter</v>
      </c>
    </row>
    <row r="2929" spans="1:15" x14ac:dyDescent="0.25">
      <c r="A2929" t="s">
        <v>701</v>
      </c>
      <c r="B2929" t="s">
        <v>702</v>
      </c>
      <c r="C2929" t="s">
        <v>749</v>
      </c>
      <c r="D2929" t="s">
        <v>750</v>
      </c>
      <c r="E2929" t="s">
        <v>751</v>
      </c>
      <c r="F2929" t="s">
        <v>751</v>
      </c>
      <c r="G2929" t="s">
        <v>5</v>
      </c>
      <c r="H2929" t="s">
        <v>5</v>
      </c>
      <c r="I2929" t="s">
        <v>713</v>
      </c>
      <c r="J2929" t="s">
        <v>40</v>
      </c>
      <c r="K2929" s="3">
        <f t="shared" si="90"/>
        <v>0</v>
      </c>
      <c r="L2929" s="3">
        <f>IF(ISERROR(VLOOKUP(J2929,Lookups!$A$2:$A$16,1,FALSE)),1,0)</f>
        <v>1</v>
      </c>
      <c r="M2929" s="3">
        <f>IF(ISERROR(VLOOKUP(D2929,Data!$A$2:$D$223100,2,FALSE)),0,1)</f>
        <v>1</v>
      </c>
      <c r="N2929" s="3">
        <f t="shared" si="91"/>
        <v>1</v>
      </c>
      <c r="O2929" s="3" t="str">
        <f>IF(ISERROR(VLOOKUP(D2929,Data!$A$2:$C$223100,3,FALSE)),"INACTIVE",VLOOKUP(D2929,Data!$A$2:$C$223100,3,FALSE))</f>
        <v>Demand Letter</v>
      </c>
    </row>
    <row r="2930" spans="1:15" x14ac:dyDescent="0.25">
      <c r="A2930" t="s">
        <v>701</v>
      </c>
      <c r="B2930" t="s">
        <v>702</v>
      </c>
      <c r="C2930" t="s">
        <v>752</v>
      </c>
      <c r="D2930" t="s">
        <v>753</v>
      </c>
      <c r="E2930" t="s">
        <v>754</v>
      </c>
      <c r="F2930" t="s">
        <v>754</v>
      </c>
      <c r="G2930" t="s">
        <v>5</v>
      </c>
      <c r="H2930" t="s">
        <v>5</v>
      </c>
      <c r="I2930" t="s">
        <v>713</v>
      </c>
      <c r="J2930" t="s">
        <v>47</v>
      </c>
      <c r="K2930" s="3">
        <f t="shared" si="90"/>
        <v>0</v>
      </c>
      <c r="L2930" s="3">
        <f>IF(ISERROR(VLOOKUP(J2930,Lookups!$A$2:$A$16,1,FALSE)),1,0)</f>
        <v>1</v>
      </c>
      <c r="M2930" s="3">
        <f>IF(ISERROR(VLOOKUP(D2930,Data!$A$2:$D$223100,2,FALSE)),0,1)</f>
        <v>1</v>
      </c>
      <c r="N2930" s="3">
        <f t="shared" si="91"/>
        <v>1</v>
      </c>
      <c r="O2930" s="3" t="str">
        <f>IF(ISERROR(VLOOKUP(D2930,Data!$A$2:$C$223100,3,FALSE)),"INACTIVE",VLOOKUP(D2930,Data!$A$2:$C$223100,3,FALSE))</f>
        <v>FC</v>
      </c>
    </row>
    <row r="2931" spans="1:15" x14ac:dyDescent="0.25">
      <c r="A2931" t="s">
        <v>701</v>
      </c>
      <c r="B2931" t="s">
        <v>702</v>
      </c>
      <c r="C2931" t="s">
        <v>755</v>
      </c>
      <c r="D2931" t="s">
        <v>756</v>
      </c>
      <c r="E2931" t="s">
        <v>757</v>
      </c>
      <c r="F2931" t="s">
        <v>757</v>
      </c>
      <c r="G2931" t="s">
        <v>5</v>
      </c>
      <c r="H2931" t="s">
        <v>5</v>
      </c>
      <c r="I2931" t="s">
        <v>713</v>
      </c>
      <c r="J2931" t="s">
        <v>40</v>
      </c>
      <c r="K2931" s="3">
        <f t="shared" si="90"/>
        <v>0</v>
      </c>
      <c r="L2931" s="3">
        <f>IF(ISERROR(VLOOKUP(J2931,Lookups!$A$2:$A$16,1,FALSE)),1,0)</f>
        <v>1</v>
      </c>
      <c r="M2931" s="3">
        <f>IF(ISERROR(VLOOKUP(D2931,Data!$A$2:$D$223100,2,FALSE)),0,1)</f>
        <v>1</v>
      </c>
      <c r="N2931" s="3">
        <f t="shared" si="91"/>
        <v>1</v>
      </c>
      <c r="O2931" s="3" t="str">
        <f>IF(ISERROR(VLOOKUP(D2931,Data!$A$2:$C$223100,3,FALSE)),"INACTIVE",VLOOKUP(D2931,Data!$A$2:$C$223100,3,FALSE))</f>
        <v>Current</v>
      </c>
    </row>
    <row r="2932" spans="1:15" x14ac:dyDescent="0.25">
      <c r="A2932" t="s">
        <v>701</v>
      </c>
      <c r="B2932" t="s">
        <v>702</v>
      </c>
      <c r="C2932" t="s">
        <v>758</v>
      </c>
      <c r="D2932" t="s">
        <v>759</v>
      </c>
      <c r="E2932" t="s">
        <v>760</v>
      </c>
      <c r="F2932" t="s">
        <v>760</v>
      </c>
      <c r="G2932" t="s">
        <v>5</v>
      </c>
      <c r="H2932" t="s">
        <v>5</v>
      </c>
      <c r="I2932" t="s">
        <v>713</v>
      </c>
      <c r="J2932" t="s">
        <v>40</v>
      </c>
      <c r="K2932" s="3">
        <f t="shared" si="90"/>
        <v>0</v>
      </c>
      <c r="L2932" s="3">
        <f>IF(ISERROR(VLOOKUP(J2932,Lookups!$A$2:$A$16,1,FALSE)),1,0)</f>
        <v>1</v>
      </c>
      <c r="M2932" s="3">
        <f>IF(ISERROR(VLOOKUP(D2932,Data!$A$2:$D$223100,2,FALSE)),0,1)</f>
        <v>1</v>
      </c>
      <c r="N2932" s="3">
        <f t="shared" si="91"/>
        <v>1</v>
      </c>
      <c r="O2932" s="3" t="str">
        <f>IF(ISERROR(VLOOKUP(D2932,Data!$A$2:$C$223100,3,FALSE)),"INACTIVE",VLOOKUP(D2932,Data!$A$2:$C$223100,3,FALSE))</f>
        <v>Current</v>
      </c>
    </row>
    <row r="2933" spans="1:15" x14ac:dyDescent="0.25">
      <c r="A2933" t="s">
        <v>701</v>
      </c>
      <c r="B2933" t="s">
        <v>702</v>
      </c>
      <c r="C2933" t="s">
        <v>761</v>
      </c>
      <c r="D2933" t="s">
        <v>762</v>
      </c>
      <c r="E2933" t="s">
        <v>763</v>
      </c>
      <c r="F2933" t="s">
        <v>763</v>
      </c>
      <c r="G2933" t="s">
        <v>5</v>
      </c>
      <c r="H2933" t="s">
        <v>5</v>
      </c>
      <c r="I2933" t="s">
        <v>713</v>
      </c>
      <c r="J2933" t="s">
        <v>47</v>
      </c>
      <c r="K2933" s="3">
        <f t="shared" si="90"/>
        <v>0</v>
      </c>
      <c r="L2933" s="3">
        <f>IF(ISERROR(VLOOKUP(J2933,Lookups!$A$2:$A$16,1,FALSE)),1,0)</f>
        <v>1</v>
      </c>
      <c r="M2933" s="3">
        <f>IF(ISERROR(VLOOKUP(D2933,Data!$A$2:$D$223100,2,FALSE)),0,1)</f>
        <v>1</v>
      </c>
      <c r="N2933" s="3">
        <f t="shared" si="91"/>
        <v>1</v>
      </c>
      <c r="O2933" s="3" t="str">
        <f>IF(ISERROR(VLOOKUP(D2933,Data!$A$2:$C$223100,3,FALSE)),"INACTIVE",VLOOKUP(D2933,Data!$A$2:$C$223100,3,FALSE))</f>
        <v>Demand Letter</v>
      </c>
    </row>
    <row r="2934" spans="1:15" x14ac:dyDescent="0.25">
      <c r="A2934" t="s">
        <v>701</v>
      </c>
      <c r="B2934" t="s">
        <v>702</v>
      </c>
      <c r="C2934" t="s">
        <v>764</v>
      </c>
      <c r="D2934" t="s">
        <v>765</v>
      </c>
      <c r="E2934" t="s">
        <v>766</v>
      </c>
      <c r="F2934" t="s">
        <v>766</v>
      </c>
      <c r="G2934" t="s">
        <v>5</v>
      </c>
      <c r="H2934" t="s">
        <v>5</v>
      </c>
      <c r="I2934" t="s">
        <v>713</v>
      </c>
      <c r="J2934" t="s">
        <v>40</v>
      </c>
      <c r="K2934" s="3">
        <f t="shared" si="90"/>
        <v>0</v>
      </c>
      <c r="L2934" s="3">
        <f>IF(ISERROR(VLOOKUP(J2934,Lookups!$A$2:$A$16,1,FALSE)),1,0)</f>
        <v>1</v>
      </c>
      <c r="M2934" s="3">
        <f>IF(ISERROR(VLOOKUP(D2934,Data!$A$2:$D$223100,2,FALSE)),0,1)</f>
        <v>1</v>
      </c>
      <c r="N2934" s="3">
        <f t="shared" si="91"/>
        <v>1</v>
      </c>
      <c r="O2934" s="3" t="str">
        <f>IF(ISERROR(VLOOKUP(D2934,Data!$A$2:$C$223100,3,FALSE)),"INACTIVE",VLOOKUP(D2934,Data!$A$2:$C$223100,3,FALSE))</f>
        <v>FC</v>
      </c>
    </row>
    <row r="2935" spans="1:15" x14ac:dyDescent="0.25">
      <c r="A2935" t="s">
        <v>701</v>
      </c>
      <c r="B2935" t="s">
        <v>702</v>
      </c>
      <c r="C2935" t="s">
        <v>767</v>
      </c>
      <c r="D2935" t="s">
        <v>768</v>
      </c>
      <c r="E2935" t="s">
        <v>769</v>
      </c>
      <c r="F2935" t="s">
        <v>769</v>
      </c>
      <c r="G2935" t="s">
        <v>5</v>
      </c>
      <c r="H2935" t="s">
        <v>5</v>
      </c>
      <c r="I2935" t="s">
        <v>713</v>
      </c>
      <c r="J2935" t="s">
        <v>40</v>
      </c>
      <c r="K2935" s="3">
        <f t="shared" si="90"/>
        <v>0</v>
      </c>
      <c r="L2935" s="3">
        <f>IF(ISERROR(VLOOKUP(J2935,Lookups!$A$2:$A$16,1,FALSE)),1,0)</f>
        <v>1</v>
      </c>
      <c r="M2935" s="3">
        <f>IF(ISERROR(VLOOKUP(D2935,Data!$A$2:$D$223100,2,FALSE)),0,1)</f>
        <v>1</v>
      </c>
      <c r="N2935" s="3">
        <f t="shared" si="91"/>
        <v>1</v>
      </c>
      <c r="O2935" s="3" t="str">
        <f>IF(ISERROR(VLOOKUP(D2935,Data!$A$2:$C$223100,3,FALSE)),"INACTIVE",VLOOKUP(D2935,Data!$A$2:$C$223100,3,FALSE))</f>
        <v>Demand Letter</v>
      </c>
    </row>
    <row r="2936" spans="1:15" x14ac:dyDescent="0.25">
      <c r="A2936" t="s">
        <v>701</v>
      </c>
      <c r="B2936" t="s">
        <v>702</v>
      </c>
      <c r="C2936" t="s">
        <v>770</v>
      </c>
      <c r="D2936" t="s">
        <v>771</v>
      </c>
      <c r="E2936" t="s">
        <v>772</v>
      </c>
      <c r="F2936" t="s">
        <v>772</v>
      </c>
      <c r="G2936" t="s">
        <v>5</v>
      </c>
      <c r="H2936" t="s">
        <v>5</v>
      </c>
      <c r="I2936" t="s">
        <v>713</v>
      </c>
      <c r="J2936" t="s">
        <v>47</v>
      </c>
      <c r="K2936" s="3">
        <f t="shared" si="90"/>
        <v>0</v>
      </c>
      <c r="L2936" s="3">
        <f>IF(ISERROR(VLOOKUP(J2936,Lookups!$A$2:$A$16,1,FALSE)),1,0)</f>
        <v>1</v>
      </c>
      <c r="M2936" s="3">
        <f>IF(ISERROR(VLOOKUP(D2936,Data!$A$2:$D$223100,2,FALSE)),0,1)</f>
        <v>1</v>
      </c>
      <c r="N2936" s="3">
        <f t="shared" si="91"/>
        <v>1</v>
      </c>
      <c r="O2936" s="3" t="str">
        <f>IF(ISERROR(VLOOKUP(D2936,Data!$A$2:$C$223100,3,FALSE)),"INACTIVE",VLOOKUP(D2936,Data!$A$2:$C$223100,3,FALSE))</f>
        <v>Demand Letter</v>
      </c>
    </row>
    <row r="2937" spans="1:15" x14ac:dyDescent="0.25">
      <c r="A2937" t="s">
        <v>701</v>
      </c>
      <c r="B2937" t="s">
        <v>702</v>
      </c>
      <c r="C2937" t="s">
        <v>773</v>
      </c>
      <c r="D2937" t="s">
        <v>774</v>
      </c>
      <c r="E2937" t="s">
        <v>775</v>
      </c>
      <c r="F2937" t="s">
        <v>775</v>
      </c>
      <c r="G2937" t="s">
        <v>5</v>
      </c>
      <c r="H2937" t="s">
        <v>5</v>
      </c>
      <c r="I2937" t="s">
        <v>713</v>
      </c>
      <c r="J2937" t="s">
        <v>40</v>
      </c>
      <c r="K2937" s="3">
        <f t="shared" si="90"/>
        <v>0</v>
      </c>
      <c r="L2937" s="3">
        <f>IF(ISERROR(VLOOKUP(J2937,Lookups!$A$2:$A$16,1,FALSE)),1,0)</f>
        <v>1</v>
      </c>
      <c r="M2937" s="3">
        <f>IF(ISERROR(VLOOKUP(D2937,Data!$A$2:$D$223100,2,FALSE)),0,1)</f>
        <v>1</v>
      </c>
      <c r="N2937" s="3">
        <f t="shared" si="91"/>
        <v>1</v>
      </c>
      <c r="O2937" s="3" t="str">
        <f>IF(ISERROR(VLOOKUP(D2937,Data!$A$2:$C$223100,3,FALSE)),"INACTIVE",VLOOKUP(D2937,Data!$A$2:$C$223100,3,FALSE))</f>
        <v>90+</v>
      </c>
    </row>
    <row r="2938" spans="1:15" x14ac:dyDescent="0.25">
      <c r="A2938" t="s">
        <v>701</v>
      </c>
      <c r="B2938" t="s">
        <v>702</v>
      </c>
      <c r="C2938" t="s">
        <v>776</v>
      </c>
      <c r="D2938" t="s">
        <v>777</v>
      </c>
      <c r="E2938" t="s">
        <v>778</v>
      </c>
      <c r="F2938" t="s">
        <v>778</v>
      </c>
      <c r="G2938" t="s">
        <v>5</v>
      </c>
      <c r="H2938" t="s">
        <v>5</v>
      </c>
      <c r="I2938" t="s">
        <v>713</v>
      </c>
      <c r="J2938" t="s">
        <v>47</v>
      </c>
      <c r="K2938" s="3">
        <f t="shared" si="90"/>
        <v>0</v>
      </c>
      <c r="L2938" s="3">
        <f>IF(ISERROR(VLOOKUP(J2938,Lookups!$A$2:$A$16,1,FALSE)),1,0)</f>
        <v>1</v>
      </c>
      <c r="M2938" s="3">
        <f>IF(ISERROR(VLOOKUP(D2938,Data!$A$2:$D$223100,2,FALSE)),0,1)</f>
        <v>1</v>
      </c>
      <c r="N2938" s="3">
        <f t="shared" si="91"/>
        <v>1</v>
      </c>
      <c r="O2938" s="3" t="str">
        <f>IF(ISERROR(VLOOKUP(D2938,Data!$A$2:$C$223100,3,FALSE)),"INACTIVE",VLOOKUP(D2938,Data!$A$2:$C$223100,3,FALSE))</f>
        <v>FC</v>
      </c>
    </row>
    <row r="2939" spans="1:15" x14ac:dyDescent="0.25">
      <c r="A2939" t="s">
        <v>701</v>
      </c>
      <c r="B2939" t="s">
        <v>702</v>
      </c>
      <c r="C2939" t="s">
        <v>779</v>
      </c>
      <c r="D2939" t="s">
        <v>780</v>
      </c>
      <c r="E2939" t="s">
        <v>781</v>
      </c>
      <c r="F2939" t="s">
        <v>781</v>
      </c>
      <c r="G2939" t="s">
        <v>5</v>
      </c>
      <c r="H2939" t="s">
        <v>5</v>
      </c>
      <c r="I2939" t="s">
        <v>713</v>
      </c>
      <c r="J2939" t="s">
        <v>47</v>
      </c>
      <c r="K2939" s="3">
        <f t="shared" si="90"/>
        <v>0</v>
      </c>
      <c r="L2939" s="3">
        <f>IF(ISERROR(VLOOKUP(J2939,Lookups!$A$2:$A$16,1,FALSE)),1,0)</f>
        <v>1</v>
      </c>
      <c r="M2939" s="3">
        <f>IF(ISERROR(VLOOKUP(D2939,Data!$A$2:$D$223100,2,FALSE)),0,1)</f>
        <v>1</v>
      </c>
      <c r="N2939" s="3">
        <f t="shared" si="91"/>
        <v>1</v>
      </c>
      <c r="O2939" s="3" t="str">
        <f>IF(ISERROR(VLOOKUP(D2939,Data!$A$2:$C$223100,3,FALSE)),"INACTIVE",VLOOKUP(D2939,Data!$A$2:$C$223100,3,FALSE))</f>
        <v>FC</v>
      </c>
    </row>
    <row r="2940" spans="1:15" x14ac:dyDescent="0.25">
      <c r="A2940" t="s">
        <v>701</v>
      </c>
      <c r="B2940" t="s">
        <v>702</v>
      </c>
      <c r="C2940" t="s">
        <v>782</v>
      </c>
      <c r="D2940" t="s">
        <v>783</v>
      </c>
      <c r="E2940" t="s">
        <v>784</v>
      </c>
      <c r="F2940" t="s">
        <v>784</v>
      </c>
      <c r="G2940" t="s">
        <v>5</v>
      </c>
      <c r="H2940" t="s">
        <v>5</v>
      </c>
      <c r="I2940" t="s">
        <v>713</v>
      </c>
      <c r="J2940" t="s">
        <v>47</v>
      </c>
      <c r="K2940" s="3">
        <f t="shared" si="90"/>
        <v>0</v>
      </c>
      <c r="L2940" s="3">
        <f>IF(ISERROR(VLOOKUP(J2940,Lookups!$A$2:$A$16,1,FALSE)),1,0)</f>
        <v>1</v>
      </c>
      <c r="M2940" s="3">
        <f>IF(ISERROR(VLOOKUP(D2940,Data!$A$2:$D$223100,2,FALSE)),0,1)</f>
        <v>1</v>
      </c>
      <c r="N2940" s="3">
        <f t="shared" si="91"/>
        <v>1</v>
      </c>
      <c r="O2940" s="3" t="str">
        <f>IF(ISERROR(VLOOKUP(D2940,Data!$A$2:$C$223100,3,FALSE)),"INACTIVE",VLOOKUP(D2940,Data!$A$2:$C$223100,3,FALSE))</f>
        <v>FBA</v>
      </c>
    </row>
    <row r="2941" spans="1:15" x14ac:dyDescent="0.25">
      <c r="A2941" t="s">
        <v>701</v>
      </c>
      <c r="B2941" t="s">
        <v>702</v>
      </c>
      <c r="C2941" t="s">
        <v>785</v>
      </c>
      <c r="D2941" t="s">
        <v>786</v>
      </c>
      <c r="E2941" t="s">
        <v>787</v>
      </c>
      <c r="F2941" t="s">
        <v>787</v>
      </c>
      <c r="G2941" t="s">
        <v>5</v>
      </c>
      <c r="H2941" t="s">
        <v>5</v>
      </c>
      <c r="I2941" t="s">
        <v>713</v>
      </c>
      <c r="J2941" t="s">
        <v>40</v>
      </c>
      <c r="K2941" s="3">
        <f t="shared" si="90"/>
        <v>0</v>
      </c>
      <c r="L2941" s="3">
        <f>IF(ISERROR(VLOOKUP(J2941,Lookups!$A$2:$A$16,1,FALSE)),1,0)</f>
        <v>1</v>
      </c>
      <c r="M2941" s="3">
        <f>IF(ISERROR(VLOOKUP(D2941,Data!$A$2:$D$223100,2,FALSE)),0,1)</f>
        <v>1</v>
      </c>
      <c r="N2941" s="3">
        <f t="shared" si="91"/>
        <v>1</v>
      </c>
      <c r="O2941" s="3" t="str">
        <f>IF(ISERROR(VLOOKUP(D2941,Data!$A$2:$C$223100,3,FALSE)),"INACTIVE",VLOOKUP(D2941,Data!$A$2:$C$223100,3,FALSE))</f>
        <v>BK13</v>
      </c>
    </row>
    <row r="2942" spans="1:15" x14ac:dyDescent="0.25">
      <c r="A2942" t="s">
        <v>701</v>
      </c>
      <c r="B2942" t="s">
        <v>702</v>
      </c>
      <c r="C2942" t="s">
        <v>788</v>
      </c>
      <c r="D2942" t="s">
        <v>789</v>
      </c>
      <c r="E2942" t="s">
        <v>790</v>
      </c>
      <c r="F2942" t="s">
        <v>790</v>
      </c>
      <c r="G2942" t="s">
        <v>5</v>
      </c>
      <c r="H2942" t="s">
        <v>5</v>
      </c>
      <c r="I2942" t="s">
        <v>713</v>
      </c>
      <c r="J2942" t="s">
        <v>40</v>
      </c>
      <c r="K2942" s="3">
        <f t="shared" si="90"/>
        <v>0</v>
      </c>
      <c r="L2942" s="3">
        <f>IF(ISERROR(VLOOKUP(J2942,Lookups!$A$2:$A$16,1,FALSE)),1,0)</f>
        <v>1</v>
      </c>
      <c r="M2942" s="3">
        <f>IF(ISERROR(VLOOKUP(D2942,Data!$A$2:$D$223100,2,FALSE)),0,1)</f>
        <v>1</v>
      </c>
      <c r="N2942" s="3">
        <f t="shared" si="91"/>
        <v>1</v>
      </c>
      <c r="O2942" s="3" t="str">
        <f>IF(ISERROR(VLOOKUP(D2942,Data!$A$2:$C$223100,3,FALSE)),"INACTIVE",VLOOKUP(D2942,Data!$A$2:$C$223100,3,FALSE))</f>
        <v>FBA</v>
      </c>
    </row>
    <row r="2943" spans="1:15" x14ac:dyDescent="0.25">
      <c r="A2943" t="s">
        <v>701</v>
      </c>
      <c r="B2943" t="s">
        <v>702</v>
      </c>
      <c r="C2943" t="s">
        <v>791</v>
      </c>
      <c r="D2943" t="s">
        <v>792</v>
      </c>
      <c r="E2943" t="s">
        <v>793</v>
      </c>
      <c r="F2943" t="s">
        <v>793</v>
      </c>
      <c r="G2943" t="s">
        <v>5</v>
      </c>
      <c r="H2943" t="s">
        <v>5</v>
      </c>
      <c r="I2943" t="s">
        <v>713</v>
      </c>
      <c r="J2943" t="s">
        <v>40</v>
      </c>
      <c r="K2943" s="3">
        <f t="shared" si="90"/>
        <v>0</v>
      </c>
      <c r="L2943" s="3">
        <f>IF(ISERROR(VLOOKUP(J2943,Lookups!$A$2:$A$16,1,FALSE)),1,0)</f>
        <v>1</v>
      </c>
      <c r="M2943" s="3">
        <f>IF(ISERROR(VLOOKUP(D2943,Data!$A$2:$D$223100,2,FALSE)),0,1)</f>
        <v>1</v>
      </c>
      <c r="N2943" s="3">
        <f t="shared" si="91"/>
        <v>1</v>
      </c>
      <c r="O2943" s="3" t="str">
        <f>IF(ISERROR(VLOOKUP(D2943,Data!$A$2:$C$223100,3,FALSE)),"INACTIVE",VLOOKUP(D2943,Data!$A$2:$C$223100,3,FALSE))</f>
        <v>FBA</v>
      </c>
    </row>
    <row r="2944" spans="1:15" x14ac:dyDescent="0.25">
      <c r="A2944" t="s">
        <v>701</v>
      </c>
      <c r="B2944" t="s">
        <v>702</v>
      </c>
      <c r="C2944" t="s">
        <v>794</v>
      </c>
      <c r="D2944" t="s">
        <v>795</v>
      </c>
      <c r="E2944" t="s">
        <v>796</v>
      </c>
      <c r="F2944" t="s">
        <v>796</v>
      </c>
      <c r="G2944" t="s">
        <v>5</v>
      </c>
      <c r="H2944" t="s">
        <v>5</v>
      </c>
      <c r="I2944" t="s">
        <v>713</v>
      </c>
      <c r="J2944" t="s">
        <v>40</v>
      </c>
      <c r="K2944" s="3">
        <f t="shared" si="90"/>
        <v>0</v>
      </c>
      <c r="L2944" s="3">
        <f>IF(ISERROR(VLOOKUP(J2944,Lookups!$A$2:$A$16,1,FALSE)),1,0)</f>
        <v>1</v>
      </c>
      <c r="M2944" s="3">
        <f>IF(ISERROR(VLOOKUP(D2944,Data!$A$2:$D$223100,2,FALSE)),0,1)</f>
        <v>1</v>
      </c>
      <c r="N2944" s="3">
        <f t="shared" si="91"/>
        <v>1</v>
      </c>
      <c r="O2944" s="3" t="str">
        <f>IF(ISERROR(VLOOKUP(D2944,Data!$A$2:$C$223100,3,FALSE)),"INACTIVE",VLOOKUP(D2944,Data!$A$2:$C$223100,3,FALSE))</f>
        <v>Current</v>
      </c>
    </row>
    <row r="2945" spans="1:15" x14ac:dyDescent="0.25">
      <c r="A2945" t="s">
        <v>701</v>
      </c>
      <c r="B2945" t="s">
        <v>702</v>
      </c>
      <c r="C2945" t="s">
        <v>797</v>
      </c>
      <c r="D2945" t="s">
        <v>798</v>
      </c>
      <c r="E2945" t="s">
        <v>799</v>
      </c>
      <c r="F2945" t="s">
        <v>799</v>
      </c>
      <c r="G2945" t="s">
        <v>5</v>
      </c>
      <c r="H2945" t="s">
        <v>5</v>
      </c>
      <c r="I2945" t="s">
        <v>713</v>
      </c>
      <c r="J2945" t="s">
        <v>40</v>
      </c>
      <c r="K2945" s="3">
        <f t="shared" si="90"/>
        <v>0</v>
      </c>
      <c r="L2945" s="3">
        <f>IF(ISERROR(VLOOKUP(J2945,Lookups!$A$2:$A$16,1,FALSE)),1,0)</f>
        <v>1</v>
      </c>
      <c r="M2945" s="3">
        <f>IF(ISERROR(VLOOKUP(D2945,Data!$A$2:$D$223100,2,FALSE)),0,1)</f>
        <v>1</v>
      </c>
      <c r="N2945" s="3">
        <f t="shared" si="91"/>
        <v>1</v>
      </c>
      <c r="O2945" s="3" t="str">
        <f>IF(ISERROR(VLOOKUP(D2945,Data!$A$2:$C$223100,3,FALSE)),"INACTIVE",VLOOKUP(D2945,Data!$A$2:$C$223100,3,FALSE))</f>
        <v>Current</v>
      </c>
    </row>
    <row r="2946" spans="1:15" x14ac:dyDescent="0.25">
      <c r="A2946" t="s">
        <v>701</v>
      </c>
      <c r="B2946" t="s">
        <v>702</v>
      </c>
      <c r="C2946" t="s">
        <v>800</v>
      </c>
      <c r="D2946" t="s">
        <v>801</v>
      </c>
      <c r="E2946" t="s">
        <v>802</v>
      </c>
      <c r="F2946" t="s">
        <v>802</v>
      </c>
      <c r="G2946" t="s">
        <v>5</v>
      </c>
      <c r="H2946" t="s">
        <v>5</v>
      </c>
      <c r="I2946" t="s">
        <v>713</v>
      </c>
      <c r="J2946" t="s">
        <v>47</v>
      </c>
      <c r="K2946" s="3">
        <f t="shared" si="90"/>
        <v>0</v>
      </c>
      <c r="L2946" s="3">
        <f>IF(ISERROR(VLOOKUP(J2946,Lookups!$A$2:$A$16,1,FALSE)),1,0)</f>
        <v>1</v>
      </c>
      <c r="M2946" s="3">
        <f>IF(ISERROR(VLOOKUP(D2946,Data!$A$2:$D$223100,2,FALSE)),0,1)</f>
        <v>1</v>
      </c>
      <c r="N2946" s="3">
        <f t="shared" si="91"/>
        <v>1</v>
      </c>
      <c r="O2946" s="3" t="str">
        <f>IF(ISERROR(VLOOKUP(D2946,Data!$A$2:$C$223100,3,FALSE)),"INACTIVE",VLOOKUP(D2946,Data!$A$2:$C$223100,3,FALSE))</f>
        <v>FBA</v>
      </c>
    </row>
    <row r="2947" spans="1:15" x14ac:dyDescent="0.25">
      <c r="A2947" t="s">
        <v>701</v>
      </c>
      <c r="B2947" t="s">
        <v>702</v>
      </c>
      <c r="C2947" t="s">
        <v>803</v>
      </c>
      <c r="D2947" t="s">
        <v>804</v>
      </c>
      <c r="E2947" t="s">
        <v>805</v>
      </c>
      <c r="F2947" t="s">
        <v>805</v>
      </c>
      <c r="G2947" t="s">
        <v>5</v>
      </c>
      <c r="H2947" t="s">
        <v>5</v>
      </c>
      <c r="I2947" t="s">
        <v>713</v>
      </c>
      <c r="J2947" t="s">
        <v>40</v>
      </c>
      <c r="K2947" s="3">
        <f t="shared" ref="K2947:K3010" si="92">IF(ISERROR(FIND("LIEN",A2947,1)),0,1)</f>
        <v>0</v>
      </c>
      <c r="L2947" s="3">
        <f>IF(ISERROR(VLOOKUP(J2947,Lookups!$A$2:$A$16,1,FALSE)),1,0)</f>
        <v>1</v>
      </c>
      <c r="M2947" s="3">
        <f>IF(ISERROR(VLOOKUP(D2947,Data!$A$2:$D$223100,2,FALSE)),0,1)</f>
        <v>1</v>
      </c>
      <c r="N2947" s="3">
        <f t="shared" ref="N2947:N3010" si="93">IF(M2947=0,0,IF(SUM(K2947:L2947)&gt;0,1,0))</f>
        <v>1</v>
      </c>
      <c r="O2947" s="3" t="str">
        <f>IF(ISERROR(VLOOKUP(D2947,Data!$A$2:$C$223100,3,FALSE)),"INACTIVE",VLOOKUP(D2947,Data!$A$2:$C$223100,3,FALSE))</f>
        <v>60+</v>
      </c>
    </row>
    <row r="2948" spans="1:15" x14ac:dyDescent="0.25">
      <c r="A2948" t="s">
        <v>701</v>
      </c>
      <c r="B2948" t="s">
        <v>702</v>
      </c>
      <c r="C2948" t="s">
        <v>806</v>
      </c>
      <c r="D2948" t="s">
        <v>807</v>
      </c>
      <c r="E2948" t="s">
        <v>808</v>
      </c>
      <c r="F2948" t="s">
        <v>808</v>
      </c>
      <c r="G2948" t="s">
        <v>5</v>
      </c>
      <c r="H2948" t="s">
        <v>5</v>
      </c>
      <c r="I2948" t="s">
        <v>713</v>
      </c>
      <c r="J2948" t="s">
        <v>40</v>
      </c>
      <c r="K2948" s="3">
        <f t="shared" si="92"/>
        <v>0</v>
      </c>
      <c r="L2948" s="3">
        <f>IF(ISERROR(VLOOKUP(J2948,Lookups!$A$2:$A$16,1,FALSE)),1,0)</f>
        <v>1</v>
      </c>
      <c r="M2948" s="3">
        <f>IF(ISERROR(VLOOKUP(D2948,Data!$A$2:$D$223100,2,FALSE)),0,1)</f>
        <v>1</v>
      </c>
      <c r="N2948" s="3">
        <f t="shared" si="93"/>
        <v>1</v>
      </c>
      <c r="O2948" s="3" t="str">
        <f>IF(ISERROR(VLOOKUP(D2948,Data!$A$2:$C$223100,3,FALSE)),"INACTIVE",VLOOKUP(D2948,Data!$A$2:$C$223100,3,FALSE))</f>
        <v>60+</v>
      </c>
    </row>
    <row r="2949" spans="1:15" x14ac:dyDescent="0.25">
      <c r="A2949" t="s">
        <v>701</v>
      </c>
      <c r="B2949" t="s">
        <v>702</v>
      </c>
      <c r="C2949" t="s">
        <v>809</v>
      </c>
      <c r="D2949" t="s">
        <v>810</v>
      </c>
      <c r="E2949" t="s">
        <v>811</v>
      </c>
      <c r="F2949" t="s">
        <v>811</v>
      </c>
      <c r="G2949" t="s">
        <v>5</v>
      </c>
      <c r="H2949" t="s">
        <v>5</v>
      </c>
      <c r="I2949" t="s">
        <v>713</v>
      </c>
      <c r="J2949" t="s">
        <v>47</v>
      </c>
      <c r="K2949" s="3">
        <f t="shared" si="92"/>
        <v>0</v>
      </c>
      <c r="L2949" s="3">
        <f>IF(ISERROR(VLOOKUP(J2949,Lookups!$A$2:$A$16,1,FALSE)),1,0)</f>
        <v>1</v>
      </c>
      <c r="M2949" s="3">
        <f>IF(ISERROR(VLOOKUP(D2949,Data!$A$2:$D$223100,2,FALSE)),0,1)</f>
        <v>1</v>
      </c>
      <c r="N2949" s="3">
        <f t="shared" si="93"/>
        <v>1</v>
      </c>
      <c r="O2949" s="3" t="str">
        <f>IF(ISERROR(VLOOKUP(D2949,Data!$A$2:$C$223100,3,FALSE)),"INACTIVE",VLOOKUP(D2949,Data!$A$2:$C$223100,3,FALSE))</f>
        <v>FBA</v>
      </c>
    </row>
    <row r="2950" spans="1:15" x14ac:dyDescent="0.25">
      <c r="A2950" t="s">
        <v>701</v>
      </c>
      <c r="B2950" t="s">
        <v>702</v>
      </c>
      <c r="C2950" t="s">
        <v>812</v>
      </c>
      <c r="D2950" t="s">
        <v>813</v>
      </c>
      <c r="E2950" t="s">
        <v>814</v>
      </c>
      <c r="F2950" t="s">
        <v>814</v>
      </c>
      <c r="G2950" t="s">
        <v>5</v>
      </c>
      <c r="H2950" t="s">
        <v>5</v>
      </c>
      <c r="I2950" t="s">
        <v>713</v>
      </c>
      <c r="J2950" t="s">
        <v>47</v>
      </c>
      <c r="K2950" s="3">
        <f t="shared" si="92"/>
        <v>0</v>
      </c>
      <c r="L2950" s="3">
        <f>IF(ISERROR(VLOOKUP(J2950,Lookups!$A$2:$A$16,1,FALSE)),1,0)</f>
        <v>1</v>
      </c>
      <c r="M2950" s="3">
        <f>IF(ISERROR(VLOOKUP(D2950,Data!$A$2:$D$223100,2,FALSE)),0,1)</f>
        <v>1</v>
      </c>
      <c r="N2950" s="3">
        <f t="shared" si="93"/>
        <v>1</v>
      </c>
      <c r="O2950" s="3" t="str">
        <f>IF(ISERROR(VLOOKUP(D2950,Data!$A$2:$C$223100,3,FALSE)),"INACTIVE",VLOOKUP(D2950,Data!$A$2:$C$223100,3,FALSE))</f>
        <v>180+</v>
      </c>
    </row>
    <row r="2951" spans="1:15" x14ac:dyDescent="0.25">
      <c r="A2951" t="s">
        <v>701</v>
      </c>
      <c r="B2951" t="s">
        <v>702</v>
      </c>
      <c r="C2951" t="s">
        <v>815</v>
      </c>
      <c r="D2951" t="s">
        <v>816</v>
      </c>
      <c r="E2951" t="s">
        <v>817</v>
      </c>
      <c r="F2951" t="s">
        <v>817</v>
      </c>
      <c r="G2951" t="s">
        <v>5</v>
      </c>
      <c r="H2951" t="s">
        <v>5</v>
      </c>
      <c r="I2951" t="s">
        <v>713</v>
      </c>
      <c r="J2951" t="s">
        <v>47</v>
      </c>
      <c r="K2951" s="3">
        <f t="shared" si="92"/>
        <v>0</v>
      </c>
      <c r="L2951" s="3">
        <f>IF(ISERROR(VLOOKUP(J2951,Lookups!$A$2:$A$16,1,FALSE)),1,0)</f>
        <v>1</v>
      </c>
      <c r="M2951" s="3">
        <f>IF(ISERROR(VLOOKUP(D2951,Data!$A$2:$D$223100,2,FALSE)),0,1)</f>
        <v>1</v>
      </c>
      <c r="N2951" s="3">
        <f t="shared" si="93"/>
        <v>1</v>
      </c>
      <c r="O2951" s="3" t="str">
        <f>IF(ISERROR(VLOOKUP(D2951,Data!$A$2:$C$223100,3,FALSE)),"INACTIVE",VLOOKUP(D2951,Data!$A$2:$C$223100,3,FALSE))</f>
        <v>FC</v>
      </c>
    </row>
    <row r="2952" spans="1:15" x14ac:dyDescent="0.25">
      <c r="A2952" t="s">
        <v>701</v>
      </c>
      <c r="B2952" t="s">
        <v>702</v>
      </c>
      <c r="C2952" t="s">
        <v>818</v>
      </c>
      <c r="D2952" t="s">
        <v>819</v>
      </c>
      <c r="E2952" t="s">
        <v>820</v>
      </c>
      <c r="F2952" t="s">
        <v>820</v>
      </c>
      <c r="G2952" t="s">
        <v>5</v>
      </c>
      <c r="H2952" t="s">
        <v>5</v>
      </c>
      <c r="I2952" t="s">
        <v>713</v>
      </c>
      <c r="J2952" t="s">
        <v>40</v>
      </c>
      <c r="K2952" s="3">
        <f t="shared" si="92"/>
        <v>0</v>
      </c>
      <c r="L2952" s="3">
        <f>IF(ISERROR(VLOOKUP(J2952,Lookups!$A$2:$A$16,1,FALSE)),1,0)</f>
        <v>1</v>
      </c>
      <c r="M2952" s="3">
        <f>IF(ISERROR(VLOOKUP(D2952,Data!$A$2:$D$223100,2,FALSE)),0,1)</f>
        <v>1</v>
      </c>
      <c r="N2952" s="3">
        <f t="shared" si="93"/>
        <v>1</v>
      </c>
      <c r="O2952" s="3" t="str">
        <f>IF(ISERROR(VLOOKUP(D2952,Data!$A$2:$C$223100,3,FALSE)),"INACTIVE",VLOOKUP(D2952,Data!$A$2:$C$223100,3,FALSE))</f>
        <v>FC</v>
      </c>
    </row>
    <row r="2953" spans="1:15" x14ac:dyDescent="0.25">
      <c r="A2953" t="s">
        <v>701</v>
      </c>
      <c r="B2953" t="s">
        <v>702</v>
      </c>
      <c r="C2953" t="s">
        <v>821</v>
      </c>
      <c r="D2953" t="s">
        <v>822</v>
      </c>
      <c r="E2953" t="s">
        <v>823</v>
      </c>
      <c r="F2953" t="s">
        <v>823</v>
      </c>
      <c r="G2953" t="s">
        <v>5</v>
      </c>
      <c r="H2953" t="s">
        <v>5</v>
      </c>
      <c r="I2953" t="s">
        <v>713</v>
      </c>
      <c r="J2953" t="s">
        <v>47</v>
      </c>
      <c r="K2953" s="3">
        <f t="shared" si="92"/>
        <v>0</v>
      </c>
      <c r="L2953" s="3">
        <f>IF(ISERROR(VLOOKUP(J2953,Lookups!$A$2:$A$16,1,FALSE)),1,0)</f>
        <v>1</v>
      </c>
      <c r="M2953" s="3">
        <f>IF(ISERROR(VLOOKUP(D2953,Data!$A$2:$D$223100,2,FALSE)),0,1)</f>
        <v>1</v>
      </c>
      <c r="N2953" s="3">
        <f t="shared" si="93"/>
        <v>1</v>
      </c>
      <c r="O2953" s="3" t="str">
        <f>IF(ISERROR(VLOOKUP(D2953,Data!$A$2:$C$223100,3,FALSE)),"INACTIVE",VLOOKUP(D2953,Data!$A$2:$C$223100,3,FALSE))</f>
        <v>FC</v>
      </c>
    </row>
    <row r="2954" spans="1:15" x14ac:dyDescent="0.25">
      <c r="A2954" t="s">
        <v>701</v>
      </c>
      <c r="B2954" t="s">
        <v>702</v>
      </c>
      <c r="C2954" t="s">
        <v>824</v>
      </c>
      <c r="D2954" t="s">
        <v>825</v>
      </c>
      <c r="E2954" t="s">
        <v>826</v>
      </c>
      <c r="F2954" t="s">
        <v>826</v>
      </c>
      <c r="G2954" t="s">
        <v>5</v>
      </c>
      <c r="H2954" t="s">
        <v>5</v>
      </c>
      <c r="I2954" t="s">
        <v>713</v>
      </c>
      <c r="J2954" t="s">
        <v>40</v>
      </c>
      <c r="K2954" s="3">
        <f t="shared" si="92"/>
        <v>0</v>
      </c>
      <c r="L2954" s="3">
        <f>IF(ISERROR(VLOOKUP(J2954,Lookups!$A$2:$A$16,1,FALSE)),1,0)</f>
        <v>1</v>
      </c>
      <c r="M2954" s="3">
        <f>IF(ISERROR(VLOOKUP(D2954,Data!$A$2:$D$223100,2,FALSE)),0,1)</f>
        <v>1</v>
      </c>
      <c r="N2954" s="3">
        <f t="shared" si="93"/>
        <v>1</v>
      </c>
      <c r="O2954" s="3" t="str">
        <f>IF(ISERROR(VLOOKUP(D2954,Data!$A$2:$C$223100,3,FALSE)),"INACTIVE",VLOOKUP(D2954,Data!$A$2:$C$223100,3,FALSE))</f>
        <v>60+</v>
      </c>
    </row>
    <row r="2955" spans="1:15" x14ac:dyDescent="0.25">
      <c r="A2955" t="s">
        <v>701</v>
      </c>
      <c r="B2955" t="s">
        <v>702</v>
      </c>
      <c r="C2955" t="s">
        <v>827</v>
      </c>
      <c r="D2955" t="s">
        <v>828</v>
      </c>
      <c r="E2955" t="s">
        <v>829</v>
      </c>
      <c r="F2955" t="s">
        <v>829</v>
      </c>
      <c r="G2955" t="s">
        <v>5</v>
      </c>
      <c r="H2955" t="s">
        <v>5</v>
      </c>
      <c r="I2955" t="s">
        <v>713</v>
      </c>
      <c r="J2955" t="s">
        <v>40</v>
      </c>
      <c r="K2955" s="3">
        <f t="shared" si="92"/>
        <v>0</v>
      </c>
      <c r="L2955" s="3">
        <f>IF(ISERROR(VLOOKUP(J2955,Lookups!$A$2:$A$16,1,FALSE)),1,0)</f>
        <v>1</v>
      </c>
      <c r="M2955" s="3">
        <f>IF(ISERROR(VLOOKUP(D2955,Data!$A$2:$D$223100,2,FALSE)),0,1)</f>
        <v>1</v>
      </c>
      <c r="N2955" s="3">
        <f t="shared" si="93"/>
        <v>1</v>
      </c>
      <c r="O2955" s="3" t="str">
        <f>IF(ISERROR(VLOOKUP(D2955,Data!$A$2:$C$223100,3,FALSE)),"INACTIVE",VLOOKUP(D2955,Data!$A$2:$C$223100,3,FALSE))</f>
        <v>30+</v>
      </c>
    </row>
    <row r="2956" spans="1:15" x14ac:dyDescent="0.25">
      <c r="A2956" t="s">
        <v>701</v>
      </c>
      <c r="B2956" t="s">
        <v>702</v>
      </c>
      <c r="C2956" t="s">
        <v>830</v>
      </c>
      <c r="D2956" t="s">
        <v>831</v>
      </c>
      <c r="E2956" t="s">
        <v>832</v>
      </c>
      <c r="F2956" t="s">
        <v>832</v>
      </c>
      <c r="G2956" t="s">
        <v>5</v>
      </c>
      <c r="H2956" t="s">
        <v>5</v>
      </c>
      <c r="I2956" t="s">
        <v>713</v>
      </c>
      <c r="J2956" t="s">
        <v>40</v>
      </c>
      <c r="K2956" s="3">
        <f t="shared" si="92"/>
        <v>0</v>
      </c>
      <c r="L2956" s="3">
        <f>IF(ISERROR(VLOOKUP(J2956,Lookups!$A$2:$A$16,1,FALSE)),1,0)</f>
        <v>1</v>
      </c>
      <c r="M2956" s="3">
        <f>IF(ISERROR(VLOOKUP(D2956,Data!$A$2:$D$223100,2,FALSE)),0,1)</f>
        <v>1</v>
      </c>
      <c r="N2956" s="3">
        <f t="shared" si="93"/>
        <v>1</v>
      </c>
      <c r="O2956" s="3" t="str">
        <f>IF(ISERROR(VLOOKUP(D2956,Data!$A$2:$C$223100,3,FALSE)),"INACTIVE",VLOOKUP(D2956,Data!$A$2:$C$223100,3,FALSE))</f>
        <v>Demand Letter</v>
      </c>
    </row>
    <row r="2957" spans="1:15" x14ac:dyDescent="0.25">
      <c r="A2957" t="s">
        <v>1711</v>
      </c>
      <c r="B2957" t="s">
        <v>1712</v>
      </c>
      <c r="C2957" t="s">
        <v>1713</v>
      </c>
      <c r="D2957" t="s">
        <v>1714</v>
      </c>
      <c r="E2957" t="s">
        <v>1715</v>
      </c>
      <c r="F2957" t="s">
        <v>5</v>
      </c>
      <c r="G2957" t="s">
        <v>5</v>
      </c>
      <c r="H2957" t="s">
        <v>5</v>
      </c>
      <c r="I2957" t="s">
        <v>713</v>
      </c>
      <c r="J2957" t="s">
        <v>7</v>
      </c>
      <c r="K2957" s="3">
        <f t="shared" si="92"/>
        <v>0</v>
      </c>
      <c r="L2957" s="3">
        <f>IF(ISERROR(VLOOKUP(J2957,Lookups!$A$2:$A$16,1,FALSE)),1,0)</f>
        <v>1</v>
      </c>
      <c r="M2957" s="3">
        <f>IF(ISERROR(VLOOKUP(D2957,Data!$A$2:$D$223100,2,FALSE)),0,1)</f>
        <v>1</v>
      </c>
      <c r="N2957" s="3">
        <f t="shared" si="93"/>
        <v>1</v>
      </c>
      <c r="O2957" s="3" t="str">
        <f>IF(ISERROR(VLOOKUP(D2957,Data!$A$2:$C$223100,3,FALSE)),"INACTIVE",VLOOKUP(D2957,Data!$A$2:$C$223100,3,FALSE))</f>
        <v>60+</v>
      </c>
    </row>
    <row r="2958" spans="1:15" x14ac:dyDescent="0.25">
      <c r="A2958" t="s">
        <v>1711</v>
      </c>
      <c r="B2958" t="s">
        <v>1712</v>
      </c>
      <c r="C2958" t="s">
        <v>1716</v>
      </c>
      <c r="D2958" t="s">
        <v>1717</v>
      </c>
      <c r="E2958" t="s">
        <v>1718</v>
      </c>
      <c r="F2958" t="s">
        <v>5</v>
      </c>
      <c r="G2958" t="s">
        <v>5</v>
      </c>
      <c r="H2958" t="s">
        <v>5</v>
      </c>
      <c r="I2958" t="s">
        <v>713</v>
      </c>
      <c r="J2958" t="s">
        <v>7</v>
      </c>
      <c r="K2958" s="3">
        <f t="shared" si="92"/>
        <v>0</v>
      </c>
      <c r="L2958" s="3">
        <f>IF(ISERROR(VLOOKUP(J2958,Lookups!$A$2:$A$16,1,FALSE)),1,0)</f>
        <v>1</v>
      </c>
      <c r="M2958" s="3">
        <f>IF(ISERROR(VLOOKUP(D2958,Data!$A$2:$D$223100,2,FALSE)),0,1)</f>
        <v>1</v>
      </c>
      <c r="N2958" s="3">
        <f t="shared" si="93"/>
        <v>1</v>
      </c>
      <c r="O2958" s="3" t="str">
        <f>IF(ISERROR(VLOOKUP(D2958,Data!$A$2:$C$223100,3,FALSE)),"INACTIVE",VLOOKUP(D2958,Data!$A$2:$C$223100,3,FALSE))</f>
        <v>30+</v>
      </c>
    </row>
    <row r="2959" spans="1:15" x14ac:dyDescent="0.25">
      <c r="A2959" t="s">
        <v>1711</v>
      </c>
      <c r="B2959" t="s">
        <v>1712</v>
      </c>
      <c r="C2959" t="s">
        <v>1719</v>
      </c>
      <c r="D2959" t="s">
        <v>1720</v>
      </c>
      <c r="E2959" t="s">
        <v>1721</v>
      </c>
      <c r="F2959" t="s">
        <v>5</v>
      </c>
      <c r="G2959" t="s">
        <v>5</v>
      </c>
      <c r="H2959" t="s">
        <v>5</v>
      </c>
      <c r="I2959" t="s">
        <v>713</v>
      </c>
      <c r="J2959" t="s">
        <v>7</v>
      </c>
      <c r="K2959" s="3">
        <f t="shared" si="92"/>
        <v>0</v>
      </c>
      <c r="L2959" s="3">
        <f>IF(ISERROR(VLOOKUP(J2959,Lookups!$A$2:$A$16,1,FALSE)),1,0)</f>
        <v>1</v>
      </c>
      <c r="M2959" s="3">
        <f>IF(ISERROR(VLOOKUP(D2959,Data!$A$2:$D$223100,2,FALSE)),0,1)</f>
        <v>1</v>
      </c>
      <c r="N2959" s="3">
        <f t="shared" si="93"/>
        <v>1</v>
      </c>
      <c r="O2959" s="3" t="str">
        <f>IF(ISERROR(VLOOKUP(D2959,Data!$A$2:$C$223100,3,FALSE)),"INACTIVE",VLOOKUP(D2959,Data!$A$2:$C$223100,3,FALSE))</f>
        <v>30+</v>
      </c>
    </row>
    <row r="2960" spans="1:15" x14ac:dyDescent="0.25">
      <c r="A2960" t="s">
        <v>1711</v>
      </c>
      <c r="B2960" t="s">
        <v>1712</v>
      </c>
      <c r="C2960" t="s">
        <v>1722</v>
      </c>
      <c r="D2960" t="s">
        <v>1723</v>
      </c>
      <c r="E2960" t="s">
        <v>1724</v>
      </c>
      <c r="F2960" t="s">
        <v>5</v>
      </c>
      <c r="G2960" t="s">
        <v>5</v>
      </c>
      <c r="H2960" t="s">
        <v>5</v>
      </c>
      <c r="I2960" t="s">
        <v>713</v>
      </c>
      <c r="J2960" t="s">
        <v>7</v>
      </c>
      <c r="K2960" s="3">
        <f t="shared" si="92"/>
        <v>0</v>
      </c>
      <c r="L2960" s="3">
        <f>IF(ISERROR(VLOOKUP(J2960,Lookups!$A$2:$A$16,1,FALSE)),1,0)</f>
        <v>1</v>
      </c>
      <c r="M2960" s="3">
        <f>IF(ISERROR(VLOOKUP(D2960,Data!$A$2:$D$223100,2,FALSE)),0,1)</f>
        <v>1</v>
      </c>
      <c r="N2960" s="3">
        <f t="shared" si="93"/>
        <v>1</v>
      </c>
      <c r="O2960" s="3" t="str">
        <f>IF(ISERROR(VLOOKUP(D2960,Data!$A$2:$C$223100,3,FALSE)),"INACTIVE",VLOOKUP(D2960,Data!$A$2:$C$223100,3,FALSE))</f>
        <v>Current</v>
      </c>
    </row>
    <row r="2961" spans="1:15" x14ac:dyDescent="0.25">
      <c r="A2961" t="s">
        <v>1711</v>
      </c>
      <c r="B2961" t="s">
        <v>1712</v>
      </c>
      <c r="C2961" t="s">
        <v>1725</v>
      </c>
      <c r="D2961" t="s">
        <v>1726</v>
      </c>
      <c r="E2961" t="s">
        <v>1727</v>
      </c>
      <c r="F2961" t="s">
        <v>5</v>
      </c>
      <c r="G2961" t="s">
        <v>5</v>
      </c>
      <c r="H2961" t="s">
        <v>5</v>
      </c>
      <c r="I2961" t="s">
        <v>713</v>
      </c>
      <c r="J2961" t="s">
        <v>7</v>
      </c>
      <c r="K2961" s="3">
        <f t="shared" si="92"/>
        <v>0</v>
      </c>
      <c r="L2961" s="3">
        <f>IF(ISERROR(VLOOKUP(J2961,Lookups!$A$2:$A$16,1,FALSE)),1,0)</f>
        <v>1</v>
      </c>
      <c r="M2961" s="3">
        <f>IF(ISERROR(VLOOKUP(D2961,Data!$A$2:$D$223100,2,FALSE)),0,1)</f>
        <v>1</v>
      </c>
      <c r="N2961" s="3">
        <f t="shared" si="93"/>
        <v>1</v>
      </c>
      <c r="O2961" s="3" t="str">
        <f>IF(ISERROR(VLOOKUP(D2961,Data!$A$2:$C$223100,3,FALSE)),"INACTIVE",VLOOKUP(D2961,Data!$A$2:$C$223100,3,FALSE))</f>
        <v>FC</v>
      </c>
    </row>
    <row r="2962" spans="1:15" x14ac:dyDescent="0.25">
      <c r="A2962" t="s">
        <v>1711</v>
      </c>
      <c r="B2962" t="s">
        <v>1712</v>
      </c>
      <c r="C2962" t="s">
        <v>1728</v>
      </c>
      <c r="D2962" t="s">
        <v>1729</v>
      </c>
      <c r="E2962" t="s">
        <v>1730</v>
      </c>
      <c r="F2962" t="s">
        <v>5</v>
      </c>
      <c r="G2962" t="s">
        <v>5</v>
      </c>
      <c r="H2962" t="s">
        <v>5</v>
      </c>
      <c r="I2962" t="s">
        <v>713</v>
      </c>
      <c r="J2962" t="s">
        <v>90</v>
      </c>
      <c r="K2962" s="3">
        <f t="shared" si="92"/>
        <v>0</v>
      </c>
      <c r="L2962" s="3">
        <f>IF(ISERROR(VLOOKUP(J2962,Lookups!$A$2:$A$16,1,FALSE)),1,0)</f>
        <v>0</v>
      </c>
      <c r="M2962" s="3">
        <f>IF(ISERROR(VLOOKUP(D2962,Data!$A$2:$D$223100,2,FALSE)),0,1)</f>
        <v>1</v>
      </c>
      <c r="N2962" s="3">
        <f t="shared" si="93"/>
        <v>0</v>
      </c>
      <c r="O2962" s="3" t="str">
        <f>IF(ISERROR(VLOOKUP(D2962,Data!$A$2:$C$223100,3,FALSE)),"INACTIVE",VLOOKUP(D2962,Data!$A$2:$C$223100,3,FALSE))</f>
        <v>Current</v>
      </c>
    </row>
    <row r="2963" spans="1:15" x14ac:dyDescent="0.25">
      <c r="A2963" t="s">
        <v>1711</v>
      </c>
      <c r="B2963" t="s">
        <v>1712</v>
      </c>
      <c r="C2963" t="s">
        <v>1728</v>
      </c>
      <c r="D2963" t="s">
        <v>1729</v>
      </c>
      <c r="E2963" t="s">
        <v>1731</v>
      </c>
      <c r="F2963" t="s">
        <v>5</v>
      </c>
      <c r="G2963" t="s">
        <v>5</v>
      </c>
      <c r="H2963" t="s">
        <v>5</v>
      </c>
      <c r="I2963" t="s">
        <v>713</v>
      </c>
      <c r="J2963" t="s">
        <v>90</v>
      </c>
      <c r="K2963" s="3">
        <f t="shared" si="92"/>
        <v>0</v>
      </c>
      <c r="L2963" s="3">
        <f>IF(ISERROR(VLOOKUP(J2963,Lookups!$A$2:$A$16,1,FALSE)),1,0)</f>
        <v>0</v>
      </c>
      <c r="M2963" s="3">
        <f>IF(ISERROR(VLOOKUP(D2963,Data!$A$2:$D$223100,2,FALSE)),0,1)</f>
        <v>1</v>
      </c>
      <c r="N2963" s="3">
        <f t="shared" si="93"/>
        <v>0</v>
      </c>
      <c r="O2963" s="3" t="str">
        <f>IF(ISERROR(VLOOKUP(D2963,Data!$A$2:$C$223100,3,FALSE)),"INACTIVE",VLOOKUP(D2963,Data!$A$2:$C$223100,3,FALSE))</f>
        <v>Current</v>
      </c>
    </row>
    <row r="2964" spans="1:15" x14ac:dyDescent="0.25">
      <c r="A2964" t="s">
        <v>1711</v>
      </c>
      <c r="B2964" t="s">
        <v>1712</v>
      </c>
      <c r="C2964" t="s">
        <v>1732</v>
      </c>
      <c r="D2964" t="s">
        <v>1733</v>
      </c>
      <c r="E2964" t="s">
        <v>1734</v>
      </c>
      <c r="F2964" t="s">
        <v>5</v>
      </c>
      <c r="G2964" t="s">
        <v>5</v>
      </c>
      <c r="H2964" t="s">
        <v>5</v>
      </c>
      <c r="I2964" t="s">
        <v>713</v>
      </c>
      <c r="J2964" t="s">
        <v>7</v>
      </c>
      <c r="K2964" s="3">
        <f t="shared" si="92"/>
        <v>0</v>
      </c>
      <c r="L2964" s="3">
        <f>IF(ISERROR(VLOOKUP(J2964,Lookups!$A$2:$A$16,1,FALSE)),1,0)</f>
        <v>1</v>
      </c>
      <c r="M2964" s="3">
        <f>IF(ISERROR(VLOOKUP(D2964,Data!$A$2:$D$223100,2,FALSE)),0,1)</f>
        <v>1</v>
      </c>
      <c r="N2964" s="3">
        <f t="shared" si="93"/>
        <v>1</v>
      </c>
      <c r="O2964" s="3" t="str">
        <f>IF(ISERROR(VLOOKUP(D2964,Data!$A$2:$C$223100,3,FALSE)),"INACTIVE",VLOOKUP(D2964,Data!$A$2:$C$223100,3,FALSE))</f>
        <v>Current</v>
      </c>
    </row>
    <row r="2965" spans="1:15" x14ac:dyDescent="0.25">
      <c r="A2965" t="s">
        <v>1711</v>
      </c>
      <c r="B2965" t="s">
        <v>1712</v>
      </c>
      <c r="C2965" t="s">
        <v>1735</v>
      </c>
      <c r="D2965" t="s">
        <v>1736</v>
      </c>
      <c r="E2965" t="s">
        <v>1737</v>
      </c>
      <c r="F2965" t="s">
        <v>5</v>
      </c>
      <c r="G2965" t="s">
        <v>5</v>
      </c>
      <c r="H2965" t="s">
        <v>5</v>
      </c>
      <c r="I2965" t="s">
        <v>713</v>
      </c>
      <c r="J2965" t="s">
        <v>7</v>
      </c>
      <c r="K2965" s="3">
        <f t="shared" si="92"/>
        <v>0</v>
      </c>
      <c r="L2965" s="3">
        <f>IF(ISERROR(VLOOKUP(J2965,Lookups!$A$2:$A$16,1,FALSE)),1,0)</f>
        <v>1</v>
      </c>
      <c r="M2965" s="3">
        <f>IF(ISERROR(VLOOKUP(D2965,Data!$A$2:$D$223100,2,FALSE)),0,1)</f>
        <v>1</v>
      </c>
      <c r="N2965" s="3">
        <f t="shared" si="93"/>
        <v>1</v>
      </c>
      <c r="O2965" s="3" t="str">
        <f>IF(ISERROR(VLOOKUP(D2965,Data!$A$2:$C$223100,3,FALSE)),"INACTIVE",VLOOKUP(D2965,Data!$A$2:$C$223100,3,FALSE))</f>
        <v>Current</v>
      </c>
    </row>
    <row r="2966" spans="1:15" x14ac:dyDescent="0.25">
      <c r="A2966" t="s">
        <v>1711</v>
      </c>
      <c r="B2966" t="s">
        <v>1712</v>
      </c>
      <c r="C2966" t="s">
        <v>1738</v>
      </c>
      <c r="D2966" t="s">
        <v>1739</v>
      </c>
      <c r="E2966" t="s">
        <v>1740</v>
      </c>
      <c r="F2966" t="s">
        <v>5</v>
      </c>
      <c r="G2966" t="s">
        <v>5</v>
      </c>
      <c r="H2966" t="s">
        <v>5</v>
      </c>
      <c r="I2966" t="s">
        <v>713</v>
      </c>
      <c r="J2966" t="s">
        <v>7</v>
      </c>
      <c r="K2966" s="3">
        <f t="shared" si="92"/>
        <v>0</v>
      </c>
      <c r="L2966" s="3">
        <f>IF(ISERROR(VLOOKUP(J2966,Lookups!$A$2:$A$16,1,FALSE)),1,0)</f>
        <v>1</v>
      </c>
      <c r="M2966" s="3">
        <f>IF(ISERROR(VLOOKUP(D2966,Data!$A$2:$D$223100,2,FALSE)),0,1)</f>
        <v>1</v>
      </c>
      <c r="N2966" s="3">
        <f t="shared" si="93"/>
        <v>1</v>
      </c>
      <c r="O2966" s="3" t="str">
        <f>IF(ISERROR(VLOOKUP(D2966,Data!$A$2:$C$223100,3,FALSE)),"INACTIVE",VLOOKUP(D2966,Data!$A$2:$C$223100,3,FALSE))</f>
        <v>30+</v>
      </c>
    </row>
    <row r="2967" spans="1:15" x14ac:dyDescent="0.25">
      <c r="A2967" t="s">
        <v>1711</v>
      </c>
      <c r="B2967" t="s">
        <v>1712</v>
      </c>
      <c r="C2967" t="s">
        <v>1741</v>
      </c>
      <c r="D2967" t="s">
        <v>1742</v>
      </c>
      <c r="E2967" t="s">
        <v>1743</v>
      </c>
      <c r="F2967" t="s">
        <v>5</v>
      </c>
      <c r="G2967" t="s">
        <v>5</v>
      </c>
      <c r="H2967" t="s">
        <v>5</v>
      </c>
      <c r="I2967" t="s">
        <v>713</v>
      </c>
      <c r="J2967" t="s">
        <v>7</v>
      </c>
      <c r="K2967" s="3">
        <f t="shared" si="92"/>
        <v>0</v>
      </c>
      <c r="L2967" s="3">
        <f>IF(ISERROR(VLOOKUP(J2967,Lookups!$A$2:$A$16,1,FALSE)),1,0)</f>
        <v>1</v>
      </c>
      <c r="M2967" s="3">
        <f>IF(ISERROR(VLOOKUP(D2967,Data!$A$2:$D$223100,2,FALSE)),0,1)</f>
        <v>1</v>
      </c>
      <c r="N2967" s="3">
        <f t="shared" si="93"/>
        <v>1</v>
      </c>
      <c r="O2967" s="3" t="str">
        <f>IF(ISERROR(VLOOKUP(D2967,Data!$A$2:$C$223100,3,FALSE)),"INACTIVE",VLOOKUP(D2967,Data!$A$2:$C$223100,3,FALSE))</f>
        <v>Current</v>
      </c>
    </row>
    <row r="2968" spans="1:15" x14ac:dyDescent="0.25">
      <c r="A2968" t="s">
        <v>1711</v>
      </c>
      <c r="B2968" t="s">
        <v>1712</v>
      </c>
      <c r="C2968" t="s">
        <v>1744</v>
      </c>
      <c r="D2968" t="s">
        <v>1745</v>
      </c>
      <c r="E2968" t="s">
        <v>1746</v>
      </c>
      <c r="F2968" t="s">
        <v>5</v>
      </c>
      <c r="G2968" t="s">
        <v>5</v>
      </c>
      <c r="H2968" t="s">
        <v>5</v>
      </c>
      <c r="I2968" t="s">
        <v>713</v>
      </c>
      <c r="J2968" t="s">
        <v>7</v>
      </c>
      <c r="K2968" s="3">
        <f t="shared" si="92"/>
        <v>0</v>
      </c>
      <c r="L2968" s="3">
        <f>IF(ISERROR(VLOOKUP(J2968,Lookups!$A$2:$A$16,1,FALSE)),1,0)</f>
        <v>1</v>
      </c>
      <c r="M2968" s="3">
        <f>IF(ISERROR(VLOOKUP(D2968,Data!$A$2:$D$223100,2,FALSE)),0,1)</f>
        <v>1</v>
      </c>
      <c r="N2968" s="3">
        <f t="shared" si="93"/>
        <v>1</v>
      </c>
      <c r="O2968" s="3" t="str">
        <f>IF(ISERROR(VLOOKUP(D2968,Data!$A$2:$C$223100,3,FALSE)),"INACTIVE",VLOOKUP(D2968,Data!$A$2:$C$223100,3,FALSE))</f>
        <v>Current</v>
      </c>
    </row>
    <row r="2969" spans="1:15" x14ac:dyDescent="0.25">
      <c r="A2969" t="s">
        <v>1711</v>
      </c>
      <c r="B2969" t="s">
        <v>1712</v>
      </c>
      <c r="C2969" t="s">
        <v>1747</v>
      </c>
      <c r="D2969" t="s">
        <v>1748</v>
      </c>
      <c r="E2969" t="s">
        <v>1749</v>
      </c>
      <c r="F2969" t="s">
        <v>5</v>
      </c>
      <c r="G2969" t="s">
        <v>5</v>
      </c>
      <c r="H2969" t="s">
        <v>5</v>
      </c>
      <c r="I2969" t="s">
        <v>713</v>
      </c>
      <c r="J2969" t="s">
        <v>7</v>
      </c>
      <c r="K2969" s="3">
        <f t="shared" si="92"/>
        <v>0</v>
      </c>
      <c r="L2969" s="3">
        <f>IF(ISERROR(VLOOKUP(J2969,Lookups!$A$2:$A$16,1,FALSE)),1,0)</f>
        <v>1</v>
      </c>
      <c r="M2969" s="3">
        <f>IF(ISERROR(VLOOKUP(D2969,Data!$A$2:$D$223100,2,FALSE)),0,1)</f>
        <v>1</v>
      </c>
      <c r="N2969" s="3">
        <f t="shared" si="93"/>
        <v>1</v>
      </c>
      <c r="O2969" s="3" t="str">
        <f>IF(ISERROR(VLOOKUP(D2969,Data!$A$2:$C$223100,3,FALSE)),"INACTIVE",VLOOKUP(D2969,Data!$A$2:$C$223100,3,FALSE))</f>
        <v>90+</v>
      </c>
    </row>
    <row r="2970" spans="1:15" x14ac:dyDescent="0.25">
      <c r="A2970" t="s">
        <v>1711</v>
      </c>
      <c r="B2970" t="s">
        <v>1712</v>
      </c>
      <c r="C2970" t="s">
        <v>1750</v>
      </c>
      <c r="D2970" t="s">
        <v>1751</v>
      </c>
      <c r="E2970" t="s">
        <v>1752</v>
      </c>
      <c r="F2970" t="s">
        <v>5</v>
      </c>
      <c r="G2970" t="s">
        <v>5</v>
      </c>
      <c r="H2970" t="s">
        <v>5</v>
      </c>
      <c r="I2970" t="s">
        <v>713</v>
      </c>
      <c r="J2970" t="s">
        <v>7</v>
      </c>
      <c r="K2970" s="3">
        <f t="shared" si="92"/>
        <v>0</v>
      </c>
      <c r="L2970" s="3">
        <f>IF(ISERROR(VLOOKUP(J2970,Lookups!$A$2:$A$16,1,FALSE)),1,0)</f>
        <v>1</v>
      </c>
      <c r="M2970" s="3">
        <f>IF(ISERROR(VLOOKUP(D2970,Data!$A$2:$D$223100,2,FALSE)),0,1)</f>
        <v>1</v>
      </c>
      <c r="N2970" s="3">
        <f t="shared" si="93"/>
        <v>1</v>
      </c>
      <c r="O2970" s="3" t="str">
        <f>IF(ISERROR(VLOOKUP(D2970,Data!$A$2:$C$223100,3,FALSE)),"INACTIVE",VLOOKUP(D2970,Data!$A$2:$C$223100,3,FALSE))</f>
        <v>Current</v>
      </c>
    </row>
    <row r="2971" spans="1:15" x14ac:dyDescent="0.25">
      <c r="A2971" t="s">
        <v>1711</v>
      </c>
      <c r="B2971" t="s">
        <v>1712</v>
      </c>
      <c r="C2971" t="s">
        <v>1753</v>
      </c>
      <c r="D2971" t="s">
        <v>1754</v>
      </c>
      <c r="E2971" t="s">
        <v>1755</v>
      </c>
      <c r="F2971" t="s">
        <v>5</v>
      </c>
      <c r="G2971" t="s">
        <v>5</v>
      </c>
      <c r="H2971" t="s">
        <v>5</v>
      </c>
      <c r="I2971" t="s">
        <v>713</v>
      </c>
      <c r="J2971" t="s">
        <v>7</v>
      </c>
      <c r="K2971" s="3">
        <f t="shared" si="92"/>
        <v>0</v>
      </c>
      <c r="L2971" s="3">
        <f>IF(ISERROR(VLOOKUP(J2971,Lookups!$A$2:$A$16,1,FALSE)),1,0)</f>
        <v>1</v>
      </c>
      <c r="M2971" s="3">
        <f>IF(ISERROR(VLOOKUP(D2971,Data!$A$2:$D$223100,2,FALSE)),0,1)</f>
        <v>1</v>
      </c>
      <c r="N2971" s="3">
        <f t="shared" si="93"/>
        <v>1</v>
      </c>
      <c r="O2971" s="3" t="str">
        <f>IF(ISERROR(VLOOKUP(D2971,Data!$A$2:$C$223100,3,FALSE)),"INACTIVE",VLOOKUP(D2971,Data!$A$2:$C$223100,3,FALSE))</f>
        <v>Current</v>
      </c>
    </row>
    <row r="2972" spans="1:15" x14ac:dyDescent="0.25">
      <c r="A2972" t="s">
        <v>1711</v>
      </c>
      <c r="B2972" t="s">
        <v>1712</v>
      </c>
      <c r="C2972" t="s">
        <v>1756</v>
      </c>
      <c r="D2972" t="s">
        <v>1757</v>
      </c>
      <c r="E2972" t="s">
        <v>1758</v>
      </c>
      <c r="F2972" t="s">
        <v>5</v>
      </c>
      <c r="G2972" t="s">
        <v>5</v>
      </c>
      <c r="H2972" t="s">
        <v>5</v>
      </c>
      <c r="I2972" t="s">
        <v>713</v>
      </c>
      <c r="J2972" t="s">
        <v>90</v>
      </c>
      <c r="K2972" s="3">
        <f t="shared" si="92"/>
        <v>0</v>
      </c>
      <c r="L2972" s="3">
        <f>IF(ISERROR(VLOOKUP(J2972,Lookups!$A$2:$A$16,1,FALSE)),1,0)</f>
        <v>0</v>
      </c>
      <c r="M2972" s="3">
        <f>IF(ISERROR(VLOOKUP(D2972,Data!$A$2:$D$223100,2,FALSE)),0,1)</f>
        <v>1</v>
      </c>
      <c r="N2972" s="3">
        <f t="shared" si="93"/>
        <v>0</v>
      </c>
      <c r="O2972" s="3" t="str">
        <f>IF(ISERROR(VLOOKUP(D2972,Data!$A$2:$C$223100,3,FALSE)),"INACTIVE",VLOOKUP(D2972,Data!$A$2:$C$223100,3,FALSE))</f>
        <v>BK13</v>
      </c>
    </row>
    <row r="2973" spans="1:15" x14ac:dyDescent="0.25">
      <c r="A2973" t="s">
        <v>1711</v>
      </c>
      <c r="B2973" t="s">
        <v>1712</v>
      </c>
      <c r="C2973" t="s">
        <v>1756</v>
      </c>
      <c r="D2973" t="s">
        <v>1757</v>
      </c>
      <c r="E2973" t="s">
        <v>1759</v>
      </c>
      <c r="F2973" t="s">
        <v>5</v>
      </c>
      <c r="G2973" t="s">
        <v>5</v>
      </c>
      <c r="H2973" t="s">
        <v>5</v>
      </c>
      <c r="I2973" t="s">
        <v>713</v>
      </c>
      <c r="J2973" t="s">
        <v>90</v>
      </c>
      <c r="K2973" s="3">
        <f t="shared" si="92"/>
        <v>0</v>
      </c>
      <c r="L2973" s="3">
        <f>IF(ISERROR(VLOOKUP(J2973,Lookups!$A$2:$A$16,1,FALSE)),1,0)</f>
        <v>0</v>
      </c>
      <c r="M2973" s="3">
        <f>IF(ISERROR(VLOOKUP(D2973,Data!$A$2:$D$223100,2,FALSE)),0,1)</f>
        <v>1</v>
      </c>
      <c r="N2973" s="3">
        <f t="shared" si="93"/>
        <v>0</v>
      </c>
      <c r="O2973" s="3" t="str">
        <f>IF(ISERROR(VLOOKUP(D2973,Data!$A$2:$C$223100,3,FALSE)),"INACTIVE",VLOOKUP(D2973,Data!$A$2:$C$223100,3,FALSE))</f>
        <v>BK13</v>
      </c>
    </row>
    <row r="2974" spans="1:15" x14ac:dyDescent="0.25">
      <c r="A2974" t="s">
        <v>3755</v>
      </c>
      <c r="B2974" t="s">
        <v>3756</v>
      </c>
      <c r="C2974" t="s">
        <v>3757</v>
      </c>
      <c r="D2974" t="s">
        <v>3758</v>
      </c>
      <c r="E2974" t="s">
        <v>3759</v>
      </c>
      <c r="F2974" t="s">
        <v>5</v>
      </c>
      <c r="G2974" t="s">
        <v>5</v>
      </c>
      <c r="H2974" t="s">
        <v>5</v>
      </c>
      <c r="I2974" t="s">
        <v>713</v>
      </c>
      <c r="J2974" t="s">
        <v>7</v>
      </c>
      <c r="K2974" s="3">
        <f t="shared" si="92"/>
        <v>0</v>
      </c>
      <c r="L2974" s="3">
        <f>IF(ISERROR(VLOOKUP(J2974,Lookups!$A$2:$A$16,1,FALSE)),1,0)</f>
        <v>1</v>
      </c>
      <c r="M2974" s="3">
        <f>IF(ISERROR(VLOOKUP(D2974,Data!$A$2:$D$223100,2,FALSE)),0,1)</f>
        <v>1</v>
      </c>
      <c r="N2974" s="3">
        <f t="shared" si="93"/>
        <v>1</v>
      </c>
      <c r="O2974" s="3" t="str">
        <f>IF(ISERROR(VLOOKUP(D2974,Data!$A$2:$C$223100,3,FALSE)),"INACTIVE",VLOOKUP(D2974,Data!$A$2:$C$223100,3,FALSE))</f>
        <v>Current</v>
      </c>
    </row>
    <row r="2975" spans="1:15" x14ac:dyDescent="0.25">
      <c r="A2975" t="s">
        <v>3755</v>
      </c>
      <c r="B2975" t="s">
        <v>3756</v>
      </c>
      <c r="C2975" t="s">
        <v>3760</v>
      </c>
      <c r="D2975" t="s">
        <v>3761</v>
      </c>
      <c r="E2975" t="s">
        <v>3762</v>
      </c>
      <c r="F2975" t="s">
        <v>5</v>
      </c>
      <c r="G2975" t="s">
        <v>5</v>
      </c>
      <c r="H2975" t="s">
        <v>5</v>
      </c>
      <c r="I2975" t="s">
        <v>713</v>
      </c>
      <c r="J2975" t="s">
        <v>7</v>
      </c>
      <c r="K2975" s="3">
        <f t="shared" si="92"/>
        <v>0</v>
      </c>
      <c r="L2975" s="3">
        <f>IF(ISERROR(VLOOKUP(J2975,Lookups!$A$2:$A$16,1,FALSE)),1,0)</f>
        <v>1</v>
      </c>
      <c r="M2975" s="3">
        <f>IF(ISERROR(VLOOKUP(D2975,Data!$A$2:$D$223100,2,FALSE)),0,1)</f>
        <v>1</v>
      </c>
      <c r="N2975" s="3">
        <f t="shared" si="93"/>
        <v>1</v>
      </c>
      <c r="O2975" s="3" t="str">
        <f>IF(ISERROR(VLOOKUP(D2975,Data!$A$2:$C$223100,3,FALSE)),"INACTIVE",VLOOKUP(D2975,Data!$A$2:$C$223100,3,FALSE))</f>
        <v>FC</v>
      </c>
    </row>
    <row r="2976" spans="1:15" x14ac:dyDescent="0.25">
      <c r="A2976" t="s">
        <v>3755</v>
      </c>
      <c r="B2976" t="s">
        <v>3756</v>
      </c>
      <c r="C2976" t="s">
        <v>3763</v>
      </c>
      <c r="D2976" t="s">
        <v>3764</v>
      </c>
      <c r="E2976" t="s">
        <v>3765</v>
      </c>
      <c r="F2976" t="s">
        <v>5</v>
      </c>
      <c r="G2976" t="s">
        <v>5</v>
      </c>
      <c r="H2976" t="s">
        <v>5</v>
      </c>
      <c r="I2976" t="s">
        <v>713</v>
      </c>
      <c r="J2976" t="s">
        <v>96</v>
      </c>
      <c r="K2976" s="3">
        <f t="shared" si="92"/>
        <v>0</v>
      </c>
      <c r="L2976" s="3">
        <f>IF(ISERROR(VLOOKUP(J2976,Lookups!$A$2:$A$16,1,FALSE)),1,0)</f>
        <v>0</v>
      </c>
      <c r="M2976" s="3">
        <f>IF(ISERROR(VLOOKUP(D2976,Data!$A$2:$D$223100,2,FALSE)),0,1)</f>
        <v>1</v>
      </c>
      <c r="N2976" s="3">
        <f t="shared" si="93"/>
        <v>0</v>
      </c>
      <c r="O2976" s="3" t="str">
        <f>IF(ISERROR(VLOOKUP(D2976,Data!$A$2:$C$223100,3,FALSE)),"INACTIVE",VLOOKUP(D2976,Data!$A$2:$C$223100,3,FALSE))</f>
        <v>Current</v>
      </c>
    </row>
    <row r="2977" spans="1:15" x14ac:dyDescent="0.25">
      <c r="A2977" t="s">
        <v>3755</v>
      </c>
      <c r="B2977" t="s">
        <v>3756</v>
      </c>
      <c r="C2977" t="s">
        <v>3763</v>
      </c>
      <c r="D2977" t="s">
        <v>3764</v>
      </c>
      <c r="E2977" t="s">
        <v>3766</v>
      </c>
      <c r="F2977" t="s">
        <v>5</v>
      </c>
      <c r="G2977" t="s">
        <v>5</v>
      </c>
      <c r="H2977" t="s">
        <v>5</v>
      </c>
      <c r="I2977" t="s">
        <v>713</v>
      </c>
      <c r="J2977" t="s">
        <v>96</v>
      </c>
      <c r="K2977" s="3">
        <f t="shared" si="92"/>
        <v>0</v>
      </c>
      <c r="L2977" s="3">
        <f>IF(ISERROR(VLOOKUP(J2977,Lookups!$A$2:$A$16,1,FALSE)),1,0)</f>
        <v>0</v>
      </c>
      <c r="M2977" s="3">
        <f>IF(ISERROR(VLOOKUP(D2977,Data!$A$2:$D$223100,2,FALSE)),0,1)</f>
        <v>1</v>
      </c>
      <c r="N2977" s="3">
        <f t="shared" si="93"/>
        <v>0</v>
      </c>
      <c r="O2977" s="3" t="str">
        <f>IF(ISERROR(VLOOKUP(D2977,Data!$A$2:$C$223100,3,FALSE)),"INACTIVE",VLOOKUP(D2977,Data!$A$2:$C$223100,3,FALSE))</f>
        <v>Current</v>
      </c>
    </row>
    <row r="2978" spans="1:15" x14ac:dyDescent="0.25">
      <c r="A2978" t="s">
        <v>3755</v>
      </c>
      <c r="B2978" t="s">
        <v>3756</v>
      </c>
      <c r="C2978" t="s">
        <v>3763</v>
      </c>
      <c r="D2978" t="s">
        <v>3764</v>
      </c>
      <c r="E2978" t="s">
        <v>3767</v>
      </c>
      <c r="F2978" t="s">
        <v>5</v>
      </c>
      <c r="G2978" t="s">
        <v>5</v>
      </c>
      <c r="H2978" t="s">
        <v>5</v>
      </c>
      <c r="I2978" t="s">
        <v>713</v>
      </c>
      <c r="J2978" t="s">
        <v>96</v>
      </c>
      <c r="K2978" s="3">
        <f t="shared" si="92"/>
        <v>0</v>
      </c>
      <c r="L2978" s="3">
        <f>IF(ISERROR(VLOOKUP(J2978,Lookups!$A$2:$A$16,1,FALSE)),1,0)</f>
        <v>0</v>
      </c>
      <c r="M2978" s="3">
        <f>IF(ISERROR(VLOOKUP(D2978,Data!$A$2:$D$223100,2,FALSE)),0,1)</f>
        <v>1</v>
      </c>
      <c r="N2978" s="3">
        <f t="shared" si="93"/>
        <v>0</v>
      </c>
      <c r="O2978" s="3" t="str">
        <f>IF(ISERROR(VLOOKUP(D2978,Data!$A$2:$C$223100,3,FALSE)),"INACTIVE",VLOOKUP(D2978,Data!$A$2:$C$223100,3,FALSE))</f>
        <v>Current</v>
      </c>
    </row>
    <row r="2979" spans="1:15" x14ac:dyDescent="0.25">
      <c r="A2979" t="s">
        <v>3755</v>
      </c>
      <c r="B2979" t="s">
        <v>3756</v>
      </c>
      <c r="C2979" t="s">
        <v>3768</v>
      </c>
      <c r="D2979" t="s">
        <v>3769</v>
      </c>
      <c r="E2979" t="s">
        <v>3770</v>
      </c>
      <c r="F2979" t="s">
        <v>5</v>
      </c>
      <c r="G2979" t="s">
        <v>5</v>
      </c>
      <c r="H2979" t="s">
        <v>5</v>
      </c>
      <c r="I2979" t="s">
        <v>713</v>
      </c>
      <c r="J2979" t="s">
        <v>7</v>
      </c>
      <c r="K2979" s="3">
        <f t="shared" si="92"/>
        <v>0</v>
      </c>
      <c r="L2979" s="3">
        <f>IF(ISERROR(VLOOKUP(J2979,Lookups!$A$2:$A$16,1,FALSE)),1,0)</f>
        <v>1</v>
      </c>
      <c r="M2979" s="3">
        <f>IF(ISERROR(VLOOKUP(D2979,Data!$A$2:$D$223100,2,FALSE)),0,1)</f>
        <v>0</v>
      </c>
      <c r="N2979" s="3">
        <f t="shared" si="93"/>
        <v>0</v>
      </c>
      <c r="O2979" s="3" t="str">
        <f>IF(ISERROR(VLOOKUP(D2979,Data!$A$2:$C$223100,3,FALSE)),"INACTIVE",VLOOKUP(D2979,Data!$A$2:$C$223100,3,FALSE))</f>
        <v>INACTIVE</v>
      </c>
    </row>
    <row r="2980" spans="1:15" x14ac:dyDescent="0.25">
      <c r="A2980" t="s">
        <v>3755</v>
      </c>
      <c r="B2980" t="s">
        <v>3756</v>
      </c>
      <c r="C2980" t="s">
        <v>3771</v>
      </c>
      <c r="D2980" t="s">
        <v>3772</v>
      </c>
      <c r="E2980" t="s">
        <v>3773</v>
      </c>
      <c r="F2980" t="s">
        <v>5</v>
      </c>
      <c r="G2980" t="s">
        <v>5</v>
      </c>
      <c r="H2980" t="s">
        <v>5</v>
      </c>
      <c r="I2980" t="s">
        <v>713</v>
      </c>
      <c r="J2980" t="s">
        <v>7</v>
      </c>
      <c r="K2980" s="3">
        <f t="shared" si="92"/>
        <v>0</v>
      </c>
      <c r="L2980" s="3">
        <f>IF(ISERROR(VLOOKUP(J2980,Lookups!$A$2:$A$16,1,FALSE)),1,0)</f>
        <v>1</v>
      </c>
      <c r="M2980" s="3">
        <f>IF(ISERROR(VLOOKUP(D2980,Data!$A$2:$D$223100,2,FALSE)),0,1)</f>
        <v>0</v>
      </c>
      <c r="N2980" s="3">
        <f t="shared" si="93"/>
        <v>0</v>
      </c>
      <c r="O2980" s="3" t="str">
        <f>IF(ISERROR(VLOOKUP(D2980,Data!$A$2:$C$223100,3,FALSE)),"INACTIVE",VLOOKUP(D2980,Data!$A$2:$C$223100,3,FALSE))</f>
        <v>INACTIVE</v>
      </c>
    </row>
    <row r="2981" spans="1:15" x14ac:dyDescent="0.25">
      <c r="A2981" t="s">
        <v>3755</v>
      </c>
      <c r="B2981" t="s">
        <v>3756</v>
      </c>
      <c r="C2981" t="s">
        <v>3774</v>
      </c>
      <c r="D2981" t="s">
        <v>3775</v>
      </c>
      <c r="E2981" t="s">
        <v>3776</v>
      </c>
      <c r="F2981" t="s">
        <v>5</v>
      </c>
      <c r="G2981" t="s">
        <v>5</v>
      </c>
      <c r="H2981" t="s">
        <v>5</v>
      </c>
      <c r="I2981" t="s">
        <v>713</v>
      </c>
      <c r="J2981" t="s">
        <v>96</v>
      </c>
      <c r="K2981" s="3">
        <f t="shared" si="92"/>
        <v>0</v>
      </c>
      <c r="L2981" s="3">
        <f>IF(ISERROR(VLOOKUP(J2981,Lookups!$A$2:$A$16,1,FALSE)),1,0)</f>
        <v>0</v>
      </c>
      <c r="M2981" s="3">
        <f>IF(ISERROR(VLOOKUP(D2981,Data!$A$2:$D$223100,2,FALSE)),0,1)</f>
        <v>1</v>
      </c>
      <c r="N2981" s="3">
        <f t="shared" si="93"/>
        <v>0</v>
      </c>
      <c r="O2981" s="3" t="str">
        <f>IF(ISERROR(VLOOKUP(D2981,Data!$A$2:$C$223100,3,FALSE)),"INACTIVE",VLOOKUP(D2981,Data!$A$2:$C$223100,3,FALSE))</f>
        <v>Current</v>
      </c>
    </row>
    <row r="2982" spans="1:15" x14ac:dyDescent="0.25">
      <c r="A2982" t="s">
        <v>3755</v>
      </c>
      <c r="B2982" t="s">
        <v>3756</v>
      </c>
      <c r="C2982" t="s">
        <v>3774</v>
      </c>
      <c r="D2982" t="s">
        <v>3775</v>
      </c>
      <c r="E2982" t="s">
        <v>3777</v>
      </c>
      <c r="F2982" t="s">
        <v>5</v>
      </c>
      <c r="G2982" t="s">
        <v>5</v>
      </c>
      <c r="H2982" t="s">
        <v>5</v>
      </c>
      <c r="I2982" t="s">
        <v>713</v>
      </c>
      <c r="J2982" t="s">
        <v>96</v>
      </c>
      <c r="K2982" s="3">
        <f t="shared" si="92"/>
        <v>0</v>
      </c>
      <c r="L2982" s="3">
        <f>IF(ISERROR(VLOOKUP(J2982,Lookups!$A$2:$A$16,1,FALSE)),1,0)</f>
        <v>0</v>
      </c>
      <c r="M2982" s="3">
        <f>IF(ISERROR(VLOOKUP(D2982,Data!$A$2:$D$223100,2,FALSE)),0,1)</f>
        <v>1</v>
      </c>
      <c r="N2982" s="3">
        <f t="shared" si="93"/>
        <v>0</v>
      </c>
      <c r="O2982" s="3" t="str">
        <f>IF(ISERROR(VLOOKUP(D2982,Data!$A$2:$C$223100,3,FALSE)),"INACTIVE",VLOOKUP(D2982,Data!$A$2:$C$223100,3,FALSE))</f>
        <v>Current</v>
      </c>
    </row>
    <row r="2983" spans="1:15" x14ac:dyDescent="0.25">
      <c r="A2983" t="s">
        <v>3755</v>
      </c>
      <c r="B2983" t="s">
        <v>3756</v>
      </c>
      <c r="C2983" t="s">
        <v>3778</v>
      </c>
      <c r="D2983" t="s">
        <v>3779</v>
      </c>
      <c r="E2983" t="s">
        <v>3780</v>
      </c>
      <c r="F2983" t="s">
        <v>5</v>
      </c>
      <c r="G2983" t="s">
        <v>5</v>
      </c>
      <c r="H2983" t="s">
        <v>5</v>
      </c>
      <c r="I2983" t="s">
        <v>713</v>
      </c>
      <c r="J2983" t="s">
        <v>7</v>
      </c>
      <c r="K2983" s="3">
        <f t="shared" si="92"/>
        <v>0</v>
      </c>
      <c r="L2983" s="3">
        <f>IF(ISERROR(VLOOKUP(J2983,Lookups!$A$2:$A$16,1,FALSE)),1,0)</f>
        <v>1</v>
      </c>
      <c r="M2983" s="3">
        <f>IF(ISERROR(VLOOKUP(D2983,Data!$A$2:$D$223100,2,FALSE)),0,1)</f>
        <v>0</v>
      </c>
      <c r="N2983" s="3">
        <f t="shared" si="93"/>
        <v>0</v>
      </c>
      <c r="O2983" s="3" t="str">
        <f>IF(ISERROR(VLOOKUP(D2983,Data!$A$2:$C$223100,3,FALSE)),"INACTIVE",VLOOKUP(D2983,Data!$A$2:$C$223100,3,FALSE))</f>
        <v>INACTIVE</v>
      </c>
    </row>
    <row r="2984" spans="1:15" x14ac:dyDescent="0.25">
      <c r="A2984" t="s">
        <v>3755</v>
      </c>
      <c r="B2984" t="s">
        <v>3756</v>
      </c>
      <c r="C2984" t="s">
        <v>3781</v>
      </c>
      <c r="D2984" t="s">
        <v>3782</v>
      </c>
      <c r="E2984" t="s">
        <v>3783</v>
      </c>
      <c r="F2984" t="s">
        <v>5</v>
      </c>
      <c r="G2984" t="s">
        <v>5</v>
      </c>
      <c r="H2984" t="s">
        <v>5</v>
      </c>
      <c r="I2984" t="s">
        <v>713</v>
      </c>
      <c r="J2984" t="s">
        <v>96</v>
      </c>
      <c r="K2984" s="3">
        <f t="shared" si="92"/>
        <v>0</v>
      </c>
      <c r="L2984" s="3">
        <f>IF(ISERROR(VLOOKUP(J2984,Lookups!$A$2:$A$16,1,FALSE)),1,0)</f>
        <v>0</v>
      </c>
      <c r="M2984" s="3">
        <f>IF(ISERROR(VLOOKUP(D2984,Data!$A$2:$D$223100,2,FALSE)),0,1)</f>
        <v>1</v>
      </c>
      <c r="N2984" s="3">
        <f t="shared" si="93"/>
        <v>0</v>
      </c>
      <c r="O2984" s="3" t="str">
        <f>IF(ISERROR(VLOOKUP(D2984,Data!$A$2:$C$223100,3,FALSE)),"INACTIVE",VLOOKUP(D2984,Data!$A$2:$C$223100,3,FALSE))</f>
        <v>Current</v>
      </c>
    </row>
    <row r="2985" spans="1:15" x14ac:dyDescent="0.25">
      <c r="A2985" t="s">
        <v>3755</v>
      </c>
      <c r="B2985" t="s">
        <v>3756</v>
      </c>
      <c r="C2985" t="s">
        <v>3781</v>
      </c>
      <c r="D2985" t="s">
        <v>3782</v>
      </c>
      <c r="E2985" t="s">
        <v>3784</v>
      </c>
      <c r="F2985" t="s">
        <v>5</v>
      </c>
      <c r="G2985" t="s">
        <v>5</v>
      </c>
      <c r="H2985" t="s">
        <v>5</v>
      </c>
      <c r="I2985" t="s">
        <v>713</v>
      </c>
      <c r="J2985" t="s">
        <v>96</v>
      </c>
      <c r="K2985" s="3">
        <f t="shared" si="92"/>
        <v>0</v>
      </c>
      <c r="L2985" s="3">
        <f>IF(ISERROR(VLOOKUP(J2985,Lookups!$A$2:$A$16,1,FALSE)),1,0)</f>
        <v>0</v>
      </c>
      <c r="M2985" s="3">
        <f>IF(ISERROR(VLOOKUP(D2985,Data!$A$2:$D$223100,2,FALSE)),0,1)</f>
        <v>1</v>
      </c>
      <c r="N2985" s="3">
        <f t="shared" si="93"/>
        <v>0</v>
      </c>
      <c r="O2985" s="3" t="str">
        <f>IF(ISERROR(VLOOKUP(D2985,Data!$A$2:$C$223100,3,FALSE)),"INACTIVE",VLOOKUP(D2985,Data!$A$2:$C$223100,3,FALSE))</f>
        <v>Current</v>
      </c>
    </row>
    <row r="2986" spans="1:15" x14ac:dyDescent="0.25">
      <c r="A2986" t="s">
        <v>3755</v>
      </c>
      <c r="B2986" t="s">
        <v>3756</v>
      </c>
      <c r="C2986" t="s">
        <v>3785</v>
      </c>
      <c r="D2986" t="s">
        <v>3786</v>
      </c>
      <c r="E2986" t="s">
        <v>3787</v>
      </c>
      <c r="F2986" t="s">
        <v>5</v>
      </c>
      <c r="G2986" t="s">
        <v>5</v>
      </c>
      <c r="H2986" t="s">
        <v>5</v>
      </c>
      <c r="I2986" t="s">
        <v>713</v>
      </c>
      <c r="J2986" t="s">
        <v>96</v>
      </c>
      <c r="K2986" s="3">
        <f t="shared" si="92"/>
        <v>0</v>
      </c>
      <c r="L2986" s="3">
        <f>IF(ISERROR(VLOOKUP(J2986,Lookups!$A$2:$A$16,1,FALSE)),1,0)</f>
        <v>0</v>
      </c>
      <c r="M2986" s="3">
        <f>IF(ISERROR(VLOOKUP(D2986,Data!$A$2:$D$223100,2,FALSE)),0,1)</f>
        <v>1</v>
      </c>
      <c r="N2986" s="3">
        <f t="shared" si="93"/>
        <v>0</v>
      </c>
      <c r="O2986" s="3" t="str">
        <f>IF(ISERROR(VLOOKUP(D2986,Data!$A$2:$C$223100,3,FALSE)),"INACTIVE",VLOOKUP(D2986,Data!$A$2:$C$223100,3,FALSE))</f>
        <v>FC</v>
      </c>
    </row>
    <row r="2987" spans="1:15" x14ac:dyDescent="0.25">
      <c r="A2987" t="s">
        <v>3755</v>
      </c>
      <c r="B2987" t="s">
        <v>3756</v>
      </c>
      <c r="C2987" t="s">
        <v>3785</v>
      </c>
      <c r="D2987" t="s">
        <v>3786</v>
      </c>
      <c r="E2987" t="s">
        <v>3788</v>
      </c>
      <c r="F2987" t="s">
        <v>5</v>
      </c>
      <c r="G2987" t="s">
        <v>5</v>
      </c>
      <c r="H2987" t="s">
        <v>5</v>
      </c>
      <c r="I2987" t="s">
        <v>713</v>
      </c>
      <c r="J2987" t="s">
        <v>96</v>
      </c>
      <c r="K2987" s="3">
        <f t="shared" si="92"/>
        <v>0</v>
      </c>
      <c r="L2987" s="3">
        <f>IF(ISERROR(VLOOKUP(J2987,Lookups!$A$2:$A$16,1,FALSE)),1,0)</f>
        <v>0</v>
      </c>
      <c r="M2987" s="3">
        <f>IF(ISERROR(VLOOKUP(D2987,Data!$A$2:$D$223100,2,FALSE)),0,1)</f>
        <v>1</v>
      </c>
      <c r="N2987" s="3">
        <f t="shared" si="93"/>
        <v>0</v>
      </c>
      <c r="O2987" s="3" t="str">
        <f>IF(ISERROR(VLOOKUP(D2987,Data!$A$2:$C$223100,3,FALSE)),"INACTIVE",VLOOKUP(D2987,Data!$A$2:$C$223100,3,FALSE))</f>
        <v>FC</v>
      </c>
    </row>
    <row r="2988" spans="1:15" x14ac:dyDescent="0.25">
      <c r="A2988" t="s">
        <v>3755</v>
      </c>
      <c r="B2988" t="s">
        <v>3756</v>
      </c>
      <c r="C2988" t="s">
        <v>3789</v>
      </c>
      <c r="D2988" t="s">
        <v>3790</v>
      </c>
      <c r="E2988" t="s">
        <v>3791</v>
      </c>
      <c r="F2988" t="s">
        <v>5</v>
      </c>
      <c r="G2988" t="s">
        <v>5</v>
      </c>
      <c r="H2988" t="s">
        <v>5</v>
      </c>
      <c r="I2988" t="s">
        <v>713</v>
      </c>
      <c r="J2988" t="s">
        <v>96</v>
      </c>
      <c r="K2988" s="3">
        <f t="shared" si="92"/>
        <v>0</v>
      </c>
      <c r="L2988" s="3">
        <f>IF(ISERROR(VLOOKUP(J2988,Lookups!$A$2:$A$16,1,FALSE)),1,0)</f>
        <v>0</v>
      </c>
      <c r="M2988" s="3">
        <f>IF(ISERROR(VLOOKUP(D2988,Data!$A$2:$D$223100,2,FALSE)),0,1)</f>
        <v>1</v>
      </c>
      <c r="N2988" s="3">
        <f t="shared" si="93"/>
        <v>0</v>
      </c>
      <c r="O2988" s="3" t="str">
        <f>IF(ISERROR(VLOOKUP(D2988,Data!$A$2:$C$223100,3,FALSE)),"INACTIVE",VLOOKUP(D2988,Data!$A$2:$C$223100,3,FALSE))</f>
        <v>FC</v>
      </c>
    </row>
    <row r="2989" spans="1:15" x14ac:dyDescent="0.25">
      <c r="A2989" t="s">
        <v>3755</v>
      </c>
      <c r="B2989" t="s">
        <v>3756</v>
      </c>
      <c r="C2989" t="s">
        <v>3789</v>
      </c>
      <c r="D2989" t="s">
        <v>3790</v>
      </c>
      <c r="E2989" t="s">
        <v>3792</v>
      </c>
      <c r="F2989" t="s">
        <v>5</v>
      </c>
      <c r="G2989" t="s">
        <v>5</v>
      </c>
      <c r="H2989" t="s">
        <v>5</v>
      </c>
      <c r="I2989" t="s">
        <v>713</v>
      </c>
      <c r="J2989" t="s">
        <v>96</v>
      </c>
      <c r="K2989" s="3">
        <f t="shared" si="92"/>
        <v>0</v>
      </c>
      <c r="L2989" s="3">
        <f>IF(ISERROR(VLOOKUP(J2989,Lookups!$A$2:$A$16,1,FALSE)),1,0)</f>
        <v>0</v>
      </c>
      <c r="M2989" s="3">
        <f>IF(ISERROR(VLOOKUP(D2989,Data!$A$2:$D$223100,2,FALSE)),0,1)</f>
        <v>1</v>
      </c>
      <c r="N2989" s="3">
        <f t="shared" si="93"/>
        <v>0</v>
      </c>
      <c r="O2989" s="3" t="str">
        <f>IF(ISERROR(VLOOKUP(D2989,Data!$A$2:$C$223100,3,FALSE)),"INACTIVE",VLOOKUP(D2989,Data!$A$2:$C$223100,3,FALSE))</f>
        <v>FC</v>
      </c>
    </row>
    <row r="2990" spans="1:15" x14ac:dyDescent="0.25">
      <c r="A2990" t="s">
        <v>3755</v>
      </c>
      <c r="B2990" t="s">
        <v>3756</v>
      </c>
      <c r="C2990" t="s">
        <v>3789</v>
      </c>
      <c r="D2990" t="s">
        <v>3790</v>
      </c>
      <c r="E2990" t="s">
        <v>3793</v>
      </c>
      <c r="F2990" t="s">
        <v>5</v>
      </c>
      <c r="G2990" t="s">
        <v>5</v>
      </c>
      <c r="H2990" t="s">
        <v>5</v>
      </c>
      <c r="I2990" t="s">
        <v>713</v>
      </c>
      <c r="J2990" t="s">
        <v>96</v>
      </c>
      <c r="K2990" s="3">
        <f t="shared" si="92"/>
        <v>0</v>
      </c>
      <c r="L2990" s="3">
        <f>IF(ISERROR(VLOOKUP(J2990,Lookups!$A$2:$A$16,1,FALSE)),1,0)</f>
        <v>0</v>
      </c>
      <c r="M2990" s="3">
        <f>IF(ISERROR(VLOOKUP(D2990,Data!$A$2:$D$223100,2,FALSE)),0,1)</f>
        <v>1</v>
      </c>
      <c r="N2990" s="3">
        <f t="shared" si="93"/>
        <v>0</v>
      </c>
      <c r="O2990" s="3" t="str">
        <f>IF(ISERROR(VLOOKUP(D2990,Data!$A$2:$C$223100,3,FALSE)),"INACTIVE",VLOOKUP(D2990,Data!$A$2:$C$223100,3,FALSE))</f>
        <v>FC</v>
      </c>
    </row>
    <row r="2991" spans="1:15" x14ac:dyDescent="0.25">
      <c r="A2991" t="s">
        <v>3755</v>
      </c>
      <c r="B2991" t="s">
        <v>3756</v>
      </c>
      <c r="C2991" t="s">
        <v>3794</v>
      </c>
      <c r="D2991" t="s">
        <v>3795</v>
      </c>
      <c r="E2991" t="s">
        <v>3796</v>
      </c>
      <c r="F2991" t="s">
        <v>5</v>
      </c>
      <c r="G2991" t="s">
        <v>5</v>
      </c>
      <c r="H2991" t="s">
        <v>5</v>
      </c>
      <c r="I2991" t="s">
        <v>713</v>
      </c>
      <c r="J2991" t="s">
        <v>7</v>
      </c>
      <c r="K2991" s="3">
        <f t="shared" si="92"/>
        <v>0</v>
      </c>
      <c r="L2991" s="3">
        <f>IF(ISERROR(VLOOKUP(J2991,Lookups!$A$2:$A$16,1,FALSE)),1,0)</f>
        <v>1</v>
      </c>
      <c r="M2991" s="3">
        <f>IF(ISERROR(VLOOKUP(D2991,Data!$A$2:$D$223100,2,FALSE)),0,1)</f>
        <v>1</v>
      </c>
      <c r="N2991" s="3">
        <f t="shared" si="93"/>
        <v>1</v>
      </c>
      <c r="O2991" s="3" t="str">
        <f>IF(ISERROR(VLOOKUP(D2991,Data!$A$2:$C$223100,3,FALSE)),"INACTIVE",VLOOKUP(D2991,Data!$A$2:$C$223100,3,FALSE))</f>
        <v>Demand Letter</v>
      </c>
    </row>
    <row r="2992" spans="1:15" x14ac:dyDescent="0.25">
      <c r="A2992" t="s">
        <v>3755</v>
      </c>
      <c r="B2992" t="s">
        <v>3756</v>
      </c>
      <c r="C2992" t="s">
        <v>3797</v>
      </c>
      <c r="D2992" t="s">
        <v>3798</v>
      </c>
      <c r="E2992" t="s">
        <v>3799</v>
      </c>
      <c r="F2992" t="s">
        <v>5</v>
      </c>
      <c r="G2992" t="s">
        <v>5</v>
      </c>
      <c r="H2992" t="s">
        <v>5</v>
      </c>
      <c r="I2992" t="s">
        <v>713</v>
      </c>
      <c r="J2992" t="s">
        <v>96</v>
      </c>
      <c r="K2992" s="3">
        <f t="shared" si="92"/>
        <v>0</v>
      </c>
      <c r="L2992" s="3">
        <f>IF(ISERROR(VLOOKUP(J2992,Lookups!$A$2:$A$16,1,FALSE)),1,0)</f>
        <v>0</v>
      </c>
      <c r="M2992" s="3">
        <f>IF(ISERROR(VLOOKUP(D2992,Data!$A$2:$D$223100,2,FALSE)),0,1)</f>
        <v>1</v>
      </c>
      <c r="N2992" s="3">
        <f t="shared" si="93"/>
        <v>0</v>
      </c>
      <c r="O2992" s="3" t="str">
        <f>IF(ISERROR(VLOOKUP(D2992,Data!$A$2:$C$223100,3,FALSE)),"INACTIVE",VLOOKUP(D2992,Data!$A$2:$C$223100,3,FALSE))</f>
        <v>Current</v>
      </c>
    </row>
    <row r="2993" spans="1:15" x14ac:dyDescent="0.25">
      <c r="A2993" t="s">
        <v>3755</v>
      </c>
      <c r="B2993" t="s">
        <v>3756</v>
      </c>
      <c r="C2993" t="s">
        <v>3797</v>
      </c>
      <c r="D2993" t="s">
        <v>3798</v>
      </c>
      <c r="E2993" t="s">
        <v>3800</v>
      </c>
      <c r="F2993" t="s">
        <v>5</v>
      </c>
      <c r="G2993" t="s">
        <v>5</v>
      </c>
      <c r="H2993" t="s">
        <v>5</v>
      </c>
      <c r="I2993" t="s">
        <v>713</v>
      </c>
      <c r="J2993" t="s">
        <v>96</v>
      </c>
      <c r="K2993" s="3">
        <f t="shared" si="92"/>
        <v>0</v>
      </c>
      <c r="L2993" s="3">
        <f>IF(ISERROR(VLOOKUP(J2993,Lookups!$A$2:$A$16,1,FALSE)),1,0)</f>
        <v>0</v>
      </c>
      <c r="M2993" s="3">
        <f>IF(ISERROR(VLOOKUP(D2993,Data!$A$2:$D$223100,2,FALSE)),0,1)</f>
        <v>1</v>
      </c>
      <c r="N2993" s="3">
        <f t="shared" si="93"/>
        <v>0</v>
      </c>
      <c r="O2993" s="3" t="str">
        <f>IF(ISERROR(VLOOKUP(D2993,Data!$A$2:$C$223100,3,FALSE)),"INACTIVE",VLOOKUP(D2993,Data!$A$2:$C$223100,3,FALSE))</f>
        <v>Current</v>
      </c>
    </row>
    <row r="2994" spans="1:15" x14ac:dyDescent="0.25">
      <c r="A2994" t="s">
        <v>3755</v>
      </c>
      <c r="B2994" t="s">
        <v>3756</v>
      </c>
      <c r="C2994" t="s">
        <v>3801</v>
      </c>
      <c r="D2994" t="s">
        <v>3802</v>
      </c>
      <c r="E2994" t="s">
        <v>3803</v>
      </c>
      <c r="F2994" t="s">
        <v>5</v>
      </c>
      <c r="G2994" t="s">
        <v>5</v>
      </c>
      <c r="H2994" t="s">
        <v>5</v>
      </c>
      <c r="I2994" t="s">
        <v>713</v>
      </c>
      <c r="J2994" t="s">
        <v>7</v>
      </c>
      <c r="K2994" s="3">
        <f t="shared" si="92"/>
        <v>0</v>
      </c>
      <c r="L2994" s="3">
        <f>IF(ISERROR(VLOOKUP(J2994,Lookups!$A$2:$A$16,1,FALSE)),1,0)</f>
        <v>1</v>
      </c>
      <c r="M2994" s="3">
        <f>IF(ISERROR(VLOOKUP(D2994,Data!$A$2:$D$223100,2,FALSE)),0,1)</f>
        <v>0</v>
      </c>
      <c r="N2994" s="3">
        <f t="shared" si="93"/>
        <v>0</v>
      </c>
      <c r="O2994" s="3" t="str">
        <f>IF(ISERROR(VLOOKUP(D2994,Data!$A$2:$C$223100,3,FALSE)),"INACTIVE",VLOOKUP(D2994,Data!$A$2:$C$223100,3,FALSE))</f>
        <v>INACTIVE</v>
      </c>
    </row>
    <row r="2995" spans="1:15" x14ac:dyDescent="0.25">
      <c r="A2995" t="s">
        <v>3755</v>
      </c>
      <c r="B2995" t="s">
        <v>3756</v>
      </c>
      <c r="C2995" t="s">
        <v>3804</v>
      </c>
      <c r="D2995" t="s">
        <v>3805</v>
      </c>
      <c r="E2995" t="s">
        <v>3806</v>
      </c>
      <c r="F2995" t="s">
        <v>5</v>
      </c>
      <c r="G2995" t="s">
        <v>5</v>
      </c>
      <c r="H2995" t="s">
        <v>5</v>
      </c>
      <c r="I2995" t="s">
        <v>713</v>
      </c>
      <c r="J2995" t="s">
        <v>7</v>
      </c>
      <c r="K2995" s="3">
        <f t="shared" si="92"/>
        <v>0</v>
      </c>
      <c r="L2995" s="3">
        <f>IF(ISERROR(VLOOKUP(J2995,Lookups!$A$2:$A$16,1,FALSE)),1,0)</f>
        <v>1</v>
      </c>
      <c r="M2995" s="3">
        <f>IF(ISERROR(VLOOKUP(D2995,Data!$A$2:$D$223100,2,FALSE)),0,1)</f>
        <v>1</v>
      </c>
      <c r="N2995" s="3">
        <f t="shared" si="93"/>
        <v>1</v>
      </c>
      <c r="O2995" s="3" t="str">
        <f>IF(ISERROR(VLOOKUP(D2995,Data!$A$2:$C$223100,3,FALSE)),"INACTIVE",VLOOKUP(D2995,Data!$A$2:$C$223100,3,FALSE))</f>
        <v>90+</v>
      </c>
    </row>
    <row r="2996" spans="1:15" x14ac:dyDescent="0.25">
      <c r="A2996" t="s">
        <v>3755</v>
      </c>
      <c r="B2996" t="s">
        <v>3756</v>
      </c>
      <c r="C2996" t="s">
        <v>3807</v>
      </c>
      <c r="D2996" t="s">
        <v>3808</v>
      </c>
      <c r="E2996" t="s">
        <v>3809</v>
      </c>
      <c r="F2996" t="s">
        <v>5</v>
      </c>
      <c r="G2996" t="s">
        <v>5</v>
      </c>
      <c r="H2996" t="s">
        <v>5</v>
      </c>
      <c r="I2996" t="s">
        <v>713</v>
      </c>
      <c r="J2996" t="s">
        <v>7</v>
      </c>
      <c r="K2996" s="3">
        <f t="shared" si="92"/>
        <v>0</v>
      </c>
      <c r="L2996" s="3">
        <f>IF(ISERROR(VLOOKUP(J2996,Lookups!$A$2:$A$16,1,FALSE)),1,0)</f>
        <v>1</v>
      </c>
      <c r="M2996" s="3">
        <f>IF(ISERROR(VLOOKUP(D2996,Data!$A$2:$D$223100,2,FALSE)),0,1)</f>
        <v>1</v>
      </c>
      <c r="N2996" s="3">
        <f t="shared" si="93"/>
        <v>1</v>
      </c>
      <c r="O2996" s="3" t="str">
        <f>IF(ISERROR(VLOOKUP(D2996,Data!$A$2:$C$223100,3,FALSE)),"INACTIVE",VLOOKUP(D2996,Data!$A$2:$C$223100,3,FALSE))</f>
        <v>FC</v>
      </c>
    </row>
    <row r="2997" spans="1:15" x14ac:dyDescent="0.25">
      <c r="A2997" t="s">
        <v>858</v>
      </c>
      <c r="B2997" t="s">
        <v>859</v>
      </c>
      <c r="C2997" t="s">
        <v>860</v>
      </c>
      <c r="D2997" t="s">
        <v>861</v>
      </c>
      <c r="E2997" t="s">
        <v>862</v>
      </c>
      <c r="F2997" t="s">
        <v>5</v>
      </c>
      <c r="G2997" t="s">
        <v>5</v>
      </c>
      <c r="H2997" t="s">
        <v>5</v>
      </c>
      <c r="I2997" t="s">
        <v>863</v>
      </c>
      <c r="J2997" t="s">
        <v>90</v>
      </c>
      <c r="K2997" s="3">
        <f t="shared" si="92"/>
        <v>0</v>
      </c>
      <c r="L2997" s="3">
        <f>IF(ISERROR(VLOOKUP(J2997,Lookups!$A$2:$A$16,1,FALSE)),1,0)</f>
        <v>0</v>
      </c>
      <c r="M2997" s="3">
        <f>IF(ISERROR(VLOOKUP(D2997,Data!$A$2:$D$223100,2,FALSE)),0,1)</f>
        <v>1</v>
      </c>
      <c r="N2997" s="3">
        <f t="shared" si="93"/>
        <v>0</v>
      </c>
      <c r="O2997" s="3" t="str">
        <f>IF(ISERROR(VLOOKUP(D2997,Data!$A$2:$C$223100,3,FALSE)),"INACTIVE",VLOOKUP(D2997,Data!$A$2:$C$223100,3,FALSE))</f>
        <v>180+</v>
      </c>
    </row>
    <row r="2998" spans="1:15" x14ac:dyDescent="0.25">
      <c r="A2998" t="s">
        <v>1359</v>
      </c>
      <c r="B2998" t="s">
        <v>1360</v>
      </c>
      <c r="C2998" t="s">
        <v>1361</v>
      </c>
      <c r="D2998" t="s">
        <v>1362</v>
      </c>
      <c r="E2998" t="s">
        <v>1363</v>
      </c>
      <c r="F2998" t="s">
        <v>5</v>
      </c>
      <c r="G2998" t="s">
        <v>5</v>
      </c>
      <c r="H2998" t="s">
        <v>5</v>
      </c>
      <c r="I2998" t="s">
        <v>863</v>
      </c>
      <c r="J2998" t="s">
        <v>90</v>
      </c>
      <c r="K2998" s="3">
        <f t="shared" si="92"/>
        <v>0</v>
      </c>
      <c r="L2998" s="3">
        <f>IF(ISERROR(VLOOKUP(J2998,Lookups!$A$2:$A$16,1,FALSE)),1,0)</f>
        <v>0</v>
      </c>
      <c r="M2998" s="3">
        <f>IF(ISERROR(VLOOKUP(D2998,Data!$A$2:$D$223100,2,FALSE)),0,1)</f>
        <v>1</v>
      </c>
      <c r="N2998" s="3">
        <f t="shared" si="93"/>
        <v>0</v>
      </c>
      <c r="O2998" s="3" t="str">
        <f>IF(ISERROR(VLOOKUP(D2998,Data!$A$2:$C$223100,3,FALSE)),"INACTIVE",VLOOKUP(D2998,Data!$A$2:$C$223100,3,FALSE))</f>
        <v>Current</v>
      </c>
    </row>
    <row r="2999" spans="1:15" x14ac:dyDescent="0.25">
      <c r="A2999" t="s">
        <v>3026</v>
      </c>
      <c r="B2999" t="s">
        <v>3027</v>
      </c>
      <c r="C2999" t="s">
        <v>3028</v>
      </c>
      <c r="D2999" t="s">
        <v>3029</v>
      </c>
      <c r="E2999" t="s">
        <v>3030</v>
      </c>
      <c r="F2999" t="s">
        <v>3030</v>
      </c>
      <c r="G2999" t="s">
        <v>5</v>
      </c>
      <c r="H2999" t="s">
        <v>5</v>
      </c>
      <c r="I2999" t="s">
        <v>863</v>
      </c>
      <c r="J2999" t="s">
        <v>40</v>
      </c>
      <c r="K2999" s="3">
        <f t="shared" si="92"/>
        <v>0</v>
      </c>
      <c r="L2999" s="3">
        <f>IF(ISERROR(VLOOKUP(J2999,Lookups!$A$2:$A$16,1,FALSE)),1,0)</f>
        <v>1</v>
      </c>
      <c r="M2999" s="3">
        <f>IF(ISERROR(VLOOKUP(D2999,Data!$A$2:$D$223100,2,FALSE)),0,1)</f>
        <v>1</v>
      </c>
      <c r="N2999" s="3">
        <f t="shared" si="93"/>
        <v>1</v>
      </c>
      <c r="O2999" s="3" t="str">
        <f>IF(ISERROR(VLOOKUP(D2999,Data!$A$2:$C$223100,3,FALSE)),"INACTIVE",VLOOKUP(D2999,Data!$A$2:$C$223100,3,FALSE))</f>
        <v>FC</v>
      </c>
    </row>
    <row r="3000" spans="1:15" x14ac:dyDescent="0.25">
      <c r="A3000" t="s">
        <v>3026</v>
      </c>
      <c r="B3000" t="s">
        <v>3027</v>
      </c>
      <c r="C3000" t="s">
        <v>3031</v>
      </c>
      <c r="D3000" t="s">
        <v>3032</v>
      </c>
      <c r="E3000" t="s">
        <v>3033</v>
      </c>
      <c r="F3000" t="s">
        <v>3033</v>
      </c>
      <c r="G3000" t="s">
        <v>5</v>
      </c>
      <c r="H3000" t="s">
        <v>5</v>
      </c>
      <c r="I3000" t="s">
        <v>863</v>
      </c>
      <c r="J3000" t="s">
        <v>40</v>
      </c>
      <c r="K3000" s="3">
        <f t="shared" si="92"/>
        <v>0</v>
      </c>
      <c r="L3000" s="3">
        <f>IF(ISERROR(VLOOKUP(J3000,Lookups!$A$2:$A$16,1,FALSE)),1,0)</f>
        <v>1</v>
      </c>
      <c r="M3000" s="3">
        <f>IF(ISERROR(VLOOKUP(D3000,Data!$A$2:$D$223100,2,FALSE)),0,1)</f>
        <v>1</v>
      </c>
      <c r="N3000" s="3">
        <f t="shared" si="93"/>
        <v>1</v>
      </c>
      <c r="O3000" s="3" t="str">
        <f>IF(ISERROR(VLOOKUP(D3000,Data!$A$2:$C$223100,3,FALSE)),"INACTIVE",VLOOKUP(D3000,Data!$A$2:$C$223100,3,FALSE))</f>
        <v>60+</v>
      </c>
    </row>
    <row r="3001" spans="1:15" x14ac:dyDescent="0.25">
      <c r="A3001" t="s">
        <v>3026</v>
      </c>
      <c r="B3001" t="s">
        <v>3027</v>
      </c>
      <c r="C3001" t="s">
        <v>3034</v>
      </c>
      <c r="D3001" t="s">
        <v>3035</v>
      </c>
      <c r="E3001" t="s">
        <v>3036</v>
      </c>
      <c r="F3001" t="s">
        <v>3036</v>
      </c>
      <c r="G3001" t="s">
        <v>5</v>
      </c>
      <c r="H3001" t="s">
        <v>5</v>
      </c>
      <c r="I3001" t="s">
        <v>863</v>
      </c>
      <c r="J3001" t="s">
        <v>40</v>
      </c>
      <c r="K3001" s="3">
        <f t="shared" si="92"/>
        <v>0</v>
      </c>
      <c r="L3001" s="3">
        <f>IF(ISERROR(VLOOKUP(J3001,Lookups!$A$2:$A$16,1,FALSE)),1,0)</f>
        <v>1</v>
      </c>
      <c r="M3001" s="3">
        <f>IF(ISERROR(VLOOKUP(D3001,Data!$A$2:$D$223100,2,FALSE)),0,1)</f>
        <v>1</v>
      </c>
      <c r="N3001" s="3">
        <f t="shared" si="93"/>
        <v>1</v>
      </c>
      <c r="O3001" s="3" t="str">
        <f>IF(ISERROR(VLOOKUP(D3001,Data!$A$2:$C$223100,3,FALSE)),"INACTIVE",VLOOKUP(D3001,Data!$A$2:$C$223100,3,FALSE))</f>
        <v>Current</v>
      </c>
    </row>
    <row r="3002" spans="1:15" x14ac:dyDescent="0.25">
      <c r="A3002" t="s">
        <v>3026</v>
      </c>
      <c r="B3002" t="s">
        <v>3027</v>
      </c>
      <c r="C3002" t="s">
        <v>3037</v>
      </c>
      <c r="D3002" t="s">
        <v>3038</v>
      </c>
      <c r="E3002" t="s">
        <v>3039</v>
      </c>
      <c r="F3002" t="s">
        <v>3039</v>
      </c>
      <c r="G3002" t="s">
        <v>5</v>
      </c>
      <c r="H3002" t="s">
        <v>5</v>
      </c>
      <c r="I3002" t="s">
        <v>863</v>
      </c>
      <c r="J3002" t="s">
        <v>40</v>
      </c>
      <c r="K3002" s="3">
        <f t="shared" si="92"/>
        <v>0</v>
      </c>
      <c r="L3002" s="3">
        <f>IF(ISERROR(VLOOKUP(J3002,Lookups!$A$2:$A$16,1,FALSE)),1,0)</f>
        <v>1</v>
      </c>
      <c r="M3002" s="3">
        <f>IF(ISERROR(VLOOKUP(D3002,Data!$A$2:$D$223100,2,FALSE)),0,1)</f>
        <v>1</v>
      </c>
      <c r="N3002" s="3">
        <f t="shared" si="93"/>
        <v>1</v>
      </c>
      <c r="O3002" s="3" t="str">
        <f>IF(ISERROR(VLOOKUP(D3002,Data!$A$2:$C$223100,3,FALSE)),"INACTIVE",VLOOKUP(D3002,Data!$A$2:$C$223100,3,FALSE))</f>
        <v>Demand Letter</v>
      </c>
    </row>
    <row r="3003" spans="1:15" x14ac:dyDescent="0.25">
      <c r="A3003" t="s">
        <v>3668</v>
      </c>
      <c r="B3003" t="s">
        <v>3669</v>
      </c>
      <c r="C3003" t="s">
        <v>3670</v>
      </c>
      <c r="D3003" t="s">
        <v>3671</v>
      </c>
      <c r="E3003" t="s">
        <v>3672</v>
      </c>
      <c r="F3003" t="s">
        <v>5</v>
      </c>
      <c r="G3003" t="s">
        <v>5</v>
      </c>
      <c r="H3003" t="s">
        <v>5</v>
      </c>
      <c r="I3003" t="s">
        <v>863</v>
      </c>
      <c r="J3003" t="s">
        <v>90</v>
      </c>
      <c r="K3003" s="3">
        <f t="shared" si="92"/>
        <v>0</v>
      </c>
      <c r="L3003" s="3">
        <f>IF(ISERROR(VLOOKUP(J3003,Lookups!$A$2:$A$16,1,FALSE)),1,0)</f>
        <v>0</v>
      </c>
      <c r="M3003" s="3">
        <f>IF(ISERROR(VLOOKUP(D3003,Data!$A$2:$D$223100,2,FALSE)),0,1)</f>
        <v>1</v>
      </c>
      <c r="N3003" s="3">
        <f t="shared" si="93"/>
        <v>0</v>
      </c>
      <c r="O3003" s="3" t="str">
        <f>IF(ISERROR(VLOOKUP(D3003,Data!$A$2:$C$223100,3,FALSE)),"INACTIVE",VLOOKUP(D3003,Data!$A$2:$C$223100,3,FALSE))</f>
        <v>60+</v>
      </c>
    </row>
    <row r="3004" spans="1:15" x14ac:dyDescent="0.25">
      <c r="A3004" t="s">
        <v>3668</v>
      </c>
      <c r="B3004" t="s">
        <v>3669</v>
      </c>
      <c r="C3004" t="s">
        <v>3670</v>
      </c>
      <c r="D3004" t="s">
        <v>3671</v>
      </c>
      <c r="E3004" t="s">
        <v>3672</v>
      </c>
      <c r="F3004" t="s">
        <v>5</v>
      </c>
      <c r="G3004" t="s">
        <v>5</v>
      </c>
      <c r="H3004" t="s">
        <v>5</v>
      </c>
      <c r="I3004" t="s">
        <v>863</v>
      </c>
      <c r="J3004" t="s">
        <v>90</v>
      </c>
      <c r="K3004" s="3">
        <f t="shared" si="92"/>
        <v>0</v>
      </c>
      <c r="L3004" s="3">
        <f>IF(ISERROR(VLOOKUP(J3004,Lookups!$A$2:$A$16,1,FALSE)),1,0)</f>
        <v>0</v>
      </c>
      <c r="M3004" s="3">
        <f>IF(ISERROR(VLOOKUP(D3004,Data!$A$2:$D$223100,2,FALSE)),0,1)</f>
        <v>1</v>
      </c>
      <c r="N3004" s="3">
        <f t="shared" si="93"/>
        <v>0</v>
      </c>
      <c r="O3004" s="3" t="str">
        <f>IF(ISERROR(VLOOKUP(D3004,Data!$A$2:$C$223100,3,FALSE)),"INACTIVE",VLOOKUP(D3004,Data!$A$2:$C$223100,3,FALSE))</f>
        <v>60+</v>
      </c>
    </row>
    <row r="3005" spans="1:15" x14ac:dyDescent="0.25">
      <c r="A3005" t="s">
        <v>2107</v>
      </c>
      <c r="B3005" t="s">
        <v>3810</v>
      </c>
      <c r="C3005" t="s">
        <v>3811</v>
      </c>
      <c r="D3005" t="s">
        <v>3812</v>
      </c>
      <c r="E3005" t="s">
        <v>3813</v>
      </c>
      <c r="F3005" t="s">
        <v>5</v>
      </c>
      <c r="G3005" t="s">
        <v>5</v>
      </c>
      <c r="H3005" t="s">
        <v>5</v>
      </c>
      <c r="I3005" t="s">
        <v>863</v>
      </c>
      <c r="J3005" t="s">
        <v>7</v>
      </c>
      <c r="K3005" s="3">
        <f t="shared" si="92"/>
        <v>0</v>
      </c>
      <c r="L3005" s="3">
        <f>IF(ISERROR(VLOOKUP(J3005,Lookups!$A$2:$A$16,1,FALSE)),1,0)</f>
        <v>1</v>
      </c>
      <c r="M3005" s="3">
        <f>IF(ISERROR(VLOOKUP(D3005,Data!$A$2:$D$223100,2,FALSE)),0,1)</f>
        <v>1</v>
      </c>
      <c r="N3005" s="3">
        <f t="shared" si="93"/>
        <v>1</v>
      </c>
      <c r="O3005" s="3" t="str">
        <f>IF(ISERROR(VLOOKUP(D3005,Data!$A$2:$C$223100,3,FALSE)),"INACTIVE",VLOOKUP(D3005,Data!$A$2:$C$223100,3,FALSE))</f>
        <v>Demand Letter</v>
      </c>
    </row>
    <row r="3006" spans="1:15" x14ac:dyDescent="0.25">
      <c r="A3006" t="s">
        <v>2107</v>
      </c>
      <c r="B3006" t="s">
        <v>3810</v>
      </c>
      <c r="C3006" t="s">
        <v>3814</v>
      </c>
      <c r="D3006" t="s">
        <v>3815</v>
      </c>
      <c r="E3006" t="s">
        <v>3816</v>
      </c>
      <c r="F3006" t="s">
        <v>5</v>
      </c>
      <c r="G3006" t="s">
        <v>5</v>
      </c>
      <c r="H3006" t="s">
        <v>5</v>
      </c>
      <c r="I3006" t="s">
        <v>863</v>
      </c>
      <c r="J3006" t="s">
        <v>7</v>
      </c>
      <c r="K3006" s="3">
        <f t="shared" si="92"/>
        <v>0</v>
      </c>
      <c r="L3006" s="3">
        <f>IF(ISERROR(VLOOKUP(J3006,Lookups!$A$2:$A$16,1,FALSE)),1,0)</f>
        <v>1</v>
      </c>
      <c r="M3006" s="3">
        <f>IF(ISERROR(VLOOKUP(D3006,Data!$A$2:$D$223100,2,FALSE)),0,1)</f>
        <v>1</v>
      </c>
      <c r="N3006" s="3">
        <f t="shared" si="93"/>
        <v>1</v>
      </c>
      <c r="O3006" s="3" t="str">
        <f>IF(ISERROR(VLOOKUP(D3006,Data!$A$2:$C$223100,3,FALSE)),"INACTIVE",VLOOKUP(D3006,Data!$A$2:$C$223100,3,FALSE))</f>
        <v>FC</v>
      </c>
    </row>
    <row r="3007" spans="1:15" x14ac:dyDescent="0.25">
      <c r="A3007" t="s">
        <v>2107</v>
      </c>
      <c r="B3007" t="s">
        <v>3810</v>
      </c>
      <c r="C3007" t="s">
        <v>3817</v>
      </c>
      <c r="D3007" t="s">
        <v>3818</v>
      </c>
      <c r="E3007" t="s">
        <v>3819</v>
      </c>
      <c r="F3007" t="s">
        <v>5</v>
      </c>
      <c r="G3007" t="s">
        <v>5</v>
      </c>
      <c r="H3007" t="s">
        <v>5</v>
      </c>
      <c r="I3007" t="s">
        <v>863</v>
      </c>
      <c r="J3007" t="s">
        <v>7</v>
      </c>
      <c r="K3007" s="3">
        <f t="shared" si="92"/>
        <v>0</v>
      </c>
      <c r="L3007" s="3">
        <f>IF(ISERROR(VLOOKUP(J3007,Lookups!$A$2:$A$16,1,FALSE)),1,0)</f>
        <v>1</v>
      </c>
      <c r="M3007" s="3">
        <f>IF(ISERROR(VLOOKUP(D3007,Data!$A$2:$D$223100,2,FALSE)),0,1)</f>
        <v>1</v>
      </c>
      <c r="N3007" s="3">
        <f t="shared" si="93"/>
        <v>1</v>
      </c>
      <c r="O3007" s="3" t="str">
        <f>IF(ISERROR(VLOOKUP(D3007,Data!$A$2:$C$223100,3,FALSE)),"INACTIVE",VLOOKUP(D3007,Data!$A$2:$C$223100,3,FALSE))</f>
        <v>30+</v>
      </c>
    </row>
    <row r="3008" spans="1:15" x14ac:dyDescent="0.25">
      <c r="A3008" t="s">
        <v>1517</v>
      </c>
      <c r="B3008" t="s">
        <v>1518</v>
      </c>
      <c r="C3008" t="s">
        <v>1519</v>
      </c>
      <c r="D3008" t="s">
        <v>1520</v>
      </c>
      <c r="E3008" t="s">
        <v>1521</v>
      </c>
      <c r="F3008" t="s">
        <v>5</v>
      </c>
      <c r="G3008" t="s">
        <v>5</v>
      </c>
      <c r="H3008" t="s">
        <v>5</v>
      </c>
      <c r="I3008" t="s">
        <v>1522</v>
      </c>
      <c r="J3008" t="s">
        <v>96</v>
      </c>
      <c r="K3008" s="3">
        <f t="shared" si="92"/>
        <v>0</v>
      </c>
      <c r="L3008" s="3">
        <f>IF(ISERROR(VLOOKUP(J3008,Lookups!$A$2:$A$16,1,FALSE)),1,0)</f>
        <v>0</v>
      </c>
      <c r="M3008" s="3">
        <f>IF(ISERROR(VLOOKUP(D3008,Data!$A$2:$D$223100,2,FALSE)),0,1)</f>
        <v>1</v>
      </c>
      <c r="N3008" s="3">
        <f t="shared" si="93"/>
        <v>0</v>
      </c>
      <c r="O3008" s="3" t="str">
        <f>IF(ISERROR(VLOOKUP(D3008,Data!$A$2:$C$223100,3,FALSE)),"INACTIVE",VLOOKUP(D3008,Data!$A$2:$C$223100,3,FALSE))</f>
        <v>30+</v>
      </c>
    </row>
    <row r="3009" spans="1:15" x14ac:dyDescent="0.25">
      <c r="A3009" t="s">
        <v>1517</v>
      </c>
      <c r="B3009" t="s">
        <v>1518</v>
      </c>
      <c r="C3009" t="s">
        <v>1519</v>
      </c>
      <c r="D3009" t="s">
        <v>1520</v>
      </c>
      <c r="E3009" t="s">
        <v>1523</v>
      </c>
      <c r="F3009" t="s">
        <v>5</v>
      </c>
      <c r="G3009" t="s">
        <v>5</v>
      </c>
      <c r="H3009" t="s">
        <v>5</v>
      </c>
      <c r="I3009" t="s">
        <v>1522</v>
      </c>
      <c r="J3009" t="s">
        <v>96</v>
      </c>
      <c r="K3009" s="3">
        <f t="shared" si="92"/>
        <v>0</v>
      </c>
      <c r="L3009" s="3">
        <f>IF(ISERROR(VLOOKUP(J3009,Lookups!$A$2:$A$16,1,FALSE)),1,0)</f>
        <v>0</v>
      </c>
      <c r="M3009" s="3">
        <f>IF(ISERROR(VLOOKUP(D3009,Data!$A$2:$D$223100,2,FALSE)),0,1)</f>
        <v>1</v>
      </c>
      <c r="N3009" s="3">
        <f t="shared" si="93"/>
        <v>0</v>
      </c>
      <c r="O3009" s="3" t="str">
        <f>IF(ISERROR(VLOOKUP(D3009,Data!$A$2:$C$223100,3,FALSE)),"INACTIVE",VLOOKUP(D3009,Data!$A$2:$C$223100,3,FALSE))</f>
        <v>30+</v>
      </c>
    </row>
    <row r="3010" spans="1:15" x14ac:dyDescent="0.25">
      <c r="A3010" t="s">
        <v>1517</v>
      </c>
      <c r="B3010" t="s">
        <v>1518</v>
      </c>
      <c r="C3010" t="s">
        <v>1519</v>
      </c>
      <c r="D3010" t="s">
        <v>1520</v>
      </c>
      <c r="E3010" t="s">
        <v>1524</v>
      </c>
      <c r="F3010" t="s">
        <v>5</v>
      </c>
      <c r="G3010" t="s">
        <v>5</v>
      </c>
      <c r="H3010" t="s">
        <v>5</v>
      </c>
      <c r="I3010" t="s">
        <v>1522</v>
      </c>
      <c r="J3010" t="s">
        <v>96</v>
      </c>
      <c r="K3010" s="3">
        <f t="shared" si="92"/>
        <v>0</v>
      </c>
      <c r="L3010" s="3">
        <f>IF(ISERROR(VLOOKUP(J3010,Lookups!$A$2:$A$16,1,FALSE)),1,0)</f>
        <v>0</v>
      </c>
      <c r="M3010" s="3">
        <f>IF(ISERROR(VLOOKUP(D3010,Data!$A$2:$D$223100,2,FALSE)),0,1)</f>
        <v>1</v>
      </c>
      <c r="N3010" s="3">
        <f t="shared" si="93"/>
        <v>0</v>
      </c>
      <c r="O3010" s="3" t="str">
        <f>IF(ISERROR(VLOOKUP(D3010,Data!$A$2:$C$223100,3,FALSE)),"INACTIVE",VLOOKUP(D3010,Data!$A$2:$C$223100,3,FALSE))</f>
        <v>30+</v>
      </c>
    </row>
    <row r="3011" spans="1:15" x14ac:dyDescent="0.25">
      <c r="A3011" t="s">
        <v>1517</v>
      </c>
      <c r="B3011" t="s">
        <v>1518</v>
      </c>
      <c r="C3011" t="s">
        <v>1519</v>
      </c>
      <c r="D3011" t="s">
        <v>1520</v>
      </c>
      <c r="E3011" t="s">
        <v>1525</v>
      </c>
      <c r="F3011" t="s">
        <v>5</v>
      </c>
      <c r="G3011" t="s">
        <v>5</v>
      </c>
      <c r="H3011" t="s">
        <v>5</v>
      </c>
      <c r="I3011" t="s">
        <v>1522</v>
      </c>
      <c r="J3011" t="s">
        <v>96</v>
      </c>
      <c r="K3011" s="3">
        <f t="shared" ref="K3011:K3074" si="94">IF(ISERROR(FIND("LIEN",A3011,1)),0,1)</f>
        <v>0</v>
      </c>
      <c r="L3011" s="3">
        <f>IF(ISERROR(VLOOKUP(J3011,Lookups!$A$2:$A$16,1,FALSE)),1,0)</f>
        <v>0</v>
      </c>
      <c r="M3011" s="3">
        <f>IF(ISERROR(VLOOKUP(D3011,Data!$A$2:$D$223100,2,FALSE)),0,1)</f>
        <v>1</v>
      </c>
      <c r="N3011" s="3">
        <f t="shared" ref="N3011:N3074" si="95">IF(M3011=0,0,IF(SUM(K3011:L3011)&gt;0,1,0))</f>
        <v>0</v>
      </c>
      <c r="O3011" s="3" t="str">
        <f>IF(ISERROR(VLOOKUP(D3011,Data!$A$2:$C$223100,3,FALSE)),"INACTIVE",VLOOKUP(D3011,Data!$A$2:$C$223100,3,FALSE))</f>
        <v>30+</v>
      </c>
    </row>
    <row r="3012" spans="1:15" x14ac:dyDescent="0.25">
      <c r="A3012" t="s">
        <v>1517</v>
      </c>
      <c r="B3012" t="s">
        <v>1518</v>
      </c>
      <c r="C3012" t="s">
        <v>1519</v>
      </c>
      <c r="D3012" t="s">
        <v>1520</v>
      </c>
      <c r="E3012" t="s">
        <v>1526</v>
      </c>
      <c r="F3012" t="s">
        <v>5</v>
      </c>
      <c r="G3012" t="s">
        <v>5</v>
      </c>
      <c r="H3012" t="s">
        <v>5</v>
      </c>
      <c r="I3012" t="s">
        <v>1522</v>
      </c>
      <c r="J3012" t="s">
        <v>96</v>
      </c>
      <c r="K3012" s="3">
        <f t="shared" si="94"/>
        <v>0</v>
      </c>
      <c r="L3012" s="3">
        <f>IF(ISERROR(VLOOKUP(J3012,Lookups!$A$2:$A$16,1,FALSE)),1,0)</f>
        <v>0</v>
      </c>
      <c r="M3012" s="3">
        <f>IF(ISERROR(VLOOKUP(D3012,Data!$A$2:$D$223100,2,FALSE)),0,1)</f>
        <v>1</v>
      </c>
      <c r="N3012" s="3">
        <f t="shared" si="95"/>
        <v>0</v>
      </c>
      <c r="O3012" s="3" t="str">
        <f>IF(ISERROR(VLOOKUP(D3012,Data!$A$2:$C$223100,3,FALSE)),"INACTIVE",VLOOKUP(D3012,Data!$A$2:$C$223100,3,FALSE))</f>
        <v>30+</v>
      </c>
    </row>
    <row r="3013" spans="1:15" x14ac:dyDescent="0.25">
      <c r="A3013" t="s">
        <v>1517</v>
      </c>
      <c r="B3013" t="s">
        <v>1518</v>
      </c>
      <c r="C3013" t="s">
        <v>1519</v>
      </c>
      <c r="D3013" t="s">
        <v>1520</v>
      </c>
      <c r="E3013" t="s">
        <v>1527</v>
      </c>
      <c r="F3013" t="s">
        <v>5</v>
      </c>
      <c r="G3013" t="s">
        <v>5</v>
      </c>
      <c r="H3013" t="s">
        <v>5</v>
      </c>
      <c r="I3013" t="s">
        <v>1522</v>
      </c>
      <c r="J3013" t="s">
        <v>96</v>
      </c>
      <c r="K3013" s="3">
        <f t="shared" si="94"/>
        <v>0</v>
      </c>
      <c r="L3013" s="3">
        <f>IF(ISERROR(VLOOKUP(J3013,Lookups!$A$2:$A$16,1,FALSE)),1,0)</f>
        <v>0</v>
      </c>
      <c r="M3013" s="3">
        <f>IF(ISERROR(VLOOKUP(D3013,Data!$A$2:$D$223100,2,FALSE)),0,1)</f>
        <v>1</v>
      </c>
      <c r="N3013" s="3">
        <f t="shared" si="95"/>
        <v>0</v>
      </c>
      <c r="O3013" s="3" t="str">
        <f>IF(ISERROR(VLOOKUP(D3013,Data!$A$2:$C$223100,3,FALSE)),"INACTIVE",VLOOKUP(D3013,Data!$A$2:$C$223100,3,FALSE))</f>
        <v>30+</v>
      </c>
    </row>
    <row r="3014" spans="1:15" x14ac:dyDescent="0.25">
      <c r="A3014" t="s">
        <v>1517</v>
      </c>
      <c r="B3014" t="s">
        <v>1518</v>
      </c>
      <c r="C3014" t="s">
        <v>1519</v>
      </c>
      <c r="D3014" t="s">
        <v>1520</v>
      </c>
      <c r="E3014" t="s">
        <v>1528</v>
      </c>
      <c r="F3014" t="s">
        <v>5</v>
      </c>
      <c r="G3014" t="s">
        <v>5</v>
      </c>
      <c r="H3014" t="s">
        <v>5</v>
      </c>
      <c r="I3014" t="s">
        <v>1522</v>
      </c>
      <c r="J3014" t="s">
        <v>96</v>
      </c>
      <c r="K3014" s="3">
        <f t="shared" si="94"/>
        <v>0</v>
      </c>
      <c r="L3014" s="3">
        <f>IF(ISERROR(VLOOKUP(J3014,Lookups!$A$2:$A$16,1,FALSE)),1,0)</f>
        <v>0</v>
      </c>
      <c r="M3014" s="3">
        <f>IF(ISERROR(VLOOKUP(D3014,Data!$A$2:$D$223100,2,FALSE)),0,1)</f>
        <v>1</v>
      </c>
      <c r="N3014" s="3">
        <f t="shared" si="95"/>
        <v>0</v>
      </c>
      <c r="O3014" s="3" t="str">
        <f>IF(ISERROR(VLOOKUP(D3014,Data!$A$2:$C$223100,3,FALSE)),"INACTIVE",VLOOKUP(D3014,Data!$A$2:$C$223100,3,FALSE))</f>
        <v>30+</v>
      </c>
    </row>
    <row r="3015" spans="1:15" x14ac:dyDescent="0.25">
      <c r="A3015" t="s">
        <v>1517</v>
      </c>
      <c r="B3015" t="s">
        <v>1518</v>
      </c>
      <c r="C3015" t="s">
        <v>1519</v>
      </c>
      <c r="D3015" t="s">
        <v>1520</v>
      </c>
      <c r="E3015" t="s">
        <v>1529</v>
      </c>
      <c r="F3015" t="s">
        <v>5</v>
      </c>
      <c r="G3015" t="s">
        <v>5</v>
      </c>
      <c r="H3015" t="s">
        <v>5</v>
      </c>
      <c r="I3015" t="s">
        <v>1522</v>
      </c>
      <c r="J3015" t="s">
        <v>96</v>
      </c>
      <c r="K3015" s="3">
        <f t="shared" si="94"/>
        <v>0</v>
      </c>
      <c r="L3015" s="3">
        <f>IF(ISERROR(VLOOKUP(J3015,Lookups!$A$2:$A$16,1,FALSE)),1,0)</f>
        <v>0</v>
      </c>
      <c r="M3015" s="3">
        <f>IF(ISERROR(VLOOKUP(D3015,Data!$A$2:$D$223100,2,FALSE)),0,1)</f>
        <v>1</v>
      </c>
      <c r="N3015" s="3">
        <f t="shared" si="95"/>
        <v>0</v>
      </c>
      <c r="O3015" s="3" t="str">
        <f>IF(ISERROR(VLOOKUP(D3015,Data!$A$2:$C$223100,3,FALSE)),"INACTIVE",VLOOKUP(D3015,Data!$A$2:$C$223100,3,FALSE))</f>
        <v>30+</v>
      </c>
    </row>
    <row r="3016" spans="1:15" x14ac:dyDescent="0.25">
      <c r="A3016" t="s">
        <v>1517</v>
      </c>
      <c r="B3016" t="s">
        <v>1518</v>
      </c>
      <c r="C3016" t="s">
        <v>1519</v>
      </c>
      <c r="D3016" t="s">
        <v>1520</v>
      </c>
      <c r="E3016" t="s">
        <v>1530</v>
      </c>
      <c r="F3016" t="s">
        <v>5</v>
      </c>
      <c r="G3016" t="s">
        <v>5</v>
      </c>
      <c r="H3016" t="s">
        <v>5</v>
      </c>
      <c r="I3016" t="s">
        <v>1522</v>
      </c>
      <c r="J3016" t="s">
        <v>96</v>
      </c>
      <c r="K3016" s="3">
        <f t="shared" si="94"/>
        <v>0</v>
      </c>
      <c r="L3016" s="3">
        <f>IF(ISERROR(VLOOKUP(J3016,Lookups!$A$2:$A$16,1,FALSE)),1,0)</f>
        <v>0</v>
      </c>
      <c r="M3016" s="3">
        <f>IF(ISERROR(VLOOKUP(D3016,Data!$A$2:$D$223100,2,FALSE)),0,1)</f>
        <v>1</v>
      </c>
      <c r="N3016" s="3">
        <f t="shared" si="95"/>
        <v>0</v>
      </c>
      <c r="O3016" s="3" t="str">
        <f>IF(ISERROR(VLOOKUP(D3016,Data!$A$2:$C$223100,3,FALSE)),"INACTIVE",VLOOKUP(D3016,Data!$A$2:$C$223100,3,FALSE))</f>
        <v>30+</v>
      </c>
    </row>
    <row r="3017" spans="1:15" x14ac:dyDescent="0.25">
      <c r="A3017" t="s">
        <v>1517</v>
      </c>
      <c r="B3017" t="s">
        <v>1518</v>
      </c>
      <c r="C3017" t="s">
        <v>1519</v>
      </c>
      <c r="D3017" t="s">
        <v>1520</v>
      </c>
      <c r="E3017" t="s">
        <v>1531</v>
      </c>
      <c r="F3017" t="s">
        <v>5</v>
      </c>
      <c r="G3017" t="s">
        <v>5</v>
      </c>
      <c r="H3017" t="s">
        <v>5</v>
      </c>
      <c r="I3017" t="s">
        <v>1522</v>
      </c>
      <c r="J3017" t="s">
        <v>96</v>
      </c>
      <c r="K3017" s="3">
        <f t="shared" si="94"/>
        <v>0</v>
      </c>
      <c r="L3017" s="3">
        <f>IF(ISERROR(VLOOKUP(J3017,Lookups!$A$2:$A$16,1,FALSE)),1,0)</f>
        <v>0</v>
      </c>
      <c r="M3017" s="3">
        <f>IF(ISERROR(VLOOKUP(D3017,Data!$A$2:$D$223100,2,FALSE)),0,1)</f>
        <v>1</v>
      </c>
      <c r="N3017" s="3">
        <f t="shared" si="95"/>
        <v>0</v>
      </c>
      <c r="O3017" s="3" t="str">
        <f>IF(ISERROR(VLOOKUP(D3017,Data!$A$2:$C$223100,3,FALSE)),"INACTIVE",VLOOKUP(D3017,Data!$A$2:$C$223100,3,FALSE))</f>
        <v>30+</v>
      </c>
    </row>
    <row r="3018" spans="1:15" x14ac:dyDescent="0.25">
      <c r="A3018" t="s">
        <v>1517</v>
      </c>
      <c r="B3018" t="s">
        <v>1518</v>
      </c>
      <c r="C3018" t="s">
        <v>1519</v>
      </c>
      <c r="D3018" t="s">
        <v>1520</v>
      </c>
      <c r="E3018" t="s">
        <v>1532</v>
      </c>
      <c r="F3018" t="s">
        <v>5</v>
      </c>
      <c r="G3018" t="s">
        <v>5</v>
      </c>
      <c r="H3018" t="s">
        <v>5</v>
      </c>
      <c r="I3018" t="s">
        <v>1522</v>
      </c>
      <c r="J3018" t="s">
        <v>96</v>
      </c>
      <c r="K3018" s="3">
        <f t="shared" si="94"/>
        <v>0</v>
      </c>
      <c r="L3018" s="3">
        <f>IF(ISERROR(VLOOKUP(J3018,Lookups!$A$2:$A$16,1,FALSE)),1,0)</f>
        <v>0</v>
      </c>
      <c r="M3018" s="3">
        <f>IF(ISERROR(VLOOKUP(D3018,Data!$A$2:$D$223100,2,FALSE)),0,1)</f>
        <v>1</v>
      </c>
      <c r="N3018" s="3">
        <f t="shared" si="95"/>
        <v>0</v>
      </c>
      <c r="O3018" s="3" t="str">
        <f>IF(ISERROR(VLOOKUP(D3018,Data!$A$2:$C$223100,3,FALSE)),"INACTIVE",VLOOKUP(D3018,Data!$A$2:$C$223100,3,FALSE))</f>
        <v>30+</v>
      </c>
    </row>
    <row r="3019" spans="1:15" x14ac:dyDescent="0.25">
      <c r="A3019" t="s">
        <v>1517</v>
      </c>
      <c r="B3019" t="s">
        <v>1518</v>
      </c>
      <c r="C3019" t="s">
        <v>1519</v>
      </c>
      <c r="D3019" t="s">
        <v>1520</v>
      </c>
      <c r="E3019" t="s">
        <v>1533</v>
      </c>
      <c r="F3019" t="s">
        <v>5</v>
      </c>
      <c r="G3019" t="s">
        <v>5</v>
      </c>
      <c r="H3019" t="s">
        <v>5</v>
      </c>
      <c r="I3019" t="s">
        <v>1522</v>
      </c>
      <c r="J3019" t="s">
        <v>96</v>
      </c>
      <c r="K3019" s="3">
        <f t="shared" si="94"/>
        <v>0</v>
      </c>
      <c r="L3019" s="3">
        <f>IF(ISERROR(VLOOKUP(J3019,Lookups!$A$2:$A$16,1,FALSE)),1,0)</f>
        <v>0</v>
      </c>
      <c r="M3019" s="3">
        <f>IF(ISERROR(VLOOKUP(D3019,Data!$A$2:$D$223100,2,FALSE)),0,1)</f>
        <v>1</v>
      </c>
      <c r="N3019" s="3">
        <f t="shared" si="95"/>
        <v>0</v>
      </c>
      <c r="O3019" s="3" t="str">
        <f>IF(ISERROR(VLOOKUP(D3019,Data!$A$2:$C$223100,3,FALSE)),"INACTIVE",VLOOKUP(D3019,Data!$A$2:$C$223100,3,FALSE))</f>
        <v>30+</v>
      </c>
    </row>
    <row r="3020" spans="1:15" x14ac:dyDescent="0.25">
      <c r="A3020" t="s">
        <v>1534</v>
      </c>
      <c r="B3020" t="s">
        <v>1535</v>
      </c>
      <c r="C3020" t="s">
        <v>1536</v>
      </c>
      <c r="D3020" t="s">
        <v>1537</v>
      </c>
      <c r="E3020" t="s">
        <v>1538</v>
      </c>
      <c r="F3020" t="s">
        <v>5</v>
      </c>
      <c r="G3020" t="s">
        <v>5</v>
      </c>
      <c r="H3020" t="s">
        <v>5</v>
      </c>
      <c r="I3020" t="s">
        <v>1522</v>
      </c>
      <c r="J3020" t="s">
        <v>7</v>
      </c>
      <c r="K3020" s="3">
        <f t="shared" si="94"/>
        <v>0</v>
      </c>
      <c r="L3020" s="3">
        <f>IF(ISERROR(VLOOKUP(J3020,Lookups!$A$2:$A$16,1,FALSE)),1,0)</f>
        <v>1</v>
      </c>
      <c r="M3020" s="3">
        <f>IF(ISERROR(VLOOKUP(D3020,Data!$A$2:$D$223100,2,FALSE)),0,1)</f>
        <v>1</v>
      </c>
      <c r="N3020" s="3">
        <f t="shared" si="95"/>
        <v>1</v>
      </c>
      <c r="O3020" s="3" t="str">
        <f>IF(ISERROR(VLOOKUP(D3020,Data!$A$2:$C$223100,3,FALSE)),"INACTIVE",VLOOKUP(D3020,Data!$A$2:$C$223100,3,FALSE))</f>
        <v>FC</v>
      </c>
    </row>
    <row r="3021" spans="1:15" x14ac:dyDescent="0.25">
      <c r="A3021" t="s">
        <v>1648</v>
      </c>
      <c r="B3021" t="s">
        <v>1649</v>
      </c>
      <c r="C3021" t="s">
        <v>1650</v>
      </c>
      <c r="D3021" t="s">
        <v>1651</v>
      </c>
      <c r="E3021" t="s">
        <v>1652</v>
      </c>
      <c r="F3021" t="s">
        <v>5</v>
      </c>
      <c r="G3021" t="s">
        <v>5</v>
      </c>
      <c r="H3021" t="s">
        <v>5</v>
      </c>
      <c r="I3021" t="s">
        <v>1522</v>
      </c>
      <c r="J3021" t="s">
        <v>7</v>
      </c>
      <c r="K3021" s="3">
        <f t="shared" si="94"/>
        <v>0</v>
      </c>
      <c r="L3021" s="3">
        <f>IF(ISERROR(VLOOKUP(J3021,Lookups!$A$2:$A$16,1,FALSE)),1,0)</f>
        <v>1</v>
      </c>
      <c r="M3021" s="3">
        <f>IF(ISERROR(VLOOKUP(D3021,Data!$A$2:$D$223100,2,FALSE)),0,1)</f>
        <v>1</v>
      </c>
      <c r="N3021" s="3">
        <f t="shared" si="95"/>
        <v>1</v>
      </c>
      <c r="O3021" s="3" t="str">
        <f>IF(ISERROR(VLOOKUP(D3021,Data!$A$2:$C$223100,3,FALSE)),"INACTIVE",VLOOKUP(D3021,Data!$A$2:$C$223100,3,FALSE))</f>
        <v>DIL</v>
      </c>
    </row>
    <row r="3022" spans="1:15" x14ac:dyDescent="0.25">
      <c r="A3022" t="s">
        <v>1648</v>
      </c>
      <c r="B3022" t="s">
        <v>1649</v>
      </c>
      <c r="C3022" t="s">
        <v>1653</v>
      </c>
      <c r="D3022" t="s">
        <v>1654</v>
      </c>
      <c r="E3022" t="s">
        <v>1655</v>
      </c>
      <c r="F3022" t="s">
        <v>5</v>
      </c>
      <c r="G3022" t="s">
        <v>5</v>
      </c>
      <c r="H3022" t="s">
        <v>5</v>
      </c>
      <c r="I3022" t="s">
        <v>1522</v>
      </c>
      <c r="J3022" t="s">
        <v>96</v>
      </c>
      <c r="K3022" s="3">
        <f t="shared" si="94"/>
        <v>0</v>
      </c>
      <c r="L3022" s="3">
        <f>IF(ISERROR(VLOOKUP(J3022,Lookups!$A$2:$A$16,1,FALSE)),1,0)</f>
        <v>0</v>
      </c>
      <c r="M3022" s="3">
        <f>IF(ISERROR(VLOOKUP(D3022,Data!$A$2:$D$223100,2,FALSE)),0,1)</f>
        <v>1</v>
      </c>
      <c r="N3022" s="3">
        <f t="shared" si="95"/>
        <v>0</v>
      </c>
      <c r="O3022" s="3" t="str">
        <f>IF(ISERROR(VLOOKUP(D3022,Data!$A$2:$C$223100,3,FALSE)),"INACTIVE",VLOOKUP(D3022,Data!$A$2:$C$223100,3,FALSE))</f>
        <v>FC</v>
      </c>
    </row>
    <row r="3023" spans="1:15" x14ac:dyDescent="0.25">
      <c r="A3023" t="s">
        <v>1648</v>
      </c>
      <c r="B3023" t="s">
        <v>1649</v>
      </c>
      <c r="C3023" t="s">
        <v>1653</v>
      </c>
      <c r="D3023" t="s">
        <v>1654</v>
      </c>
      <c r="E3023" t="s">
        <v>1656</v>
      </c>
      <c r="F3023" t="s">
        <v>5</v>
      </c>
      <c r="G3023" t="s">
        <v>5</v>
      </c>
      <c r="H3023" t="s">
        <v>5</v>
      </c>
      <c r="I3023" t="s">
        <v>1522</v>
      </c>
      <c r="J3023" t="s">
        <v>96</v>
      </c>
      <c r="K3023" s="3">
        <f t="shared" si="94"/>
        <v>0</v>
      </c>
      <c r="L3023" s="3">
        <f>IF(ISERROR(VLOOKUP(J3023,Lookups!$A$2:$A$16,1,FALSE)),1,0)</f>
        <v>0</v>
      </c>
      <c r="M3023" s="3">
        <f>IF(ISERROR(VLOOKUP(D3023,Data!$A$2:$D$223100,2,FALSE)),0,1)</f>
        <v>1</v>
      </c>
      <c r="N3023" s="3">
        <f t="shared" si="95"/>
        <v>0</v>
      </c>
      <c r="O3023" s="3" t="str">
        <f>IF(ISERROR(VLOOKUP(D3023,Data!$A$2:$C$223100,3,FALSE)),"INACTIVE",VLOOKUP(D3023,Data!$A$2:$C$223100,3,FALSE))</f>
        <v>FC</v>
      </c>
    </row>
    <row r="3024" spans="1:15" x14ac:dyDescent="0.25">
      <c r="A3024" t="s">
        <v>1648</v>
      </c>
      <c r="B3024" t="s">
        <v>1649</v>
      </c>
      <c r="C3024" t="s">
        <v>1657</v>
      </c>
      <c r="D3024" t="s">
        <v>1658</v>
      </c>
      <c r="E3024" t="s">
        <v>1659</v>
      </c>
      <c r="F3024" t="s">
        <v>5</v>
      </c>
      <c r="G3024" t="s">
        <v>5</v>
      </c>
      <c r="H3024" t="s">
        <v>5</v>
      </c>
      <c r="I3024" t="s">
        <v>1522</v>
      </c>
      <c r="J3024" t="s">
        <v>7</v>
      </c>
      <c r="K3024" s="3">
        <f t="shared" si="94"/>
        <v>0</v>
      </c>
      <c r="L3024" s="3">
        <f>IF(ISERROR(VLOOKUP(J3024,Lookups!$A$2:$A$16,1,FALSE)),1,0)</f>
        <v>1</v>
      </c>
      <c r="M3024" s="3">
        <f>IF(ISERROR(VLOOKUP(D3024,Data!$A$2:$D$223100,2,FALSE)),0,1)</f>
        <v>1</v>
      </c>
      <c r="N3024" s="3">
        <f t="shared" si="95"/>
        <v>1</v>
      </c>
      <c r="O3024" s="3" t="str">
        <f>IF(ISERROR(VLOOKUP(D3024,Data!$A$2:$C$223100,3,FALSE)),"INACTIVE",VLOOKUP(D3024,Data!$A$2:$C$223100,3,FALSE))</f>
        <v>Current</v>
      </c>
    </row>
    <row r="3025" spans="1:15" x14ac:dyDescent="0.25">
      <c r="A3025" t="s">
        <v>1648</v>
      </c>
      <c r="B3025" t="s">
        <v>1649</v>
      </c>
      <c r="C3025" t="s">
        <v>1660</v>
      </c>
      <c r="D3025" t="s">
        <v>1661</v>
      </c>
      <c r="E3025" t="s">
        <v>1662</v>
      </c>
      <c r="F3025" t="s">
        <v>5</v>
      </c>
      <c r="G3025" t="s">
        <v>5</v>
      </c>
      <c r="H3025" t="s">
        <v>5</v>
      </c>
      <c r="I3025" t="s">
        <v>1522</v>
      </c>
      <c r="J3025" t="s">
        <v>7</v>
      </c>
      <c r="K3025" s="3">
        <f t="shared" si="94"/>
        <v>0</v>
      </c>
      <c r="L3025" s="3">
        <f>IF(ISERROR(VLOOKUP(J3025,Lookups!$A$2:$A$16,1,FALSE)),1,0)</f>
        <v>1</v>
      </c>
      <c r="M3025" s="3">
        <f>IF(ISERROR(VLOOKUP(D3025,Data!$A$2:$D$223100,2,FALSE)),0,1)</f>
        <v>0</v>
      </c>
      <c r="N3025" s="3">
        <f t="shared" si="95"/>
        <v>0</v>
      </c>
      <c r="O3025" s="3" t="str">
        <f>IF(ISERROR(VLOOKUP(D3025,Data!$A$2:$C$223100,3,FALSE)),"INACTIVE",VLOOKUP(D3025,Data!$A$2:$C$223100,3,FALSE))</f>
        <v>INACTIVE</v>
      </c>
    </row>
    <row r="3026" spans="1:15" x14ac:dyDescent="0.25">
      <c r="A3026" t="s">
        <v>1648</v>
      </c>
      <c r="B3026" t="s">
        <v>1649</v>
      </c>
      <c r="C3026" t="s">
        <v>1663</v>
      </c>
      <c r="D3026" t="s">
        <v>1664</v>
      </c>
      <c r="E3026" t="s">
        <v>1665</v>
      </c>
      <c r="F3026" t="s">
        <v>5</v>
      </c>
      <c r="G3026" t="s">
        <v>5</v>
      </c>
      <c r="H3026" t="s">
        <v>5</v>
      </c>
      <c r="I3026" t="s">
        <v>1522</v>
      </c>
      <c r="J3026" t="s">
        <v>7</v>
      </c>
      <c r="K3026" s="3">
        <f t="shared" si="94"/>
        <v>0</v>
      </c>
      <c r="L3026" s="3">
        <f>IF(ISERROR(VLOOKUP(J3026,Lookups!$A$2:$A$16,1,FALSE)),1,0)</f>
        <v>1</v>
      </c>
      <c r="M3026" s="3">
        <f>IF(ISERROR(VLOOKUP(D3026,Data!$A$2:$D$223100,2,FALSE)),0,1)</f>
        <v>1</v>
      </c>
      <c r="N3026" s="3">
        <f t="shared" si="95"/>
        <v>1</v>
      </c>
      <c r="O3026" s="3" t="str">
        <f>IF(ISERROR(VLOOKUP(D3026,Data!$A$2:$C$223100,3,FALSE)),"INACTIVE",VLOOKUP(D3026,Data!$A$2:$C$223100,3,FALSE))</f>
        <v>DIL</v>
      </c>
    </row>
    <row r="3027" spans="1:15" x14ac:dyDescent="0.25">
      <c r="A3027" t="s">
        <v>1648</v>
      </c>
      <c r="B3027" t="s">
        <v>1649</v>
      </c>
      <c r="C3027" t="s">
        <v>1666</v>
      </c>
      <c r="D3027" t="s">
        <v>1667</v>
      </c>
      <c r="E3027" t="s">
        <v>1668</v>
      </c>
      <c r="F3027" t="s">
        <v>5</v>
      </c>
      <c r="G3027" t="s">
        <v>5</v>
      </c>
      <c r="H3027" t="s">
        <v>5</v>
      </c>
      <c r="I3027" t="s">
        <v>1522</v>
      </c>
      <c r="J3027" t="s">
        <v>7</v>
      </c>
      <c r="K3027" s="3">
        <f t="shared" si="94"/>
        <v>0</v>
      </c>
      <c r="L3027" s="3">
        <f>IF(ISERROR(VLOOKUP(J3027,Lookups!$A$2:$A$16,1,FALSE)),1,0)</f>
        <v>1</v>
      </c>
      <c r="M3027" s="3">
        <f>IF(ISERROR(VLOOKUP(D3027,Data!$A$2:$D$223100,2,FALSE)),0,1)</f>
        <v>0</v>
      </c>
      <c r="N3027" s="3">
        <f t="shared" si="95"/>
        <v>0</v>
      </c>
      <c r="O3027" s="3" t="str">
        <f>IF(ISERROR(VLOOKUP(D3027,Data!$A$2:$C$223100,3,FALSE)),"INACTIVE",VLOOKUP(D3027,Data!$A$2:$C$223100,3,FALSE))</f>
        <v>INACTIVE</v>
      </c>
    </row>
    <row r="3028" spans="1:15" x14ac:dyDescent="0.25">
      <c r="A3028" t="s">
        <v>1648</v>
      </c>
      <c r="B3028" t="s">
        <v>1649</v>
      </c>
      <c r="C3028" t="s">
        <v>1669</v>
      </c>
      <c r="D3028" t="s">
        <v>1670</v>
      </c>
      <c r="E3028" t="s">
        <v>1671</v>
      </c>
      <c r="F3028" t="s">
        <v>5</v>
      </c>
      <c r="G3028" t="s">
        <v>5</v>
      </c>
      <c r="H3028" t="s">
        <v>5</v>
      </c>
      <c r="I3028" t="s">
        <v>1522</v>
      </c>
      <c r="J3028" t="s">
        <v>7</v>
      </c>
      <c r="K3028" s="3">
        <f t="shared" si="94"/>
        <v>0</v>
      </c>
      <c r="L3028" s="3">
        <f>IF(ISERROR(VLOOKUP(J3028,Lookups!$A$2:$A$16,1,FALSE)),1,0)</f>
        <v>1</v>
      </c>
      <c r="M3028" s="3">
        <f>IF(ISERROR(VLOOKUP(D3028,Data!$A$2:$D$223100,2,FALSE)),0,1)</f>
        <v>1</v>
      </c>
      <c r="N3028" s="3">
        <f t="shared" si="95"/>
        <v>1</v>
      </c>
      <c r="O3028" s="3" t="str">
        <f>IF(ISERROR(VLOOKUP(D3028,Data!$A$2:$C$223100,3,FALSE)),"INACTIVE",VLOOKUP(D3028,Data!$A$2:$C$223100,3,FALSE))</f>
        <v>DIL</v>
      </c>
    </row>
    <row r="3029" spans="1:15" x14ac:dyDescent="0.25">
      <c r="A3029" t="s">
        <v>3585</v>
      </c>
      <c r="B3029" t="s">
        <v>3586</v>
      </c>
      <c r="C3029" t="s">
        <v>3587</v>
      </c>
      <c r="D3029" t="s">
        <v>3588</v>
      </c>
      <c r="E3029" t="s">
        <v>3589</v>
      </c>
      <c r="F3029" t="s">
        <v>5</v>
      </c>
      <c r="G3029" t="s">
        <v>5</v>
      </c>
      <c r="H3029" t="s">
        <v>5</v>
      </c>
      <c r="I3029" t="s">
        <v>1522</v>
      </c>
      <c r="J3029" t="s">
        <v>7</v>
      </c>
      <c r="K3029" s="3">
        <f t="shared" si="94"/>
        <v>0</v>
      </c>
      <c r="L3029" s="3">
        <f>IF(ISERROR(VLOOKUP(J3029,Lookups!$A$2:$A$16,1,FALSE)),1,0)</f>
        <v>1</v>
      </c>
      <c r="M3029" s="3">
        <f>IF(ISERROR(VLOOKUP(D3029,Data!$A$2:$D$223100,2,FALSE)),0,1)</f>
        <v>1</v>
      </c>
      <c r="N3029" s="3">
        <f t="shared" si="95"/>
        <v>1</v>
      </c>
      <c r="O3029" s="3" t="str">
        <f>IF(ISERROR(VLOOKUP(D3029,Data!$A$2:$C$223100,3,FALSE)),"INACTIVE",VLOOKUP(D3029,Data!$A$2:$C$223100,3,FALSE))</f>
        <v>BK13</v>
      </c>
    </row>
    <row r="3030" spans="1:15" x14ac:dyDescent="0.25">
      <c r="A3030" t="s">
        <v>3595</v>
      </c>
      <c r="B3030" t="s">
        <v>3596</v>
      </c>
      <c r="C3030" t="s">
        <v>3597</v>
      </c>
      <c r="D3030" t="s">
        <v>3598</v>
      </c>
      <c r="E3030" t="s">
        <v>3599</v>
      </c>
      <c r="F3030" t="s">
        <v>5</v>
      </c>
      <c r="G3030" t="s">
        <v>5</v>
      </c>
      <c r="H3030" t="s">
        <v>5</v>
      </c>
      <c r="I3030" t="s">
        <v>1522</v>
      </c>
      <c r="J3030" t="s">
        <v>7</v>
      </c>
      <c r="K3030" s="3">
        <f t="shared" si="94"/>
        <v>0</v>
      </c>
      <c r="L3030" s="3">
        <f>IF(ISERROR(VLOOKUP(J3030,Lookups!$A$2:$A$16,1,FALSE)),1,0)</f>
        <v>1</v>
      </c>
      <c r="M3030" s="3">
        <f>IF(ISERROR(VLOOKUP(D3030,Data!$A$2:$D$223100,2,FALSE)),0,1)</f>
        <v>1</v>
      </c>
      <c r="N3030" s="3">
        <f t="shared" si="95"/>
        <v>1</v>
      </c>
      <c r="O3030" s="3" t="str">
        <f>IF(ISERROR(VLOOKUP(D3030,Data!$A$2:$C$223100,3,FALSE)),"INACTIVE",VLOOKUP(D3030,Data!$A$2:$C$223100,3,FALSE))</f>
        <v>Current</v>
      </c>
    </row>
    <row r="3031" spans="1:15" x14ac:dyDescent="0.25">
      <c r="A3031" t="s">
        <v>3713</v>
      </c>
      <c r="B3031" t="s">
        <v>3714</v>
      </c>
      <c r="C3031" t="s">
        <v>3715</v>
      </c>
      <c r="D3031" t="s">
        <v>3716</v>
      </c>
      <c r="E3031" t="s">
        <v>3717</v>
      </c>
      <c r="F3031" t="s">
        <v>5</v>
      </c>
      <c r="G3031" t="s">
        <v>5</v>
      </c>
      <c r="H3031" t="s">
        <v>5</v>
      </c>
      <c r="I3031" t="s">
        <v>1522</v>
      </c>
      <c r="J3031" t="s">
        <v>90</v>
      </c>
      <c r="K3031" s="3">
        <f t="shared" si="94"/>
        <v>0</v>
      </c>
      <c r="L3031" s="3">
        <f>IF(ISERROR(VLOOKUP(J3031,Lookups!$A$2:$A$16,1,FALSE)),1,0)</f>
        <v>0</v>
      </c>
      <c r="M3031" s="3">
        <f>IF(ISERROR(VLOOKUP(D3031,Data!$A$2:$D$223100,2,FALSE)),0,1)</f>
        <v>1</v>
      </c>
      <c r="N3031" s="3">
        <f t="shared" si="95"/>
        <v>0</v>
      </c>
      <c r="O3031" s="3" t="str">
        <f>IF(ISERROR(VLOOKUP(D3031,Data!$A$2:$C$223100,3,FALSE)),"INACTIVE",VLOOKUP(D3031,Data!$A$2:$C$223100,3,FALSE))</f>
        <v>FBA</v>
      </c>
    </row>
    <row r="3032" spans="1:15" x14ac:dyDescent="0.25">
      <c r="A3032" t="s">
        <v>434</v>
      </c>
      <c r="B3032" t="s">
        <v>435</v>
      </c>
      <c r="C3032" t="s">
        <v>436</v>
      </c>
      <c r="D3032" t="s">
        <v>437</v>
      </c>
      <c r="E3032" t="s">
        <v>438</v>
      </c>
      <c r="F3032" t="s">
        <v>5</v>
      </c>
      <c r="G3032" t="s">
        <v>5</v>
      </c>
      <c r="H3032" t="s">
        <v>5</v>
      </c>
      <c r="I3032" t="s">
        <v>439</v>
      </c>
      <c r="J3032" t="s">
        <v>7</v>
      </c>
      <c r="K3032" s="3">
        <f t="shared" si="94"/>
        <v>0</v>
      </c>
      <c r="L3032" s="3">
        <f>IF(ISERROR(VLOOKUP(J3032,Lookups!$A$2:$A$16,1,FALSE)),1,0)</f>
        <v>1</v>
      </c>
      <c r="M3032" s="3">
        <f>IF(ISERROR(VLOOKUP(D3032,Data!$A$2:$D$223100,2,FALSE)),0,1)</f>
        <v>1</v>
      </c>
      <c r="N3032" s="3">
        <f t="shared" si="95"/>
        <v>1</v>
      </c>
      <c r="O3032" s="3" t="str">
        <f>IF(ISERROR(VLOOKUP(D3032,Data!$A$2:$C$223100,3,FALSE)),"INACTIVE",VLOOKUP(D3032,Data!$A$2:$C$223100,3,FALSE))</f>
        <v>FC</v>
      </c>
    </row>
    <row r="3033" spans="1:15" x14ac:dyDescent="0.25">
      <c r="A3033" t="s">
        <v>434</v>
      </c>
      <c r="B3033" t="s">
        <v>435</v>
      </c>
      <c r="C3033" t="s">
        <v>440</v>
      </c>
      <c r="D3033" t="s">
        <v>441</v>
      </c>
      <c r="E3033" t="s">
        <v>442</v>
      </c>
      <c r="F3033" t="s">
        <v>5</v>
      </c>
      <c r="G3033" t="s">
        <v>5</v>
      </c>
      <c r="H3033" t="s">
        <v>5</v>
      </c>
      <c r="I3033" t="s">
        <v>439</v>
      </c>
      <c r="J3033" t="s">
        <v>7</v>
      </c>
      <c r="K3033" s="3">
        <f t="shared" si="94"/>
        <v>0</v>
      </c>
      <c r="L3033" s="3">
        <f>IF(ISERROR(VLOOKUP(J3033,Lookups!$A$2:$A$16,1,FALSE)),1,0)</f>
        <v>1</v>
      </c>
      <c r="M3033" s="3">
        <f>IF(ISERROR(VLOOKUP(D3033,Data!$A$2:$D$223100,2,FALSE)),0,1)</f>
        <v>1</v>
      </c>
      <c r="N3033" s="3">
        <f t="shared" si="95"/>
        <v>1</v>
      </c>
      <c r="O3033" s="3" t="str">
        <f>IF(ISERROR(VLOOKUP(D3033,Data!$A$2:$C$223100,3,FALSE)),"INACTIVE",VLOOKUP(D3033,Data!$A$2:$C$223100,3,FALSE))</f>
        <v>150+</v>
      </c>
    </row>
    <row r="3034" spans="1:15" x14ac:dyDescent="0.25">
      <c r="A3034" t="s">
        <v>434</v>
      </c>
      <c r="B3034" t="s">
        <v>435</v>
      </c>
      <c r="C3034" t="s">
        <v>443</v>
      </c>
      <c r="D3034" t="s">
        <v>444</v>
      </c>
      <c r="E3034" t="s">
        <v>445</v>
      </c>
      <c r="F3034" t="s">
        <v>5</v>
      </c>
      <c r="G3034" t="s">
        <v>5</v>
      </c>
      <c r="H3034" t="s">
        <v>5</v>
      </c>
      <c r="I3034" t="s">
        <v>439</v>
      </c>
      <c r="J3034" t="s">
        <v>96</v>
      </c>
      <c r="K3034" s="3">
        <f t="shared" si="94"/>
        <v>0</v>
      </c>
      <c r="L3034" s="3">
        <f>IF(ISERROR(VLOOKUP(J3034,Lookups!$A$2:$A$16,1,FALSE)),1,0)</f>
        <v>0</v>
      </c>
      <c r="M3034" s="3">
        <f>IF(ISERROR(VLOOKUP(D3034,Data!$A$2:$D$223100,2,FALSE)),0,1)</f>
        <v>1</v>
      </c>
      <c r="N3034" s="3">
        <f t="shared" si="95"/>
        <v>0</v>
      </c>
      <c r="O3034" s="3" t="str">
        <f>IF(ISERROR(VLOOKUP(D3034,Data!$A$2:$C$223100,3,FALSE)),"INACTIVE",VLOOKUP(D3034,Data!$A$2:$C$223100,3,FALSE))</f>
        <v>Current</v>
      </c>
    </row>
    <row r="3035" spans="1:15" x14ac:dyDescent="0.25">
      <c r="A3035" t="s">
        <v>434</v>
      </c>
      <c r="B3035" t="s">
        <v>435</v>
      </c>
      <c r="C3035" t="s">
        <v>443</v>
      </c>
      <c r="D3035" t="s">
        <v>444</v>
      </c>
      <c r="E3035" t="s">
        <v>446</v>
      </c>
      <c r="F3035" t="s">
        <v>5</v>
      </c>
      <c r="G3035" t="s">
        <v>5</v>
      </c>
      <c r="H3035" t="s">
        <v>5</v>
      </c>
      <c r="I3035" t="s">
        <v>439</v>
      </c>
      <c r="J3035" t="s">
        <v>96</v>
      </c>
      <c r="K3035" s="3">
        <f t="shared" si="94"/>
        <v>0</v>
      </c>
      <c r="L3035" s="3">
        <f>IF(ISERROR(VLOOKUP(J3035,Lookups!$A$2:$A$16,1,FALSE)),1,0)</f>
        <v>0</v>
      </c>
      <c r="M3035" s="3">
        <f>IF(ISERROR(VLOOKUP(D3035,Data!$A$2:$D$223100,2,FALSE)),0,1)</f>
        <v>1</v>
      </c>
      <c r="N3035" s="3">
        <f t="shared" si="95"/>
        <v>0</v>
      </c>
      <c r="O3035" s="3" t="str">
        <f>IF(ISERROR(VLOOKUP(D3035,Data!$A$2:$C$223100,3,FALSE)),"INACTIVE",VLOOKUP(D3035,Data!$A$2:$C$223100,3,FALSE))</f>
        <v>Current</v>
      </c>
    </row>
    <row r="3036" spans="1:15" x14ac:dyDescent="0.25">
      <c r="A3036" t="s">
        <v>567</v>
      </c>
      <c r="B3036" t="s">
        <v>1388</v>
      </c>
      <c r="C3036" t="s">
        <v>1389</v>
      </c>
      <c r="D3036" t="s">
        <v>1390</v>
      </c>
      <c r="E3036" t="s">
        <v>1391</v>
      </c>
      <c r="F3036" t="s">
        <v>5</v>
      </c>
      <c r="G3036" t="s">
        <v>5</v>
      </c>
      <c r="H3036" t="s">
        <v>5</v>
      </c>
      <c r="I3036" t="s">
        <v>439</v>
      </c>
      <c r="J3036" t="s">
        <v>7</v>
      </c>
      <c r="K3036" s="3">
        <f t="shared" si="94"/>
        <v>0</v>
      </c>
      <c r="L3036" s="3">
        <f>IF(ISERROR(VLOOKUP(J3036,Lookups!$A$2:$A$16,1,FALSE)),1,0)</f>
        <v>1</v>
      </c>
      <c r="M3036" s="3">
        <f>IF(ISERROR(VLOOKUP(D3036,Data!$A$2:$D$223100,2,FALSE)),0,1)</f>
        <v>1</v>
      </c>
      <c r="N3036" s="3">
        <f t="shared" si="95"/>
        <v>1</v>
      </c>
      <c r="O3036" s="3" t="str">
        <f>IF(ISERROR(VLOOKUP(D3036,Data!$A$2:$C$223100,3,FALSE)),"INACTIVE",VLOOKUP(D3036,Data!$A$2:$C$223100,3,FALSE))</f>
        <v>60+</v>
      </c>
    </row>
    <row r="3037" spans="1:15" x14ac:dyDescent="0.25">
      <c r="A3037" t="s">
        <v>567</v>
      </c>
      <c r="B3037" t="s">
        <v>1388</v>
      </c>
      <c r="C3037" t="s">
        <v>1392</v>
      </c>
      <c r="D3037" t="s">
        <v>1393</v>
      </c>
      <c r="E3037" t="s">
        <v>1394</v>
      </c>
      <c r="F3037" t="s">
        <v>5</v>
      </c>
      <c r="G3037" t="s">
        <v>5</v>
      </c>
      <c r="H3037" t="s">
        <v>5</v>
      </c>
      <c r="I3037" t="s">
        <v>439</v>
      </c>
      <c r="J3037" t="s">
        <v>7</v>
      </c>
      <c r="K3037" s="3">
        <f t="shared" si="94"/>
        <v>0</v>
      </c>
      <c r="L3037" s="3">
        <f>IF(ISERROR(VLOOKUP(J3037,Lookups!$A$2:$A$16,1,FALSE)),1,0)</f>
        <v>1</v>
      </c>
      <c r="M3037" s="3">
        <f>IF(ISERROR(VLOOKUP(D3037,Data!$A$2:$D$223100,2,FALSE)),0,1)</f>
        <v>1</v>
      </c>
      <c r="N3037" s="3">
        <f t="shared" si="95"/>
        <v>1</v>
      </c>
      <c r="O3037" s="3" t="str">
        <f>IF(ISERROR(VLOOKUP(D3037,Data!$A$2:$C$223100,3,FALSE)),"INACTIVE",VLOOKUP(D3037,Data!$A$2:$C$223100,3,FALSE))</f>
        <v>180+</v>
      </c>
    </row>
    <row r="3038" spans="1:15" x14ac:dyDescent="0.25">
      <c r="A3038" t="s">
        <v>567</v>
      </c>
      <c r="B3038" t="s">
        <v>1388</v>
      </c>
      <c r="C3038" t="s">
        <v>1395</v>
      </c>
      <c r="D3038" t="s">
        <v>1396</v>
      </c>
      <c r="E3038" t="s">
        <v>1397</v>
      </c>
      <c r="F3038" t="s">
        <v>5</v>
      </c>
      <c r="G3038" t="s">
        <v>5</v>
      </c>
      <c r="H3038" t="s">
        <v>5</v>
      </c>
      <c r="I3038" t="s">
        <v>439</v>
      </c>
      <c r="J3038" t="s">
        <v>7</v>
      </c>
      <c r="K3038" s="3">
        <f t="shared" si="94"/>
        <v>0</v>
      </c>
      <c r="L3038" s="3">
        <f>IF(ISERROR(VLOOKUP(J3038,Lookups!$A$2:$A$16,1,FALSE)),1,0)</f>
        <v>1</v>
      </c>
      <c r="M3038" s="3">
        <f>IF(ISERROR(VLOOKUP(D3038,Data!$A$2:$D$223100,2,FALSE)),0,1)</f>
        <v>0</v>
      </c>
      <c r="N3038" s="3">
        <f t="shared" si="95"/>
        <v>0</v>
      </c>
      <c r="O3038" s="3" t="str">
        <f>IF(ISERROR(VLOOKUP(D3038,Data!$A$2:$C$223100,3,FALSE)),"INACTIVE",VLOOKUP(D3038,Data!$A$2:$C$223100,3,FALSE))</f>
        <v>INACTIVE</v>
      </c>
    </row>
    <row r="3039" spans="1:15" x14ac:dyDescent="0.25">
      <c r="A3039" t="s">
        <v>567</v>
      </c>
      <c r="B3039" t="s">
        <v>1388</v>
      </c>
      <c r="C3039" t="s">
        <v>1398</v>
      </c>
      <c r="D3039" t="s">
        <v>1399</v>
      </c>
      <c r="E3039" t="s">
        <v>1400</v>
      </c>
      <c r="F3039" t="s">
        <v>5</v>
      </c>
      <c r="G3039" t="s">
        <v>5</v>
      </c>
      <c r="H3039" t="s">
        <v>5</v>
      </c>
      <c r="I3039" t="s">
        <v>439</v>
      </c>
      <c r="J3039" t="s">
        <v>7</v>
      </c>
      <c r="K3039" s="3">
        <f t="shared" si="94"/>
        <v>0</v>
      </c>
      <c r="L3039" s="3">
        <f>IF(ISERROR(VLOOKUP(J3039,Lookups!$A$2:$A$16,1,FALSE)),1,0)</f>
        <v>1</v>
      </c>
      <c r="M3039" s="3">
        <f>IF(ISERROR(VLOOKUP(D3039,Data!$A$2:$D$223100,2,FALSE)),0,1)</f>
        <v>1</v>
      </c>
      <c r="N3039" s="3">
        <f t="shared" si="95"/>
        <v>1</v>
      </c>
      <c r="O3039" s="3" t="str">
        <f>IF(ISERROR(VLOOKUP(D3039,Data!$A$2:$C$223100,3,FALSE)),"INACTIVE",VLOOKUP(D3039,Data!$A$2:$C$223100,3,FALSE))</f>
        <v>Demand Letter</v>
      </c>
    </row>
    <row r="3040" spans="1:15" x14ac:dyDescent="0.25">
      <c r="A3040" t="s">
        <v>567</v>
      </c>
      <c r="B3040" t="s">
        <v>1388</v>
      </c>
      <c r="C3040" t="s">
        <v>1401</v>
      </c>
      <c r="D3040" t="s">
        <v>1402</v>
      </c>
      <c r="E3040" t="s">
        <v>1403</v>
      </c>
      <c r="F3040" t="s">
        <v>5</v>
      </c>
      <c r="G3040" t="s">
        <v>5</v>
      </c>
      <c r="H3040" t="s">
        <v>5</v>
      </c>
      <c r="I3040" t="s">
        <v>439</v>
      </c>
      <c r="J3040" t="s">
        <v>90</v>
      </c>
      <c r="K3040" s="3">
        <f t="shared" si="94"/>
        <v>0</v>
      </c>
      <c r="L3040" s="3">
        <f>IF(ISERROR(VLOOKUP(J3040,Lookups!$A$2:$A$16,1,FALSE)),1,0)</f>
        <v>0</v>
      </c>
      <c r="M3040" s="3">
        <f>IF(ISERROR(VLOOKUP(D3040,Data!$A$2:$D$223100,2,FALSE)),0,1)</f>
        <v>1</v>
      </c>
      <c r="N3040" s="3">
        <f t="shared" si="95"/>
        <v>0</v>
      </c>
      <c r="O3040" s="3" t="str">
        <f>IF(ISERROR(VLOOKUP(D3040,Data!$A$2:$C$223100,3,FALSE)),"INACTIVE",VLOOKUP(D3040,Data!$A$2:$C$223100,3,FALSE))</f>
        <v>Current</v>
      </c>
    </row>
    <row r="3041" spans="1:15" x14ac:dyDescent="0.25">
      <c r="A3041" t="s">
        <v>567</v>
      </c>
      <c r="B3041" t="s">
        <v>1388</v>
      </c>
      <c r="C3041" t="s">
        <v>1404</v>
      </c>
      <c r="D3041" t="s">
        <v>1405</v>
      </c>
      <c r="E3041" t="s">
        <v>1406</v>
      </c>
      <c r="F3041" t="s">
        <v>5</v>
      </c>
      <c r="G3041" t="s">
        <v>5</v>
      </c>
      <c r="H3041" t="s">
        <v>5</v>
      </c>
      <c r="I3041" t="s">
        <v>439</v>
      </c>
      <c r="J3041" t="s">
        <v>7</v>
      </c>
      <c r="K3041" s="3">
        <f t="shared" si="94"/>
        <v>0</v>
      </c>
      <c r="L3041" s="3">
        <f>IF(ISERROR(VLOOKUP(J3041,Lookups!$A$2:$A$16,1,FALSE)),1,0)</f>
        <v>1</v>
      </c>
      <c r="M3041" s="3">
        <f>IF(ISERROR(VLOOKUP(D3041,Data!$A$2:$D$223100,2,FALSE)),0,1)</f>
        <v>0</v>
      </c>
      <c r="N3041" s="3">
        <f t="shared" si="95"/>
        <v>0</v>
      </c>
      <c r="O3041" s="3" t="str">
        <f>IF(ISERROR(VLOOKUP(D3041,Data!$A$2:$C$223100,3,FALSE)),"INACTIVE",VLOOKUP(D3041,Data!$A$2:$C$223100,3,FALSE))</f>
        <v>INACTIVE</v>
      </c>
    </row>
    <row r="3042" spans="1:15" x14ac:dyDescent="0.25">
      <c r="A3042" t="s">
        <v>567</v>
      </c>
      <c r="B3042" t="s">
        <v>1388</v>
      </c>
      <c r="C3042" t="s">
        <v>1407</v>
      </c>
      <c r="D3042" t="s">
        <v>1408</v>
      </c>
      <c r="E3042" t="s">
        <v>1409</v>
      </c>
      <c r="F3042" t="s">
        <v>5</v>
      </c>
      <c r="G3042" t="s">
        <v>5</v>
      </c>
      <c r="H3042" t="s">
        <v>5</v>
      </c>
      <c r="I3042" t="s">
        <v>439</v>
      </c>
      <c r="J3042" t="s">
        <v>7</v>
      </c>
      <c r="K3042" s="3">
        <f t="shared" si="94"/>
        <v>0</v>
      </c>
      <c r="L3042" s="3">
        <f>IF(ISERROR(VLOOKUP(J3042,Lookups!$A$2:$A$16,1,FALSE)),1,0)</f>
        <v>1</v>
      </c>
      <c r="M3042" s="3">
        <f>IF(ISERROR(VLOOKUP(D3042,Data!$A$2:$D$223100,2,FALSE)),0,1)</f>
        <v>1</v>
      </c>
      <c r="N3042" s="3">
        <f t="shared" si="95"/>
        <v>1</v>
      </c>
      <c r="O3042" s="3" t="str">
        <f>IF(ISERROR(VLOOKUP(D3042,Data!$A$2:$C$223100,3,FALSE)),"INACTIVE",VLOOKUP(D3042,Data!$A$2:$C$223100,3,FALSE))</f>
        <v>Demand Letter</v>
      </c>
    </row>
    <row r="3043" spans="1:15" x14ac:dyDescent="0.25">
      <c r="A3043" t="s">
        <v>567</v>
      </c>
      <c r="B3043" t="s">
        <v>1388</v>
      </c>
      <c r="C3043" t="s">
        <v>1410</v>
      </c>
      <c r="D3043" t="s">
        <v>1411</v>
      </c>
      <c r="E3043" t="s">
        <v>1412</v>
      </c>
      <c r="F3043" t="s">
        <v>5</v>
      </c>
      <c r="G3043" t="s">
        <v>5</v>
      </c>
      <c r="H3043" t="s">
        <v>5</v>
      </c>
      <c r="I3043" t="s">
        <v>439</v>
      </c>
      <c r="J3043" t="s">
        <v>96</v>
      </c>
      <c r="K3043" s="3">
        <f t="shared" si="94"/>
        <v>0</v>
      </c>
      <c r="L3043" s="3">
        <f>IF(ISERROR(VLOOKUP(J3043,Lookups!$A$2:$A$16,1,FALSE)),1,0)</f>
        <v>0</v>
      </c>
      <c r="M3043" s="3">
        <f>IF(ISERROR(VLOOKUP(D3043,Data!$A$2:$D$223100,2,FALSE)),0,1)</f>
        <v>1</v>
      </c>
      <c r="N3043" s="3">
        <f t="shared" si="95"/>
        <v>0</v>
      </c>
      <c r="O3043" s="3" t="str">
        <f>IF(ISERROR(VLOOKUP(D3043,Data!$A$2:$C$223100,3,FALSE)),"INACTIVE",VLOOKUP(D3043,Data!$A$2:$C$223100,3,FALSE))</f>
        <v>FC</v>
      </c>
    </row>
    <row r="3044" spans="1:15" x14ac:dyDescent="0.25">
      <c r="A3044" t="s">
        <v>567</v>
      </c>
      <c r="B3044" t="s">
        <v>1388</v>
      </c>
      <c r="C3044" t="s">
        <v>1413</v>
      </c>
      <c r="D3044" t="s">
        <v>1414</v>
      </c>
      <c r="E3044" t="s">
        <v>1415</v>
      </c>
      <c r="F3044" t="s">
        <v>5</v>
      </c>
      <c r="G3044" t="s">
        <v>5</v>
      </c>
      <c r="H3044" t="s">
        <v>5</v>
      </c>
      <c r="I3044" t="s">
        <v>439</v>
      </c>
      <c r="J3044" t="s">
        <v>7</v>
      </c>
      <c r="K3044" s="3">
        <f t="shared" si="94"/>
        <v>0</v>
      </c>
      <c r="L3044" s="3">
        <f>IF(ISERROR(VLOOKUP(J3044,Lookups!$A$2:$A$16,1,FALSE)),1,0)</f>
        <v>1</v>
      </c>
      <c r="M3044" s="3">
        <f>IF(ISERROR(VLOOKUP(D3044,Data!$A$2:$D$223100,2,FALSE)),0,1)</f>
        <v>1</v>
      </c>
      <c r="N3044" s="3">
        <f t="shared" si="95"/>
        <v>1</v>
      </c>
      <c r="O3044" s="3" t="str">
        <f>IF(ISERROR(VLOOKUP(D3044,Data!$A$2:$C$223100,3,FALSE)),"INACTIVE",VLOOKUP(D3044,Data!$A$2:$C$223100,3,FALSE))</f>
        <v>180+</v>
      </c>
    </row>
    <row r="3045" spans="1:15" x14ac:dyDescent="0.25">
      <c r="A3045" t="s">
        <v>1416</v>
      </c>
      <c r="B3045" t="s">
        <v>1417</v>
      </c>
      <c r="C3045" t="s">
        <v>1418</v>
      </c>
      <c r="D3045" t="s">
        <v>1419</v>
      </c>
      <c r="E3045" t="s">
        <v>1420</v>
      </c>
      <c r="F3045" t="s">
        <v>5</v>
      </c>
      <c r="G3045" t="s">
        <v>5</v>
      </c>
      <c r="H3045" t="s">
        <v>5</v>
      </c>
      <c r="I3045" t="s">
        <v>439</v>
      </c>
      <c r="J3045" t="s">
        <v>7</v>
      </c>
      <c r="K3045" s="3">
        <f t="shared" si="94"/>
        <v>0</v>
      </c>
      <c r="L3045" s="3">
        <f>IF(ISERROR(VLOOKUP(J3045,Lookups!$A$2:$A$16,1,FALSE)),1,0)</f>
        <v>1</v>
      </c>
      <c r="M3045" s="3">
        <f>IF(ISERROR(VLOOKUP(D3045,Data!$A$2:$D$223100,2,FALSE)),0,1)</f>
        <v>1</v>
      </c>
      <c r="N3045" s="3">
        <f t="shared" si="95"/>
        <v>1</v>
      </c>
      <c r="O3045" s="3" t="str">
        <f>IF(ISERROR(VLOOKUP(D3045,Data!$A$2:$C$223100,3,FALSE)),"INACTIVE",VLOOKUP(D3045,Data!$A$2:$C$223100,3,FALSE))</f>
        <v>Current</v>
      </c>
    </row>
    <row r="3046" spans="1:15" x14ac:dyDescent="0.25">
      <c r="A3046" t="s">
        <v>1416</v>
      </c>
      <c r="B3046" t="s">
        <v>1417</v>
      </c>
      <c r="C3046" t="s">
        <v>1421</v>
      </c>
      <c r="D3046" t="s">
        <v>1419</v>
      </c>
      <c r="E3046" t="s">
        <v>1422</v>
      </c>
      <c r="F3046" t="s">
        <v>5</v>
      </c>
      <c r="G3046" t="s">
        <v>5</v>
      </c>
      <c r="H3046" t="s">
        <v>5</v>
      </c>
      <c r="I3046" t="s">
        <v>439</v>
      </c>
      <c r="J3046" t="s">
        <v>7</v>
      </c>
      <c r="K3046" s="3">
        <f t="shared" si="94"/>
        <v>0</v>
      </c>
      <c r="L3046" s="3">
        <f>IF(ISERROR(VLOOKUP(J3046,Lookups!$A$2:$A$16,1,FALSE)),1,0)</f>
        <v>1</v>
      </c>
      <c r="M3046" s="3">
        <f>IF(ISERROR(VLOOKUP(D3046,Data!$A$2:$D$223100,2,FALSE)),0,1)</f>
        <v>1</v>
      </c>
      <c r="N3046" s="3">
        <f t="shared" si="95"/>
        <v>1</v>
      </c>
      <c r="O3046" s="3" t="str">
        <f>IF(ISERROR(VLOOKUP(D3046,Data!$A$2:$C$223100,3,FALSE)),"INACTIVE",VLOOKUP(D3046,Data!$A$2:$C$223100,3,FALSE))</f>
        <v>Current</v>
      </c>
    </row>
    <row r="3047" spans="1:15" x14ac:dyDescent="0.25">
      <c r="A3047" t="s">
        <v>1498</v>
      </c>
      <c r="B3047" t="s">
        <v>1499</v>
      </c>
      <c r="C3047" t="s">
        <v>1500</v>
      </c>
      <c r="D3047" t="s">
        <v>1501</v>
      </c>
      <c r="E3047" t="s">
        <v>1502</v>
      </c>
      <c r="F3047" t="s">
        <v>5</v>
      </c>
      <c r="G3047" t="s">
        <v>5</v>
      </c>
      <c r="H3047" t="s">
        <v>5</v>
      </c>
      <c r="I3047" t="s">
        <v>439</v>
      </c>
      <c r="J3047" t="s">
        <v>7</v>
      </c>
      <c r="K3047" s="3">
        <f t="shared" si="94"/>
        <v>0</v>
      </c>
      <c r="L3047" s="3">
        <f>IF(ISERROR(VLOOKUP(J3047,Lookups!$A$2:$A$16,1,FALSE)),1,0)</f>
        <v>1</v>
      </c>
      <c r="M3047" s="3">
        <f>IF(ISERROR(VLOOKUP(D3047,Data!$A$2:$D$223100,2,FALSE)),0,1)</f>
        <v>1</v>
      </c>
      <c r="N3047" s="3">
        <f t="shared" si="95"/>
        <v>1</v>
      </c>
      <c r="O3047" s="3" t="str">
        <f>IF(ISERROR(VLOOKUP(D3047,Data!$A$2:$C$223100,3,FALSE)),"INACTIVE",VLOOKUP(D3047,Data!$A$2:$C$223100,3,FALSE))</f>
        <v>180+</v>
      </c>
    </row>
    <row r="3048" spans="1:15" x14ac:dyDescent="0.25">
      <c r="A3048" t="s">
        <v>1498</v>
      </c>
      <c r="B3048" t="s">
        <v>1499</v>
      </c>
      <c r="C3048" t="s">
        <v>1503</v>
      </c>
      <c r="D3048" t="s">
        <v>1504</v>
      </c>
      <c r="E3048" t="s">
        <v>1505</v>
      </c>
      <c r="F3048" t="s">
        <v>5</v>
      </c>
      <c r="G3048" t="s">
        <v>5</v>
      </c>
      <c r="H3048" t="s">
        <v>5</v>
      </c>
      <c r="I3048" t="s">
        <v>439</v>
      </c>
      <c r="J3048" t="s">
        <v>7</v>
      </c>
      <c r="K3048" s="3">
        <f t="shared" si="94"/>
        <v>0</v>
      </c>
      <c r="L3048" s="3">
        <f>IF(ISERROR(VLOOKUP(J3048,Lookups!$A$2:$A$16,1,FALSE)),1,0)</f>
        <v>1</v>
      </c>
      <c r="M3048" s="3">
        <f>IF(ISERROR(VLOOKUP(D3048,Data!$A$2:$D$223100,2,FALSE)),0,1)</f>
        <v>1</v>
      </c>
      <c r="N3048" s="3">
        <f t="shared" si="95"/>
        <v>1</v>
      </c>
      <c r="O3048" s="3" t="str">
        <f>IF(ISERROR(VLOOKUP(D3048,Data!$A$2:$C$223100,3,FALSE)),"INACTIVE",VLOOKUP(D3048,Data!$A$2:$C$223100,3,FALSE))</f>
        <v>FC</v>
      </c>
    </row>
    <row r="3049" spans="1:15" x14ac:dyDescent="0.25">
      <c r="A3049" t="s">
        <v>1498</v>
      </c>
      <c r="B3049" t="s">
        <v>1499</v>
      </c>
      <c r="C3049" t="s">
        <v>1506</v>
      </c>
      <c r="D3049" t="s">
        <v>1507</v>
      </c>
      <c r="E3049" t="s">
        <v>1508</v>
      </c>
      <c r="F3049" t="s">
        <v>5</v>
      </c>
      <c r="G3049" t="s">
        <v>5</v>
      </c>
      <c r="H3049" t="s">
        <v>5</v>
      </c>
      <c r="I3049" t="s">
        <v>439</v>
      </c>
      <c r="J3049" t="s">
        <v>7</v>
      </c>
      <c r="K3049" s="3">
        <f t="shared" si="94"/>
        <v>0</v>
      </c>
      <c r="L3049" s="3">
        <f>IF(ISERROR(VLOOKUP(J3049,Lookups!$A$2:$A$16,1,FALSE)),1,0)</f>
        <v>1</v>
      </c>
      <c r="M3049" s="3">
        <f>IF(ISERROR(VLOOKUP(D3049,Data!$A$2:$D$223100,2,FALSE)),0,1)</f>
        <v>1</v>
      </c>
      <c r="N3049" s="3">
        <f t="shared" si="95"/>
        <v>1</v>
      </c>
      <c r="O3049" s="3" t="str">
        <f>IF(ISERROR(VLOOKUP(D3049,Data!$A$2:$C$223100,3,FALSE)),"INACTIVE",VLOOKUP(D3049,Data!$A$2:$C$223100,3,FALSE))</f>
        <v>FBA</v>
      </c>
    </row>
    <row r="3050" spans="1:15" x14ac:dyDescent="0.25">
      <c r="A3050" t="s">
        <v>1509</v>
      </c>
      <c r="B3050" t="s">
        <v>1510</v>
      </c>
      <c r="C3050" t="s">
        <v>1511</v>
      </c>
      <c r="D3050" t="s">
        <v>1512</v>
      </c>
      <c r="E3050" t="s">
        <v>1513</v>
      </c>
      <c r="F3050" t="s">
        <v>5</v>
      </c>
      <c r="G3050" t="s">
        <v>5</v>
      </c>
      <c r="H3050" t="s">
        <v>5</v>
      </c>
      <c r="I3050" t="s">
        <v>439</v>
      </c>
      <c r="J3050" t="s">
        <v>7</v>
      </c>
      <c r="K3050" s="3">
        <f t="shared" si="94"/>
        <v>0</v>
      </c>
      <c r="L3050" s="3">
        <f>IF(ISERROR(VLOOKUP(J3050,Lookups!$A$2:$A$16,1,FALSE)),1,0)</f>
        <v>1</v>
      </c>
      <c r="M3050" s="3">
        <f>IF(ISERROR(VLOOKUP(D3050,Data!$A$2:$D$223100,2,FALSE)),0,1)</f>
        <v>1</v>
      </c>
      <c r="N3050" s="3">
        <f t="shared" si="95"/>
        <v>1</v>
      </c>
      <c r="O3050" s="3" t="str">
        <f>IF(ISERROR(VLOOKUP(D3050,Data!$A$2:$C$223100,3,FALSE)),"INACTIVE",VLOOKUP(D3050,Data!$A$2:$C$223100,3,FALSE))</f>
        <v>BK11</v>
      </c>
    </row>
    <row r="3051" spans="1:15" x14ac:dyDescent="0.25">
      <c r="A3051" t="s">
        <v>1509</v>
      </c>
      <c r="B3051" t="s">
        <v>1510</v>
      </c>
      <c r="C3051" t="s">
        <v>1514</v>
      </c>
      <c r="D3051" t="s">
        <v>1515</v>
      </c>
      <c r="E3051" t="s">
        <v>1516</v>
      </c>
      <c r="F3051" t="s">
        <v>5</v>
      </c>
      <c r="G3051" t="s">
        <v>5</v>
      </c>
      <c r="H3051" t="s">
        <v>5</v>
      </c>
      <c r="I3051" t="s">
        <v>439</v>
      </c>
      <c r="J3051" t="s">
        <v>7</v>
      </c>
      <c r="K3051" s="3">
        <f t="shared" si="94"/>
        <v>0</v>
      </c>
      <c r="L3051" s="3">
        <f>IF(ISERROR(VLOOKUP(J3051,Lookups!$A$2:$A$16,1,FALSE)),1,0)</f>
        <v>1</v>
      </c>
      <c r="M3051" s="3">
        <f>IF(ISERROR(VLOOKUP(D3051,Data!$A$2:$D$223100,2,FALSE)),0,1)</f>
        <v>1</v>
      </c>
      <c r="N3051" s="3">
        <f t="shared" si="95"/>
        <v>1</v>
      </c>
      <c r="O3051" s="3" t="str">
        <f>IF(ISERROR(VLOOKUP(D3051,Data!$A$2:$C$223100,3,FALSE)),"INACTIVE",VLOOKUP(D3051,Data!$A$2:$C$223100,3,FALSE))</f>
        <v>180+</v>
      </c>
    </row>
    <row r="3052" spans="1:15" x14ac:dyDescent="0.25">
      <c r="A3052" t="s">
        <v>1677</v>
      </c>
      <c r="B3052" t="s">
        <v>1678</v>
      </c>
      <c r="C3052" t="s">
        <v>1679</v>
      </c>
      <c r="D3052" t="s">
        <v>1680</v>
      </c>
      <c r="E3052" t="s">
        <v>1681</v>
      </c>
      <c r="F3052" t="s">
        <v>5</v>
      </c>
      <c r="G3052" t="s">
        <v>5</v>
      </c>
      <c r="H3052" t="s">
        <v>5</v>
      </c>
      <c r="I3052" t="s">
        <v>439</v>
      </c>
      <c r="J3052" t="s">
        <v>7</v>
      </c>
      <c r="K3052" s="3">
        <f t="shared" si="94"/>
        <v>0</v>
      </c>
      <c r="L3052" s="3">
        <f>IF(ISERROR(VLOOKUP(J3052,Lookups!$A$2:$A$16,1,FALSE)),1,0)</f>
        <v>1</v>
      </c>
      <c r="M3052" s="3">
        <f>IF(ISERROR(VLOOKUP(D3052,Data!$A$2:$D$223100,2,FALSE)),0,1)</f>
        <v>1</v>
      </c>
      <c r="N3052" s="3">
        <f t="shared" si="95"/>
        <v>1</v>
      </c>
      <c r="O3052" s="3" t="str">
        <f>IF(ISERROR(VLOOKUP(D3052,Data!$A$2:$C$223100,3,FALSE)),"INACTIVE",VLOOKUP(D3052,Data!$A$2:$C$223100,3,FALSE))</f>
        <v>Demand Letter</v>
      </c>
    </row>
    <row r="3053" spans="1:15" x14ac:dyDescent="0.25">
      <c r="A3053" t="s">
        <v>1706</v>
      </c>
      <c r="B3053" t="s">
        <v>1707</v>
      </c>
      <c r="C3053" t="s">
        <v>1708</v>
      </c>
      <c r="D3053" t="s">
        <v>1709</v>
      </c>
      <c r="E3053" t="s">
        <v>1710</v>
      </c>
      <c r="F3053" t="s">
        <v>5</v>
      </c>
      <c r="G3053" t="s">
        <v>5</v>
      </c>
      <c r="H3053" t="s">
        <v>5</v>
      </c>
      <c r="I3053" t="s">
        <v>439</v>
      </c>
      <c r="J3053" t="s">
        <v>7</v>
      </c>
      <c r="K3053" s="3">
        <f t="shared" si="94"/>
        <v>0</v>
      </c>
      <c r="L3053" s="3">
        <f>IF(ISERROR(VLOOKUP(J3053,Lookups!$A$2:$A$16,1,FALSE)),1,0)</f>
        <v>1</v>
      </c>
      <c r="M3053" s="3">
        <f>IF(ISERROR(VLOOKUP(D3053,Data!$A$2:$D$223100,2,FALSE)),0,1)</f>
        <v>1</v>
      </c>
      <c r="N3053" s="3">
        <f t="shared" si="95"/>
        <v>1</v>
      </c>
      <c r="O3053" s="3" t="str">
        <f>IF(ISERROR(VLOOKUP(D3053,Data!$A$2:$C$223100,3,FALSE)),"INACTIVE",VLOOKUP(D3053,Data!$A$2:$C$223100,3,FALSE))</f>
        <v>Demand Letter</v>
      </c>
    </row>
    <row r="3054" spans="1:15" x14ac:dyDescent="0.25">
      <c r="A3054" t="s">
        <v>1760</v>
      </c>
      <c r="B3054" t="s">
        <v>1761</v>
      </c>
      <c r="C3054" t="s">
        <v>1762</v>
      </c>
      <c r="D3054" t="s">
        <v>1763</v>
      </c>
      <c r="E3054" t="s">
        <v>1764</v>
      </c>
      <c r="F3054" t="s">
        <v>5</v>
      </c>
      <c r="G3054" t="s">
        <v>5</v>
      </c>
      <c r="H3054" t="s">
        <v>5</v>
      </c>
      <c r="I3054" t="s">
        <v>439</v>
      </c>
      <c r="J3054" t="s">
        <v>7</v>
      </c>
      <c r="K3054" s="3">
        <f t="shared" si="94"/>
        <v>0</v>
      </c>
      <c r="L3054" s="3">
        <f>IF(ISERROR(VLOOKUP(J3054,Lookups!$A$2:$A$16,1,FALSE)),1,0)</f>
        <v>1</v>
      </c>
      <c r="M3054" s="3">
        <f>IF(ISERROR(VLOOKUP(D3054,Data!$A$2:$D$223100,2,FALSE)),0,1)</f>
        <v>1</v>
      </c>
      <c r="N3054" s="3">
        <f t="shared" si="95"/>
        <v>1</v>
      </c>
      <c r="O3054" s="3" t="str">
        <f>IF(ISERROR(VLOOKUP(D3054,Data!$A$2:$C$223100,3,FALSE)),"INACTIVE",VLOOKUP(D3054,Data!$A$2:$C$223100,3,FALSE))</f>
        <v>90+</v>
      </c>
    </row>
    <row r="3055" spans="1:15" x14ac:dyDescent="0.25">
      <c r="A3055" t="s">
        <v>1760</v>
      </c>
      <c r="B3055" t="s">
        <v>1761</v>
      </c>
      <c r="C3055" t="s">
        <v>1765</v>
      </c>
      <c r="D3055" t="s">
        <v>1766</v>
      </c>
      <c r="E3055" t="s">
        <v>1767</v>
      </c>
      <c r="F3055" t="s">
        <v>5</v>
      </c>
      <c r="G3055" t="s">
        <v>5</v>
      </c>
      <c r="H3055" t="s">
        <v>5</v>
      </c>
      <c r="I3055" t="s">
        <v>439</v>
      </c>
      <c r="J3055" t="s">
        <v>7</v>
      </c>
      <c r="K3055" s="3">
        <f t="shared" si="94"/>
        <v>0</v>
      </c>
      <c r="L3055" s="3">
        <f>IF(ISERROR(VLOOKUP(J3055,Lookups!$A$2:$A$16,1,FALSE)),1,0)</f>
        <v>1</v>
      </c>
      <c r="M3055" s="3">
        <f>IF(ISERROR(VLOOKUP(D3055,Data!$A$2:$D$223100,2,FALSE)),0,1)</f>
        <v>1</v>
      </c>
      <c r="N3055" s="3">
        <f t="shared" si="95"/>
        <v>1</v>
      </c>
      <c r="O3055" s="3" t="str">
        <f>IF(ISERROR(VLOOKUP(D3055,Data!$A$2:$C$223100,3,FALSE)),"INACTIVE",VLOOKUP(D3055,Data!$A$2:$C$223100,3,FALSE))</f>
        <v>Current</v>
      </c>
    </row>
    <row r="3056" spans="1:15" x14ac:dyDescent="0.25">
      <c r="A3056" t="s">
        <v>1760</v>
      </c>
      <c r="B3056" t="s">
        <v>1761</v>
      </c>
      <c r="C3056" t="s">
        <v>1768</v>
      </c>
      <c r="D3056" t="s">
        <v>1769</v>
      </c>
      <c r="E3056" t="s">
        <v>1770</v>
      </c>
      <c r="F3056" t="s">
        <v>5</v>
      </c>
      <c r="G3056" t="s">
        <v>5</v>
      </c>
      <c r="H3056" t="s">
        <v>5</v>
      </c>
      <c r="I3056" t="s">
        <v>439</v>
      </c>
      <c r="J3056" t="s">
        <v>96</v>
      </c>
      <c r="K3056" s="3">
        <f t="shared" si="94"/>
        <v>0</v>
      </c>
      <c r="L3056" s="3">
        <f>IF(ISERROR(VLOOKUP(J3056,Lookups!$A$2:$A$16,1,FALSE)),1,0)</f>
        <v>0</v>
      </c>
      <c r="M3056" s="3">
        <f>IF(ISERROR(VLOOKUP(D3056,Data!$A$2:$D$223100,2,FALSE)),0,1)</f>
        <v>1</v>
      </c>
      <c r="N3056" s="3">
        <f t="shared" si="95"/>
        <v>0</v>
      </c>
      <c r="O3056" s="3" t="str">
        <f>IF(ISERROR(VLOOKUP(D3056,Data!$A$2:$C$223100,3,FALSE)),"INACTIVE",VLOOKUP(D3056,Data!$A$2:$C$223100,3,FALSE))</f>
        <v>BK13</v>
      </c>
    </row>
    <row r="3057" spans="1:15" x14ac:dyDescent="0.25">
      <c r="A3057" t="s">
        <v>1760</v>
      </c>
      <c r="B3057" t="s">
        <v>1761</v>
      </c>
      <c r="C3057" t="s">
        <v>1768</v>
      </c>
      <c r="D3057" t="s">
        <v>1769</v>
      </c>
      <c r="E3057" t="s">
        <v>1771</v>
      </c>
      <c r="F3057" t="s">
        <v>5</v>
      </c>
      <c r="G3057" t="s">
        <v>5</v>
      </c>
      <c r="H3057" t="s">
        <v>5</v>
      </c>
      <c r="I3057" t="s">
        <v>439</v>
      </c>
      <c r="J3057" t="s">
        <v>96</v>
      </c>
      <c r="K3057" s="3">
        <f t="shared" si="94"/>
        <v>0</v>
      </c>
      <c r="L3057" s="3">
        <f>IF(ISERROR(VLOOKUP(J3057,Lookups!$A$2:$A$16,1,FALSE)),1,0)</f>
        <v>0</v>
      </c>
      <c r="M3057" s="3">
        <f>IF(ISERROR(VLOOKUP(D3057,Data!$A$2:$D$223100,2,FALSE)),0,1)</f>
        <v>1</v>
      </c>
      <c r="N3057" s="3">
        <f t="shared" si="95"/>
        <v>0</v>
      </c>
      <c r="O3057" s="3" t="str">
        <f>IF(ISERROR(VLOOKUP(D3057,Data!$A$2:$C$223100,3,FALSE)),"INACTIVE",VLOOKUP(D3057,Data!$A$2:$C$223100,3,FALSE))</f>
        <v>BK13</v>
      </c>
    </row>
    <row r="3058" spans="1:15" x14ac:dyDescent="0.25">
      <c r="A3058" t="s">
        <v>1760</v>
      </c>
      <c r="B3058" t="s">
        <v>1761</v>
      </c>
      <c r="C3058" t="s">
        <v>1772</v>
      </c>
      <c r="D3058" t="s">
        <v>1773</v>
      </c>
      <c r="E3058" t="s">
        <v>1774</v>
      </c>
      <c r="F3058" t="s">
        <v>5</v>
      </c>
      <c r="G3058" t="s">
        <v>5</v>
      </c>
      <c r="H3058" t="s">
        <v>5</v>
      </c>
      <c r="I3058" t="s">
        <v>439</v>
      </c>
      <c r="J3058" t="s">
        <v>96</v>
      </c>
      <c r="K3058" s="3">
        <f t="shared" si="94"/>
        <v>0</v>
      </c>
      <c r="L3058" s="3">
        <f>IF(ISERROR(VLOOKUP(J3058,Lookups!$A$2:$A$16,1,FALSE)),1,0)</f>
        <v>0</v>
      </c>
      <c r="M3058" s="3">
        <f>IF(ISERROR(VLOOKUP(D3058,Data!$A$2:$D$223100,2,FALSE)),0,1)</f>
        <v>0</v>
      </c>
      <c r="N3058" s="3">
        <f t="shared" si="95"/>
        <v>0</v>
      </c>
      <c r="O3058" s="3" t="str">
        <f>IF(ISERROR(VLOOKUP(D3058,Data!$A$2:$C$223100,3,FALSE)),"INACTIVE",VLOOKUP(D3058,Data!$A$2:$C$223100,3,FALSE))</f>
        <v>INACTIVE</v>
      </c>
    </row>
    <row r="3059" spans="1:15" x14ac:dyDescent="0.25">
      <c r="A3059" t="s">
        <v>1760</v>
      </c>
      <c r="B3059" t="s">
        <v>1761</v>
      </c>
      <c r="C3059" t="s">
        <v>1775</v>
      </c>
      <c r="D3059" t="s">
        <v>1776</v>
      </c>
      <c r="E3059" t="s">
        <v>1777</v>
      </c>
      <c r="F3059" t="s">
        <v>5</v>
      </c>
      <c r="G3059" t="s">
        <v>5</v>
      </c>
      <c r="H3059" t="s">
        <v>5</v>
      </c>
      <c r="I3059" t="s">
        <v>439</v>
      </c>
      <c r="J3059" t="s">
        <v>7</v>
      </c>
      <c r="K3059" s="3">
        <f t="shared" si="94"/>
        <v>0</v>
      </c>
      <c r="L3059" s="3">
        <f>IF(ISERROR(VLOOKUP(J3059,Lookups!$A$2:$A$16,1,FALSE)),1,0)</f>
        <v>1</v>
      </c>
      <c r="M3059" s="3">
        <f>IF(ISERROR(VLOOKUP(D3059,Data!$A$2:$D$223100,2,FALSE)),0,1)</f>
        <v>1</v>
      </c>
      <c r="N3059" s="3">
        <f t="shared" si="95"/>
        <v>1</v>
      </c>
      <c r="O3059" s="3" t="str">
        <f>IF(ISERROR(VLOOKUP(D3059,Data!$A$2:$C$223100,3,FALSE)),"INACTIVE",VLOOKUP(D3059,Data!$A$2:$C$223100,3,FALSE))</f>
        <v>FC</v>
      </c>
    </row>
    <row r="3060" spans="1:15" x14ac:dyDescent="0.25">
      <c r="A3060" t="s">
        <v>2107</v>
      </c>
      <c r="B3060" t="s">
        <v>2108</v>
      </c>
      <c r="C3060" t="s">
        <v>2109</v>
      </c>
      <c r="D3060" t="s">
        <v>2110</v>
      </c>
      <c r="E3060" t="s">
        <v>2111</v>
      </c>
      <c r="F3060" t="s">
        <v>2111</v>
      </c>
      <c r="G3060" t="s">
        <v>5</v>
      </c>
      <c r="H3060" t="s">
        <v>5</v>
      </c>
      <c r="I3060" t="s">
        <v>439</v>
      </c>
      <c r="J3060" t="s">
        <v>40</v>
      </c>
      <c r="K3060" s="3">
        <f t="shared" si="94"/>
        <v>0</v>
      </c>
      <c r="L3060" s="3">
        <f>IF(ISERROR(VLOOKUP(J3060,Lookups!$A$2:$A$16,1,FALSE)),1,0)</f>
        <v>1</v>
      </c>
      <c r="M3060" s="3">
        <f>IF(ISERROR(VLOOKUP(D3060,Data!$A$2:$D$223100,2,FALSE)),0,1)</f>
        <v>1</v>
      </c>
      <c r="N3060" s="3">
        <f t="shared" si="95"/>
        <v>1</v>
      </c>
      <c r="O3060" s="3" t="str">
        <f>IF(ISERROR(VLOOKUP(D3060,Data!$A$2:$C$223100,3,FALSE)),"INACTIVE",VLOOKUP(D3060,Data!$A$2:$C$223100,3,FALSE))</f>
        <v>Demand Letter</v>
      </c>
    </row>
    <row r="3061" spans="1:15" x14ac:dyDescent="0.25">
      <c r="A3061" t="s">
        <v>2112</v>
      </c>
      <c r="B3061" t="s">
        <v>2113</v>
      </c>
      <c r="C3061" t="s">
        <v>2114</v>
      </c>
      <c r="D3061" t="s">
        <v>2115</v>
      </c>
      <c r="E3061" t="s">
        <v>2116</v>
      </c>
      <c r="F3061" t="s">
        <v>2116</v>
      </c>
      <c r="G3061" t="s">
        <v>5</v>
      </c>
      <c r="H3061" t="s">
        <v>5</v>
      </c>
      <c r="I3061" t="s">
        <v>439</v>
      </c>
      <c r="J3061" t="s">
        <v>40</v>
      </c>
      <c r="K3061" s="3">
        <f t="shared" si="94"/>
        <v>0</v>
      </c>
      <c r="L3061" s="3">
        <f>IF(ISERROR(VLOOKUP(J3061,Lookups!$A$2:$A$16,1,FALSE)),1,0)</f>
        <v>1</v>
      </c>
      <c r="M3061" s="3">
        <f>IF(ISERROR(VLOOKUP(D3061,Data!$A$2:$D$223100,2,FALSE)),0,1)</f>
        <v>0</v>
      </c>
      <c r="N3061" s="3">
        <f t="shared" si="95"/>
        <v>0</v>
      </c>
      <c r="O3061" s="3" t="str">
        <f>IF(ISERROR(VLOOKUP(D3061,Data!$A$2:$C$223100,3,FALSE)),"INACTIVE",VLOOKUP(D3061,Data!$A$2:$C$223100,3,FALSE))</f>
        <v>INACTIVE</v>
      </c>
    </row>
    <row r="3062" spans="1:15" x14ac:dyDescent="0.25">
      <c r="A3062" t="s">
        <v>3718</v>
      </c>
      <c r="B3062" t="s">
        <v>3719</v>
      </c>
      <c r="C3062" t="s">
        <v>3720</v>
      </c>
      <c r="D3062" t="s">
        <v>3721</v>
      </c>
      <c r="E3062" t="s">
        <v>3722</v>
      </c>
      <c r="F3062" t="s">
        <v>5</v>
      </c>
      <c r="G3062" t="s">
        <v>5</v>
      </c>
      <c r="H3062" t="s">
        <v>5</v>
      </c>
      <c r="I3062" t="s">
        <v>439</v>
      </c>
      <c r="J3062" t="s">
        <v>90</v>
      </c>
      <c r="K3062" s="3">
        <f t="shared" si="94"/>
        <v>0</v>
      </c>
      <c r="L3062" s="3">
        <f>IF(ISERROR(VLOOKUP(J3062,Lookups!$A$2:$A$16,1,FALSE)),1,0)</f>
        <v>0</v>
      </c>
      <c r="M3062" s="3">
        <f>IF(ISERROR(VLOOKUP(D3062,Data!$A$2:$D$223100,2,FALSE)),0,1)</f>
        <v>1</v>
      </c>
      <c r="N3062" s="3">
        <f t="shared" si="95"/>
        <v>0</v>
      </c>
      <c r="O3062" s="3" t="str">
        <f>IF(ISERROR(VLOOKUP(D3062,Data!$A$2:$C$223100,3,FALSE)),"INACTIVE",VLOOKUP(D3062,Data!$A$2:$C$223100,3,FALSE))</f>
        <v>Demand Letter</v>
      </c>
    </row>
    <row r="3063" spans="1:15" x14ac:dyDescent="0.25">
      <c r="A3063" t="s">
        <v>864</v>
      </c>
      <c r="B3063" t="s">
        <v>865</v>
      </c>
      <c r="C3063" t="s">
        <v>866</v>
      </c>
      <c r="D3063" t="s">
        <v>867</v>
      </c>
      <c r="E3063" t="s">
        <v>868</v>
      </c>
      <c r="F3063" t="s">
        <v>5</v>
      </c>
      <c r="G3063" t="s">
        <v>5</v>
      </c>
      <c r="H3063" t="s">
        <v>5</v>
      </c>
      <c r="I3063" t="s">
        <v>869</v>
      </c>
      <c r="J3063" t="s">
        <v>90</v>
      </c>
      <c r="K3063" s="3">
        <f t="shared" si="94"/>
        <v>0</v>
      </c>
      <c r="L3063" s="3">
        <f>IF(ISERROR(VLOOKUP(J3063,Lookups!$A$2:$A$16,1,FALSE)),1,0)</f>
        <v>0</v>
      </c>
      <c r="M3063" s="3">
        <f>IF(ISERROR(VLOOKUP(D3063,Data!$A$2:$D$223100,2,FALSE)),0,1)</f>
        <v>1</v>
      </c>
      <c r="N3063" s="3">
        <f t="shared" si="95"/>
        <v>0</v>
      </c>
      <c r="O3063" s="3" t="str">
        <f>IF(ISERROR(VLOOKUP(D3063,Data!$A$2:$C$223100,3,FALSE)),"INACTIVE",VLOOKUP(D3063,Data!$A$2:$C$223100,3,FALSE))</f>
        <v>180+</v>
      </c>
    </row>
    <row r="3064" spans="1:15" x14ac:dyDescent="0.25">
      <c r="A3064" t="s">
        <v>977</v>
      </c>
      <c r="B3064" t="s">
        <v>978</v>
      </c>
      <c r="C3064" t="s">
        <v>979</v>
      </c>
      <c r="D3064" t="s">
        <v>980</v>
      </c>
      <c r="E3064" t="s">
        <v>981</v>
      </c>
      <c r="F3064" t="s">
        <v>5</v>
      </c>
      <c r="G3064" t="s">
        <v>5</v>
      </c>
      <c r="H3064" t="s">
        <v>5</v>
      </c>
      <c r="I3064" t="s">
        <v>869</v>
      </c>
      <c r="J3064" t="s">
        <v>96</v>
      </c>
      <c r="K3064" s="3">
        <f t="shared" si="94"/>
        <v>0</v>
      </c>
      <c r="L3064" s="3">
        <f>IF(ISERROR(VLOOKUP(J3064,Lookups!$A$2:$A$16,1,FALSE)),1,0)</f>
        <v>0</v>
      </c>
      <c r="M3064" s="3">
        <f>IF(ISERROR(VLOOKUP(D3064,Data!$A$2:$D$223100,2,FALSE)),0,1)</f>
        <v>1</v>
      </c>
      <c r="N3064" s="3">
        <f t="shared" si="95"/>
        <v>0</v>
      </c>
      <c r="O3064" s="3" t="str">
        <f>IF(ISERROR(VLOOKUP(D3064,Data!$A$2:$C$223100,3,FALSE)),"INACTIVE",VLOOKUP(D3064,Data!$A$2:$C$223100,3,FALSE))</f>
        <v>BK13</v>
      </c>
    </row>
    <row r="3065" spans="1:15" x14ac:dyDescent="0.25">
      <c r="A3065" t="s">
        <v>977</v>
      </c>
      <c r="B3065" t="s">
        <v>978</v>
      </c>
      <c r="C3065" t="s">
        <v>982</v>
      </c>
      <c r="D3065" t="s">
        <v>983</v>
      </c>
      <c r="E3065" t="s">
        <v>984</v>
      </c>
      <c r="F3065" t="s">
        <v>5</v>
      </c>
      <c r="G3065" t="s">
        <v>5</v>
      </c>
      <c r="H3065" t="s">
        <v>5</v>
      </c>
      <c r="I3065" t="s">
        <v>869</v>
      </c>
      <c r="J3065" t="s">
        <v>90</v>
      </c>
      <c r="K3065" s="3">
        <f t="shared" si="94"/>
        <v>0</v>
      </c>
      <c r="L3065" s="3">
        <f>IF(ISERROR(VLOOKUP(J3065,Lookups!$A$2:$A$16,1,FALSE)),1,0)</f>
        <v>0</v>
      </c>
      <c r="M3065" s="3">
        <f>IF(ISERROR(VLOOKUP(D3065,Data!$A$2:$D$223100,2,FALSE)),0,1)</f>
        <v>1</v>
      </c>
      <c r="N3065" s="3">
        <f t="shared" si="95"/>
        <v>0</v>
      </c>
      <c r="O3065" s="3" t="str">
        <f>IF(ISERROR(VLOOKUP(D3065,Data!$A$2:$C$223100,3,FALSE)),"INACTIVE",VLOOKUP(D3065,Data!$A$2:$C$223100,3,FALSE))</f>
        <v>Current</v>
      </c>
    </row>
    <row r="3066" spans="1:15" x14ac:dyDescent="0.25">
      <c r="A3066" t="s">
        <v>985</v>
      </c>
      <c r="B3066" t="s">
        <v>986</v>
      </c>
      <c r="C3066" t="s">
        <v>987</v>
      </c>
      <c r="D3066" t="s">
        <v>988</v>
      </c>
      <c r="E3066" t="s">
        <v>989</v>
      </c>
      <c r="F3066" t="s">
        <v>5</v>
      </c>
      <c r="G3066" t="s">
        <v>5</v>
      </c>
      <c r="H3066" t="s">
        <v>5</v>
      </c>
      <c r="I3066" t="s">
        <v>869</v>
      </c>
      <c r="J3066" t="s">
        <v>90</v>
      </c>
      <c r="K3066" s="3">
        <f t="shared" si="94"/>
        <v>0</v>
      </c>
      <c r="L3066" s="3">
        <f>IF(ISERROR(VLOOKUP(J3066,Lookups!$A$2:$A$16,1,FALSE)),1,0)</f>
        <v>0</v>
      </c>
      <c r="M3066" s="3">
        <f>IF(ISERROR(VLOOKUP(D3066,Data!$A$2:$D$223100,2,FALSE)),0,1)</f>
        <v>1</v>
      </c>
      <c r="N3066" s="3">
        <f t="shared" si="95"/>
        <v>0</v>
      </c>
      <c r="O3066" s="3" t="str">
        <f>IF(ISERROR(VLOOKUP(D3066,Data!$A$2:$C$223100,3,FALSE)),"INACTIVE",VLOOKUP(D3066,Data!$A$2:$C$223100,3,FALSE))</f>
        <v>FBA</v>
      </c>
    </row>
    <row r="3067" spans="1:15" x14ac:dyDescent="0.25">
      <c r="A3067" t="s">
        <v>990</v>
      </c>
      <c r="B3067" t="s">
        <v>991</v>
      </c>
      <c r="C3067" t="s">
        <v>992</v>
      </c>
      <c r="D3067" t="s">
        <v>993</v>
      </c>
      <c r="E3067" t="s">
        <v>994</v>
      </c>
      <c r="F3067" t="s">
        <v>5</v>
      </c>
      <c r="G3067" t="s">
        <v>5</v>
      </c>
      <c r="H3067" t="s">
        <v>5</v>
      </c>
      <c r="I3067" t="s">
        <v>869</v>
      </c>
      <c r="J3067" t="s">
        <v>90</v>
      </c>
      <c r="K3067" s="3">
        <f t="shared" si="94"/>
        <v>0</v>
      </c>
      <c r="L3067" s="3">
        <f>IF(ISERROR(VLOOKUP(J3067,Lookups!$A$2:$A$16,1,FALSE)),1,0)</f>
        <v>0</v>
      </c>
      <c r="M3067" s="3">
        <f>IF(ISERROR(VLOOKUP(D3067,Data!$A$2:$D$223100,2,FALSE)),0,1)</f>
        <v>1</v>
      </c>
      <c r="N3067" s="3">
        <f t="shared" si="95"/>
        <v>0</v>
      </c>
      <c r="O3067" s="3" t="str">
        <f>IF(ISERROR(VLOOKUP(D3067,Data!$A$2:$C$223100,3,FALSE)),"INACTIVE",VLOOKUP(D3067,Data!$A$2:$C$223100,3,FALSE))</f>
        <v>Current</v>
      </c>
    </row>
    <row r="3068" spans="1:15" x14ac:dyDescent="0.25">
      <c r="A3068" t="s">
        <v>1126</v>
      </c>
      <c r="B3068" t="s">
        <v>1127</v>
      </c>
      <c r="C3068" t="s">
        <v>1128</v>
      </c>
      <c r="D3068" t="s">
        <v>1129</v>
      </c>
      <c r="E3068" t="s">
        <v>1130</v>
      </c>
      <c r="F3068" t="s">
        <v>5</v>
      </c>
      <c r="G3068" t="s">
        <v>5</v>
      </c>
      <c r="H3068" t="s">
        <v>5</v>
      </c>
      <c r="I3068" t="s">
        <v>869</v>
      </c>
      <c r="J3068" t="s">
        <v>90</v>
      </c>
      <c r="K3068" s="3">
        <f t="shared" si="94"/>
        <v>0</v>
      </c>
      <c r="L3068" s="3">
        <f>IF(ISERROR(VLOOKUP(J3068,Lookups!$A$2:$A$16,1,FALSE)),1,0)</f>
        <v>0</v>
      </c>
      <c r="M3068" s="3">
        <f>IF(ISERROR(VLOOKUP(D3068,Data!$A$2:$D$223100,2,FALSE)),0,1)</f>
        <v>1</v>
      </c>
      <c r="N3068" s="3">
        <f t="shared" si="95"/>
        <v>0</v>
      </c>
      <c r="O3068" s="3" t="str">
        <f>IF(ISERROR(VLOOKUP(D3068,Data!$A$2:$C$223100,3,FALSE)),"INACTIVE",VLOOKUP(D3068,Data!$A$2:$C$223100,3,FALSE))</f>
        <v>Current</v>
      </c>
    </row>
    <row r="3069" spans="1:15" x14ac:dyDescent="0.25">
      <c r="A3069" t="s">
        <v>1126</v>
      </c>
      <c r="B3069" t="s">
        <v>1127</v>
      </c>
      <c r="C3069" t="s">
        <v>1131</v>
      </c>
      <c r="D3069" t="s">
        <v>1132</v>
      </c>
      <c r="E3069" t="s">
        <v>1133</v>
      </c>
      <c r="F3069" t="s">
        <v>5</v>
      </c>
      <c r="G3069" t="s">
        <v>5</v>
      </c>
      <c r="H3069" t="s">
        <v>5</v>
      </c>
      <c r="I3069" t="s">
        <v>869</v>
      </c>
      <c r="J3069" t="s">
        <v>90</v>
      </c>
      <c r="K3069" s="3">
        <f t="shared" si="94"/>
        <v>0</v>
      </c>
      <c r="L3069" s="3">
        <f>IF(ISERROR(VLOOKUP(J3069,Lookups!$A$2:$A$16,1,FALSE)),1,0)</f>
        <v>0</v>
      </c>
      <c r="M3069" s="3">
        <f>IF(ISERROR(VLOOKUP(D3069,Data!$A$2:$D$223100,2,FALSE)),0,1)</f>
        <v>1</v>
      </c>
      <c r="N3069" s="3">
        <f t="shared" si="95"/>
        <v>0</v>
      </c>
      <c r="O3069" s="3" t="str">
        <f>IF(ISERROR(VLOOKUP(D3069,Data!$A$2:$C$223100,3,FALSE)),"INACTIVE",VLOOKUP(D3069,Data!$A$2:$C$223100,3,FALSE))</f>
        <v>Current</v>
      </c>
    </row>
    <row r="3070" spans="1:15" x14ac:dyDescent="0.25">
      <c r="A3070" t="s">
        <v>1134</v>
      </c>
      <c r="B3070" t="s">
        <v>1135</v>
      </c>
      <c r="C3070" t="s">
        <v>1136</v>
      </c>
      <c r="D3070" t="s">
        <v>1137</v>
      </c>
      <c r="E3070" t="s">
        <v>5</v>
      </c>
      <c r="F3070" t="s">
        <v>1138</v>
      </c>
      <c r="G3070" t="s">
        <v>5</v>
      </c>
      <c r="H3070" t="s">
        <v>5</v>
      </c>
      <c r="I3070" t="s">
        <v>869</v>
      </c>
      <c r="J3070" t="s">
        <v>7</v>
      </c>
      <c r="K3070" s="3">
        <f t="shared" si="94"/>
        <v>0</v>
      </c>
      <c r="L3070" s="3">
        <f>IF(ISERROR(VLOOKUP(J3070,Lookups!$A$2:$A$16,1,FALSE)),1,0)</f>
        <v>1</v>
      </c>
      <c r="M3070" s="3">
        <f>IF(ISERROR(VLOOKUP(D3070,Data!$A$2:$D$223100,2,FALSE)),0,1)</f>
        <v>1</v>
      </c>
      <c r="N3070" s="3">
        <f t="shared" si="95"/>
        <v>1</v>
      </c>
      <c r="O3070" s="3" t="str">
        <f>IF(ISERROR(VLOOKUP(D3070,Data!$A$2:$C$223100,3,FALSE)),"INACTIVE",VLOOKUP(D3070,Data!$A$2:$C$223100,3,FALSE))</f>
        <v>60+</v>
      </c>
    </row>
    <row r="3071" spans="1:15" x14ac:dyDescent="0.25">
      <c r="A3071" t="s">
        <v>1139</v>
      </c>
      <c r="B3071" t="s">
        <v>1140</v>
      </c>
      <c r="C3071" t="s">
        <v>1141</v>
      </c>
      <c r="D3071" t="s">
        <v>1142</v>
      </c>
      <c r="E3071" t="s">
        <v>5</v>
      </c>
      <c r="F3071" t="s">
        <v>1143</v>
      </c>
      <c r="G3071" t="s">
        <v>5</v>
      </c>
      <c r="H3071" t="s">
        <v>5</v>
      </c>
      <c r="I3071" t="s">
        <v>869</v>
      </c>
      <c r="J3071" t="s">
        <v>7</v>
      </c>
      <c r="K3071" s="3">
        <f t="shared" si="94"/>
        <v>0</v>
      </c>
      <c r="L3071" s="3">
        <f>IF(ISERROR(VLOOKUP(J3071,Lookups!$A$2:$A$16,1,FALSE)),1,0)</f>
        <v>1</v>
      </c>
      <c r="M3071" s="3">
        <f>IF(ISERROR(VLOOKUP(D3071,Data!$A$2:$D$223100,2,FALSE)),0,1)</f>
        <v>1</v>
      </c>
      <c r="N3071" s="3">
        <f t="shared" si="95"/>
        <v>1</v>
      </c>
      <c r="O3071" s="3" t="str">
        <f>IF(ISERROR(VLOOKUP(D3071,Data!$A$2:$C$223100,3,FALSE)),"INACTIVE",VLOOKUP(D3071,Data!$A$2:$C$223100,3,FALSE))</f>
        <v>90+</v>
      </c>
    </row>
    <row r="3072" spans="1:15" x14ac:dyDescent="0.25">
      <c r="A3072" t="s">
        <v>1144</v>
      </c>
      <c r="B3072" t="s">
        <v>1145</v>
      </c>
      <c r="C3072" t="s">
        <v>1146</v>
      </c>
      <c r="D3072" t="s">
        <v>1147</v>
      </c>
      <c r="E3072" t="s">
        <v>1148</v>
      </c>
      <c r="F3072" t="s">
        <v>5</v>
      </c>
      <c r="G3072" t="s">
        <v>5</v>
      </c>
      <c r="H3072" t="s">
        <v>5</v>
      </c>
      <c r="I3072" t="s">
        <v>869</v>
      </c>
      <c r="J3072" t="s">
        <v>7</v>
      </c>
      <c r="K3072" s="3">
        <f t="shared" si="94"/>
        <v>0</v>
      </c>
      <c r="L3072" s="3">
        <f>IF(ISERROR(VLOOKUP(J3072,Lookups!$A$2:$A$16,1,FALSE)),1,0)</f>
        <v>1</v>
      </c>
      <c r="M3072" s="3">
        <f>IF(ISERROR(VLOOKUP(D3072,Data!$A$2:$D$223100,2,FALSE)),0,1)</f>
        <v>1</v>
      </c>
      <c r="N3072" s="3">
        <f t="shared" si="95"/>
        <v>1</v>
      </c>
      <c r="O3072" s="3" t="str">
        <f>IF(ISERROR(VLOOKUP(D3072,Data!$A$2:$C$223100,3,FALSE)),"INACTIVE",VLOOKUP(D3072,Data!$A$2:$C$223100,3,FALSE))</f>
        <v>90+</v>
      </c>
    </row>
    <row r="3073" spans="1:15" x14ac:dyDescent="0.25">
      <c r="A3073" t="s">
        <v>1149</v>
      </c>
      <c r="B3073" t="s">
        <v>1150</v>
      </c>
      <c r="C3073" t="s">
        <v>1151</v>
      </c>
      <c r="D3073" t="s">
        <v>1152</v>
      </c>
      <c r="E3073" t="s">
        <v>5</v>
      </c>
      <c r="F3073" t="s">
        <v>1153</v>
      </c>
      <c r="G3073" t="s">
        <v>5</v>
      </c>
      <c r="H3073" t="s">
        <v>5</v>
      </c>
      <c r="I3073" t="s">
        <v>869</v>
      </c>
      <c r="J3073" t="s">
        <v>7</v>
      </c>
      <c r="K3073" s="3">
        <f t="shared" si="94"/>
        <v>0</v>
      </c>
      <c r="L3073" s="3">
        <f>IF(ISERROR(VLOOKUP(J3073,Lookups!$A$2:$A$16,1,FALSE)),1,0)</f>
        <v>1</v>
      </c>
      <c r="M3073" s="3">
        <f>IF(ISERROR(VLOOKUP(D3073,Data!$A$2:$D$223100,2,FALSE)),0,1)</f>
        <v>1</v>
      </c>
      <c r="N3073" s="3">
        <f t="shared" si="95"/>
        <v>1</v>
      </c>
      <c r="O3073" s="3" t="str">
        <f>IF(ISERROR(VLOOKUP(D3073,Data!$A$2:$C$223100,3,FALSE)),"INACTIVE",VLOOKUP(D3073,Data!$A$2:$C$223100,3,FALSE))</f>
        <v>120+</v>
      </c>
    </row>
    <row r="3074" spans="1:15" x14ac:dyDescent="0.25">
      <c r="A3074" t="s">
        <v>1154</v>
      </c>
      <c r="B3074" t="s">
        <v>1155</v>
      </c>
      <c r="C3074" t="s">
        <v>1156</v>
      </c>
      <c r="D3074" t="s">
        <v>1157</v>
      </c>
      <c r="E3074" t="s">
        <v>1158</v>
      </c>
      <c r="F3074" t="s">
        <v>1158</v>
      </c>
      <c r="G3074" t="s">
        <v>5</v>
      </c>
      <c r="H3074" t="s">
        <v>5</v>
      </c>
      <c r="I3074" t="s">
        <v>869</v>
      </c>
      <c r="J3074" t="s">
        <v>7</v>
      </c>
      <c r="K3074" s="3">
        <f t="shared" si="94"/>
        <v>0</v>
      </c>
      <c r="L3074" s="3">
        <f>IF(ISERROR(VLOOKUP(J3074,Lookups!$A$2:$A$16,1,FALSE)),1,0)</f>
        <v>1</v>
      </c>
      <c r="M3074" s="3">
        <f>IF(ISERROR(VLOOKUP(D3074,Data!$A$2:$D$223100,2,FALSE)),0,1)</f>
        <v>1</v>
      </c>
      <c r="N3074" s="3">
        <f t="shared" si="95"/>
        <v>1</v>
      </c>
      <c r="O3074" s="3" t="str">
        <f>IF(ISERROR(VLOOKUP(D3074,Data!$A$2:$C$223100,3,FALSE)),"INACTIVE",VLOOKUP(D3074,Data!$A$2:$C$223100,3,FALSE))</f>
        <v>FC</v>
      </c>
    </row>
    <row r="3075" spans="1:15" x14ac:dyDescent="0.25">
      <c r="A3075" t="s">
        <v>1682</v>
      </c>
      <c r="B3075" t="s">
        <v>1683</v>
      </c>
      <c r="C3075" t="s">
        <v>1684</v>
      </c>
      <c r="D3075" t="s">
        <v>1685</v>
      </c>
      <c r="E3075" t="s">
        <v>1686</v>
      </c>
      <c r="F3075" t="s">
        <v>5</v>
      </c>
      <c r="G3075" t="s">
        <v>5</v>
      </c>
      <c r="H3075" t="s">
        <v>5</v>
      </c>
      <c r="I3075" t="s">
        <v>869</v>
      </c>
      <c r="J3075" t="s">
        <v>7</v>
      </c>
      <c r="K3075" s="3">
        <f t="shared" ref="K3075:K3138" si="96">IF(ISERROR(FIND("LIEN",A3075,1)),0,1)</f>
        <v>0</v>
      </c>
      <c r="L3075" s="3">
        <f>IF(ISERROR(VLOOKUP(J3075,Lookups!$A$2:$A$16,1,FALSE)),1,0)</f>
        <v>1</v>
      </c>
      <c r="M3075" s="3">
        <f>IF(ISERROR(VLOOKUP(D3075,Data!$A$2:$D$223100,2,FALSE)),0,1)</f>
        <v>1</v>
      </c>
      <c r="N3075" s="3">
        <f t="shared" ref="N3075:N3138" si="97">IF(M3075=0,0,IF(SUM(K3075:L3075)&gt;0,1,0))</f>
        <v>1</v>
      </c>
      <c r="O3075" s="3" t="str">
        <f>IF(ISERROR(VLOOKUP(D3075,Data!$A$2:$C$223100,3,FALSE)),"INACTIVE",VLOOKUP(D3075,Data!$A$2:$C$223100,3,FALSE))</f>
        <v>FC</v>
      </c>
    </row>
    <row r="3076" spans="1:15" x14ac:dyDescent="0.25">
      <c r="A3076" t="s">
        <v>1682</v>
      </c>
      <c r="B3076" t="s">
        <v>1683</v>
      </c>
      <c r="C3076" t="s">
        <v>1687</v>
      </c>
      <c r="D3076" t="s">
        <v>1688</v>
      </c>
      <c r="E3076" t="s">
        <v>1689</v>
      </c>
      <c r="F3076" t="s">
        <v>5</v>
      </c>
      <c r="G3076" t="s">
        <v>5</v>
      </c>
      <c r="H3076" t="s">
        <v>5</v>
      </c>
      <c r="I3076" t="s">
        <v>869</v>
      </c>
      <c r="J3076" t="s">
        <v>7</v>
      </c>
      <c r="K3076" s="3">
        <f t="shared" si="96"/>
        <v>0</v>
      </c>
      <c r="L3076" s="3">
        <f>IF(ISERROR(VLOOKUP(J3076,Lookups!$A$2:$A$16,1,FALSE)),1,0)</f>
        <v>1</v>
      </c>
      <c r="M3076" s="3">
        <f>IF(ISERROR(VLOOKUP(D3076,Data!$A$2:$D$223100,2,FALSE)),0,1)</f>
        <v>1</v>
      </c>
      <c r="N3076" s="3">
        <f t="shared" si="97"/>
        <v>1</v>
      </c>
      <c r="O3076" s="3" t="str">
        <f>IF(ISERROR(VLOOKUP(D3076,Data!$A$2:$C$223100,3,FALSE)),"INACTIVE",VLOOKUP(D3076,Data!$A$2:$C$223100,3,FALSE))</f>
        <v>150+</v>
      </c>
    </row>
    <row r="3077" spans="1:15" x14ac:dyDescent="0.25">
      <c r="A3077" t="s">
        <v>1682</v>
      </c>
      <c r="B3077" t="s">
        <v>1683</v>
      </c>
      <c r="C3077" t="s">
        <v>1690</v>
      </c>
      <c r="D3077" t="s">
        <v>1691</v>
      </c>
      <c r="E3077" t="s">
        <v>1692</v>
      </c>
      <c r="F3077" t="s">
        <v>5</v>
      </c>
      <c r="G3077" t="s">
        <v>5</v>
      </c>
      <c r="H3077" t="s">
        <v>5</v>
      </c>
      <c r="I3077" t="s">
        <v>869</v>
      </c>
      <c r="J3077" t="s">
        <v>90</v>
      </c>
      <c r="K3077" s="3">
        <f t="shared" si="96"/>
        <v>0</v>
      </c>
      <c r="L3077" s="3">
        <f>IF(ISERROR(VLOOKUP(J3077,Lookups!$A$2:$A$16,1,FALSE)),1,0)</f>
        <v>0</v>
      </c>
      <c r="M3077" s="3">
        <f>IF(ISERROR(VLOOKUP(D3077,Data!$A$2:$D$223100,2,FALSE)),0,1)</f>
        <v>1</v>
      </c>
      <c r="N3077" s="3">
        <f t="shared" si="97"/>
        <v>0</v>
      </c>
      <c r="O3077" s="3" t="str">
        <f>IF(ISERROR(VLOOKUP(D3077,Data!$A$2:$C$223100,3,FALSE)),"INACTIVE",VLOOKUP(D3077,Data!$A$2:$C$223100,3,FALSE))</f>
        <v>FC</v>
      </c>
    </row>
    <row r="3078" spans="1:15" x14ac:dyDescent="0.25">
      <c r="A3078" t="s">
        <v>1682</v>
      </c>
      <c r="B3078" t="s">
        <v>1683</v>
      </c>
      <c r="C3078" t="s">
        <v>1690</v>
      </c>
      <c r="D3078" t="s">
        <v>1691</v>
      </c>
      <c r="E3078" t="s">
        <v>1693</v>
      </c>
      <c r="F3078" t="s">
        <v>5</v>
      </c>
      <c r="G3078" t="s">
        <v>5</v>
      </c>
      <c r="H3078" t="s">
        <v>5</v>
      </c>
      <c r="I3078" t="s">
        <v>869</v>
      </c>
      <c r="J3078" t="s">
        <v>90</v>
      </c>
      <c r="K3078" s="3">
        <f t="shared" si="96"/>
        <v>0</v>
      </c>
      <c r="L3078" s="3">
        <f>IF(ISERROR(VLOOKUP(J3078,Lookups!$A$2:$A$16,1,FALSE)),1,0)</f>
        <v>0</v>
      </c>
      <c r="M3078" s="3">
        <f>IF(ISERROR(VLOOKUP(D3078,Data!$A$2:$D$223100,2,FALSE)),0,1)</f>
        <v>1</v>
      </c>
      <c r="N3078" s="3">
        <f t="shared" si="97"/>
        <v>0</v>
      </c>
      <c r="O3078" s="3" t="str">
        <f>IF(ISERROR(VLOOKUP(D3078,Data!$A$2:$C$223100,3,FALSE)),"INACTIVE",VLOOKUP(D3078,Data!$A$2:$C$223100,3,FALSE))</f>
        <v>FC</v>
      </c>
    </row>
    <row r="3079" spans="1:15" x14ac:dyDescent="0.25">
      <c r="A3079" t="s">
        <v>1682</v>
      </c>
      <c r="B3079" t="s">
        <v>1683</v>
      </c>
      <c r="C3079" t="s">
        <v>1694</v>
      </c>
      <c r="D3079" t="s">
        <v>1695</v>
      </c>
      <c r="E3079" t="s">
        <v>1696</v>
      </c>
      <c r="F3079" t="s">
        <v>5</v>
      </c>
      <c r="G3079" t="s">
        <v>5</v>
      </c>
      <c r="H3079" t="s">
        <v>5</v>
      </c>
      <c r="I3079" t="s">
        <v>869</v>
      </c>
      <c r="J3079" t="s">
        <v>96</v>
      </c>
      <c r="K3079" s="3">
        <f t="shared" si="96"/>
        <v>0</v>
      </c>
      <c r="L3079" s="3">
        <f>IF(ISERROR(VLOOKUP(J3079,Lookups!$A$2:$A$16,1,FALSE)),1,0)</f>
        <v>0</v>
      </c>
      <c r="M3079" s="3">
        <f>IF(ISERROR(VLOOKUP(D3079,Data!$A$2:$D$223100,2,FALSE)),0,1)</f>
        <v>1</v>
      </c>
      <c r="N3079" s="3">
        <f t="shared" si="97"/>
        <v>0</v>
      </c>
      <c r="O3079" s="3" t="str">
        <f>IF(ISERROR(VLOOKUP(D3079,Data!$A$2:$C$223100,3,FALSE)),"INACTIVE",VLOOKUP(D3079,Data!$A$2:$C$223100,3,FALSE))</f>
        <v>Demand Letter</v>
      </c>
    </row>
    <row r="3080" spans="1:15" x14ac:dyDescent="0.25">
      <c r="A3080" t="s">
        <v>1682</v>
      </c>
      <c r="B3080" t="s">
        <v>1683</v>
      </c>
      <c r="C3080" t="s">
        <v>1694</v>
      </c>
      <c r="D3080" t="s">
        <v>1695</v>
      </c>
      <c r="E3080" t="s">
        <v>1697</v>
      </c>
      <c r="F3080" t="s">
        <v>5</v>
      </c>
      <c r="G3080" t="s">
        <v>5</v>
      </c>
      <c r="H3080" t="s">
        <v>5</v>
      </c>
      <c r="I3080" t="s">
        <v>869</v>
      </c>
      <c r="J3080" t="s">
        <v>96</v>
      </c>
      <c r="K3080" s="3">
        <f t="shared" si="96"/>
        <v>0</v>
      </c>
      <c r="L3080" s="3">
        <f>IF(ISERROR(VLOOKUP(J3080,Lookups!$A$2:$A$16,1,FALSE)),1,0)</f>
        <v>0</v>
      </c>
      <c r="M3080" s="3">
        <f>IF(ISERROR(VLOOKUP(D3080,Data!$A$2:$D$223100,2,FALSE)),0,1)</f>
        <v>1</v>
      </c>
      <c r="N3080" s="3">
        <f t="shared" si="97"/>
        <v>0</v>
      </c>
      <c r="O3080" s="3" t="str">
        <f>IF(ISERROR(VLOOKUP(D3080,Data!$A$2:$C$223100,3,FALSE)),"INACTIVE",VLOOKUP(D3080,Data!$A$2:$C$223100,3,FALSE))</f>
        <v>Demand Letter</v>
      </c>
    </row>
    <row r="3081" spans="1:15" x14ac:dyDescent="0.25">
      <c r="A3081" t="s">
        <v>1682</v>
      </c>
      <c r="B3081" t="s">
        <v>1683</v>
      </c>
      <c r="C3081" t="s">
        <v>1694</v>
      </c>
      <c r="D3081" t="s">
        <v>1695</v>
      </c>
      <c r="E3081" t="s">
        <v>1698</v>
      </c>
      <c r="F3081" t="s">
        <v>5</v>
      </c>
      <c r="G3081" t="s">
        <v>5</v>
      </c>
      <c r="H3081" t="s">
        <v>5</v>
      </c>
      <c r="I3081" t="s">
        <v>869</v>
      </c>
      <c r="J3081" t="s">
        <v>96</v>
      </c>
      <c r="K3081" s="3">
        <f t="shared" si="96"/>
        <v>0</v>
      </c>
      <c r="L3081" s="3">
        <f>IF(ISERROR(VLOOKUP(J3081,Lookups!$A$2:$A$16,1,FALSE)),1,0)</f>
        <v>0</v>
      </c>
      <c r="M3081" s="3">
        <f>IF(ISERROR(VLOOKUP(D3081,Data!$A$2:$D$223100,2,FALSE)),0,1)</f>
        <v>1</v>
      </c>
      <c r="N3081" s="3">
        <f t="shared" si="97"/>
        <v>0</v>
      </c>
      <c r="O3081" s="3" t="str">
        <f>IF(ISERROR(VLOOKUP(D3081,Data!$A$2:$C$223100,3,FALSE)),"INACTIVE",VLOOKUP(D3081,Data!$A$2:$C$223100,3,FALSE))</f>
        <v>Demand Letter</v>
      </c>
    </row>
    <row r="3082" spans="1:15" x14ac:dyDescent="0.25">
      <c r="A3082" t="s">
        <v>1682</v>
      </c>
      <c r="B3082" t="s">
        <v>1683</v>
      </c>
      <c r="C3082" t="s">
        <v>1694</v>
      </c>
      <c r="D3082" t="s">
        <v>1695</v>
      </c>
      <c r="E3082" t="s">
        <v>1699</v>
      </c>
      <c r="F3082" t="s">
        <v>5</v>
      </c>
      <c r="G3082" t="s">
        <v>5</v>
      </c>
      <c r="H3082" t="s">
        <v>5</v>
      </c>
      <c r="I3082" t="s">
        <v>869</v>
      </c>
      <c r="J3082" t="s">
        <v>96</v>
      </c>
      <c r="K3082" s="3">
        <f t="shared" si="96"/>
        <v>0</v>
      </c>
      <c r="L3082" s="3">
        <f>IF(ISERROR(VLOOKUP(J3082,Lookups!$A$2:$A$16,1,FALSE)),1,0)</f>
        <v>0</v>
      </c>
      <c r="M3082" s="3">
        <f>IF(ISERROR(VLOOKUP(D3082,Data!$A$2:$D$223100,2,FALSE)),0,1)</f>
        <v>1</v>
      </c>
      <c r="N3082" s="3">
        <f t="shared" si="97"/>
        <v>0</v>
      </c>
      <c r="O3082" s="3" t="str">
        <f>IF(ISERROR(VLOOKUP(D3082,Data!$A$2:$C$223100,3,FALSE)),"INACTIVE",VLOOKUP(D3082,Data!$A$2:$C$223100,3,FALSE))</f>
        <v>Demand Letter</v>
      </c>
    </row>
    <row r="3083" spans="1:15" x14ac:dyDescent="0.25">
      <c r="A3083" t="s">
        <v>1682</v>
      </c>
      <c r="B3083" t="s">
        <v>1683</v>
      </c>
      <c r="C3083" t="s">
        <v>1694</v>
      </c>
      <c r="D3083" t="s">
        <v>1695</v>
      </c>
      <c r="E3083" t="s">
        <v>1700</v>
      </c>
      <c r="F3083" t="s">
        <v>5</v>
      </c>
      <c r="G3083" t="s">
        <v>5</v>
      </c>
      <c r="H3083" t="s">
        <v>5</v>
      </c>
      <c r="I3083" t="s">
        <v>869</v>
      </c>
      <c r="J3083" t="s">
        <v>96</v>
      </c>
      <c r="K3083" s="3">
        <f t="shared" si="96"/>
        <v>0</v>
      </c>
      <c r="L3083" s="3">
        <f>IF(ISERROR(VLOOKUP(J3083,Lookups!$A$2:$A$16,1,FALSE)),1,0)</f>
        <v>0</v>
      </c>
      <c r="M3083" s="3">
        <f>IF(ISERROR(VLOOKUP(D3083,Data!$A$2:$D$223100,2,FALSE)),0,1)</f>
        <v>1</v>
      </c>
      <c r="N3083" s="3">
        <f t="shared" si="97"/>
        <v>0</v>
      </c>
      <c r="O3083" s="3" t="str">
        <f>IF(ISERROR(VLOOKUP(D3083,Data!$A$2:$C$223100,3,FALSE)),"INACTIVE",VLOOKUP(D3083,Data!$A$2:$C$223100,3,FALSE))</f>
        <v>Demand Letter</v>
      </c>
    </row>
    <row r="3084" spans="1:15" x14ac:dyDescent="0.25">
      <c r="A3084" t="s">
        <v>1682</v>
      </c>
      <c r="B3084" t="s">
        <v>1683</v>
      </c>
      <c r="C3084" t="s">
        <v>1694</v>
      </c>
      <c r="D3084" t="s">
        <v>1695</v>
      </c>
      <c r="E3084" t="s">
        <v>1701</v>
      </c>
      <c r="F3084" t="s">
        <v>5</v>
      </c>
      <c r="G3084" t="s">
        <v>5</v>
      </c>
      <c r="H3084" t="s">
        <v>5</v>
      </c>
      <c r="I3084" t="s">
        <v>869</v>
      </c>
      <c r="J3084" t="s">
        <v>96</v>
      </c>
      <c r="K3084" s="3">
        <f t="shared" si="96"/>
        <v>0</v>
      </c>
      <c r="L3084" s="3">
        <f>IF(ISERROR(VLOOKUP(J3084,Lookups!$A$2:$A$16,1,FALSE)),1,0)</f>
        <v>0</v>
      </c>
      <c r="M3084" s="3">
        <f>IF(ISERROR(VLOOKUP(D3084,Data!$A$2:$D$223100,2,FALSE)),0,1)</f>
        <v>1</v>
      </c>
      <c r="N3084" s="3">
        <f t="shared" si="97"/>
        <v>0</v>
      </c>
      <c r="O3084" s="3" t="str">
        <f>IF(ISERROR(VLOOKUP(D3084,Data!$A$2:$C$223100,3,FALSE)),"INACTIVE",VLOOKUP(D3084,Data!$A$2:$C$223100,3,FALSE))</f>
        <v>Demand Letter</v>
      </c>
    </row>
    <row r="3085" spans="1:15" x14ac:dyDescent="0.25">
      <c r="A3085" t="s">
        <v>1682</v>
      </c>
      <c r="B3085" t="s">
        <v>1683</v>
      </c>
      <c r="C3085" t="s">
        <v>1694</v>
      </c>
      <c r="D3085" t="s">
        <v>1695</v>
      </c>
      <c r="E3085" t="s">
        <v>1702</v>
      </c>
      <c r="F3085" t="s">
        <v>5</v>
      </c>
      <c r="G3085" t="s">
        <v>5</v>
      </c>
      <c r="H3085" t="s">
        <v>5</v>
      </c>
      <c r="I3085" t="s">
        <v>869</v>
      </c>
      <c r="J3085" t="s">
        <v>96</v>
      </c>
      <c r="K3085" s="3">
        <f t="shared" si="96"/>
        <v>0</v>
      </c>
      <c r="L3085" s="3">
        <f>IF(ISERROR(VLOOKUP(J3085,Lookups!$A$2:$A$16,1,FALSE)),1,0)</f>
        <v>0</v>
      </c>
      <c r="M3085" s="3">
        <f>IF(ISERROR(VLOOKUP(D3085,Data!$A$2:$D$223100,2,FALSE)),0,1)</f>
        <v>1</v>
      </c>
      <c r="N3085" s="3">
        <f t="shared" si="97"/>
        <v>0</v>
      </c>
      <c r="O3085" s="3" t="str">
        <f>IF(ISERROR(VLOOKUP(D3085,Data!$A$2:$C$223100,3,FALSE)),"INACTIVE",VLOOKUP(D3085,Data!$A$2:$C$223100,3,FALSE))</f>
        <v>Demand Letter</v>
      </c>
    </row>
    <row r="3086" spans="1:15" x14ac:dyDescent="0.25">
      <c r="A3086" t="s">
        <v>1682</v>
      </c>
      <c r="B3086" t="s">
        <v>1683</v>
      </c>
      <c r="C3086" t="s">
        <v>1694</v>
      </c>
      <c r="D3086" t="s">
        <v>1695</v>
      </c>
      <c r="E3086" t="s">
        <v>1703</v>
      </c>
      <c r="F3086" t="s">
        <v>5</v>
      </c>
      <c r="G3086" t="s">
        <v>5</v>
      </c>
      <c r="H3086" t="s">
        <v>5</v>
      </c>
      <c r="I3086" t="s">
        <v>869</v>
      </c>
      <c r="J3086" t="s">
        <v>96</v>
      </c>
      <c r="K3086" s="3">
        <f t="shared" si="96"/>
        <v>0</v>
      </c>
      <c r="L3086" s="3">
        <f>IF(ISERROR(VLOOKUP(J3086,Lookups!$A$2:$A$16,1,FALSE)),1,0)</f>
        <v>0</v>
      </c>
      <c r="M3086" s="3">
        <f>IF(ISERROR(VLOOKUP(D3086,Data!$A$2:$D$223100,2,FALSE)),0,1)</f>
        <v>1</v>
      </c>
      <c r="N3086" s="3">
        <f t="shared" si="97"/>
        <v>0</v>
      </c>
      <c r="O3086" s="3" t="str">
        <f>IF(ISERROR(VLOOKUP(D3086,Data!$A$2:$C$223100,3,FALSE)),"INACTIVE",VLOOKUP(D3086,Data!$A$2:$C$223100,3,FALSE))</f>
        <v>Demand Letter</v>
      </c>
    </row>
    <row r="3087" spans="1:15" x14ac:dyDescent="0.25">
      <c r="A3087" t="s">
        <v>1682</v>
      </c>
      <c r="B3087" t="s">
        <v>1683</v>
      </c>
      <c r="C3087" t="s">
        <v>1694</v>
      </c>
      <c r="D3087" t="s">
        <v>1695</v>
      </c>
      <c r="E3087" t="s">
        <v>1704</v>
      </c>
      <c r="F3087" t="s">
        <v>5</v>
      </c>
      <c r="G3087" t="s">
        <v>5</v>
      </c>
      <c r="H3087" t="s">
        <v>5</v>
      </c>
      <c r="I3087" t="s">
        <v>869</v>
      </c>
      <c r="J3087" t="s">
        <v>96</v>
      </c>
      <c r="K3087" s="3">
        <f t="shared" si="96"/>
        <v>0</v>
      </c>
      <c r="L3087" s="3">
        <f>IF(ISERROR(VLOOKUP(J3087,Lookups!$A$2:$A$16,1,FALSE)),1,0)</f>
        <v>0</v>
      </c>
      <c r="M3087" s="3">
        <f>IF(ISERROR(VLOOKUP(D3087,Data!$A$2:$D$223100,2,FALSE)),0,1)</f>
        <v>1</v>
      </c>
      <c r="N3087" s="3">
        <f t="shared" si="97"/>
        <v>0</v>
      </c>
      <c r="O3087" s="3" t="str">
        <f>IF(ISERROR(VLOOKUP(D3087,Data!$A$2:$C$223100,3,FALSE)),"INACTIVE",VLOOKUP(D3087,Data!$A$2:$C$223100,3,FALSE))</f>
        <v>Demand Letter</v>
      </c>
    </row>
    <row r="3088" spans="1:15" x14ac:dyDescent="0.25">
      <c r="A3088" t="s">
        <v>1682</v>
      </c>
      <c r="B3088" t="s">
        <v>1683</v>
      </c>
      <c r="C3088" t="s">
        <v>1694</v>
      </c>
      <c r="D3088" t="s">
        <v>1695</v>
      </c>
      <c r="E3088" t="s">
        <v>1705</v>
      </c>
      <c r="F3088" t="s">
        <v>5</v>
      </c>
      <c r="G3088" t="s">
        <v>5</v>
      </c>
      <c r="H3088" t="s">
        <v>5</v>
      </c>
      <c r="I3088" t="s">
        <v>869</v>
      </c>
      <c r="J3088" t="s">
        <v>96</v>
      </c>
      <c r="K3088" s="3">
        <f t="shared" si="96"/>
        <v>0</v>
      </c>
      <c r="L3088" s="3">
        <f>IF(ISERROR(VLOOKUP(J3088,Lookups!$A$2:$A$16,1,FALSE)),1,0)</f>
        <v>0</v>
      </c>
      <c r="M3088" s="3">
        <f>IF(ISERROR(VLOOKUP(D3088,Data!$A$2:$D$223100,2,FALSE)),0,1)</f>
        <v>1</v>
      </c>
      <c r="N3088" s="3">
        <f t="shared" si="97"/>
        <v>0</v>
      </c>
      <c r="O3088" s="3" t="str">
        <f>IF(ISERROR(VLOOKUP(D3088,Data!$A$2:$C$223100,3,FALSE)),"INACTIVE",VLOOKUP(D3088,Data!$A$2:$C$223100,3,FALSE))</f>
        <v>Demand Letter</v>
      </c>
    </row>
    <row r="3089" spans="1:15" x14ac:dyDescent="0.25">
      <c r="A3089" t="s">
        <v>1364</v>
      </c>
      <c r="B3089" t="s">
        <v>1365</v>
      </c>
      <c r="C3089" t="s">
        <v>1366</v>
      </c>
      <c r="D3089" t="s">
        <v>1367</v>
      </c>
      <c r="E3089" t="s">
        <v>1368</v>
      </c>
      <c r="F3089" t="s">
        <v>5</v>
      </c>
      <c r="G3089" t="s">
        <v>5</v>
      </c>
      <c r="H3089" t="s">
        <v>5</v>
      </c>
      <c r="I3089" t="s">
        <v>1369</v>
      </c>
      <c r="J3089" t="s">
        <v>90</v>
      </c>
      <c r="K3089" s="3">
        <f t="shared" si="96"/>
        <v>0</v>
      </c>
      <c r="L3089" s="3">
        <f>IF(ISERROR(VLOOKUP(J3089,Lookups!$A$2:$A$16,1,FALSE)),1,0)</f>
        <v>0</v>
      </c>
      <c r="M3089" s="3">
        <f>IF(ISERROR(VLOOKUP(D3089,Data!$A$2:$D$223100,2,FALSE)),0,1)</f>
        <v>1</v>
      </c>
      <c r="N3089" s="3">
        <f t="shared" si="97"/>
        <v>0</v>
      </c>
      <c r="O3089" s="3" t="str">
        <f>IF(ISERROR(VLOOKUP(D3089,Data!$A$2:$C$223100,3,FALSE)),"INACTIVE",VLOOKUP(D3089,Data!$A$2:$C$223100,3,FALSE))</f>
        <v>Current</v>
      </c>
    </row>
    <row r="3090" spans="1:15" x14ac:dyDescent="0.25">
      <c r="A3090" t="s">
        <v>1364</v>
      </c>
      <c r="B3090" t="s">
        <v>1365</v>
      </c>
      <c r="C3090" t="s">
        <v>1370</v>
      </c>
      <c r="D3090" t="s">
        <v>1371</v>
      </c>
      <c r="E3090" t="s">
        <v>1372</v>
      </c>
      <c r="F3090" t="s">
        <v>5</v>
      </c>
      <c r="G3090" t="s">
        <v>5</v>
      </c>
      <c r="H3090" t="s">
        <v>5</v>
      </c>
      <c r="I3090" t="s">
        <v>1369</v>
      </c>
      <c r="J3090" t="s">
        <v>90</v>
      </c>
      <c r="K3090" s="3">
        <f t="shared" si="96"/>
        <v>0</v>
      </c>
      <c r="L3090" s="3">
        <f>IF(ISERROR(VLOOKUP(J3090,Lookups!$A$2:$A$16,1,FALSE)),1,0)</f>
        <v>0</v>
      </c>
      <c r="M3090" s="3">
        <f>IF(ISERROR(VLOOKUP(D3090,Data!$A$2:$D$223100,2,FALSE)),0,1)</f>
        <v>1</v>
      </c>
      <c r="N3090" s="3">
        <f t="shared" si="97"/>
        <v>0</v>
      </c>
      <c r="O3090" s="3" t="str">
        <f>IF(ISERROR(VLOOKUP(D3090,Data!$A$2:$C$223100,3,FALSE)),"INACTIVE",VLOOKUP(D3090,Data!$A$2:$C$223100,3,FALSE))</f>
        <v>FBA</v>
      </c>
    </row>
    <row r="3091" spans="1:15" x14ac:dyDescent="0.25">
      <c r="A3091" t="s">
        <v>3590</v>
      </c>
      <c r="B3091" t="s">
        <v>3591</v>
      </c>
      <c r="C3091" t="s">
        <v>3592</v>
      </c>
      <c r="D3091" t="s">
        <v>3593</v>
      </c>
      <c r="E3091" t="s">
        <v>3594</v>
      </c>
      <c r="F3091" t="s">
        <v>5</v>
      </c>
      <c r="G3091" t="s">
        <v>5</v>
      </c>
      <c r="H3091" t="s">
        <v>5</v>
      </c>
      <c r="I3091" t="s">
        <v>1369</v>
      </c>
      <c r="J3091" t="s">
        <v>7</v>
      </c>
      <c r="K3091" s="3">
        <f t="shared" si="96"/>
        <v>0</v>
      </c>
      <c r="L3091" s="3">
        <f>IF(ISERROR(VLOOKUP(J3091,Lookups!$A$2:$A$16,1,FALSE)),1,0)</f>
        <v>1</v>
      </c>
      <c r="M3091" s="3">
        <f>IF(ISERROR(VLOOKUP(D3091,Data!$A$2:$D$223100,2,FALSE)),0,1)</f>
        <v>1</v>
      </c>
      <c r="N3091" s="3">
        <f t="shared" si="97"/>
        <v>1</v>
      </c>
      <c r="O3091" s="3" t="str">
        <f>IF(ISERROR(VLOOKUP(D3091,Data!$A$2:$C$223100,3,FALSE)),"INACTIVE",VLOOKUP(D3091,Data!$A$2:$C$223100,3,FALSE))</f>
        <v>Current</v>
      </c>
    </row>
    <row r="3092" spans="1:15" x14ac:dyDescent="0.25">
      <c r="A3092" t="s">
        <v>1272</v>
      </c>
      <c r="B3092" t="s">
        <v>1273</v>
      </c>
      <c r="C3092" t="s">
        <v>1274</v>
      </c>
      <c r="D3092" t="s">
        <v>1275</v>
      </c>
      <c r="E3092" t="s">
        <v>1276</v>
      </c>
      <c r="F3092" t="s">
        <v>1276</v>
      </c>
      <c r="G3092" t="s">
        <v>5</v>
      </c>
      <c r="H3092" t="s">
        <v>5</v>
      </c>
      <c r="I3092" t="s">
        <v>1277</v>
      </c>
      <c r="J3092" t="s">
        <v>40</v>
      </c>
      <c r="K3092" s="3">
        <f t="shared" si="96"/>
        <v>0</v>
      </c>
      <c r="L3092" s="3">
        <f>IF(ISERROR(VLOOKUP(J3092,Lookups!$A$2:$A$16,1,FALSE)),1,0)</f>
        <v>1</v>
      </c>
      <c r="M3092" s="3">
        <f>IF(ISERROR(VLOOKUP(D3092,Data!$A$2:$D$223100,2,FALSE)),0,1)</f>
        <v>1</v>
      </c>
      <c r="N3092" s="3">
        <f t="shared" si="97"/>
        <v>1</v>
      </c>
      <c r="O3092" s="3" t="str">
        <f>IF(ISERROR(VLOOKUP(D3092,Data!$A$2:$C$223100,3,FALSE)),"INACTIVE",VLOOKUP(D3092,Data!$A$2:$C$223100,3,FALSE))</f>
        <v>30+</v>
      </c>
    </row>
    <row r="3093" spans="1:15" x14ac:dyDescent="0.25">
      <c r="A3093" t="s">
        <v>1272</v>
      </c>
      <c r="B3093" t="s">
        <v>1273</v>
      </c>
      <c r="C3093" t="s">
        <v>1278</v>
      </c>
      <c r="D3093" t="s">
        <v>1279</v>
      </c>
      <c r="E3093" t="s">
        <v>1280</v>
      </c>
      <c r="F3093" t="s">
        <v>1280</v>
      </c>
      <c r="G3093" t="s">
        <v>5</v>
      </c>
      <c r="H3093" t="s">
        <v>5</v>
      </c>
      <c r="I3093" t="s">
        <v>1277</v>
      </c>
      <c r="J3093" t="s">
        <v>47</v>
      </c>
      <c r="K3093" s="3">
        <f t="shared" si="96"/>
        <v>0</v>
      </c>
      <c r="L3093" s="3">
        <f>IF(ISERROR(VLOOKUP(J3093,Lookups!$A$2:$A$16,1,FALSE)),1,0)</f>
        <v>1</v>
      </c>
      <c r="M3093" s="3">
        <f>IF(ISERROR(VLOOKUP(D3093,Data!$A$2:$D$223100,2,FALSE)),0,1)</f>
        <v>1</v>
      </c>
      <c r="N3093" s="3">
        <f t="shared" si="97"/>
        <v>1</v>
      </c>
      <c r="O3093" s="3" t="str">
        <f>IF(ISERROR(VLOOKUP(D3093,Data!$A$2:$C$223100,3,FALSE)),"INACTIVE",VLOOKUP(D3093,Data!$A$2:$C$223100,3,FALSE))</f>
        <v>FC</v>
      </c>
    </row>
    <row r="3094" spans="1:15" x14ac:dyDescent="0.25">
      <c r="A3094" t="s">
        <v>1272</v>
      </c>
      <c r="B3094" t="s">
        <v>1273</v>
      </c>
      <c r="C3094" t="s">
        <v>1281</v>
      </c>
      <c r="D3094" t="s">
        <v>1282</v>
      </c>
      <c r="E3094" t="s">
        <v>1283</v>
      </c>
      <c r="F3094" t="s">
        <v>1283</v>
      </c>
      <c r="G3094" t="s">
        <v>5</v>
      </c>
      <c r="H3094" t="s">
        <v>5</v>
      </c>
      <c r="I3094" t="s">
        <v>1277</v>
      </c>
      <c r="J3094" t="s">
        <v>40</v>
      </c>
      <c r="K3094" s="3">
        <f t="shared" si="96"/>
        <v>0</v>
      </c>
      <c r="L3094" s="3">
        <f>IF(ISERROR(VLOOKUP(J3094,Lookups!$A$2:$A$16,1,FALSE)),1,0)</f>
        <v>1</v>
      </c>
      <c r="M3094" s="3">
        <f>IF(ISERROR(VLOOKUP(D3094,Data!$A$2:$D$223100,2,FALSE)),0,1)</f>
        <v>1</v>
      </c>
      <c r="N3094" s="3">
        <f t="shared" si="97"/>
        <v>1</v>
      </c>
      <c r="O3094" s="3" t="str">
        <f>IF(ISERROR(VLOOKUP(D3094,Data!$A$2:$C$223100,3,FALSE)),"INACTIVE",VLOOKUP(D3094,Data!$A$2:$C$223100,3,FALSE))</f>
        <v>Demand Letter</v>
      </c>
    </row>
    <row r="3095" spans="1:15" x14ac:dyDescent="0.25">
      <c r="A3095" t="s">
        <v>1272</v>
      </c>
      <c r="B3095" t="s">
        <v>1273</v>
      </c>
      <c r="C3095" t="s">
        <v>1284</v>
      </c>
      <c r="D3095" t="s">
        <v>1285</v>
      </c>
      <c r="E3095" t="s">
        <v>1286</v>
      </c>
      <c r="F3095" t="s">
        <v>1286</v>
      </c>
      <c r="G3095" t="s">
        <v>5</v>
      </c>
      <c r="H3095" t="s">
        <v>5</v>
      </c>
      <c r="I3095" t="s">
        <v>1277</v>
      </c>
      <c r="J3095" t="s">
        <v>40</v>
      </c>
      <c r="K3095" s="3">
        <f t="shared" si="96"/>
        <v>0</v>
      </c>
      <c r="L3095" s="3">
        <f>IF(ISERROR(VLOOKUP(J3095,Lookups!$A$2:$A$16,1,FALSE)),1,0)</f>
        <v>1</v>
      </c>
      <c r="M3095" s="3">
        <f>IF(ISERROR(VLOOKUP(D3095,Data!$A$2:$D$223100,2,FALSE)),0,1)</f>
        <v>1</v>
      </c>
      <c r="N3095" s="3">
        <f t="shared" si="97"/>
        <v>1</v>
      </c>
      <c r="O3095" s="3" t="str">
        <f>IF(ISERROR(VLOOKUP(D3095,Data!$A$2:$C$223100,3,FALSE)),"INACTIVE",VLOOKUP(D3095,Data!$A$2:$C$223100,3,FALSE))</f>
        <v>FBA</v>
      </c>
    </row>
    <row r="3096" spans="1:15" x14ac:dyDescent="0.25">
      <c r="A3096" t="s">
        <v>1272</v>
      </c>
      <c r="B3096" t="s">
        <v>1273</v>
      </c>
      <c r="C3096" t="s">
        <v>1287</v>
      </c>
      <c r="D3096" t="s">
        <v>1288</v>
      </c>
      <c r="E3096" t="s">
        <v>1289</v>
      </c>
      <c r="F3096" t="s">
        <v>1289</v>
      </c>
      <c r="G3096" t="s">
        <v>5</v>
      </c>
      <c r="H3096" t="s">
        <v>5</v>
      </c>
      <c r="I3096" t="s">
        <v>1277</v>
      </c>
      <c r="J3096" t="s">
        <v>40</v>
      </c>
      <c r="K3096" s="3">
        <f t="shared" si="96"/>
        <v>0</v>
      </c>
      <c r="L3096" s="3">
        <f>IF(ISERROR(VLOOKUP(J3096,Lookups!$A$2:$A$16,1,FALSE)),1,0)</f>
        <v>1</v>
      </c>
      <c r="M3096" s="3">
        <f>IF(ISERROR(VLOOKUP(D3096,Data!$A$2:$D$223100,2,FALSE)),0,1)</f>
        <v>1</v>
      </c>
      <c r="N3096" s="3">
        <f t="shared" si="97"/>
        <v>1</v>
      </c>
      <c r="O3096" s="3" t="str">
        <f>IF(ISERROR(VLOOKUP(D3096,Data!$A$2:$C$223100,3,FALSE)),"INACTIVE",VLOOKUP(D3096,Data!$A$2:$C$223100,3,FALSE))</f>
        <v>Current</v>
      </c>
    </row>
    <row r="3097" spans="1:15" x14ac:dyDescent="0.25">
      <c r="A3097" t="s">
        <v>1272</v>
      </c>
      <c r="B3097" t="s">
        <v>1273</v>
      </c>
      <c r="C3097" t="s">
        <v>1290</v>
      </c>
      <c r="D3097" t="s">
        <v>1291</v>
      </c>
      <c r="E3097" t="s">
        <v>1292</v>
      </c>
      <c r="F3097" t="s">
        <v>1292</v>
      </c>
      <c r="G3097" t="s">
        <v>5</v>
      </c>
      <c r="H3097" t="s">
        <v>5</v>
      </c>
      <c r="I3097" t="s">
        <v>1277</v>
      </c>
      <c r="J3097" t="s">
        <v>47</v>
      </c>
      <c r="K3097" s="3">
        <f t="shared" si="96"/>
        <v>0</v>
      </c>
      <c r="L3097" s="3">
        <f>IF(ISERROR(VLOOKUP(J3097,Lookups!$A$2:$A$16,1,FALSE)),1,0)</f>
        <v>1</v>
      </c>
      <c r="M3097" s="3">
        <f>IF(ISERROR(VLOOKUP(D3097,Data!$A$2:$D$223100,2,FALSE)),0,1)</f>
        <v>1</v>
      </c>
      <c r="N3097" s="3">
        <f t="shared" si="97"/>
        <v>1</v>
      </c>
      <c r="O3097" s="3" t="str">
        <f>IF(ISERROR(VLOOKUP(D3097,Data!$A$2:$C$223100,3,FALSE)),"INACTIVE",VLOOKUP(D3097,Data!$A$2:$C$223100,3,FALSE))</f>
        <v>30+</v>
      </c>
    </row>
    <row r="3098" spans="1:15" x14ac:dyDescent="0.25">
      <c r="A3098" t="s">
        <v>1272</v>
      </c>
      <c r="B3098" t="s">
        <v>1273</v>
      </c>
      <c r="C3098" t="s">
        <v>1293</v>
      </c>
      <c r="D3098" t="s">
        <v>1294</v>
      </c>
      <c r="E3098" t="s">
        <v>1295</v>
      </c>
      <c r="F3098" t="s">
        <v>1295</v>
      </c>
      <c r="G3098" t="s">
        <v>5</v>
      </c>
      <c r="H3098" t="s">
        <v>5</v>
      </c>
      <c r="I3098" t="s">
        <v>1277</v>
      </c>
      <c r="J3098" t="s">
        <v>40</v>
      </c>
      <c r="K3098" s="3">
        <f t="shared" si="96"/>
        <v>0</v>
      </c>
      <c r="L3098" s="3">
        <f>IF(ISERROR(VLOOKUP(J3098,Lookups!$A$2:$A$16,1,FALSE)),1,0)</f>
        <v>1</v>
      </c>
      <c r="M3098" s="3">
        <f>IF(ISERROR(VLOOKUP(D3098,Data!$A$2:$D$223100,2,FALSE)),0,1)</f>
        <v>1</v>
      </c>
      <c r="N3098" s="3">
        <f t="shared" si="97"/>
        <v>1</v>
      </c>
      <c r="O3098" s="3" t="str">
        <f>IF(ISERROR(VLOOKUP(D3098,Data!$A$2:$C$223100,3,FALSE)),"INACTIVE",VLOOKUP(D3098,Data!$A$2:$C$223100,3,FALSE))</f>
        <v>Demand Letter</v>
      </c>
    </row>
    <row r="3099" spans="1:15" x14ac:dyDescent="0.25">
      <c r="A3099" t="s">
        <v>1272</v>
      </c>
      <c r="B3099" t="s">
        <v>1273</v>
      </c>
      <c r="C3099" t="s">
        <v>1296</v>
      </c>
      <c r="D3099" t="s">
        <v>1297</v>
      </c>
      <c r="E3099" t="s">
        <v>1298</v>
      </c>
      <c r="F3099" t="s">
        <v>1298</v>
      </c>
      <c r="G3099" t="s">
        <v>5</v>
      </c>
      <c r="H3099" t="s">
        <v>5</v>
      </c>
      <c r="I3099" t="s">
        <v>1277</v>
      </c>
      <c r="J3099" t="s">
        <v>47</v>
      </c>
      <c r="K3099" s="3">
        <f t="shared" si="96"/>
        <v>0</v>
      </c>
      <c r="L3099" s="3">
        <f>IF(ISERROR(VLOOKUP(J3099,Lookups!$A$2:$A$16,1,FALSE)),1,0)</f>
        <v>1</v>
      </c>
      <c r="M3099" s="3">
        <f>IF(ISERROR(VLOOKUP(D3099,Data!$A$2:$D$223100,2,FALSE)),0,1)</f>
        <v>1</v>
      </c>
      <c r="N3099" s="3">
        <f t="shared" si="97"/>
        <v>1</v>
      </c>
      <c r="O3099" s="3" t="str">
        <f>IF(ISERROR(VLOOKUP(D3099,Data!$A$2:$C$223100,3,FALSE)),"INACTIVE",VLOOKUP(D3099,Data!$A$2:$C$223100,3,FALSE))</f>
        <v>Current</v>
      </c>
    </row>
    <row r="3100" spans="1:15" x14ac:dyDescent="0.25">
      <c r="A3100" t="s">
        <v>1272</v>
      </c>
      <c r="B3100" t="s">
        <v>1273</v>
      </c>
      <c r="C3100" t="s">
        <v>1299</v>
      </c>
      <c r="D3100" t="s">
        <v>1300</v>
      </c>
      <c r="E3100" t="s">
        <v>1301</v>
      </c>
      <c r="F3100" t="s">
        <v>1301</v>
      </c>
      <c r="G3100" t="s">
        <v>5</v>
      </c>
      <c r="H3100" t="s">
        <v>5</v>
      </c>
      <c r="I3100" t="s">
        <v>1277</v>
      </c>
      <c r="J3100" t="s">
        <v>47</v>
      </c>
      <c r="K3100" s="3">
        <f t="shared" si="96"/>
        <v>0</v>
      </c>
      <c r="L3100" s="3">
        <f>IF(ISERROR(VLOOKUP(J3100,Lookups!$A$2:$A$16,1,FALSE)),1,0)</f>
        <v>1</v>
      </c>
      <c r="M3100" s="3">
        <f>IF(ISERROR(VLOOKUP(D3100,Data!$A$2:$D$223100,2,FALSE)),0,1)</f>
        <v>1</v>
      </c>
      <c r="N3100" s="3">
        <f t="shared" si="97"/>
        <v>1</v>
      </c>
      <c r="O3100" s="3" t="str">
        <f>IF(ISERROR(VLOOKUP(D3100,Data!$A$2:$C$223100,3,FALSE)),"INACTIVE",VLOOKUP(D3100,Data!$A$2:$C$223100,3,FALSE))</f>
        <v>FC</v>
      </c>
    </row>
    <row r="3101" spans="1:15" x14ac:dyDescent="0.25">
      <c r="A3101" t="s">
        <v>1272</v>
      </c>
      <c r="B3101" t="s">
        <v>1273</v>
      </c>
      <c r="C3101" t="s">
        <v>1302</v>
      </c>
      <c r="D3101" t="s">
        <v>1303</v>
      </c>
      <c r="E3101" t="s">
        <v>1304</v>
      </c>
      <c r="F3101" t="s">
        <v>1304</v>
      </c>
      <c r="G3101" t="s">
        <v>5</v>
      </c>
      <c r="H3101" t="s">
        <v>5</v>
      </c>
      <c r="I3101" t="s">
        <v>1277</v>
      </c>
      <c r="J3101" t="s">
        <v>47</v>
      </c>
      <c r="K3101" s="3">
        <f t="shared" si="96"/>
        <v>0</v>
      </c>
      <c r="L3101" s="3">
        <f>IF(ISERROR(VLOOKUP(J3101,Lookups!$A$2:$A$16,1,FALSE)),1,0)</f>
        <v>1</v>
      </c>
      <c r="M3101" s="3">
        <f>IF(ISERROR(VLOOKUP(D3101,Data!$A$2:$D$223100,2,FALSE)),0,1)</f>
        <v>1</v>
      </c>
      <c r="N3101" s="3">
        <f t="shared" si="97"/>
        <v>1</v>
      </c>
      <c r="O3101" s="3" t="str">
        <f>IF(ISERROR(VLOOKUP(D3101,Data!$A$2:$C$223100,3,FALSE)),"INACTIVE",VLOOKUP(D3101,Data!$A$2:$C$223100,3,FALSE))</f>
        <v>Demand Letter</v>
      </c>
    </row>
    <row r="3102" spans="1:15" x14ac:dyDescent="0.25">
      <c r="A3102" t="s">
        <v>1272</v>
      </c>
      <c r="B3102" t="s">
        <v>1273</v>
      </c>
      <c r="C3102" t="s">
        <v>1305</v>
      </c>
      <c r="D3102" t="s">
        <v>1306</v>
      </c>
      <c r="E3102" t="s">
        <v>1307</v>
      </c>
      <c r="F3102" t="s">
        <v>1307</v>
      </c>
      <c r="G3102" t="s">
        <v>5</v>
      </c>
      <c r="H3102" t="s">
        <v>5</v>
      </c>
      <c r="I3102" t="s">
        <v>1277</v>
      </c>
      <c r="J3102" t="s">
        <v>40</v>
      </c>
      <c r="K3102" s="3">
        <f t="shared" si="96"/>
        <v>0</v>
      </c>
      <c r="L3102" s="3">
        <f>IF(ISERROR(VLOOKUP(J3102,Lookups!$A$2:$A$16,1,FALSE)),1,0)</f>
        <v>1</v>
      </c>
      <c r="M3102" s="3">
        <f>IF(ISERROR(VLOOKUP(D3102,Data!$A$2:$D$223100,2,FALSE)),0,1)</f>
        <v>1</v>
      </c>
      <c r="N3102" s="3">
        <f t="shared" si="97"/>
        <v>1</v>
      </c>
      <c r="O3102" s="3" t="str">
        <f>IF(ISERROR(VLOOKUP(D3102,Data!$A$2:$C$223100,3,FALSE)),"INACTIVE",VLOOKUP(D3102,Data!$A$2:$C$223100,3,FALSE))</f>
        <v>60+</v>
      </c>
    </row>
    <row r="3103" spans="1:15" x14ac:dyDescent="0.25">
      <c r="A3103" t="s">
        <v>1272</v>
      </c>
      <c r="B3103" t="s">
        <v>1273</v>
      </c>
      <c r="C3103" t="s">
        <v>1308</v>
      </c>
      <c r="D3103" t="s">
        <v>1309</v>
      </c>
      <c r="E3103" t="s">
        <v>1310</v>
      </c>
      <c r="F3103" t="s">
        <v>1310</v>
      </c>
      <c r="G3103" t="s">
        <v>5</v>
      </c>
      <c r="H3103" t="s">
        <v>5</v>
      </c>
      <c r="I3103" t="s">
        <v>1277</v>
      </c>
      <c r="J3103" t="s">
        <v>40</v>
      </c>
      <c r="K3103" s="3">
        <f t="shared" si="96"/>
        <v>0</v>
      </c>
      <c r="L3103" s="3">
        <f>IF(ISERROR(VLOOKUP(J3103,Lookups!$A$2:$A$16,1,FALSE)),1,0)</f>
        <v>1</v>
      </c>
      <c r="M3103" s="3">
        <f>IF(ISERROR(VLOOKUP(D3103,Data!$A$2:$D$223100,2,FALSE)),0,1)</f>
        <v>1</v>
      </c>
      <c r="N3103" s="3">
        <f t="shared" si="97"/>
        <v>1</v>
      </c>
      <c r="O3103" s="3" t="str">
        <f>IF(ISERROR(VLOOKUP(D3103,Data!$A$2:$C$223100,3,FALSE)),"INACTIVE",VLOOKUP(D3103,Data!$A$2:$C$223100,3,FALSE))</f>
        <v>PP</v>
      </c>
    </row>
    <row r="3104" spans="1:15" x14ac:dyDescent="0.25">
      <c r="A3104" t="s">
        <v>1272</v>
      </c>
      <c r="B3104" t="s">
        <v>1273</v>
      </c>
      <c r="C3104" t="s">
        <v>1311</v>
      </c>
      <c r="D3104" t="s">
        <v>1312</v>
      </c>
      <c r="E3104" t="s">
        <v>1313</v>
      </c>
      <c r="F3104" t="s">
        <v>1313</v>
      </c>
      <c r="G3104" t="s">
        <v>5</v>
      </c>
      <c r="H3104" t="s">
        <v>5</v>
      </c>
      <c r="I3104" t="s">
        <v>1277</v>
      </c>
      <c r="J3104" t="s">
        <v>573</v>
      </c>
      <c r="K3104" s="3">
        <f t="shared" si="96"/>
        <v>0</v>
      </c>
      <c r="L3104" s="3">
        <f>IF(ISERROR(VLOOKUP(J3104,Lookups!$A$2:$A$16,1,FALSE)),1,0)</f>
        <v>1</v>
      </c>
      <c r="M3104" s="3">
        <f>IF(ISERROR(VLOOKUP(D3104,Data!$A$2:$D$223100,2,FALSE)),0,1)</f>
        <v>1</v>
      </c>
      <c r="N3104" s="3">
        <f t="shared" si="97"/>
        <v>1</v>
      </c>
      <c r="O3104" s="3" t="str">
        <f>IF(ISERROR(VLOOKUP(D3104,Data!$A$2:$C$223100,3,FALSE)),"INACTIVE",VLOOKUP(D3104,Data!$A$2:$C$223100,3,FALSE))</f>
        <v>FBA</v>
      </c>
    </row>
    <row r="3105" spans="1:15" x14ac:dyDescent="0.25">
      <c r="A3105" t="s">
        <v>1272</v>
      </c>
      <c r="B3105" t="s">
        <v>1273</v>
      </c>
      <c r="C3105" t="s">
        <v>1314</v>
      </c>
      <c r="D3105" t="s">
        <v>1315</v>
      </c>
      <c r="E3105" t="s">
        <v>1316</v>
      </c>
      <c r="F3105" t="s">
        <v>1316</v>
      </c>
      <c r="G3105" t="s">
        <v>5</v>
      </c>
      <c r="H3105" t="s">
        <v>5</v>
      </c>
      <c r="I3105" t="s">
        <v>1277</v>
      </c>
      <c r="J3105" t="s">
        <v>40</v>
      </c>
      <c r="K3105" s="3">
        <f t="shared" si="96"/>
        <v>0</v>
      </c>
      <c r="L3105" s="3">
        <f>IF(ISERROR(VLOOKUP(J3105,Lookups!$A$2:$A$16,1,FALSE)),1,0)</f>
        <v>1</v>
      </c>
      <c r="M3105" s="3">
        <f>IF(ISERROR(VLOOKUP(D3105,Data!$A$2:$D$223100,2,FALSE)),0,1)</f>
        <v>1</v>
      </c>
      <c r="N3105" s="3">
        <f t="shared" si="97"/>
        <v>1</v>
      </c>
      <c r="O3105" s="3" t="str">
        <f>IF(ISERROR(VLOOKUP(D3105,Data!$A$2:$C$223100,3,FALSE)),"INACTIVE",VLOOKUP(D3105,Data!$A$2:$C$223100,3,FALSE))</f>
        <v>Demand Letter</v>
      </c>
    </row>
    <row r="3106" spans="1:15" x14ac:dyDescent="0.25">
      <c r="A3106" t="s">
        <v>1272</v>
      </c>
      <c r="B3106" t="s">
        <v>1273</v>
      </c>
      <c r="C3106" t="s">
        <v>1317</v>
      </c>
      <c r="D3106" t="s">
        <v>1318</v>
      </c>
      <c r="E3106" t="s">
        <v>1319</v>
      </c>
      <c r="F3106" t="s">
        <v>1319</v>
      </c>
      <c r="G3106" t="s">
        <v>5</v>
      </c>
      <c r="H3106" t="s">
        <v>5</v>
      </c>
      <c r="I3106" t="s">
        <v>1277</v>
      </c>
      <c r="J3106" t="s">
        <v>47</v>
      </c>
      <c r="K3106" s="3">
        <f t="shared" si="96"/>
        <v>0</v>
      </c>
      <c r="L3106" s="3">
        <f>IF(ISERROR(VLOOKUP(J3106,Lookups!$A$2:$A$16,1,FALSE)),1,0)</f>
        <v>1</v>
      </c>
      <c r="M3106" s="3">
        <f>IF(ISERROR(VLOOKUP(D3106,Data!$A$2:$D$223100,2,FALSE)),0,1)</f>
        <v>1</v>
      </c>
      <c r="N3106" s="3">
        <f t="shared" si="97"/>
        <v>1</v>
      </c>
      <c r="O3106" s="3" t="str">
        <f>IF(ISERROR(VLOOKUP(D3106,Data!$A$2:$C$223100,3,FALSE)),"INACTIVE",VLOOKUP(D3106,Data!$A$2:$C$223100,3,FALSE))</f>
        <v>Current</v>
      </c>
    </row>
    <row r="3107" spans="1:15" x14ac:dyDescent="0.25">
      <c r="A3107" t="s">
        <v>1272</v>
      </c>
      <c r="B3107" t="s">
        <v>1273</v>
      </c>
      <c r="C3107" t="s">
        <v>1320</v>
      </c>
      <c r="D3107" t="s">
        <v>1321</v>
      </c>
      <c r="E3107" t="s">
        <v>1322</v>
      </c>
      <c r="F3107" t="s">
        <v>1322</v>
      </c>
      <c r="G3107" t="s">
        <v>5</v>
      </c>
      <c r="H3107" t="s">
        <v>5</v>
      </c>
      <c r="I3107" t="s">
        <v>1277</v>
      </c>
      <c r="J3107" t="s">
        <v>47</v>
      </c>
      <c r="K3107" s="3">
        <f t="shared" si="96"/>
        <v>0</v>
      </c>
      <c r="L3107" s="3">
        <f>IF(ISERROR(VLOOKUP(J3107,Lookups!$A$2:$A$16,1,FALSE)),1,0)</f>
        <v>1</v>
      </c>
      <c r="M3107" s="3">
        <f>IF(ISERROR(VLOOKUP(D3107,Data!$A$2:$D$223100,2,FALSE)),0,1)</f>
        <v>1</v>
      </c>
      <c r="N3107" s="3">
        <f t="shared" si="97"/>
        <v>1</v>
      </c>
      <c r="O3107" s="3" t="str">
        <f>IF(ISERROR(VLOOKUP(D3107,Data!$A$2:$C$223100,3,FALSE)),"INACTIVE",VLOOKUP(D3107,Data!$A$2:$C$223100,3,FALSE))</f>
        <v>FC</v>
      </c>
    </row>
    <row r="3108" spans="1:15" x14ac:dyDescent="0.25">
      <c r="A3108" t="s">
        <v>1272</v>
      </c>
      <c r="B3108" t="s">
        <v>1273</v>
      </c>
      <c r="C3108" t="s">
        <v>1323</v>
      </c>
      <c r="D3108" t="s">
        <v>1324</v>
      </c>
      <c r="E3108" t="s">
        <v>1325</v>
      </c>
      <c r="F3108" t="s">
        <v>1325</v>
      </c>
      <c r="G3108" t="s">
        <v>5</v>
      </c>
      <c r="H3108" t="s">
        <v>5</v>
      </c>
      <c r="I3108" t="s">
        <v>1277</v>
      </c>
      <c r="J3108" t="s">
        <v>47</v>
      </c>
      <c r="K3108" s="3">
        <f t="shared" si="96"/>
        <v>0</v>
      </c>
      <c r="L3108" s="3">
        <f>IF(ISERROR(VLOOKUP(J3108,Lookups!$A$2:$A$16,1,FALSE)),1,0)</f>
        <v>1</v>
      </c>
      <c r="M3108" s="3">
        <f>IF(ISERROR(VLOOKUP(D3108,Data!$A$2:$D$223100,2,FALSE)),0,1)</f>
        <v>1</v>
      </c>
      <c r="N3108" s="3">
        <f t="shared" si="97"/>
        <v>1</v>
      </c>
      <c r="O3108" s="3" t="str">
        <f>IF(ISERROR(VLOOKUP(D3108,Data!$A$2:$C$223100,3,FALSE)),"INACTIVE",VLOOKUP(D3108,Data!$A$2:$C$223100,3,FALSE))</f>
        <v>FBA</v>
      </c>
    </row>
    <row r="3109" spans="1:15" x14ac:dyDescent="0.25">
      <c r="A3109" t="s">
        <v>1272</v>
      </c>
      <c r="B3109" t="s">
        <v>1273</v>
      </c>
      <c r="C3109" t="s">
        <v>1326</v>
      </c>
      <c r="D3109" t="s">
        <v>1327</v>
      </c>
      <c r="E3109" t="s">
        <v>1328</v>
      </c>
      <c r="F3109" t="s">
        <v>1328</v>
      </c>
      <c r="G3109" t="s">
        <v>5</v>
      </c>
      <c r="H3109" t="s">
        <v>5</v>
      </c>
      <c r="I3109" t="s">
        <v>1277</v>
      </c>
      <c r="J3109" t="s">
        <v>47</v>
      </c>
      <c r="K3109" s="3">
        <f t="shared" si="96"/>
        <v>0</v>
      </c>
      <c r="L3109" s="3">
        <f>IF(ISERROR(VLOOKUP(J3109,Lookups!$A$2:$A$16,1,FALSE)),1,0)</f>
        <v>1</v>
      </c>
      <c r="M3109" s="3">
        <f>IF(ISERROR(VLOOKUP(D3109,Data!$A$2:$D$223100,2,FALSE)),0,1)</f>
        <v>1</v>
      </c>
      <c r="N3109" s="3">
        <f t="shared" si="97"/>
        <v>1</v>
      </c>
      <c r="O3109" s="3" t="str">
        <f>IF(ISERROR(VLOOKUP(D3109,Data!$A$2:$C$223100,3,FALSE)),"INACTIVE",VLOOKUP(D3109,Data!$A$2:$C$223100,3,FALSE))</f>
        <v>Demand Letter</v>
      </c>
    </row>
    <row r="3110" spans="1:15" x14ac:dyDescent="0.25">
      <c r="A3110" t="s">
        <v>1272</v>
      </c>
      <c r="B3110" t="s">
        <v>1273</v>
      </c>
      <c r="C3110" t="s">
        <v>1329</v>
      </c>
      <c r="D3110" t="s">
        <v>1330</v>
      </c>
      <c r="E3110" t="s">
        <v>1331</v>
      </c>
      <c r="F3110" t="s">
        <v>1331</v>
      </c>
      <c r="G3110" t="s">
        <v>5</v>
      </c>
      <c r="H3110" t="s">
        <v>5</v>
      </c>
      <c r="I3110" t="s">
        <v>1277</v>
      </c>
      <c r="J3110" t="s">
        <v>47</v>
      </c>
      <c r="K3110" s="3">
        <f t="shared" si="96"/>
        <v>0</v>
      </c>
      <c r="L3110" s="3">
        <f>IF(ISERROR(VLOOKUP(J3110,Lookups!$A$2:$A$16,1,FALSE)),1,0)</f>
        <v>1</v>
      </c>
      <c r="M3110" s="3">
        <f>IF(ISERROR(VLOOKUP(D3110,Data!$A$2:$D$223100,2,FALSE)),0,1)</f>
        <v>1</v>
      </c>
      <c r="N3110" s="3">
        <f t="shared" si="97"/>
        <v>1</v>
      </c>
      <c r="O3110" s="3" t="str">
        <f>IF(ISERROR(VLOOKUP(D3110,Data!$A$2:$C$223100,3,FALSE)),"INACTIVE",VLOOKUP(D3110,Data!$A$2:$C$223100,3,FALSE))</f>
        <v>FC</v>
      </c>
    </row>
    <row r="3111" spans="1:15" x14ac:dyDescent="0.25">
      <c r="A3111" t="s">
        <v>1272</v>
      </c>
      <c r="B3111" t="s">
        <v>1273</v>
      </c>
      <c r="C3111" t="s">
        <v>1332</v>
      </c>
      <c r="D3111" t="s">
        <v>1333</v>
      </c>
      <c r="E3111" t="s">
        <v>1334</v>
      </c>
      <c r="F3111" t="s">
        <v>1334</v>
      </c>
      <c r="G3111" t="s">
        <v>5</v>
      </c>
      <c r="H3111" t="s">
        <v>5</v>
      </c>
      <c r="I3111" t="s">
        <v>1277</v>
      </c>
      <c r="J3111" t="s">
        <v>47</v>
      </c>
      <c r="K3111" s="3">
        <f t="shared" si="96"/>
        <v>0</v>
      </c>
      <c r="L3111" s="3">
        <f>IF(ISERROR(VLOOKUP(J3111,Lookups!$A$2:$A$16,1,FALSE)),1,0)</f>
        <v>1</v>
      </c>
      <c r="M3111" s="3">
        <f>IF(ISERROR(VLOOKUP(D3111,Data!$A$2:$D$223100,2,FALSE)),0,1)</f>
        <v>1</v>
      </c>
      <c r="N3111" s="3">
        <f t="shared" si="97"/>
        <v>1</v>
      </c>
      <c r="O3111" s="3" t="str">
        <f>IF(ISERROR(VLOOKUP(D3111,Data!$A$2:$C$223100,3,FALSE)),"INACTIVE",VLOOKUP(D3111,Data!$A$2:$C$223100,3,FALSE))</f>
        <v>90+</v>
      </c>
    </row>
    <row r="3112" spans="1:15" x14ac:dyDescent="0.25">
      <c r="A3112" t="s">
        <v>1272</v>
      </c>
      <c r="B3112" t="s">
        <v>1273</v>
      </c>
      <c r="C3112" t="s">
        <v>1335</v>
      </c>
      <c r="D3112" t="s">
        <v>1336</v>
      </c>
      <c r="E3112" t="s">
        <v>1337</v>
      </c>
      <c r="F3112" t="s">
        <v>1337</v>
      </c>
      <c r="G3112" t="s">
        <v>5</v>
      </c>
      <c r="H3112" t="s">
        <v>5</v>
      </c>
      <c r="I3112" t="s">
        <v>1277</v>
      </c>
      <c r="J3112" t="s">
        <v>40</v>
      </c>
      <c r="K3112" s="3">
        <f t="shared" si="96"/>
        <v>0</v>
      </c>
      <c r="L3112" s="3">
        <f>IF(ISERROR(VLOOKUP(J3112,Lookups!$A$2:$A$16,1,FALSE)),1,0)</f>
        <v>1</v>
      </c>
      <c r="M3112" s="3">
        <f>IF(ISERROR(VLOOKUP(D3112,Data!$A$2:$D$223100,2,FALSE)),0,1)</f>
        <v>1</v>
      </c>
      <c r="N3112" s="3">
        <f t="shared" si="97"/>
        <v>1</v>
      </c>
      <c r="O3112" s="3" t="str">
        <f>IF(ISERROR(VLOOKUP(D3112,Data!$A$2:$C$223100,3,FALSE)),"INACTIVE",VLOOKUP(D3112,Data!$A$2:$C$223100,3,FALSE))</f>
        <v>Demand Letter</v>
      </c>
    </row>
    <row r="3113" spans="1:15" x14ac:dyDescent="0.25">
      <c r="A3113" t="s">
        <v>1272</v>
      </c>
      <c r="B3113" t="s">
        <v>1273</v>
      </c>
      <c r="C3113" t="s">
        <v>1338</v>
      </c>
      <c r="D3113" t="s">
        <v>1339</v>
      </c>
      <c r="E3113" t="s">
        <v>1340</v>
      </c>
      <c r="F3113" t="s">
        <v>1340</v>
      </c>
      <c r="G3113" t="s">
        <v>5</v>
      </c>
      <c r="H3113" t="s">
        <v>5</v>
      </c>
      <c r="I3113" t="s">
        <v>1277</v>
      </c>
      <c r="J3113" t="s">
        <v>47</v>
      </c>
      <c r="K3113" s="3">
        <f t="shared" si="96"/>
        <v>0</v>
      </c>
      <c r="L3113" s="3">
        <f>IF(ISERROR(VLOOKUP(J3113,Lookups!$A$2:$A$16,1,FALSE)),1,0)</f>
        <v>1</v>
      </c>
      <c r="M3113" s="3">
        <f>IF(ISERROR(VLOOKUP(D3113,Data!$A$2:$D$223100,2,FALSE)),0,1)</f>
        <v>1</v>
      </c>
      <c r="N3113" s="3">
        <f t="shared" si="97"/>
        <v>1</v>
      </c>
      <c r="O3113" s="3" t="str">
        <f>IF(ISERROR(VLOOKUP(D3113,Data!$A$2:$C$223100,3,FALSE)),"INACTIVE",VLOOKUP(D3113,Data!$A$2:$C$223100,3,FALSE))</f>
        <v>BK13</v>
      </c>
    </row>
    <row r="3114" spans="1:15" x14ac:dyDescent="0.25">
      <c r="A3114" t="s">
        <v>1272</v>
      </c>
      <c r="B3114" t="s">
        <v>1273</v>
      </c>
      <c r="C3114" t="s">
        <v>1341</v>
      </c>
      <c r="D3114" t="s">
        <v>1342</v>
      </c>
      <c r="E3114" t="s">
        <v>1343</v>
      </c>
      <c r="F3114" t="s">
        <v>1343</v>
      </c>
      <c r="G3114" t="s">
        <v>5</v>
      </c>
      <c r="H3114" t="s">
        <v>5</v>
      </c>
      <c r="I3114" t="s">
        <v>1277</v>
      </c>
      <c r="J3114" t="s">
        <v>573</v>
      </c>
      <c r="K3114" s="3">
        <f t="shared" si="96"/>
        <v>0</v>
      </c>
      <c r="L3114" s="3">
        <f>IF(ISERROR(VLOOKUP(J3114,Lookups!$A$2:$A$16,1,FALSE)),1,0)</f>
        <v>1</v>
      </c>
      <c r="M3114" s="3">
        <f>IF(ISERROR(VLOOKUP(D3114,Data!$A$2:$D$223100,2,FALSE)),0,1)</f>
        <v>1</v>
      </c>
      <c r="N3114" s="3">
        <f t="shared" si="97"/>
        <v>1</v>
      </c>
      <c r="O3114" s="3" t="str">
        <f>IF(ISERROR(VLOOKUP(D3114,Data!$A$2:$C$223100,3,FALSE)),"INACTIVE",VLOOKUP(D3114,Data!$A$2:$C$223100,3,FALSE))</f>
        <v>Demand Letter</v>
      </c>
    </row>
    <row r="3115" spans="1:15" x14ac:dyDescent="0.25">
      <c r="A3115" t="s">
        <v>1383</v>
      </c>
      <c r="B3115" t="s">
        <v>1384</v>
      </c>
      <c r="C3115" t="s">
        <v>1385</v>
      </c>
      <c r="D3115" t="s">
        <v>1386</v>
      </c>
      <c r="E3115" t="s">
        <v>1387</v>
      </c>
      <c r="F3115" t="s">
        <v>5</v>
      </c>
      <c r="G3115" t="s">
        <v>5</v>
      </c>
      <c r="H3115" t="s">
        <v>5</v>
      </c>
      <c r="I3115" t="s">
        <v>1277</v>
      </c>
      <c r="J3115" t="s">
        <v>7</v>
      </c>
      <c r="K3115" s="3">
        <f t="shared" si="96"/>
        <v>0</v>
      </c>
      <c r="L3115" s="3">
        <f>IF(ISERROR(VLOOKUP(J3115,Lookups!$A$2:$A$16,1,FALSE)),1,0)</f>
        <v>1</v>
      </c>
      <c r="M3115" s="3">
        <f>IF(ISERROR(VLOOKUP(D3115,Data!$A$2:$D$223100,2,FALSE)),0,1)</f>
        <v>0</v>
      </c>
      <c r="N3115" s="3">
        <f t="shared" si="97"/>
        <v>0</v>
      </c>
      <c r="O3115" s="3" t="str">
        <f>IF(ISERROR(VLOOKUP(D3115,Data!$A$2:$C$223100,3,FALSE)),"INACTIVE",VLOOKUP(D3115,Data!$A$2:$C$223100,3,FALSE))</f>
        <v>INACTIVE</v>
      </c>
    </row>
    <row r="3116" spans="1:15" x14ac:dyDescent="0.25">
      <c r="A3116" t="s">
        <v>1248</v>
      </c>
      <c r="B3116" t="s">
        <v>1249</v>
      </c>
      <c r="C3116" t="s">
        <v>1250</v>
      </c>
      <c r="D3116" t="s">
        <v>1251</v>
      </c>
      <c r="E3116" t="s">
        <v>1252</v>
      </c>
      <c r="F3116" t="s">
        <v>1252</v>
      </c>
      <c r="G3116" t="s">
        <v>5</v>
      </c>
      <c r="H3116" t="s">
        <v>5</v>
      </c>
      <c r="I3116" t="s">
        <v>1253</v>
      </c>
      <c r="J3116" t="s">
        <v>90</v>
      </c>
      <c r="K3116" s="3">
        <f t="shared" si="96"/>
        <v>0</v>
      </c>
      <c r="L3116" s="3">
        <f>IF(ISERROR(VLOOKUP(J3116,Lookups!$A$2:$A$16,1,FALSE)),1,0)</f>
        <v>0</v>
      </c>
      <c r="M3116" s="3">
        <f>IF(ISERROR(VLOOKUP(D3116,Data!$A$2:$D$223100,2,FALSE)),0,1)</f>
        <v>1</v>
      </c>
      <c r="N3116" s="3">
        <f t="shared" si="97"/>
        <v>0</v>
      </c>
      <c r="O3116" s="3" t="str">
        <f>IF(ISERROR(VLOOKUP(D3116,Data!$A$2:$C$223100,3,FALSE)),"INACTIVE",VLOOKUP(D3116,Data!$A$2:$C$223100,3,FALSE))</f>
        <v>Current</v>
      </c>
    </row>
    <row r="3117" spans="1:15" x14ac:dyDescent="0.25">
      <c r="A3117" t="s">
        <v>1248</v>
      </c>
      <c r="B3117" t="s">
        <v>1249</v>
      </c>
      <c r="C3117" t="s">
        <v>1250</v>
      </c>
      <c r="D3117" t="s">
        <v>1251</v>
      </c>
      <c r="E3117" t="s">
        <v>1254</v>
      </c>
      <c r="F3117" t="s">
        <v>1254</v>
      </c>
      <c r="G3117" t="s">
        <v>5</v>
      </c>
      <c r="H3117" t="s">
        <v>5</v>
      </c>
      <c r="I3117" t="s">
        <v>1253</v>
      </c>
      <c r="J3117" t="s">
        <v>90</v>
      </c>
      <c r="K3117" s="3">
        <f t="shared" si="96"/>
        <v>0</v>
      </c>
      <c r="L3117" s="3">
        <f>IF(ISERROR(VLOOKUP(J3117,Lookups!$A$2:$A$16,1,FALSE)),1,0)</f>
        <v>0</v>
      </c>
      <c r="M3117" s="3">
        <f>IF(ISERROR(VLOOKUP(D3117,Data!$A$2:$D$223100,2,FALSE)),0,1)</f>
        <v>1</v>
      </c>
      <c r="N3117" s="3">
        <f t="shared" si="97"/>
        <v>0</v>
      </c>
      <c r="O3117" s="3" t="str">
        <f>IF(ISERROR(VLOOKUP(D3117,Data!$A$2:$C$223100,3,FALSE)),"INACTIVE",VLOOKUP(D3117,Data!$A$2:$C$223100,3,FALSE))</f>
        <v>Current</v>
      </c>
    </row>
    <row r="3118" spans="1:15" x14ac:dyDescent="0.25">
      <c r="A3118" t="s">
        <v>1248</v>
      </c>
      <c r="B3118" t="s">
        <v>1249</v>
      </c>
      <c r="C3118" t="s">
        <v>1250</v>
      </c>
      <c r="D3118" t="s">
        <v>1251</v>
      </c>
      <c r="E3118" t="s">
        <v>1255</v>
      </c>
      <c r="F3118" t="s">
        <v>1255</v>
      </c>
      <c r="G3118" t="s">
        <v>5</v>
      </c>
      <c r="H3118" t="s">
        <v>5</v>
      </c>
      <c r="I3118" t="s">
        <v>1253</v>
      </c>
      <c r="J3118" t="s">
        <v>90</v>
      </c>
      <c r="K3118" s="3">
        <f t="shared" si="96"/>
        <v>0</v>
      </c>
      <c r="L3118" s="3">
        <f>IF(ISERROR(VLOOKUP(J3118,Lookups!$A$2:$A$16,1,FALSE)),1,0)</f>
        <v>0</v>
      </c>
      <c r="M3118" s="3">
        <f>IF(ISERROR(VLOOKUP(D3118,Data!$A$2:$D$223100,2,FALSE)),0,1)</f>
        <v>1</v>
      </c>
      <c r="N3118" s="3">
        <f t="shared" si="97"/>
        <v>0</v>
      </c>
      <c r="O3118" s="3" t="str">
        <f>IF(ISERROR(VLOOKUP(D3118,Data!$A$2:$C$223100,3,FALSE)),"INACTIVE",VLOOKUP(D3118,Data!$A$2:$C$223100,3,FALSE))</f>
        <v>Current</v>
      </c>
    </row>
    <row r="3119" spans="1:15" x14ac:dyDescent="0.25">
      <c r="A3119" t="s">
        <v>1248</v>
      </c>
      <c r="B3119" t="s">
        <v>1249</v>
      </c>
      <c r="C3119" t="s">
        <v>1256</v>
      </c>
      <c r="D3119" t="s">
        <v>1257</v>
      </c>
      <c r="E3119" t="s">
        <v>1258</v>
      </c>
      <c r="F3119" t="s">
        <v>1258</v>
      </c>
      <c r="G3119" t="s">
        <v>5</v>
      </c>
      <c r="H3119" t="s">
        <v>5</v>
      </c>
      <c r="I3119" t="s">
        <v>1253</v>
      </c>
      <c r="J3119" t="s">
        <v>96</v>
      </c>
      <c r="K3119" s="3">
        <f t="shared" si="96"/>
        <v>0</v>
      </c>
      <c r="L3119" s="3">
        <f>IF(ISERROR(VLOOKUP(J3119,Lookups!$A$2:$A$16,1,FALSE)),1,0)</f>
        <v>0</v>
      </c>
      <c r="M3119" s="3">
        <f>IF(ISERROR(VLOOKUP(D3119,Data!$A$2:$D$223100,2,FALSE)),0,1)</f>
        <v>1</v>
      </c>
      <c r="N3119" s="3">
        <f t="shared" si="97"/>
        <v>0</v>
      </c>
      <c r="O3119" s="3" t="str">
        <f>IF(ISERROR(VLOOKUP(D3119,Data!$A$2:$C$223100,3,FALSE)),"INACTIVE",VLOOKUP(D3119,Data!$A$2:$C$223100,3,FALSE))</f>
        <v>BK13</v>
      </c>
    </row>
    <row r="3120" spans="1:15" x14ac:dyDescent="0.25">
      <c r="A3120" t="s">
        <v>1248</v>
      </c>
      <c r="B3120" t="s">
        <v>1249</v>
      </c>
      <c r="C3120" t="s">
        <v>1256</v>
      </c>
      <c r="D3120" t="s">
        <v>1257</v>
      </c>
      <c r="E3120" t="s">
        <v>1259</v>
      </c>
      <c r="F3120" t="s">
        <v>1259</v>
      </c>
      <c r="G3120" t="s">
        <v>5</v>
      </c>
      <c r="H3120" t="s">
        <v>5</v>
      </c>
      <c r="I3120" t="s">
        <v>1253</v>
      </c>
      <c r="J3120" t="s">
        <v>96</v>
      </c>
      <c r="K3120" s="3">
        <f t="shared" si="96"/>
        <v>0</v>
      </c>
      <c r="L3120" s="3">
        <f>IF(ISERROR(VLOOKUP(J3120,Lookups!$A$2:$A$16,1,FALSE)),1,0)</f>
        <v>0</v>
      </c>
      <c r="M3120" s="3">
        <f>IF(ISERROR(VLOOKUP(D3120,Data!$A$2:$D$223100,2,FALSE)),0,1)</f>
        <v>1</v>
      </c>
      <c r="N3120" s="3">
        <f t="shared" si="97"/>
        <v>0</v>
      </c>
      <c r="O3120" s="3" t="str">
        <f>IF(ISERROR(VLOOKUP(D3120,Data!$A$2:$C$223100,3,FALSE)),"INACTIVE",VLOOKUP(D3120,Data!$A$2:$C$223100,3,FALSE))</f>
        <v>BK13</v>
      </c>
    </row>
    <row r="3121" spans="1:15" x14ac:dyDescent="0.25">
      <c r="A3121" t="s">
        <v>1248</v>
      </c>
      <c r="B3121" t="s">
        <v>1249</v>
      </c>
      <c r="C3121" t="s">
        <v>1260</v>
      </c>
      <c r="D3121" t="s">
        <v>1261</v>
      </c>
      <c r="E3121" t="s">
        <v>1262</v>
      </c>
      <c r="F3121" t="s">
        <v>1262</v>
      </c>
      <c r="G3121" t="s">
        <v>5</v>
      </c>
      <c r="H3121" t="s">
        <v>5</v>
      </c>
      <c r="I3121" t="s">
        <v>1253</v>
      </c>
      <c r="J3121" t="s">
        <v>47</v>
      </c>
      <c r="K3121" s="3">
        <f t="shared" si="96"/>
        <v>0</v>
      </c>
      <c r="L3121" s="3">
        <f>IF(ISERROR(VLOOKUP(J3121,Lookups!$A$2:$A$16,1,FALSE)),1,0)</f>
        <v>1</v>
      </c>
      <c r="M3121" s="3">
        <f>IF(ISERROR(VLOOKUP(D3121,Data!$A$2:$D$223100,2,FALSE)),0,1)</f>
        <v>1</v>
      </c>
      <c r="N3121" s="3">
        <f t="shared" si="97"/>
        <v>1</v>
      </c>
      <c r="O3121" s="3" t="str">
        <f>IF(ISERROR(VLOOKUP(D3121,Data!$A$2:$C$223100,3,FALSE)),"INACTIVE",VLOOKUP(D3121,Data!$A$2:$C$223100,3,FALSE))</f>
        <v>Current</v>
      </c>
    </row>
    <row r="3122" spans="1:15" x14ac:dyDescent="0.25">
      <c r="A3122" t="s">
        <v>1248</v>
      </c>
      <c r="B3122" t="s">
        <v>1249</v>
      </c>
      <c r="C3122" t="s">
        <v>1263</v>
      </c>
      <c r="D3122" t="s">
        <v>1264</v>
      </c>
      <c r="E3122" t="s">
        <v>1265</v>
      </c>
      <c r="F3122" t="s">
        <v>1265</v>
      </c>
      <c r="G3122" t="s">
        <v>5</v>
      </c>
      <c r="H3122" t="s">
        <v>5</v>
      </c>
      <c r="I3122" t="s">
        <v>1253</v>
      </c>
      <c r="J3122" t="s">
        <v>40</v>
      </c>
      <c r="K3122" s="3">
        <f t="shared" si="96"/>
        <v>0</v>
      </c>
      <c r="L3122" s="3">
        <f>IF(ISERROR(VLOOKUP(J3122,Lookups!$A$2:$A$16,1,FALSE)),1,0)</f>
        <v>1</v>
      </c>
      <c r="M3122" s="3">
        <f>IF(ISERROR(VLOOKUP(D3122,Data!$A$2:$D$223100,2,FALSE)),0,1)</f>
        <v>1</v>
      </c>
      <c r="N3122" s="3">
        <f t="shared" si="97"/>
        <v>1</v>
      </c>
      <c r="O3122" s="3" t="str">
        <f>IF(ISERROR(VLOOKUP(D3122,Data!$A$2:$C$223100,3,FALSE)),"INACTIVE",VLOOKUP(D3122,Data!$A$2:$C$223100,3,FALSE))</f>
        <v>FBA</v>
      </c>
    </row>
    <row r="3123" spans="1:15" x14ac:dyDescent="0.25">
      <c r="A3123" t="s">
        <v>1248</v>
      </c>
      <c r="B3123" t="s">
        <v>1249</v>
      </c>
      <c r="C3123" t="s">
        <v>1266</v>
      </c>
      <c r="D3123" t="s">
        <v>1267</v>
      </c>
      <c r="E3123" t="s">
        <v>1268</v>
      </c>
      <c r="F3123" t="s">
        <v>1268</v>
      </c>
      <c r="G3123" t="s">
        <v>5</v>
      </c>
      <c r="H3123" t="s">
        <v>5</v>
      </c>
      <c r="I3123" t="s">
        <v>1253</v>
      </c>
      <c r="J3123" t="s">
        <v>40</v>
      </c>
      <c r="K3123" s="3">
        <f t="shared" si="96"/>
        <v>0</v>
      </c>
      <c r="L3123" s="3">
        <f>IF(ISERROR(VLOOKUP(J3123,Lookups!$A$2:$A$16,1,FALSE)),1,0)</f>
        <v>1</v>
      </c>
      <c r="M3123" s="3">
        <f>IF(ISERROR(VLOOKUP(D3123,Data!$A$2:$D$223100,2,FALSE)),0,1)</f>
        <v>1</v>
      </c>
      <c r="N3123" s="3">
        <f t="shared" si="97"/>
        <v>1</v>
      </c>
      <c r="O3123" s="3" t="str">
        <f>IF(ISERROR(VLOOKUP(D3123,Data!$A$2:$C$223100,3,FALSE)),"INACTIVE",VLOOKUP(D3123,Data!$A$2:$C$223100,3,FALSE))</f>
        <v>60+</v>
      </c>
    </row>
    <row r="3124" spans="1:15" x14ac:dyDescent="0.25">
      <c r="A3124" t="s">
        <v>1248</v>
      </c>
      <c r="B3124" t="s">
        <v>1249</v>
      </c>
      <c r="C3124" t="s">
        <v>1269</v>
      </c>
      <c r="D3124" t="s">
        <v>1270</v>
      </c>
      <c r="E3124" t="s">
        <v>1271</v>
      </c>
      <c r="F3124" t="s">
        <v>1271</v>
      </c>
      <c r="G3124" t="s">
        <v>5</v>
      </c>
      <c r="H3124" t="s">
        <v>5</v>
      </c>
      <c r="I3124" t="s">
        <v>1253</v>
      </c>
      <c r="J3124" t="s">
        <v>47</v>
      </c>
      <c r="K3124" s="3">
        <f t="shared" si="96"/>
        <v>0</v>
      </c>
      <c r="L3124" s="3">
        <f>IF(ISERROR(VLOOKUP(J3124,Lookups!$A$2:$A$16,1,FALSE)),1,0)</f>
        <v>1</v>
      </c>
      <c r="M3124" s="3">
        <f>IF(ISERROR(VLOOKUP(D3124,Data!$A$2:$D$223100,2,FALSE)),0,1)</f>
        <v>1</v>
      </c>
      <c r="N3124" s="3">
        <f t="shared" si="97"/>
        <v>1</v>
      </c>
      <c r="O3124" s="3" t="str">
        <f>IF(ISERROR(VLOOKUP(D3124,Data!$A$2:$C$223100,3,FALSE)),"INACTIVE",VLOOKUP(D3124,Data!$A$2:$C$223100,3,FALSE))</f>
        <v>FC</v>
      </c>
    </row>
    <row r="3125" spans="1:15" x14ac:dyDescent="0.25">
      <c r="A3125" t="s">
        <v>995</v>
      </c>
      <c r="B3125" t="s">
        <v>996</v>
      </c>
      <c r="C3125" t="s">
        <v>997</v>
      </c>
      <c r="D3125" t="s">
        <v>998</v>
      </c>
      <c r="E3125" t="s">
        <v>999</v>
      </c>
      <c r="F3125" t="s">
        <v>5</v>
      </c>
      <c r="G3125" t="s">
        <v>5</v>
      </c>
      <c r="H3125" t="s">
        <v>5</v>
      </c>
      <c r="I3125" t="s">
        <v>1000</v>
      </c>
      <c r="J3125" t="s">
        <v>96</v>
      </c>
      <c r="K3125" s="3">
        <f t="shared" si="96"/>
        <v>0</v>
      </c>
      <c r="L3125" s="3">
        <f>IF(ISERROR(VLOOKUP(J3125,Lookups!$A$2:$A$16,1,FALSE)),1,0)</f>
        <v>0</v>
      </c>
      <c r="M3125" s="3">
        <f>IF(ISERROR(VLOOKUP(D3125,Data!$A$2:$D$223100,2,FALSE)),0,1)</f>
        <v>1</v>
      </c>
      <c r="N3125" s="3">
        <f t="shared" si="97"/>
        <v>0</v>
      </c>
      <c r="O3125" s="3" t="str">
        <f>IF(ISERROR(VLOOKUP(D3125,Data!$A$2:$C$223100,3,FALSE)),"INACTIVE",VLOOKUP(D3125,Data!$A$2:$C$223100,3,FALSE))</f>
        <v>BK13</v>
      </c>
    </row>
    <row r="3126" spans="1:15" x14ac:dyDescent="0.25">
      <c r="A3126" t="s">
        <v>995</v>
      </c>
      <c r="B3126" t="s">
        <v>996</v>
      </c>
      <c r="C3126" t="s">
        <v>1001</v>
      </c>
      <c r="D3126" t="s">
        <v>1002</v>
      </c>
      <c r="E3126" t="s">
        <v>1003</v>
      </c>
      <c r="F3126" t="s">
        <v>5</v>
      </c>
      <c r="G3126" t="s">
        <v>5</v>
      </c>
      <c r="H3126" t="s">
        <v>5</v>
      </c>
      <c r="I3126" t="s">
        <v>1000</v>
      </c>
      <c r="J3126" t="s">
        <v>90</v>
      </c>
      <c r="K3126" s="3">
        <f t="shared" si="96"/>
        <v>0</v>
      </c>
      <c r="L3126" s="3">
        <f>IF(ISERROR(VLOOKUP(J3126,Lookups!$A$2:$A$16,1,FALSE)),1,0)</f>
        <v>0</v>
      </c>
      <c r="M3126" s="3">
        <f>IF(ISERROR(VLOOKUP(D3126,Data!$A$2:$D$223100,2,FALSE)),0,1)</f>
        <v>1</v>
      </c>
      <c r="N3126" s="3">
        <f t="shared" si="97"/>
        <v>0</v>
      </c>
      <c r="O3126" s="3" t="str">
        <f>IF(ISERROR(VLOOKUP(D3126,Data!$A$2:$C$223100,3,FALSE)),"INACTIVE",VLOOKUP(D3126,Data!$A$2:$C$223100,3,FALSE))</f>
        <v>150+</v>
      </c>
    </row>
    <row r="3127" spans="1:15" x14ac:dyDescent="0.25">
      <c r="A3127" t="s">
        <v>343</v>
      </c>
      <c r="B3127" t="s">
        <v>344</v>
      </c>
      <c r="C3127" t="s">
        <v>345</v>
      </c>
      <c r="D3127" t="s">
        <v>346</v>
      </c>
      <c r="E3127" t="s">
        <v>347</v>
      </c>
      <c r="F3127" t="s">
        <v>5</v>
      </c>
      <c r="G3127" t="s">
        <v>5</v>
      </c>
      <c r="H3127" t="s">
        <v>5</v>
      </c>
      <c r="I3127" t="s">
        <v>348</v>
      </c>
      <c r="J3127" t="s">
        <v>96</v>
      </c>
      <c r="K3127" s="3">
        <f t="shared" si="96"/>
        <v>0</v>
      </c>
      <c r="L3127" s="3">
        <f>IF(ISERROR(VLOOKUP(J3127,Lookups!$A$2:$A$16,1,FALSE)),1,0)</f>
        <v>0</v>
      </c>
      <c r="M3127" s="3">
        <f>IF(ISERROR(VLOOKUP(D3127,Data!$A$2:$D$223100,2,FALSE)),0,1)</f>
        <v>1</v>
      </c>
      <c r="N3127" s="3">
        <f t="shared" si="97"/>
        <v>0</v>
      </c>
      <c r="O3127" s="3" t="str">
        <f>IF(ISERROR(VLOOKUP(D3127,Data!$A$2:$C$223100,3,FALSE)),"INACTIVE",VLOOKUP(D3127,Data!$A$2:$C$223100,3,FALSE))</f>
        <v>FC</v>
      </c>
    </row>
    <row r="3128" spans="1:15" x14ac:dyDescent="0.25">
      <c r="A3128" t="s">
        <v>343</v>
      </c>
      <c r="B3128" t="s">
        <v>344</v>
      </c>
      <c r="C3128" t="s">
        <v>349</v>
      </c>
      <c r="D3128" t="s">
        <v>350</v>
      </c>
      <c r="E3128" t="s">
        <v>351</v>
      </c>
      <c r="F3128" t="s">
        <v>5</v>
      </c>
      <c r="G3128" t="s">
        <v>5</v>
      </c>
      <c r="H3128" t="s">
        <v>5</v>
      </c>
      <c r="I3128" t="s">
        <v>348</v>
      </c>
      <c r="J3128" t="s">
        <v>96</v>
      </c>
      <c r="K3128" s="3">
        <f t="shared" si="96"/>
        <v>0</v>
      </c>
      <c r="L3128" s="3">
        <f>IF(ISERROR(VLOOKUP(J3128,Lookups!$A$2:$A$16,1,FALSE)),1,0)</f>
        <v>0</v>
      </c>
      <c r="M3128" s="3">
        <f>IF(ISERROR(VLOOKUP(D3128,Data!$A$2:$D$223100,2,FALSE)),0,1)</f>
        <v>1</v>
      </c>
      <c r="N3128" s="3">
        <f t="shared" si="97"/>
        <v>0</v>
      </c>
      <c r="O3128" s="3" t="str">
        <f>IF(ISERROR(VLOOKUP(D3128,Data!$A$2:$C$223100,3,FALSE)),"INACTIVE",VLOOKUP(D3128,Data!$A$2:$C$223100,3,FALSE))</f>
        <v>FC</v>
      </c>
    </row>
    <row r="3129" spans="1:15" x14ac:dyDescent="0.25">
      <c r="A3129" t="s">
        <v>343</v>
      </c>
      <c r="B3129" t="s">
        <v>344</v>
      </c>
      <c r="C3129" t="s">
        <v>349</v>
      </c>
      <c r="D3129" t="s">
        <v>350</v>
      </c>
      <c r="E3129" t="s">
        <v>352</v>
      </c>
      <c r="F3129" t="s">
        <v>5</v>
      </c>
      <c r="G3129" t="s">
        <v>5</v>
      </c>
      <c r="H3129" t="s">
        <v>5</v>
      </c>
      <c r="I3129" t="s">
        <v>348</v>
      </c>
      <c r="J3129" t="s">
        <v>96</v>
      </c>
      <c r="K3129" s="3">
        <f t="shared" si="96"/>
        <v>0</v>
      </c>
      <c r="L3129" s="3">
        <f>IF(ISERROR(VLOOKUP(J3129,Lookups!$A$2:$A$16,1,FALSE)),1,0)</f>
        <v>0</v>
      </c>
      <c r="M3129" s="3">
        <f>IF(ISERROR(VLOOKUP(D3129,Data!$A$2:$D$223100,2,FALSE)),0,1)</f>
        <v>1</v>
      </c>
      <c r="N3129" s="3">
        <f t="shared" si="97"/>
        <v>0</v>
      </c>
      <c r="O3129" s="3" t="str">
        <f>IF(ISERROR(VLOOKUP(D3129,Data!$A$2:$C$223100,3,FALSE)),"INACTIVE",VLOOKUP(D3129,Data!$A$2:$C$223100,3,FALSE))</f>
        <v>FC</v>
      </c>
    </row>
    <row r="3130" spans="1:15" x14ac:dyDescent="0.25">
      <c r="A3130" t="s">
        <v>343</v>
      </c>
      <c r="B3130" t="s">
        <v>344</v>
      </c>
      <c r="C3130" t="s">
        <v>353</v>
      </c>
      <c r="D3130" t="s">
        <v>354</v>
      </c>
      <c r="E3130" t="s">
        <v>355</v>
      </c>
      <c r="F3130" t="s">
        <v>5</v>
      </c>
      <c r="G3130" t="s">
        <v>5</v>
      </c>
      <c r="H3130" t="s">
        <v>5</v>
      </c>
      <c r="I3130" t="s">
        <v>348</v>
      </c>
      <c r="J3130" t="s">
        <v>96</v>
      </c>
      <c r="K3130" s="3">
        <f t="shared" si="96"/>
        <v>0</v>
      </c>
      <c r="L3130" s="3">
        <f>IF(ISERROR(VLOOKUP(J3130,Lookups!$A$2:$A$16,1,FALSE)),1,0)</f>
        <v>0</v>
      </c>
      <c r="M3130" s="3">
        <f>IF(ISERROR(VLOOKUP(D3130,Data!$A$2:$D$223100,2,FALSE)),0,1)</f>
        <v>1</v>
      </c>
      <c r="N3130" s="3">
        <f t="shared" si="97"/>
        <v>0</v>
      </c>
      <c r="O3130" s="3" t="str">
        <f>IF(ISERROR(VLOOKUP(D3130,Data!$A$2:$C$223100,3,FALSE)),"INACTIVE",VLOOKUP(D3130,Data!$A$2:$C$223100,3,FALSE))</f>
        <v>FC</v>
      </c>
    </row>
    <row r="3131" spans="1:15" x14ac:dyDescent="0.25">
      <c r="A3131" t="s">
        <v>343</v>
      </c>
      <c r="B3131" t="s">
        <v>344</v>
      </c>
      <c r="C3131" t="s">
        <v>356</v>
      </c>
      <c r="D3131" t="s">
        <v>357</v>
      </c>
      <c r="E3131" t="s">
        <v>358</v>
      </c>
      <c r="F3131" t="s">
        <v>5</v>
      </c>
      <c r="G3131" t="s">
        <v>5</v>
      </c>
      <c r="H3131" t="s">
        <v>5</v>
      </c>
      <c r="I3131" t="s">
        <v>348</v>
      </c>
      <c r="J3131" t="s">
        <v>96</v>
      </c>
      <c r="K3131" s="3">
        <f t="shared" si="96"/>
        <v>0</v>
      </c>
      <c r="L3131" s="3">
        <f>IF(ISERROR(VLOOKUP(J3131,Lookups!$A$2:$A$16,1,FALSE)),1,0)</f>
        <v>0</v>
      </c>
      <c r="M3131" s="3">
        <f>IF(ISERROR(VLOOKUP(D3131,Data!$A$2:$D$223100,2,FALSE)),0,1)</f>
        <v>1</v>
      </c>
      <c r="N3131" s="3">
        <f t="shared" si="97"/>
        <v>0</v>
      </c>
      <c r="O3131" s="3" t="str">
        <f>IF(ISERROR(VLOOKUP(D3131,Data!$A$2:$C$223100,3,FALSE)),"INACTIVE",VLOOKUP(D3131,Data!$A$2:$C$223100,3,FALSE))</f>
        <v>150+</v>
      </c>
    </row>
    <row r="3132" spans="1:15" x14ac:dyDescent="0.25">
      <c r="A3132" t="s">
        <v>1159</v>
      </c>
      <c r="B3132" t="s">
        <v>1160</v>
      </c>
      <c r="C3132" t="s">
        <v>1161</v>
      </c>
      <c r="D3132" t="s">
        <v>1162</v>
      </c>
      <c r="E3132" t="s">
        <v>1163</v>
      </c>
      <c r="F3132" t="s">
        <v>1164</v>
      </c>
      <c r="G3132" t="s">
        <v>5</v>
      </c>
      <c r="H3132" t="s">
        <v>5</v>
      </c>
      <c r="I3132" t="s">
        <v>1165</v>
      </c>
      <c r="J3132" t="s">
        <v>40</v>
      </c>
      <c r="K3132" s="3">
        <f t="shared" si="96"/>
        <v>0</v>
      </c>
      <c r="L3132" s="3">
        <f>IF(ISERROR(VLOOKUP(J3132,Lookups!$A$2:$A$16,1,FALSE)),1,0)</f>
        <v>1</v>
      </c>
      <c r="M3132" s="3">
        <f>IF(ISERROR(VLOOKUP(D3132,Data!$A$2:$D$223100,2,FALSE)),0,1)</f>
        <v>1</v>
      </c>
      <c r="N3132" s="3">
        <f t="shared" si="97"/>
        <v>1</v>
      </c>
      <c r="O3132" s="3" t="str">
        <f>IF(ISERROR(VLOOKUP(D3132,Data!$A$2:$C$223100,3,FALSE)),"INACTIVE",VLOOKUP(D3132,Data!$A$2:$C$223100,3,FALSE))</f>
        <v>90+</v>
      </c>
    </row>
    <row r="3133" spans="1:15" x14ac:dyDescent="0.25">
      <c r="A3133" t="s">
        <v>1159</v>
      </c>
      <c r="B3133" t="s">
        <v>1160</v>
      </c>
      <c r="C3133" t="s">
        <v>1166</v>
      </c>
      <c r="D3133" t="s">
        <v>1167</v>
      </c>
      <c r="E3133" t="s">
        <v>1168</v>
      </c>
      <c r="F3133" t="s">
        <v>1169</v>
      </c>
      <c r="G3133" t="s">
        <v>5</v>
      </c>
      <c r="H3133" t="s">
        <v>5</v>
      </c>
      <c r="I3133" t="s">
        <v>1165</v>
      </c>
      <c r="J3133" t="s">
        <v>40</v>
      </c>
      <c r="K3133" s="3">
        <f t="shared" si="96"/>
        <v>0</v>
      </c>
      <c r="L3133" s="3">
        <f>IF(ISERROR(VLOOKUP(J3133,Lookups!$A$2:$A$16,1,FALSE)),1,0)</f>
        <v>1</v>
      </c>
      <c r="M3133" s="3">
        <f>IF(ISERROR(VLOOKUP(D3133,Data!$A$2:$D$223100,2,FALSE)),0,1)</f>
        <v>1</v>
      </c>
      <c r="N3133" s="3">
        <f t="shared" si="97"/>
        <v>1</v>
      </c>
      <c r="O3133" s="3" t="str">
        <f>IF(ISERROR(VLOOKUP(D3133,Data!$A$2:$C$223100,3,FALSE)),"INACTIVE",VLOOKUP(D3133,Data!$A$2:$C$223100,3,FALSE))</f>
        <v>180+</v>
      </c>
    </row>
    <row r="3134" spans="1:15" x14ac:dyDescent="0.25">
      <c r="A3134" t="s">
        <v>1159</v>
      </c>
      <c r="B3134" t="s">
        <v>1160</v>
      </c>
      <c r="C3134" t="s">
        <v>1170</v>
      </c>
      <c r="D3134" t="s">
        <v>1171</v>
      </c>
      <c r="E3134" t="s">
        <v>1172</v>
      </c>
      <c r="F3134" t="s">
        <v>1173</v>
      </c>
      <c r="G3134" t="s">
        <v>5</v>
      </c>
      <c r="H3134" t="s">
        <v>5</v>
      </c>
      <c r="I3134" t="s">
        <v>1165</v>
      </c>
      <c r="J3134" t="s">
        <v>40</v>
      </c>
      <c r="K3134" s="3">
        <f t="shared" si="96"/>
        <v>0</v>
      </c>
      <c r="L3134" s="3">
        <f>IF(ISERROR(VLOOKUP(J3134,Lookups!$A$2:$A$16,1,FALSE)),1,0)</f>
        <v>1</v>
      </c>
      <c r="M3134" s="3">
        <f>IF(ISERROR(VLOOKUP(D3134,Data!$A$2:$D$223100,2,FALSE)),0,1)</f>
        <v>1</v>
      </c>
      <c r="N3134" s="3">
        <f t="shared" si="97"/>
        <v>1</v>
      </c>
      <c r="O3134" s="3" t="str">
        <f>IF(ISERROR(VLOOKUP(D3134,Data!$A$2:$C$223100,3,FALSE)),"INACTIVE",VLOOKUP(D3134,Data!$A$2:$C$223100,3,FALSE))</f>
        <v>Current</v>
      </c>
    </row>
    <row r="3135" spans="1:15" x14ac:dyDescent="0.25">
      <c r="A3135" t="s">
        <v>1159</v>
      </c>
      <c r="B3135" t="s">
        <v>1160</v>
      </c>
      <c r="C3135" t="s">
        <v>1174</v>
      </c>
      <c r="D3135" t="s">
        <v>1175</v>
      </c>
      <c r="E3135" t="s">
        <v>1176</v>
      </c>
      <c r="F3135" t="s">
        <v>1177</v>
      </c>
      <c r="G3135" t="s">
        <v>5</v>
      </c>
      <c r="H3135" t="s">
        <v>5</v>
      </c>
      <c r="I3135" t="s">
        <v>1165</v>
      </c>
      <c r="J3135" t="s">
        <v>40</v>
      </c>
      <c r="K3135" s="3">
        <f t="shared" si="96"/>
        <v>0</v>
      </c>
      <c r="L3135" s="3">
        <f>IF(ISERROR(VLOOKUP(J3135,Lookups!$A$2:$A$16,1,FALSE)),1,0)</f>
        <v>1</v>
      </c>
      <c r="M3135" s="3">
        <f>IF(ISERROR(VLOOKUP(D3135,Data!$A$2:$D$223100,2,FALSE)),0,1)</f>
        <v>1</v>
      </c>
      <c r="N3135" s="3">
        <f t="shared" si="97"/>
        <v>1</v>
      </c>
      <c r="O3135" s="3" t="str">
        <f>IF(ISERROR(VLOOKUP(D3135,Data!$A$2:$C$223100,3,FALSE)),"INACTIVE",VLOOKUP(D3135,Data!$A$2:$C$223100,3,FALSE))</f>
        <v>FC</v>
      </c>
    </row>
    <row r="3136" spans="1:15" x14ac:dyDescent="0.25">
      <c r="A3136" t="s">
        <v>1159</v>
      </c>
      <c r="B3136" t="s">
        <v>1160</v>
      </c>
      <c r="C3136" t="s">
        <v>1178</v>
      </c>
      <c r="D3136" t="s">
        <v>1179</v>
      </c>
      <c r="E3136" t="s">
        <v>1180</v>
      </c>
      <c r="F3136" t="s">
        <v>1181</v>
      </c>
      <c r="G3136" t="s">
        <v>5</v>
      </c>
      <c r="H3136" t="s">
        <v>5</v>
      </c>
      <c r="I3136" t="s">
        <v>1165</v>
      </c>
      <c r="J3136" t="s">
        <v>40</v>
      </c>
      <c r="K3136" s="3">
        <f t="shared" si="96"/>
        <v>0</v>
      </c>
      <c r="L3136" s="3">
        <f>IF(ISERROR(VLOOKUP(J3136,Lookups!$A$2:$A$16,1,FALSE)),1,0)</f>
        <v>1</v>
      </c>
      <c r="M3136" s="3">
        <f>IF(ISERROR(VLOOKUP(D3136,Data!$A$2:$D$223100,2,FALSE)),0,1)</f>
        <v>1</v>
      </c>
      <c r="N3136" s="3">
        <f t="shared" si="97"/>
        <v>1</v>
      </c>
      <c r="O3136" s="3" t="str">
        <f>IF(ISERROR(VLOOKUP(D3136,Data!$A$2:$C$223100,3,FALSE)),"INACTIVE",VLOOKUP(D3136,Data!$A$2:$C$223100,3,FALSE))</f>
        <v>Demand Letter</v>
      </c>
    </row>
    <row r="3137" spans="1:15" x14ac:dyDescent="0.25">
      <c r="A3137" t="s">
        <v>1159</v>
      </c>
      <c r="B3137" t="s">
        <v>1160</v>
      </c>
      <c r="C3137" t="s">
        <v>1182</v>
      </c>
      <c r="D3137" t="s">
        <v>1183</v>
      </c>
      <c r="E3137" t="s">
        <v>1184</v>
      </c>
      <c r="F3137" t="s">
        <v>1185</v>
      </c>
      <c r="G3137" t="s">
        <v>5</v>
      </c>
      <c r="H3137" t="s">
        <v>5</v>
      </c>
      <c r="I3137" t="s">
        <v>1165</v>
      </c>
      <c r="J3137" t="s">
        <v>40</v>
      </c>
      <c r="K3137" s="3">
        <f t="shared" si="96"/>
        <v>0</v>
      </c>
      <c r="L3137" s="3">
        <f>IF(ISERROR(VLOOKUP(J3137,Lookups!$A$2:$A$16,1,FALSE)),1,0)</f>
        <v>1</v>
      </c>
      <c r="M3137" s="3">
        <f>IF(ISERROR(VLOOKUP(D3137,Data!$A$2:$D$223100,2,FALSE)),0,1)</f>
        <v>1</v>
      </c>
      <c r="N3137" s="3">
        <f t="shared" si="97"/>
        <v>1</v>
      </c>
      <c r="O3137" s="3" t="str">
        <f>IF(ISERROR(VLOOKUP(D3137,Data!$A$2:$C$223100,3,FALSE)),"INACTIVE",VLOOKUP(D3137,Data!$A$2:$C$223100,3,FALSE))</f>
        <v>Current</v>
      </c>
    </row>
    <row r="3138" spans="1:15" x14ac:dyDescent="0.25">
      <c r="A3138" t="s">
        <v>1159</v>
      </c>
      <c r="B3138" t="s">
        <v>1160</v>
      </c>
      <c r="C3138" t="s">
        <v>1186</v>
      </c>
      <c r="D3138" t="s">
        <v>1187</v>
      </c>
      <c r="E3138" t="s">
        <v>1188</v>
      </c>
      <c r="F3138" t="s">
        <v>1189</v>
      </c>
      <c r="G3138" t="s">
        <v>5</v>
      </c>
      <c r="H3138" t="s">
        <v>5</v>
      </c>
      <c r="I3138" t="s">
        <v>1165</v>
      </c>
      <c r="J3138" t="s">
        <v>96</v>
      </c>
      <c r="K3138" s="3">
        <f t="shared" si="96"/>
        <v>0</v>
      </c>
      <c r="L3138" s="3">
        <f>IF(ISERROR(VLOOKUP(J3138,Lookups!$A$2:$A$16,1,FALSE)),1,0)</f>
        <v>0</v>
      </c>
      <c r="M3138" s="3">
        <f>IF(ISERROR(VLOOKUP(D3138,Data!$A$2:$D$223100,2,FALSE)),0,1)</f>
        <v>1</v>
      </c>
      <c r="N3138" s="3">
        <f t="shared" si="97"/>
        <v>0</v>
      </c>
      <c r="O3138" s="3" t="str">
        <f>IF(ISERROR(VLOOKUP(D3138,Data!$A$2:$C$223100,3,FALSE)),"INACTIVE",VLOOKUP(D3138,Data!$A$2:$C$223100,3,FALSE))</f>
        <v>Demand Letter</v>
      </c>
    </row>
    <row r="3139" spans="1:15" x14ac:dyDescent="0.25">
      <c r="A3139" t="s">
        <v>1159</v>
      </c>
      <c r="B3139" t="s">
        <v>1160</v>
      </c>
      <c r="C3139" t="s">
        <v>1190</v>
      </c>
      <c r="D3139" t="s">
        <v>1191</v>
      </c>
      <c r="E3139" t="s">
        <v>1192</v>
      </c>
      <c r="F3139" t="s">
        <v>1193</v>
      </c>
      <c r="G3139" t="s">
        <v>5</v>
      </c>
      <c r="H3139" t="s">
        <v>5</v>
      </c>
      <c r="I3139" t="s">
        <v>1165</v>
      </c>
      <c r="J3139" t="s">
        <v>40</v>
      </c>
      <c r="K3139" s="3">
        <f t="shared" ref="K3139:K3202" si="98">IF(ISERROR(FIND("LIEN",A3139,1)),0,1)</f>
        <v>0</v>
      </c>
      <c r="L3139" s="3">
        <f>IF(ISERROR(VLOOKUP(J3139,Lookups!$A$2:$A$16,1,FALSE)),1,0)</f>
        <v>1</v>
      </c>
      <c r="M3139" s="3">
        <f>IF(ISERROR(VLOOKUP(D3139,Data!$A$2:$D$223100,2,FALSE)),0,1)</f>
        <v>1</v>
      </c>
      <c r="N3139" s="3">
        <f t="shared" ref="N3139:N3202" si="99">IF(M3139=0,0,IF(SUM(K3139:L3139)&gt;0,1,0))</f>
        <v>1</v>
      </c>
      <c r="O3139" s="3" t="str">
        <f>IF(ISERROR(VLOOKUP(D3139,Data!$A$2:$C$223100,3,FALSE)),"INACTIVE",VLOOKUP(D3139,Data!$A$2:$C$223100,3,FALSE))</f>
        <v>60+</v>
      </c>
    </row>
    <row r="3140" spans="1:15" x14ac:dyDescent="0.25">
      <c r="A3140" t="s">
        <v>1159</v>
      </c>
      <c r="B3140" t="s">
        <v>1160</v>
      </c>
      <c r="C3140" t="s">
        <v>1194</v>
      </c>
      <c r="D3140" t="s">
        <v>1195</v>
      </c>
      <c r="E3140" t="s">
        <v>1196</v>
      </c>
      <c r="F3140" t="s">
        <v>1197</v>
      </c>
      <c r="G3140" t="s">
        <v>5</v>
      </c>
      <c r="H3140" t="s">
        <v>5</v>
      </c>
      <c r="I3140" t="s">
        <v>1165</v>
      </c>
      <c r="J3140" t="s">
        <v>40</v>
      </c>
      <c r="K3140" s="3">
        <f t="shared" si="98"/>
        <v>0</v>
      </c>
      <c r="L3140" s="3">
        <f>IF(ISERROR(VLOOKUP(J3140,Lookups!$A$2:$A$16,1,FALSE)),1,0)</f>
        <v>1</v>
      </c>
      <c r="M3140" s="3">
        <f>IF(ISERROR(VLOOKUP(D3140,Data!$A$2:$D$223100,2,FALSE)),0,1)</f>
        <v>1</v>
      </c>
      <c r="N3140" s="3">
        <f t="shared" si="99"/>
        <v>1</v>
      </c>
      <c r="O3140" s="3" t="str">
        <f>IF(ISERROR(VLOOKUP(D3140,Data!$A$2:$C$223100,3,FALSE)),"INACTIVE",VLOOKUP(D3140,Data!$A$2:$C$223100,3,FALSE))</f>
        <v>Demand Letter</v>
      </c>
    </row>
    <row r="3141" spans="1:15" x14ac:dyDescent="0.25">
      <c r="A3141" t="s">
        <v>956</v>
      </c>
      <c r="B3141" t="s">
        <v>957</v>
      </c>
      <c r="C3141" t="s">
        <v>958</v>
      </c>
      <c r="D3141" t="s">
        <v>959</v>
      </c>
      <c r="E3141" t="s">
        <v>960</v>
      </c>
      <c r="F3141" t="s">
        <v>5</v>
      </c>
      <c r="G3141" t="s">
        <v>5</v>
      </c>
      <c r="H3141" t="s">
        <v>5</v>
      </c>
      <c r="I3141" t="s">
        <v>961</v>
      </c>
      <c r="J3141" t="s">
        <v>90</v>
      </c>
      <c r="K3141" s="3">
        <f t="shared" si="98"/>
        <v>0</v>
      </c>
      <c r="L3141" s="3">
        <f>IF(ISERROR(VLOOKUP(J3141,Lookups!$A$2:$A$16,1,FALSE)),1,0)</f>
        <v>0</v>
      </c>
      <c r="M3141" s="3">
        <f>IF(ISERROR(VLOOKUP(D3141,Data!$A$2:$D$223100,2,FALSE)),0,1)</f>
        <v>1</v>
      </c>
      <c r="N3141" s="3">
        <f t="shared" si="99"/>
        <v>0</v>
      </c>
      <c r="O3141" s="3" t="str">
        <f>IF(ISERROR(VLOOKUP(D3141,Data!$A$2:$C$223100,3,FALSE)),"INACTIVE",VLOOKUP(D3141,Data!$A$2:$C$223100,3,FALSE))</f>
        <v>60+</v>
      </c>
    </row>
    <row r="3142" spans="1:15" x14ac:dyDescent="0.25">
      <c r="A3142" t="s">
        <v>1378</v>
      </c>
      <c r="B3142" t="s">
        <v>1379</v>
      </c>
      <c r="C3142" t="s">
        <v>1380</v>
      </c>
      <c r="D3142" t="s">
        <v>1381</v>
      </c>
      <c r="E3142" t="s">
        <v>1382</v>
      </c>
      <c r="F3142" t="s">
        <v>5</v>
      </c>
      <c r="G3142" t="s">
        <v>5</v>
      </c>
      <c r="H3142" t="s">
        <v>5</v>
      </c>
      <c r="I3142" t="s">
        <v>961</v>
      </c>
      <c r="J3142" t="s">
        <v>7</v>
      </c>
      <c r="K3142" s="3">
        <f t="shared" si="98"/>
        <v>0</v>
      </c>
      <c r="L3142" s="3">
        <f>IF(ISERROR(VLOOKUP(J3142,Lookups!$A$2:$A$16,1,FALSE)),1,0)</f>
        <v>1</v>
      </c>
      <c r="M3142" s="3">
        <f>IF(ISERROR(VLOOKUP(D3142,Data!$A$2:$D$223100,2,FALSE)),0,1)</f>
        <v>1</v>
      </c>
      <c r="N3142" s="3">
        <f t="shared" si="99"/>
        <v>1</v>
      </c>
      <c r="O3142" s="3" t="str">
        <f>IF(ISERROR(VLOOKUP(D3142,Data!$A$2:$C$223100,3,FALSE)),"INACTIVE",VLOOKUP(D3142,Data!$A$2:$C$223100,3,FALSE))</f>
        <v>FC</v>
      </c>
    </row>
    <row r="3143" spans="1:15" x14ac:dyDescent="0.25">
      <c r="A3143" t="s">
        <v>1423</v>
      </c>
      <c r="B3143" t="s">
        <v>1424</v>
      </c>
      <c r="C3143" t="s">
        <v>1425</v>
      </c>
      <c r="D3143" t="s">
        <v>1426</v>
      </c>
      <c r="E3143" t="s">
        <v>1427</v>
      </c>
      <c r="F3143" t="s">
        <v>1427</v>
      </c>
      <c r="G3143" t="s">
        <v>5</v>
      </c>
      <c r="H3143" t="s">
        <v>5</v>
      </c>
      <c r="I3143" t="s">
        <v>961</v>
      </c>
      <c r="J3143" t="s">
        <v>40</v>
      </c>
      <c r="K3143" s="3">
        <f t="shared" si="98"/>
        <v>0</v>
      </c>
      <c r="L3143" s="3">
        <f>IF(ISERROR(VLOOKUP(J3143,Lookups!$A$2:$A$16,1,FALSE)),1,0)</f>
        <v>1</v>
      </c>
      <c r="M3143" s="3">
        <f>IF(ISERROR(VLOOKUP(D3143,Data!$A$2:$D$223100,2,FALSE)),0,1)</f>
        <v>1</v>
      </c>
      <c r="N3143" s="3">
        <f t="shared" si="99"/>
        <v>1</v>
      </c>
      <c r="O3143" s="3" t="str">
        <f>IF(ISERROR(VLOOKUP(D3143,Data!$A$2:$C$223100,3,FALSE)),"INACTIVE",VLOOKUP(D3143,Data!$A$2:$C$223100,3,FALSE))</f>
        <v>60+</v>
      </c>
    </row>
    <row r="3144" spans="1:15" x14ac:dyDescent="0.25">
      <c r="A3144" t="s">
        <v>1423</v>
      </c>
      <c r="B3144" t="s">
        <v>1424</v>
      </c>
      <c r="C3144" t="s">
        <v>1428</v>
      </c>
      <c r="D3144" t="s">
        <v>1429</v>
      </c>
      <c r="E3144" t="s">
        <v>1430</v>
      </c>
      <c r="F3144" t="s">
        <v>1430</v>
      </c>
      <c r="G3144" t="s">
        <v>5</v>
      </c>
      <c r="H3144" t="s">
        <v>5</v>
      </c>
      <c r="I3144" t="s">
        <v>961</v>
      </c>
      <c r="J3144" t="s">
        <v>40</v>
      </c>
      <c r="K3144" s="3">
        <f t="shared" si="98"/>
        <v>0</v>
      </c>
      <c r="L3144" s="3">
        <f>IF(ISERROR(VLOOKUP(J3144,Lookups!$A$2:$A$16,1,FALSE)),1,0)</f>
        <v>1</v>
      </c>
      <c r="M3144" s="3">
        <f>IF(ISERROR(VLOOKUP(D3144,Data!$A$2:$D$223100,2,FALSE)),0,1)</f>
        <v>1</v>
      </c>
      <c r="N3144" s="3">
        <f t="shared" si="99"/>
        <v>1</v>
      </c>
      <c r="O3144" s="3" t="str">
        <f>IF(ISERROR(VLOOKUP(D3144,Data!$A$2:$C$223100,3,FALSE)),"INACTIVE",VLOOKUP(D3144,Data!$A$2:$C$223100,3,FALSE))</f>
        <v>Current</v>
      </c>
    </row>
    <row r="3145" spans="1:15" x14ac:dyDescent="0.25">
      <c r="A3145" t="s">
        <v>1423</v>
      </c>
      <c r="B3145" t="s">
        <v>1424</v>
      </c>
      <c r="C3145" t="s">
        <v>1431</v>
      </c>
      <c r="D3145" t="s">
        <v>1432</v>
      </c>
      <c r="E3145" t="s">
        <v>1433</v>
      </c>
      <c r="F3145" t="s">
        <v>1433</v>
      </c>
      <c r="G3145" t="s">
        <v>5</v>
      </c>
      <c r="H3145" t="s">
        <v>5</v>
      </c>
      <c r="I3145" t="s">
        <v>961</v>
      </c>
      <c r="J3145" t="s">
        <v>40</v>
      </c>
      <c r="K3145" s="3">
        <f t="shared" si="98"/>
        <v>0</v>
      </c>
      <c r="L3145" s="3">
        <f>IF(ISERROR(VLOOKUP(J3145,Lookups!$A$2:$A$16,1,FALSE)),1,0)</f>
        <v>1</v>
      </c>
      <c r="M3145" s="3">
        <f>IF(ISERROR(VLOOKUP(D3145,Data!$A$2:$D$223100,2,FALSE)),0,1)</f>
        <v>1</v>
      </c>
      <c r="N3145" s="3">
        <f t="shared" si="99"/>
        <v>1</v>
      </c>
      <c r="O3145" s="3" t="str">
        <f>IF(ISERROR(VLOOKUP(D3145,Data!$A$2:$C$223100,3,FALSE)),"INACTIVE",VLOOKUP(D3145,Data!$A$2:$C$223100,3,FALSE))</f>
        <v>60+</v>
      </c>
    </row>
    <row r="3146" spans="1:15" x14ac:dyDescent="0.25">
      <c r="A3146" t="s">
        <v>1423</v>
      </c>
      <c r="B3146" t="s">
        <v>1424</v>
      </c>
      <c r="C3146" t="s">
        <v>1434</v>
      </c>
      <c r="D3146" t="s">
        <v>1435</v>
      </c>
      <c r="E3146" t="s">
        <v>1436</v>
      </c>
      <c r="F3146" t="s">
        <v>1436</v>
      </c>
      <c r="G3146" t="s">
        <v>5</v>
      </c>
      <c r="H3146" t="s">
        <v>5</v>
      </c>
      <c r="I3146" t="s">
        <v>961</v>
      </c>
      <c r="J3146" t="s">
        <v>40</v>
      </c>
      <c r="K3146" s="3">
        <f t="shared" si="98"/>
        <v>0</v>
      </c>
      <c r="L3146" s="3">
        <f>IF(ISERROR(VLOOKUP(J3146,Lookups!$A$2:$A$16,1,FALSE)),1,0)</f>
        <v>1</v>
      </c>
      <c r="M3146" s="3">
        <f>IF(ISERROR(VLOOKUP(D3146,Data!$A$2:$D$223100,2,FALSE)),0,1)</f>
        <v>1</v>
      </c>
      <c r="N3146" s="3">
        <f t="shared" si="99"/>
        <v>1</v>
      </c>
      <c r="O3146" s="3" t="str">
        <f>IF(ISERROR(VLOOKUP(D3146,Data!$A$2:$C$223100,3,FALSE)),"INACTIVE",VLOOKUP(D3146,Data!$A$2:$C$223100,3,FALSE))</f>
        <v>Current</v>
      </c>
    </row>
    <row r="3147" spans="1:15" x14ac:dyDescent="0.25">
      <c r="A3147" t="s">
        <v>1423</v>
      </c>
      <c r="B3147" t="s">
        <v>1424</v>
      </c>
      <c r="C3147" t="s">
        <v>1437</v>
      </c>
      <c r="D3147" t="s">
        <v>1438</v>
      </c>
      <c r="E3147" t="s">
        <v>1439</v>
      </c>
      <c r="F3147" t="s">
        <v>1439</v>
      </c>
      <c r="G3147" t="s">
        <v>5</v>
      </c>
      <c r="H3147" t="s">
        <v>5</v>
      </c>
      <c r="I3147" t="s">
        <v>961</v>
      </c>
      <c r="J3147" t="s">
        <v>40</v>
      </c>
      <c r="K3147" s="3">
        <f t="shared" si="98"/>
        <v>0</v>
      </c>
      <c r="L3147" s="3">
        <f>IF(ISERROR(VLOOKUP(J3147,Lookups!$A$2:$A$16,1,FALSE)),1,0)</f>
        <v>1</v>
      </c>
      <c r="M3147" s="3">
        <f>IF(ISERROR(VLOOKUP(D3147,Data!$A$2:$D$223100,2,FALSE)),0,1)</f>
        <v>1</v>
      </c>
      <c r="N3147" s="3">
        <f t="shared" si="99"/>
        <v>1</v>
      </c>
      <c r="O3147" s="3" t="str">
        <f>IF(ISERROR(VLOOKUP(D3147,Data!$A$2:$C$223100,3,FALSE)),"INACTIVE",VLOOKUP(D3147,Data!$A$2:$C$223100,3,FALSE))</f>
        <v>150+</v>
      </c>
    </row>
    <row r="3148" spans="1:15" x14ac:dyDescent="0.25">
      <c r="A3148" t="s">
        <v>1089</v>
      </c>
      <c r="B3148" t="s">
        <v>1090</v>
      </c>
      <c r="C3148" t="s">
        <v>1091</v>
      </c>
      <c r="D3148" t="s">
        <v>1092</v>
      </c>
      <c r="E3148" t="s">
        <v>1093</v>
      </c>
      <c r="F3148" t="s">
        <v>5</v>
      </c>
      <c r="G3148" t="s">
        <v>5</v>
      </c>
      <c r="H3148" t="s">
        <v>5</v>
      </c>
      <c r="I3148" t="s">
        <v>1094</v>
      </c>
      <c r="J3148" t="s">
        <v>96</v>
      </c>
      <c r="K3148" s="3">
        <f t="shared" si="98"/>
        <v>0</v>
      </c>
      <c r="L3148" s="3">
        <f>IF(ISERROR(VLOOKUP(J3148,Lookups!$A$2:$A$16,1,FALSE)),1,0)</f>
        <v>0</v>
      </c>
      <c r="M3148" s="3">
        <f>IF(ISERROR(VLOOKUP(D3148,Data!$A$2:$D$223100,2,FALSE)),0,1)</f>
        <v>1</v>
      </c>
      <c r="N3148" s="3">
        <f t="shared" si="99"/>
        <v>0</v>
      </c>
      <c r="O3148" s="3" t="str">
        <f>IF(ISERROR(VLOOKUP(D3148,Data!$A$2:$C$223100,3,FALSE)),"INACTIVE",VLOOKUP(D3148,Data!$A$2:$C$223100,3,FALSE))</f>
        <v>Current</v>
      </c>
    </row>
    <row r="3149" spans="1:15" x14ac:dyDescent="0.25">
      <c r="A3149" t="s">
        <v>1089</v>
      </c>
      <c r="B3149" t="s">
        <v>1090</v>
      </c>
      <c r="C3149" t="s">
        <v>1091</v>
      </c>
      <c r="D3149" t="s">
        <v>1092</v>
      </c>
      <c r="E3149" t="s">
        <v>1095</v>
      </c>
      <c r="F3149" t="s">
        <v>5</v>
      </c>
      <c r="G3149" t="s">
        <v>5</v>
      </c>
      <c r="H3149" t="s">
        <v>5</v>
      </c>
      <c r="I3149" t="s">
        <v>1094</v>
      </c>
      <c r="J3149" t="s">
        <v>96</v>
      </c>
      <c r="K3149" s="3">
        <f t="shared" si="98"/>
        <v>0</v>
      </c>
      <c r="L3149" s="3">
        <f>IF(ISERROR(VLOOKUP(J3149,Lookups!$A$2:$A$16,1,FALSE)),1,0)</f>
        <v>0</v>
      </c>
      <c r="M3149" s="3">
        <f>IF(ISERROR(VLOOKUP(D3149,Data!$A$2:$D$223100,2,FALSE)),0,1)</f>
        <v>1</v>
      </c>
      <c r="N3149" s="3">
        <f t="shared" si="99"/>
        <v>0</v>
      </c>
      <c r="O3149" s="3" t="str">
        <f>IF(ISERROR(VLOOKUP(D3149,Data!$A$2:$C$223100,3,FALSE)),"INACTIVE",VLOOKUP(D3149,Data!$A$2:$C$223100,3,FALSE))</f>
        <v>Current</v>
      </c>
    </row>
    <row r="3150" spans="1:15" x14ac:dyDescent="0.25">
      <c r="A3150" t="s">
        <v>1089</v>
      </c>
      <c r="B3150" t="s">
        <v>1090</v>
      </c>
      <c r="C3150" t="s">
        <v>1096</v>
      </c>
      <c r="D3150" t="s">
        <v>1097</v>
      </c>
      <c r="E3150" t="s">
        <v>1098</v>
      </c>
      <c r="F3150" t="s">
        <v>5</v>
      </c>
      <c r="G3150" t="s">
        <v>5</v>
      </c>
      <c r="H3150" t="s">
        <v>5</v>
      </c>
      <c r="I3150" t="s">
        <v>1094</v>
      </c>
      <c r="J3150" t="s">
        <v>96</v>
      </c>
      <c r="K3150" s="3">
        <f t="shared" si="98"/>
        <v>0</v>
      </c>
      <c r="L3150" s="3">
        <f>IF(ISERROR(VLOOKUP(J3150,Lookups!$A$2:$A$16,1,FALSE)),1,0)</f>
        <v>0</v>
      </c>
      <c r="M3150" s="3">
        <f>IF(ISERROR(VLOOKUP(D3150,Data!$A$2:$D$223100,2,FALSE)),0,1)</f>
        <v>1</v>
      </c>
      <c r="N3150" s="3">
        <f t="shared" si="99"/>
        <v>0</v>
      </c>
      <c r="O3150" s="3" t="str">
        <f>IF(ISERROR(VLOOKUP(D3150,Data!$A$2:$C$223100,3,FALSE)),"INACTIVE",VLOOKUP(D3150,Data!$A$2:$C$223100,3,FALSE))</f>
        <v>Demand Letter</v>
      </c>
    </row>
    <row r="3151" spans="1:15" x14ac:dyDescent="0.25">
      <c r="A3151" t="s">
        <v>1089</v>
      </c>
      <c r="B3151" t="s">
        <v>1090</v>
      </c>
      <c r="C3151" t="s">
        <v>1096</v>
      </c>
      <c r="D3151" t="s">
        <v>1097</v>
      </c>
      <c r="E3151" t="s">
        <v>1099</v>
      </c>
      <c r="F3151" t="s">
        <v>5</v>
      </c>
      <c r="G3151" t="s">
        <v>5</v>
      </c>
      <c r="H3151" t="s">
        <v>5</v>
      </c>
      <c r="I3151" t="s">
        <v>1094</v>
      </c>
      <c r="J3151" t="s">
        <v>96</v>
      </c>
      <c r="K3151" s="3">
        <f t="shared" si="98"/>
        <v>0</v>
      </c>
      <c r="L3151" s="3">
        <f>IF(ISERROR(VLOOKUP(J3151,Lookups!$A$2:$A$16,1,FALSE)),1,0)</f>
        <v>0</v>
      </c>
      <c r="M3151" s="3">
        <f>IF(ISERROR(VLOOKUP(D3151,Data!$A$2:$D$223100,2,FALSE)),0,1)</f>
        <v>1</v>
      </c>
      <c r="N3151" s="3">
        <f t="shared" si="99"/>
        <v>0</v>
      </c>
      <c r="O3151" s="3" t="str">
        <f>IF(ISERROR(VLOOKUP(D3151,Data!$A$2:$C$223100,3,FALSE)),"INACTIVE",VLOOKUP(D3151,Data!$A$2:$C$223100,3,FALSE))</f>
        <v>Demand Letter</v>
      </c>
    </row>
    <row r="3152" spans="1:15" x14ac:dyDescent="0.25">
      <c r="A3152" t="s">
        <v>1089</v>
      </c>
      <c r="B3152" t="s">
        <v>1090</v>
      </c>
      <c r="C3152" t="s">
        <v>1100</v>
      </c>
      <c r="D3152" t="s">
        <v>1101</v>
      </c>
      <c r="E3152" t="s">
        <v>1102</v>
      </c>
      <c r="F3152" t="s">
        <v>5</v>
      </c>
      <c r="G3152" t="s">
        <v>5</v>
      </c>
      <c r="H3152" t="s">
        <v>5</v>
      </c>
      <c r="I3152" t="s">
        <v>1094</v>
      </c>
      <c r="J3152" t="s">
        <v>7</v>
      </c>
      <c r="K3152" s="3">
        <f t="shared" si="98"/>
        <v>0</v>
      </c>
      <c r="L3152" s="3">
        <f>IF(ISERROR(VLOOKUP(J3152,Lookups!$A$2:$A$16,1,FALSE)),1,0)</f>
        <v>1</v>
      </c>
      <c r="M3152" s="3">
        <f>IF(ISERROR(VLOOKUP(D3152,Data!$A$2:$D$223100,2,FALSE)),0,1)</f>
        <v>1</v>
      </c>
      <c r="N3152" s="3">
        <f t="shared" si="99"/>
        <v>1</v>
      </c>
      <c r="O3152" s="3" t="str">
        <f>IF(ISERROR(VLOOKUP(D3152,Data!$A$2:$C$223100,3,FALSE)),"INACTIVE",VLOOKUP(D3152,Data!$A$2:$C$223100,3,FALSE))</f>
        <v>120+</v>
      </c>
    </row>
    <row r="3153" spans="1:15" x14ac:dyDescent="0.25">
      <c r="A3153" t="s">
        <v>1089</v>
      </c>
      <c r="B3153" t="s">
        <v>1090</v>
      </c>
      <c r="C3153" t="s">
        <v>1103</v>
      </c>
      <c r="D3153" t="s">
        <v>1104</v>
      </c>
      <c r="E3153" t="s">
        <v>1105</v>
      </c>
      <c r="F3153" t="s">
        <v>5</v>
      </c>
      <c r="G3153" t="s">
        <v>5</v>
      </c>
      <c r="H3153" t="s">
        <v>5</v>
      </c>
      <c r="I3153" t="s">
        <v>1094</v>
      </c>
      <c r="J3153" t="s">
        <v>7</v>
      </c>
      <c r="K3153" s="3">
        <f t="shared" si="98"/>
        <v>0</v>
      </c>
      <c r="L3153" s="3">
        <f>IF(ISERROR(VLOOKUP(J3153,Lookups!$A$2:$A$16,1,FALSE)),1,0)</f>
        <v>1</v>
      </c>
      <c r="M3153" s="3">
        <f>IF(ISERROR(VLOOKUP(D3153,Data!$A$2:$D$223100,2,FALSE)),0,1)</f>
        <v>1</v>
      </c>
      <c r="N3153" s="3">
        <f t="shared" si="99"/>
        <v>1</v>
      </c>
      <c r="O3153" s="3" t="str">
        <f>IF(ISERROR(VLOOKUP(D3153,Data!$A$2:$C$223100,3,FALSE)),"INACTIVE",VLOOKUP(D3153,Data!$A$2:$C$223100,3,FALSE))</f>
        <v>FBA</v>
      </c>
    </row>
    <row r="3154" spans="1:15" x14ac:dyDescent="0.25">
      <c r="A3154" t="s">
        <v>332</v>
      </c>
      <c r="B3154" t="s">
        <v>333</v>
      </c>
      <c r="C3154" t="s">
        <v>334</v>
      </c>
      <c r="D3154" t="s">
        <v>335</v>
      </c>
      <c r="E3154" t="s">
        <v>336</v>
      </c>
      <c r="F3154" t="s">
        <v>5</v>
      </c>
      <c r="G3154" t="s">
        <v>5</v>
      </c>
      <c r="H3154" t="s">
        <v>5</v>
      </c>
      <c r="I3154" t="s">
        <v>337</v>
      </c>
      <c r="J3154" t="s">
        <v>90</v>
      </c>
      <c r="K3154" s="3">
        <f t="shared" si="98"/>
        <v>0</v>
      </c>
      <c r="L3154" s="3">
        <f>IF(ISERROR(VLOOKUP(J3154,Lookups!$A$2:$A$16,1,FALSE)),1,0)</f>
        <v>0</v>
      </c>
      <c r="M3154" s="3">
        <f>IF(ISERROR(VLOOKUP(D3154,Data!$A$2:$D$223100,2,FALSE)),0,1)</f>
        <v>1</v>
      </c>
      <c r="N3154" s="3">
        <f t="shared" si="99"/>
        <v>0</v>
      </c>
      <c r="O3154" s="3" t="str">
        <f>IF(ISERROR(VLOOKUP(D3154,Data!$A$2:$C$223100,3,FALSE)),"INACTIVE",VLOOKUP(D3154,Data!$A$2:$C$223100,3,FALSE))</f>
        <v>Current</v>
      </c>
    </row>
    <row r="3155" spans="1:15" x14ac:dyDescent="0.25">
      <c r="A3155" t="s">
        <v>409</v>
      </c>
      <c r="B3155" t="s">
        <v>410</v>
      </c>
      <c r="C3155" t="s">
        <v>411</v>
      </c>
      <c r="D3155" t="s">
        <v>412</v>
      </c>
      <c r="E3155" t="s">
        <v>413</v>
      </c>
      <c r="F3155" t="s">
        <v>5</v>
      </c>
      <c r="G3155" t="s">
        <v>5</v>
      </c>
      <c r="H3155" t="s">
        <v>5</v>
      </c>
      <c r="I3155" t="s">
        <v>337</v>
      </c>
      <c r="J3155" t="s">
        <v>7</v>
      </c>
      <c r="K3155" s="3">
        <f t="shared" si="98"/>
        <v>0</v>
      </c>
      <c r="L3155" s="3">
        <f>IF(ISERROR(VLOOKUP(J3155,Lookups!$A$2:$A$16,1,FALSE)),1,0)</f>
        <v>1</v>
      </c>
      <c r="M3155" s="3">
        <f>IF(ISERROR(VLOOKUP(D3155,Data!$A$2:$D$223100,2,FALSE)),0,1)</f>
        <v>1</v>
      </c>
      <c r="N3155" s="3">
        <f t="shared" si="99"/>
        <v>1</v>
      </c>
      <c r="O3155" s="3" t="str">
        <f>IF(ISERROR(VLOOKUP(D3155,Data!$A$2:$C$223100,3,FALSE)),"INACTIVE",VLOOKUP(D3155,Data!$A$2:$C$223100,3,FALSE))</f>
        <v>150+</v>
      </c>
    </row>
    <row r="3156" spans="1:15" x14ac:dyDescent="0.25">
      <c r="A3156" t="s">
        <v>409</v>
      </c>
      <c r="B3156" t="s">
        <v>410</v>
      </c>
      <c r="C3156" t="s">
        <v>414</v>
      </c>
      <c r="D3156" t="s">
        <v>415</v>
      </c>
      <c r="E3156" t="s">
        <v>416</v>
      </c>
      <c r="F3156" t="s">
        <v>5</v>
      </c>
      <c r="G3156" t="s">
        <v>5</v>
      </c>
      <c r="H3156" t="s">
        <v>5</v>
      </c>
      <c r="I3156" t="s">
        <v>337</v>
      </c>
      <c r="J3156" t="s">
        <v>7</v>
      </c>
      <c r="K3156" s="3">
        <f t="shared" si="98"/>
        <v>0</v>
      </c>
      <c r="L3156" s="3">
        <f>IF(ISERROR(VLOOKUP(J3156,Lookups!$A$2:$A$16,1,FALSE)),1,0)</f>
        <v>1</v>
      </c>
      <c r="M3156" s="3">
        <f>IF(ISERROR(VLOOKUP(D3156,Data!$A$2:$D$223100,2,FALSE)),0,1)</f>
        <v>1</v>
      </c>
      <c r="N3156" s="3">
        <f t="shared" si="99"/>
        <v>1</v>
      </c>
      <c r="O3156" s="3" t="str">
        <f>IF(ISERROR(VLOOKUP(D3156,Data!$A$2:$C$223100,3,FALSE)),"INACTIVE",VLOOKUP(D3156,Data!$A$2:$C$223100,3,FALSE))</f>
        <v>90+</v>
      </c>
    </row>
    <row r="3157" spans="1:15" x14ac:dyDescent="0.25">
      <c r="A3157" t="s">
        <v>555</v>
      </c>
      <c r="B3157" t="s">
        <v>556</v>
      </c>
      <c r="C3157" t="s">
        <v>557</v>
      </c>
      <c r="D3157" t="s">
        <v>558</v>
      </c>
      <c r="E3157" t="s">
        <v>559</v>
      </c>
      <c r="F3157" t="s">
        <v>5</v>
      </c>
      <c r="G3157" t="s">
        <v>5</v>
      </c>
      <c r="H3157" t="s">
        <v>5</v>
      </c>
      <c r="I3157" t="s">
        <v>337</v>
      </c>
      <c r="J3157" t="s">
        <v>90</v>
      </c>
      <c r="K3157" s="3">
        <f t="shared" si="98"/>
        <v>0</v>
      </c>
      <c r="L3157" s="3">
        <f>IF(ISERROR(VLOOKUP(J3157,Lookups!$A$2:$A$16,1,FALSE)),1,0)</f>
        <v>0</v>
      </c>
      <c r="M3157" s="3">
        <f>IF(ISERROR(VLOOKUP(D3157,Data!$A$2:$D$223100,2,FALSE)),0,1)</f>
        <v>1</v>
      </c>
      <c r="N3157" s="3">
        <f t="shared" si="99"/>
        <v>0</v>
      </c>
      <c r="O3157" s="3" t="str">
        <f>IF(ISERROR(VLOOKUP(D3157,Data!$A$2:$C$223100,3,FALSE)),"INACTIVE",VLOOKUP(D3157,Data!$A$2:$C$223100,3,FALSE))</f>
        <v>Current</v>
      </c>
    </row>
    <row r="3158" spans="1:15" x14ac:dyDescent="0.25">
      <c r="A3158" t="s">
        <v>555</v>
      </c>
      <c r="B3158" t="s">
        <v>556</v>
      </c>
      <c r="C3158" t="s">
        <v>560</v>
      </c>
      <c r="D3158" t="s">
        <v>558</v>
      </c>
      <c r="E3158" t="s">
        <v>561</v>
      </c>
      <c r="F3158" t="s">
        <v>5</v>
      </c>
      <c r="G3158" t="s">
        <v>5</v>
      </c>
      <c r="H3158" t="s">
        <v>5</v>
      </c>
      <c r="I3158" t="s">
        <v>337</v>
      </c>
      <c r="J3158" t="s">
        <v>90</v>
      </c>
      <c r="K3158" s="3">
        <f t="shared" si="98"/>
        <v>0</v>
      </c>
      <c r="L3158" s="3">
        <f>IF(ISERROR(VLOOKUP(J3158,Lookups!$A$2:$A$16,1,FALSE)),1,0)</f>
        <v>0</v>
      </c>
      <c r="M3158" s="3">
        <f>IF(ISERROR(VLOOKUP(D3158,Data!$A$2:$D$223100,2,FALSE)),0,1)</f>
        <v>1</v>
      </c>
      <c r="N3158" s="3">
        <f t="shared" si="99"/>
        <v>0</v>
      </c>
      <c r="O3158" s="3" t="str">
        <f>IF(ISERROR(VLOOKUP(D3158,Data!$A$2:$C$223100,3,FALSE)),"INACTIVE",VLOOKUP(D3158,Data!$A$2:$C$223100,3,FALSE))</f>
        <v>Current</v>
      </c>
    </row>
    <row r="3159" spans="1:15" x14ac:dyDescent="0.25">
      <c r="A3159" t="s">
        <v>833</v>
      </c>
      <c r="B3159" t="s">
        <v>834</v>
      </c>
      <c r="C3159" t="s">
        <v>835</v>
      </c>
      <c r="D3159" t="s">
        <v>836</v>
      </c>
      <c r="E3159" t="s">
        <v>837</v>
      </c>
      <c r="F3159" t="s">
        <v>837</v>
      </c>
      <c r="G3159" t="s">
        <v>5</v>
      </c>
      <c r="H3159" t="s">
        <v>5</v>
      </c>
      <c r="I3159" t="s">
        <v>337</v>
      </c>
      <c r="J3159" t="s">
        <v>573</v>
      </c>
      <c r="K3159" s="3">
        <f t="shared" si="98"/>
        <v>0</v>
      </c>
      <c r="L3159" s="3">
        <f>IF(ISERROR(VLOOKUP(J3159,Lookups!$A$2:$A$16,1,FALSE)),1,0)</f>
        <v>1</v>
      </c>
      <c r="M3159" s="3">
        <f>IF(ISERROR(VLOOKUP(D3159,Data!$A$2:$D$223100,2,FALSE)),0,1)</f>
        <v>1</v>
      </c>
      <c r="N3159" s="3">
        <f t="shared" si="99"/>
        <v>1</v>
      </c>
      <c r="O3159" s="3" t="str">
        <f>IF(ISERROR(VLOOKUP(D3159,Data!$A$2:$C$223100,3,FALSE)),"INACTIVE",VLOOKUP(D3159,Data!$A$2:$C$223100,3,FALSE))</f>
        <v>Current</v>
      </c>
    </row>
    <row r="3160" spans="1:15" x14ac:dyDescent="0.25">
      <c r="A3160" t="s">
        <v>833</v>
      </c>
      <c r="B3160" t="s">
        <v>834</v>
      </c>
      <c r="C3160" t="s">
        <v>838</v>
      </c>
      <c r="D3160" t="s">
        <v>839</v>
      </c>
      <c r="E3160" t="s">
        <v>840</v>
      </c>
      <c r="F3160" t="s">
        <v>840</v>
      </c>
      <c r="G3160" t="s">
        <v>5</v>
      </c>
      <c r="H3160" t="s">
        <v>5</v>
      </c>
      <c r="I3160" t="s">
        <v>337</v>
      </c>
      <c r="J3160" t="s">
        <v>573</v>
      </c>
      <c r="K3160" s="3">
        <f t="shared" si="98"/>
        <v>0</v>
      </c>
      <c r="L3160" s="3">
        <f>IF(ISERROR(VLOOKUP(J3160,Lookups!$A$2:$A$16,1,FALSE)),1,0)</f>
        <v>1</v>
      </c>
      <c r="M3160" s="3">
        <f>IF(ISERROR(VLOOKUP(D3160,Data!$A$2:$D$223100,2,FALSE)),0,1)</f>
        <v>1</v>
      </c>
      <c r="N3160" s="3">
        <f t="shared" si="99"/>
        <v>1</v>
      </c>
      <c r="O3160" s="3" t="str">
        <f>IF(ISERROR(VLOOKUP(D3160,Data!$A$2:$C$223100,3,FALSE)),"INACTIVE",VLOOKUP(D3160,Data!$A$2:$C$223100,3,FALSE))</f>
        <v>180+</v>
      </c>
    </row>
    <row r="3161" spans="1:15" x14ac:dyDescent="0.25">
      <c r="A3161" t="s">
        <v>833</v>
      </c>
      <c r="B3161" t="s">
        <v>834</v>
      </c>
      <c r="C3161" t="s">
        <v>841</v>
      </c>
      <c r="D3161" t="s">
        <v>842</v>
      </c>
      <c r="E3161" t="s">
        <v>843</v>
      </c>
      <c r="F3161" t="s">
        <v>843</v>
      </c>
      <c r="G3161" t="s">
        <v>5</v>
      </c>
      <c r="H3161" t="s">
        <v>5</v>
      </c>
      <c r="I3161" t="s">
        <v>337</v>
      </c>
      <c r="J3161" t="s">
        <v>40</v>
      </c>
      <c r="K3161" s="3">
        <f t="shared" si="98"/>
        <v>0</v>
      </c>
      <c r="L3161" s="3">
        <f>IF(ISERROR(VLOOKUP(J3161,Lookups!$A$2:$A$16,1,FALSE)),1,0)</f>
        <v>1</v>
      </c>
      <c r="M3161" s="3">
        <f>IF(ISERROR(VLOOKUP(D3161,Data!$A$2:$D$223100,2,FALSE)),0,1)</f>
        <v>1</v>
      </c>
      <c r="N3161" s="3">
        <f t="shared" si="99"/>
        <v>1</v>
      </c>
      <c r="O3161" s="3" t="str">
        <f>IF(ISERROR(VLOOKUP(D3161,Data!$A$2:$C$223100,3,FALSE)),"INACTIVE",VLOOKUP(D3161,Data!$A$2:$C$223100,3,FALSE))</f>
        <v>Current</v>
      </c>
    </row>
    <row r="3162" spans="1:15" x14ac:dyDescent="0.25">
      <c r="A3162" t="s">
        <v>833</v>
      </c>
      <c r="B3162" t="s">
        <v>834</v>
      </c>
      <c r="C3162" t="s">
        <v>835</v>
      </c>
      <c r="D3162" t="s">
        <v>836</v>
      </c>
      <c r="E3162" t="s">
        <v>844</v>
      </c>
      <c r="F3162" t="s">
        <v>844</v>
      </c>
      <c r="G3162" t="s">
        <v>5</v>
      </c>
      <c r="H3162" t="s">
        <v>5</v>
      </c>
      <c r="I3162" t="s">
        <v>337</v>
      </c>
      <c r="J3162" t="s">
        <v>573</v>
      </c>
      <c r="K3162" s="3">
        <f t="shared" si="98"/>
        <v>0</v>
      </c>
      <c r="L3162" s="3">
        <f>IF(ISERROR(VLOOKUP(J3162,Lookups!$A$2:$A$16,1,FALSE)),1,0)</f>
        <v>1</v>
      </c>
      <c r="M3162" s="3">
        <f>IF(ISERROR(VLOOKUP(D3162,Data!$A$2:$D$223100,2,FALSE)),0,1)</f>
        <v>1</v>
      </c>
      <c r="N3162" s="3">
        <f t="shared" si="99"/>
        <v>1</v>
      </c>
      <c r="O3162" s="3" t="str">
        <f>IF(ISERROR(VLOOKUP(D3162,Data!$A$2:$C$223100,3,FALSE)),"INACTIVE",VLOOKUP(D3162,Data!$A$2:$C$223100,3,FALSE))</f>
        <v>Current</v>
      </c>
    </row>
    <row r="3163" spans="1:15" x14ac:dyDescent="0.25">
      <c r="A3163" t="s">
        <v>833</v>
      </c>
      <c r="B3163" t="s">
        <v>834</v>
      </c>
      <c r="C3163" t="s">
        <v>838</v>
      </c>
      <c r="D3163" t="s">
        <v>839</v>
      </c>
      <c r="E3163" t="s">
        <v>845</v>
      </c>
      <c r="F3163" t="s">
        <v>845</v>
      </c>
      <c r="G3163" t="s">
        <v>5</v>
      </c>
      <c r="H3163" t="s">
        <v>5</v>
      </c>
      <c r="I3163" t="s">
        <v>337</v>
      </c>
      <c r="J3163" t="s">
        <v>573</v>
      </c>
      <c r="K3163" s="3">
        <f t="shared" si="98"/>
        <v>0</v>
      </c>
      <c r="L3163" s="3">
        <f>IF(ISERROR(VLOOKUP(J3163,Lookups!$A$2:$A$16,1,FALSE)),1,0)</f>
        <v>1</v>
      </c>
      <c r="M3163" s="3">
        <f>IF(ISERROR(VLOOKUP(D3163,Data!$A$2:$D$223100,2,FALSE)),0,1)</f>
        <v>1</v>
      </c>
      <c r="N3163" s="3">
        <f t="shared" si="99"/>
        <v>1</v>
      </c>
      <c r="O3163" s="3" t="str">
        <f>IF(ISERROR(VLOOKUP(D3163,Data!$A$2:$C$223100,3,FALSE)),"INACTIVE",VLOOKUP(D3163,Data!$A$2:$C$223100,3,FALSE))</f>
        <v>180+</v>
      </c>
    </row>
    <row r="3164" spans="1:15" x14ac:dyDescent="0.25">
      <c r="A3164" t="s">
        <v>833</v>
      </c>
      <c r="B3164" t="s">
        <v>834</v>
      </c>
      <c r="C3164" t="s">
        <v>846</v>
      </c>
      <c r="D3164" t="s">
        <v>847</v>
      </c>
      <c r="E3164" t="s">
        <v>848</v>
      </c>
      <c r="F3164" t="s">
        <v>848</v>
      </c>
      <c r="G3164" t="s">
        <v>5</v>
      </c>
      <c r="H3164" t="s">
        <v>5</v>
      </c>
      <c r="I3164" t="s">
        <v>337</v>
      </c>
      <c r="J3164" t="s">
        <v>47</v>
      </c>
      <c r="K3164" s="3">
        <f t="shared" si="98"/>
        <v>0</v>
      </c>
      <c r="L3164" s="3">
        <f>IF(ISERROR(VLOOKUP(J3164,Lookups!$A$2:$A$16,1,FALSE)),1,0)</f>
        <v>1</v>
      </c>
      <c r="M3164" s="3">
        <f>IF(ISERROR(VLOOKUP(D3164,Data!$A$2:$D$223100,2,FALSE)),0,1)</f>
        <v>1</v>
      </c>
      <c r="N3164" s="3">
        <f t="shared" si="99"/>
        <v>1</v>
      </c>
      <c r="O3164" s="3" t="str">
        <f>IF(ISERROR(VLOOKUP(D3164,Data!$A$2:$C$223100,3,FALSE)),"INACTIVE",VLOOKUP(D3164,Data!$A$2:$C$223100,3,FALSE))</f>
        <v>Current</v>
      </c>
    </row>
    <row r="3165" spans="1:15" x14ac:dyDescent="0.25">
      <c r="A3165" t="s">
        <v>1198</v>
      </c>
      <c r="B3165" t="s">
        <v>1199</v>
      </c>
      <c r="C3165" t="s">
        <v>1200</v>
      </c>
      <c r="D3165" t="s">
        <v>1201</v>
      </c>
      <c r="E3165" t="s">
        <v>1202</v>
      </c>
      <c r="F3165" t="s">
        <v>5</v>
      </c>
      <c r="G3165" t="s">
        <v>5</v>
      </c>
      <c r="H3165" t="s">
        <v>5</v>
      </c>
      <c r="I3165" t="s">
        <v>1203</v>
      </c>
      <c r="J3165" t="s">
        <v>573</v>
      </c>
      <c r="K3165" s="3">
        <f t="shared" si="98"/>
        <v>0</v>
      </c>
      <c r="L3165" s="3">
        <f>IF(ISERROR(VLOOKUP(J3165,Lookups!$A$2:$A$16,1,FALSE)),1,0)</f>
        <v>1</v>
      </c>
      <c r="M3165" s="3">
        <f>IF(ISERROR(VLOOKUP(D3165,Data!$A$2:$D$223100,2,FALSE)),0,1)</f>
        <v>0</v>
      </c>
      <c r="N3165" s="3">
        <f t="shared" si="99"/>
        <v>0</v>
      </c>
      <c r="O3165" s="3" t="str">
        <f>IF(ISERROR(VLOOKUP(D3165,Data!$A$2:$C$223100,3,FALSE)),"INACTIVE",VLOOKUP(D3165,Data!$A$2:$C$223100,3,FALSE))</f>
        <v>INACTIVE</v>
      </c>
    </row>
    <row r="3166" spans="1:15" x14ac:dyDescent="0.25">
      <c r="A3166" t="s">
        <v>1198</v>
      </c>
      <c r="B3166" t="s">
        <v>1199</v>
      </c>
      <c r="C3166" t="s">
        <v>1204</v>
      </c>
      <c r="D3166" t="s">
        <v>1205</v>
      </c>
      <c r="E3166" t="s">
        <v>1206</v>
      </c>
      <c r="F3166" t="s">
        <v>5</v>
      </c>
      <c r="G3166" t="s">
        <v>5</v>
      </c>
      <c r="H3166" t="s">
        <v>5</v>
      </c>
      <c r="I3166" t="s">
        <v>1203</v>
      </c>
      <c r="J3166" t="s">
        <v>573</v>
      </c>
      <c r="K3166" s="3">
        <f t="shared" si="98"/>
        <v>0</v>
      </c>
      <c r="L3166" s="3">
        <f>IF(ISERROR(VLOOKUP(J3166,Lookups!$A$2:$A$16,1,FALSE)),1,0)</f>
        <v>1</v>
      </c>
      <c r="M3166" s="3">
        <f>IF(ISERROR(VLOOKUP(D3166,Data!$A$2:$D$223100,2,FALSE)),0,1)</f>
        <v>1</v>
      </c>
      <c r="N3166" s="3">
        <f t="shared" si="99"/>
        <v>1</v>
      </c>
      <c r="O3166" s="3" t="str">
        <f>IF(ISERROR(VLOOKUP(D3166,Data!$A$2:$C$223100,3,FALSE)),"INACTIVE",VLOOKUP(D3166,Data!$A$2:$C$223100,3,FALSE))</f>
        <v>Current</v>
      </c>
    </row>
    <row r="3167" spans="1:15" x14ac:dyDescent="0.25">
      <c r="A3167" t="s">
        <v>1198</v>
      </c>
      <c r="B3167" t="s">
        <v>1199</v>
      </c>
      <c r="C3167" t="s">
        <v>1207</v>
      </c>
      <c r="D3167" t="s">
        <v>1208</v>
      </c>
      <c r="E3167" t="s">
        <v>1209</v>
      </c>
      <c r="F3167" t="s">
        <v>1209</v>
      </c>
      <c r="G3167" t="s">
        <v>5</v>
      </c>
      <c r="H3167" t="s">
        <v>5</v>
      </c>
      <c r="I3167" t="s">
        <v>1203</v>
      </c>
      <c r="J3167" t="s">
        <v>47</v>
      </c>
      <c r="K3167" s="3">
        <f t="shared" si="98"/>
        <v>0</v>
      </c>
      <c r="L3167" s="3">
        <f>IF(ISERROR(VLOOKUP(J3167,Lookups!$A$2:$A$16,1,FALSE)),1,0)</f>
        <v>1</v>
      </c>
      <c r="M3167" s="3">
        <f>IF(ISERROR(VLOOKUP(D3167,Data!$A$2:$D$223100,2,FALSE)),0,1)</f>
        <v>1</v>
      </c>
      <c r="N3167" s="3">
        <f t="shared" si="99"/>
        <v>1</v>
      </c>
      <c r="O3167" s="3" t="str">
        <f>IF(ISERROR(VLOOKUP(D3167,Data!$A$2:$C$223100,3,FALSE)),"INACTIVE",VLOOKUP(D3167,Data!$A$2:$C$223100,3,FALSE))</f>
        <v>FC</v>
      </c>
    </row>
    <row r="3168" spans="1:15" x14ac:dyDescent="0.25">
      <c r="A3168" t="s">
        <v>1198</v>
      </c>
      <c r="B3168" t="s">
        <v>1199</v>
      </c>
      <c r="C3168" t="s">
        <v>1210</v>
      </c>
      <c r="D3168" t="s">
        <v>1211</v>
      </c>
      <c r="E3168" t="s">
        <v>1212</v>
      </c>
      <c r="F3168" t="s">
        <v>1212</v>
      </c>
      <c r="G3168" t="s">
        <v>5</v>
      </c>
      <c r="H3168" t="s">
        <v>5</v>
      </c>
      <c r="I3168" t="s">
        <v>1203</v>
      </c>
      <c r="J3168" t="s">
        <v>47</v>
      </c>
      <c r="K3168" s="3">
        <f t="shared" si="98"/>
        <v>0</v>
      </c>
      <c r="L3168" s="3">
        <f>IF(ISERROR(VLOOKUP(J3168,Lookups!$A$2:$A$16,1,FALSE)),1,0)</f>
        <v>1</v>
      </c>
      <c r="M3168" s="3">
        <f>IF(ISERROR(VLOOKUP(D3168,Data!$A$2:$D$223100,2,FALSE)),0,1)</f>
        <v>1</v>
      </c>
      <c r="N3168" s="3">
        <f t="shared" si="99"/>
        <v>1</v>
      </c>
      <c r="O3168" s="3" t="str">
        <f>IF(ISERROR(VLOOKUP(D3168,Data!$A$2:$C$223100,3,FALSE)),"INACTIVE",VLOOKUP(D3168,Data!$A$2:$C$223100,3,FALSE))</f>
        <v>180+</v>
      </c>
    </row>
    <row r="3169" spans="1:15" x14ac:dyDescent="0.25">
      <c r="A3169" t="s">
        <v>1198</v>
      </c>
      <c r="B3169" t="s">
        <v>1199</v>
      </c>
      <c r="C3169" t="s">
        <v>1213</v>
      </c>
      <c r="D3169" t="s">
        <v>1214</v>
      </c>
      <c r="E3169" t="s">
        <v>1215</v>
      </c>
      <c r="F3169" t="s">
        <v>1215</v>
      </c>
      <c r="G3169" t="s">
        <v>5</v>
      </c>
      <c r="H3169" t="s">
        <v>5</v>
      </c>
      <c r="I3169" t="s">
        <v>1203</v>
      </c>
      <c r="J3169" t="s">
        <v>40</v>
      </c>
      <c r="K3169" s="3">
        <f t="shared" si="98"/>
        <v>0</v>
      </c>
      <c r="L3169" s="3">
        <f>IF(ISERROR(VLOOKUP(J3169,Lookups!$A$2:$A$16,1,FALSE)),1,0)</f>
        <v>1</v>
      </c>
      <c r="M3169" s="3">
        <f>IF(ISERROR(VLOOKUP(D3169,Data!$A$2:$D$223100,2,FALSE)),0,1)</f>
        <v>1</v>
      </c>
      <c r="N3169" s="3">
        <f t="shared" si="99"/>
        <v>1</v>
      </c>
      <c r="O3169" s="3" t="str">
        <f>IF(ISERROR(VLOOKUP(D3169,Data!$A$2:$C$223100,3,FALSE)),"INACTIVE",VLOOKUP(D3169,Data!$A$2:$C$223100,3,FALSE))</f>
        <v>Demand Letter</v>
      </c>
    </row>
    <row r="3170" spans="1:15" x14ac:dyDescent="0.25">
      <c r="A3170" t="s">
        <v>1198</v>
      </c>
      <c r="B3170" t="s">
        <v>1199</v>
      </c>
      <c r="C3170" t="s">
        <v>1216</v>
      </c>
      <c r="D3170" t="s">
        <v>1217</v>
      </c>
      <c r="E3170" t="s">
        <v>1218</v>
      </c>
      <c r="F3170" t="s">
        <v>1218</v>
      </c>
      <c r="G3170" t="s">
        <v>5</v>
      </c>
      <c r="H3170" t="s">
        <v>5</v>
      </c>
      <c r="I3170" t="s">
        <v>1203</v>
      </c>
      <c r="J3170" t="s">
        <v>47</v>
      </c>
      <c r="K3170" s="3">
        <f t="shared" si="98"/>
        <v>0</v>
      </c>
      <c r="L3170" s="3">
        <f>IF(ISERROR(VLOOKUP(J3170,Lookups!$A$2:$A$16,1,FALSE)),1,0)</f>
        <v>1</v>
      </c>
      <c r="M3170" s="3">
        <f>IF(ISERROR(VLOOKUP(D3170,Data!$A$2:$D$223100,2,FALSE)),0,1)</f>
        <v>1</v>
      </c>
      <c r="N3170" s="3">
        <f t="shared" si="99"/>
        <v>1</v>
      </c>
      <c r="O3170" s="3" t="str">
        <f>IF(ISERROR(VLOOKUP(D3170,Data!$A$2:$C$223100,3,FALSE)),"INACTIVE",VLOOKUP(D3170,Data!$A$2:$C$223100,3,FALSE))</f>
        <v>Demand Letter</v>
      </c>
    </row>
    <row r="3171" spans="1:15" x14ac:dyDescent="0.25">
      <c r="A3171" t="s">
        <v>1198</v>
      </c>
      <c r="B3171" t="s">
        <v>1199</v>
      </c>
      <c r="C3171" t="s">
        <v>1219</v>
      </c>
      <c r="D3171" t="s">
        <v>1220</v>
      </c>
      <c r="E3171" t="s">
        <v>1221</v>
      </c>
      <c r="F3171" t="s">
        <v>1221</v>
      </c>
      <c r="G3171" t="s">
        <v>5</v>
      </c>
      <c r="H3171" t="s">
        <v>5</v>
      </c>
      <c r="I3171" t="s">
        <v>1203</v>
      </c>
      <c r="J3171" t="s">
        <v>40</v>
      </c>
      <c r="K3171" s="3">
        <f t="shared" si="98"/>
        <v>0</v>
      </c>
      <c r="L3171" s="3">
        <f>IF(ISERROR(VLOOKUP(J3171,Lookups!$A$2:$A$16,1,FALSE)),1,0)</f>
        <v>1</v>
      </c>
      <c r="M3171" s="3">
        <f>IF(ISERROR(VLOOKUP(D3171,Data!$A$2:$D$223100,2,FALSE)),0,1)</f>
        <v>1</v>
      </c>
      <c r="N3171" s="3">
        <f t="shared" si="99"/>
        <v>1</v>
      </c>
      <c r="O3171" s="3" t="str">
        <f>IF(ISERROR(VLOOKUP(D3171,Data!$A$2:$C$223100,3,FALSE)),"INACTIVE",VLOOKUP(D3171,Data!$A$2:$C$223100,3,FALSE))</f>
        <v>Demand Letter</v>
      </c>
    </row>
    <row r="3172" spans="1:15" x14ac:dyDescent="0.25">
      <c r="A3172" t="s">
        <v>1198</v>
      </c>
      <c r="B3172" t="s">
        <v>1199</v>
      </c>
      <c r="C3172" t="s">
        <v>1222</v>
      </c>
      <c r="D3172" t="s">
        <v>1223</v>
      </c>
      <c r="E3172" t="s">
        <v>1224</v>
      </c>
      <c r="F3172" t="s">
        <v>1224</v>
      </c>
      <c r="G3172" t="s">
        <v>5</v>
      </c>
      <c r="H3172" t="s">
        <v>5</v>
      </c>
      <c r="I3172" t="s">
        <v>1203</v>
      </c>
      <c r="J3172" t="s">
        <v>40</v>
      </c>
      <c r="K3172" s="3">
        <f t="shared" si="98"/>
        <v>0</v>
      </c>
      <c r="L3172" s="3">
        <f>IF(ISERROR(VLOOKUP(J3172,Lookups!$A$2:$A$16,1,FALSE)),1,0)</f>
        <v>1</v>
      </c>
      <c r="M3172" s="3">
        <f>IF(ISERROR(VLOOKUP(D3172,Data!$A$2:$D$223100,2,FALSE)),0,1)</f>
        <v>1</v>
      </c>
      <c r="N3172" s="3">
        <f t="shared" si="99"/>
        <v>1</v>
      </c>
      <c r="O3172" s="3" t="str">
        <f>IF(ISERROR(VLOOKUP(D3172,Data!$A$2:$C$223100,3,FALSE)),"INACTIVE",VLOOKUP(D3172,Data!$A$2:$C$223100,3,FALSE))</f>
        <v>Current</v>
      </c>
    </row>
    <row r="3173" spans="1:15" x14ac:dyDescent="0.25">
      <c r="A3173" t="s">
        <v>1198</v>
      </c>
      <c r="B3173" t="s">
        <v>1199</v>
      </c>
      <c r="C3173" t="s">
        <v>1225</v>
      </c>
      <c r="D3173" t="s">
        <v>1226</v>
      </c>
      <c r="E3173" t="s">
        <v>1227</v>
      </c>
      <c r="F3173" t="s">
        <v>1227</v>
      </c>
      <c r="G3173" t="s">
        <v>5</v>
      </c>
      <c r="H3173" t="s">
        <v>5</v>
      </c>
      <c r="I3173" t="s">
        <v>1203</v>
      </c>
      <c r="J3173" t="s">
        <v>40</v>
      </c>
      <c r="K3173" s="3">
        <f t="shared" si="98"/>
        <v>0</v>
      </c>
      <c r="L3173" s="3">
        <f>IF(ISERROR(VLOOKUP(J3173,Lookups!$A$2:$A$16,1,FALSE)),1,0)</f>
        <v>1</v>
      </c>
      <c r="M3173" s="3">
        <f>IF(ISERROR(VLOOKUP(D3173,Data!$A$2:$D$223100,2,FALSE)),0,1)</f>
        <v>1</v>
      </c>
      <c r="N3173" s="3">
        <f t="shared" si="99"/>
        <v>1</v>
      </c>
      <c r="O3173" s="3" t="str">
        <f>IF(ISERROR(VLOOKUP(D3173,Data!$A$2:$C$223100,3,FALSE)),"INACTIVE",VLOOKUP(D3173,Data!$A$2:$C$223100,3,FALSE))</f>
        <v>Demand Letter</v>
      </c>
    </row>
    <row r="3174" spans="1:15" x14ac:dyDescent="0.25">
      <c r="A3174" t="s">
        <v>1198</v>
      </c>
      <c r="B3174" t="s">
        <v>1199</v>
      </c>
      <c r="C3174" t="s">
        <v>1228</v>
      </c>
      <c r="D3174" t="s">
        <v>1229</v>
      </c>
      <c r="E3174" t="s">
        <v>1230</v>
      </c>
      <c r="F3174" t="s">
        <v>1230</v>
      </c>
      <c r="G3174" t="s">
        <v>5</v>
      </c>
      <c r="H3174" t="s">
        <v>5</v>
      </c>
      <c r="I3174" t="s">
        <v>1203</v>
      </c>
      <c r="J3174" t="s">
        <v>40</v>
      </c>
      <c r="K3174" s="3">
        <f t="shared" si="98"/>
        <v>0</v>
      </c>
      <c r="L3174" s="3">
        <f>IF(ISERROR(VLOOKUP(J3174,Lookups!$A$2:$A$16,1,FALSE)),1,0)</f>
        <v>1</v>
      </c>
      <c r="M3174" s="3">
        <f>IF(ISERROR(VLOOKUP(D3174,Data!$A$2:$D$223100,2,FALSE)),0,1)</f>
        <v>1</v>
      </c>
      <c r="N3174" s="3">
        <f t="shared" si="99"/>
        <v>1</v>
      </c>
      <c r="O3174" s="3" t="str">
        <f>IF(ISERROR(VLOOKUP(D3174,Data!$A$2:$C$223100,3,FALSE)),"INACTIVE",VLOOKUP(D3174,Data!$A$2:$C$223100,3,FALSE))</f>
        <v>30+</v>
      </c>
    </row>
    <row r="3175" spans="1:15" x14ac:dyDescent="0.25">
      <c r="A3175" t="s">
        <v>1198</v>
      </c>
      <c r="B3175" t="s">
        <v>1199</v>
      </c>
      <c r="C3175" t="s">
        <v>1231</v>
      </c>
      <c r="D3175" t="s">
        <v>1232</v>
      </c>
      <c r="E3175" t="s">
        <v>1233</v>
      </c>
      <c r="F3175" t="s">
        <v>1233</v>
      </c>
      <c r="G3175" t="s">
        <v>5</v>
      </c>
      <c r="H3175" t="s">
        <v>5</v>
      </c>
      <c r="I3175" t="s">
        <v>1203</v>
      </c>
      <c r="J3175" t="s">
        <v>40</v>
      </c>
      <c r="K3175" s="3">
        <f t="shared" si="98"/>
        <v>0</v>
      </c>
      <c r="L3175" s="3">
        <f>IF(ISERROR(VLOOKUP(J3175,Lookups!$A$2:$A$16,1,FALSE)),1,0)</f>
        <v>1</v>
      </c>
      <c r="M3175" s="3">
        <f>IF(ISERROR(VLOOKUP(D3175,Data!$A$2:$D$223100,2,FALSE)),0,1)</f>
        <v>1</v>
      </c>
      <c r="N3175" s="3">
        <f t="shared" si="99"/>
        <v>1</v>
      </c>
      <c r="O3175" s="3" t="str">
        <f>IF(ISERROR(VLOOKUP(D3175,Data!$A$2:$C$223100,3,FALSE)),"INACTIVE",VLOOKUP(D3175,Data!$A$2:$C$223100,3,FALSE))</f>
        <v>120+</v>
      </c>
    </row>
    <row r="3176" spans="1:15" x14ac:dyDescent="0.25">
      <c r="A3176" t="s">
        <v>1198</v>
      </c>
      <c r="B3176" t="s">
        <v>1199</v>
      </c>
      <c r="C3176" t="s">
        <v>1234</v>
      </c>
      <c r="D3176" t="s">
        <v>1235</v>
      </c>
      <c r="E3176" t="s">
        <v>1236</v>
      </c>
      <c r="F3176" t="s">
        <v>1236</v>
      </c>
      <c r="G3176" t="s">
        <v>5</v>
      </c>
      <c r="H3176" t="s">
        <v>5</v>
      </c>
      <c r="I3176" t="s">
        <v>1203</v>
      </c>
      <c r="J3176" t="s">
        <v>47</v>
      </c>
      <c r="K3176" s="3">
        <f t="shared" si="98"/>
        <v>0</v>
      </c>
      <c r="L3176" s="3">
        <f>IF(ISERROR(VLOOKUP(J3176,Lookups!$A$2:$A$16,1,FALSE)),1,0)</f>
        <v>1</v>
      </c>
      <c r="M3176" s="3">
        <f>IF(ISERROR(VLOOKUP(D3176,Data!$A$2:$D$223100,2,FALSE)),0,1)</f>
        <v>1</v>
      </c>
      <c r="N3176" s="3">
        <f t="shared" si="99"/>
        <v>1</v>
      </c>
      <c r="O3176" s="3" t="str">
        <f>IF(ISERROR(VLOOKUP(D3176,Data!$A$2:$C$223100,3,FALSE)),"INACTIVE",VLOOKUP(D3176,Data!$A$2:$C$223100,3,FALSE))</f>
        <v>Demand Letter</v>
      </c>
    </row>
    <row r="3177" spans="1:15" x14ac:dyDescent="0.25">
      <c r="A3177" t="s">
        <v>1198</v>
      </c>
      <c r="B3177" t="s">
        <v>1199</v>
      </c>
      <c r="C3177" t="s">
        <v>1237</v>
      </c>
      <c r="D3177" t="s">
        <v>1238</v>
      </c>
      <c r="E3177" t="s">
        <v>1239</v>
      </c>
      <c r="F3177" t="s">
        <v>1239</v>
      </c>
      <c r="G3177" t="s">
        <v>5</v>
      </c>
      <c r="H3177" t="s">
        <v>5</v>
      </c>
      <c r="I3177" t="s">
        <v>1203</v>
      </c>
      <c r="J3177" t="s">
        <v>40</v>
      </c>
      <c r="K3177" s="3">
        <f t="shared" si="98"/>
        <v>0</v>
      </c>
      <c r="L3177" s="3">
        <f>IF(ISERROR(VLOOKUP(J3177,Lookups!$A$2:$A$16,1,FALSE)),1,0)</f>
        <v>1</v>
      </c>
      <c r="M3177" s="3">
        <f>IF(ISERROR(VLOOKUP(D3177,Data!$A$2:$D$223100,2,FALSE)),0,1)</f>
        <v>1</v>
      </c>
      <c r="N3177" s="3">
        <f t="shared" si="99"/>
        <v>1</v>
      </c>
      <c r="O3177" s="3" t="str">
        <f>IF(ISERROR(VLOOKUP(D3177,Data!$A$2:$C$223100,3,FALSE)),"INACTIVE",VLOOKUP(D3177,Data!$A$2:$C$223100,3,FALSE))</f>
        <v>Current</v>
      </c>
    </row>
    <row r="3178" spans="1:15" x14ac:dyDescent="0.25">
      <c r="A3178" t="s">
        <v>1198</v>
      </c>
      <c r="B3178" t="s">
        <v>1199</v>
      </c>
      <c r="C3178" t="s">
        <v>1240</v>
      </c>
      <c r="D3178" t="s">
        <v>1241</v>
      </c>
      <c r="E3178" t="s">
        <v>1242</v>
      </c>
      <c r="F3178" t="s">
        <v>1242</v>
      </c>
      <c r="G3178" t="s">
        <v>5</v>
      </c>
      <c r="H3178" t="s">
        <v>5</v>
      </c>
      <c r="I3178" t="s">
        <v>1203</v>
      </c>
      <c r="J3178" t="s">
        <v>40</v>
      </c>
      <c r="K3178" s="3">
        <f t="shared" si="98"/>
        <v>0</v>
      </c>
      <c r="L3178" s="3">
        <f>IF(ISERROR(VLOOKUP(J3178,Lookups!$A$2:$A$16,1,FALSE)),1,0)</f>
        <v>1</v>
      </c>
      <c r="M3178" s="3">
        <f>IF(ISERROR(VLOOKUP(D3178,Data!$A$2:$D$223100,2,FALSE)),0,1)</f>
        <v>1</v>
      </c>
      <c r="N3178" s="3">
        <f t="shared" si="99"/>
        <v>1</v>
      </c>
      <c r="O3178" s="3" t="str">
        <f>IF(ISERROR(VLOOKUP(D3178,Data!$A$2:$C$223100,3,FALSE)),"INACTIVE",VLOOKUP(D3178,Data!$A$2:$C$223100,3,FALSE))</f>
        <v>Demand Letter</v>
      </c>
    </row>
    <row r="3179" spans="1:15" x14ac:dyDescent="0.25">
      <c r="A3179" t="s">
        <v>1198</v>
      </c>
      <c r="B3179" t="s">
        <v>1199</v>
      </c>
      <c r="C3179" t="s">
        <v>1243</v>
      </c>
      <c r="D3179" t="s">
        <v>1241</v>
      </c>
      <c r="E3179" t="s">
        <v>1244</v>
      </c>
      <c r="F3179" t="s">
        <v>1244</v>
      </c>
      <c r="G3179" t="s">
        <v>5</v>
      </c>
      <c r="H3179" t="s">
        <v>5</v>
      </c>
      <c r="I3179" t="s">
        <v>1203</v>
      </c>
      <c r="J3179" t="s">
        <v>40</v>
      </c>
      <c r="K3179" s="3">
        <f t="shared" si="98"/>
        <v>0</v>
      </c>
      <c r="L3179" s="3">
        <f>IF(ISERROR(VLOOKUP(J3179,Lookups!$A$2:$A$16,1,FALSE)),1,0)</f>
        <v>1</v>
      </c>
      <c r="M3179" s="3">
        <f>IF(ISERROR(VLOOKUP(D3179,Data!$A$2:$D$223100,2,FALSE)),0,1)</f>
        <v>1</v>
      </c>
      <c r="N3179" s="3">
        <f t="shared" si="99"/>
        <v>1</v>
      </c>
      <c r="O3179" s="3" t="str">
        <f>IF(ISERROR(VLOOKUP(D3179,Data!$A$2:$C$223100,3,FALSE)),"INACTIVE",VLOOKUP(D3179,Data!$A$2:$C$223100,3,FALSE))</f>
        <v>Demand Letter</v>
      </c>
    </row>
    <row r="3180" spans="1:15" x14ac:dyDescent="0.25">
      <c r="A3180" t="s">
        <v>1198</v>
      </c>
      <c r="B3180" t="s">
        <v>1199</v>
      </c>
      <c r="C3180" t="s">
        <v>1245</v>
      </c>
      <c r="D3180" t="s">
        <v>1241</v>
      </c>
      <c r="E3180" t="s">
        <v>1246</v>
      </c>
      <c r="F3180" t="s">
        <v>1246</v>
      </c>
      <c r="G3180" t="s">
        <v>5</v>
      </c>
      <c r="H3180" t="s">
        <v>5</v>
      </c>
      <c r="I3180" t="s">
        <v>1203</v>
      </c>
      <c r="J3180" t="s">
        <v>40</v>
      </c>
      <c r="K3180" s="3">
        <f t="shared" si="98"/>
        <v>0</v>
      </c>
      <c r="L3180" s="3">
        <f>IF(ISERROR(VLOOKUP(J3180,Lookups!$A$2:$A$16,1,FALSE)),1,0)</f>
        <v>1</v>
      </c>
      <c r="M3180" s="3">
        <f>IF(ISERROR(VLOOKUP(D3180,Data!$A$2:$D$223100,2,FALSE)),0,1)</f>
        <v>1</v>
      </c>
      <c r="N3180" s="3">
        <f t="shared" si="99"/>
        <v>1</v>
      </c>
      <c r="O3180" s="3" t="str">
        <f>IF(ISERROR(VLOOKUP(D3180,Data!$A$2:$C$223100,3,FALSE)),"INACTIVE",VLOOKUP(D3180,Data!$A$2:$C$223100,3,FALSE))</f>
        <v>Demand Letter</v>
      </c>
    </row>
    <row r="3181" spans="1:15" x14ac:dyDescent="0.25">
      <c r="A3181" t="s">
        <v>1198</v>
      </c>
      <c r="B3181" t="s">
        <v>1199</v>
      </c>
      <c r="C3181" t="s">
        <v>1204</v>
      </c>
      <c r="D3181" t="s">
        <v>1205</v>
      </c>
      <c r="E3181" t="s">
        <v>1247</v>
      </c>
      <c r="F3181" t="s">
        <v>1247</v>
      </c>
      <c r="G3181" t="s">
        <v>5</v>
      </c>
      <c r="H3181" t="s">
        <v>5</v>
      </c>
      <c r="I3181" t="s">
        <v>1203</v>
      </c>
      <c r="J3181" t="s">
        <v>573</v>
      </c>
      <c r="K3181" s="3">
        <f t="shared" si="98"/>
        <v>0</v>
      </c>
      <c r="L3181" s="3">
        <f>IF(ISERROR(VLOOKUP(J3181,Lookups!$A$2:$A$16,1,FALSE)),1,0)</f>
        <v>1</v>
      </c>
      <c r="M3181" s="3">
        <f>IF(ISERROR(VLOOKUP(D3181,Data!$A$2:$D$223100,2,FALSE)),0,1)</f>
        <v>1</v>
      </c>
      <c r="N3181" s="3">
        <f t="shared" si="99"/>
        <v>1</v>
      </c>
      <c r="O3181" s="3" t="str">
        <f>IF(ISERROR(VLOOKUP(D3181,Data!$A$2:$C$223100,3,FALSE)),"INACTIVE",VLOOKUP(D3181,Data!$A$2:$C$223100,3,FALSE))</f>
        <v>Current</v>
      </c>
    </row>
    <row r="3182" spans="1:15" x14ac:dyDescent="0.25">
      <c r="A3182" t="s">
        <v>1106</v>
      </c>
      <c r="B3182" t="s">
        <v>1107</v>
      </c>
      <c r="C3182" t="s">
        <v>1108</v>
      </c>
      <c r="D3182" t="s">
        <v>1109</v>
      </c>
      <c r="E3182" t="s">
        <v>1110</v>
      </c>
      <c r="F3182" t="s">
        <v>5</v>
      </c>
      <c r="G3182" t="s">
        <v>5</v>
      </c>
      <c r="H3182" t="s">
        <v>5</v>
      </c>
      <c r="I3182" t="s">
        <v>1111</v>
      </c>
      <c r="J3182" t="s">
        <v>7</v>
      </c>
      <c r="K3182" s="3">
        <f t="shared" si="98"/>
        <v>0</v>
      </c>
      <c r="L3182" s="3">
        <f>IF(ISERROR(VLOOKUP(J3182,Lookups!$A$2:$A$16,1,FALSE)),1,0)</f>
        <v>1</v>
      </c>
      <c r="M3182" s="3">
        <f>IF(ISERROR(VLOOKUP(D3182,Data!$A$2:$D$223100,2,FALSE)),0,1)</f>
        <v>1</v>
      </c>
      <c r="N3182" s="3">
        <f t="shared" si="99"/>
        <v>1</v>
      </c>
      <c r="O3182" s="3" t="str">
        <f>IF(ISERROR(VLOOKUP(D3182,Data!$A$2:$C$223100,3,FALSE)),"INACTIVE",VLOOKUP(D3182,Data!$A$2:$C$223100,3,FALSE))</f>
        <v>Demand Letter</v>
      </c>
    </row>
    <row r="3183" spans="1:15" x14ac:dyDescent="0.25">
      <c r="A3183" t="s">
        <v>1106</v>
      </c>
      <c r="B3183" t="s">
        <v>1107</v>
      </c>
      <c r="C3183" t="s">
        <v>1112</v>
      </c>
      <c r="D3183" t="s">
        <v>1113</v>
      </c>
      <c r="E3183" t="s">
        <v>1114</v>
      </c>
      <c r="F3183" t="s">
        <v>5</v>
      </c>
      <c r="G3183" t="s">
        <v>5</v>
      </c>
      <c r="H3183" t="s">
        <v>5</v>
      </c>
      <c r="I3183" t="s">
        <v>1111</v>
      </c>
      <c r="J3183" t="s">
        <v>7</v>
      </c>
      <c r="K3183" s="3">
        <f t="shared" si="98"/>
        <v>0</v>
      </c>
      <c r="L3183" s="3">
        <f>IF(ISERROR(VLOOKUP(J3183,Lookups!$A$2:$A$16,1,FALSE)),1,0)</f>
        <v>1</v>
      </c>
      <c r="M3183" s="3">
        <f>IF(ISERROR(VLOOKUP(D3183,Data!$A$2:$D$223100,2,FALSE)),0,1)</f>
        <v>1</v>
      </c>
      <c r="N3183" s="3">
        <f t="shared" si="99"/>
        <v>1</v>
      </c>
      <c r="O3183" s="3" t="str">
        <f>IF(ISERROR(VLOOKUP(D3183,Data!$A$2:$C$223100,3,FALSE)),"INACTIVE",VLOOKUP(D3183,Data!$A$2:$C$223100,3,FALSE))</f>
        <v>90+</v>
      </c>
    </row>
    <row r="3184" spans="1:15" x14ac:dyDescent="0.25">
      <c r="A3184" t="s">
        <v>1106</v>
      </c>
      <c r="B3184" t="s">
        <v>1107</v>
      </c>
      <c r="C3184" t="s">
        <v>1115</v>
      </c>
      <c r="D3184" t="s">
        <v>1116</v>
      </c>
      <c r="E3184" t="s">
        <v>1117</v>
      </c>
      <c r="F3184" t="s">
        <v>5</v>
      </c>
      <c r="G3184" t="s">
        <v>5</v>
      </c>
      <c r="H3184" t="s">
        <v>5</v>
      </c>
      <c r="I3184" t="s">
        <v>1111</v>
      </c>
      <c r="J3184" t="s">
        <v>7</v>
      </c>
      <c r="K3184" s="3">
        <f t="shared" si="98"/>
        <v>0</v>
      </c>
      <c r="L3184" s="3">
        <f>IF(ISERROR(VLOOKUP(J3184,Lookups!$A$2:$A$16,1,FALSE)),1,0)</f>
        <v>1</v>
      </c>
      <c r="M3184" s="3">
        <f>IF(ISERROR(VLOOKUP(D3184,Data!$A$2:$D$223100,2,FALSE)),0,1)</f>
        <v>1</v>
      </c>
      <c r="N3184" s="3">
        <f t="shared" si="99"/>
        <v>1</v>
      </c>
      <c r="O3184" s="3" t="str">
        <f>IF(ISERROR(VLOOKUP(D3184,Data!$A$2:$C$223100,3,FALSE)),"INACTIVE",VLOOKUP(D3184,Data!$A$2:$C$223100,3,FALSE))</f>
        <v>FC</v>
      </c>
    </row>
    <row r="3185" spans="1:15" x14ac:dyDescent="0.25">
      <c r="A3185" t="s">
        <v>1106</v>
      </c>
      <c r="B3185" t="s">
        <v>1107</v>
      </c>
      <c r="C3185" t="s">
        <v>1118</v>
      </c>
      <c r="D3185" t="s">
        <v>1119</v>
      </c>
      <c r="E3185" t="s">
        <v>1120</v>
      </c>
      <c r="F3185" t="s">
        <v>5</v>
      </c>
      <c r="G3185" t="s">
        <v>5</v>
      </c>
      <c r="H3185" t="s">
        <v>5</v>
      </c>
      <c r="I3185" t="s">
        <v>1111</v>
      </c>
      <c r="J3185" t="s">
        <v>7</v>
      </c>
      <c r="K3185" s="3">
        <f t="shared" si="98"/>
        <v>0</v>
      </c>
      <c r="L3185" s="3">
        <f>IF(ISERROR(VLOOKUP(J3185,Lookups!$A$2:$A$16,1,FALSE)),1,0)</f>
        <v>1</v>
      </c>
      <c r="M3185" s="3">
        <f>IF(ISERROR(VLOOKUP(D3185,Data!$A$2:$D$223100,2,FALSE)),0,1)</f>
        <v>1</v>
      </c>
      <c r="N3185" s="3">
        <f t="shared" si="99"/>
        <v>1</v>
      </c>
      <c r="O3185" s="3" t="str">
        <f>IF(ISERROR(VLOOKUP(D3185,Data!$A$2:$C$223100,3,FALSE)),"INACTIVE",VLOOKUP(D3185,Data!$A$2:$C$223100,3,FALSE))</f>
        <v>Current</v>
      </c>
    </row>
    <row r="3186" spans="1:15" x14ac:dyDescent="0.25">
      <c r="A3186" t="s">
        <v>1106</v>
      </c>
      <c r="B3186" t="s">
        <v>1107</v>
      </c>
      <c r="C3186" t="s">
        <v>1121</v>
      </c>
      <c r="D3186" t="s">
        <v>1122</v>
      </c>
      <c r="E3186" t="s">
        <v>1123</v>
      </c>
      <c r="F3186" t="s">
        <v>5</v>
      </c>
      <c r="G3186" t="s">
        <v>5</v>
      </c>
      <c r="H3186" t="s">
        <v>5</v>
      </c>
      <c r="I3186" t="s">
        <v>1111</v>
      </c>
      <c r="J3186" t="s">
        <v>96</v>
      </c>
      <c r="K3186" s="3">
        <f t="shared" si="98"/>
        <v>0</v>
      </c>
      <c r="L3186" s="3">
        <f>IF(ISERROR(VLOOKUP(J3186,Lookups!$A$2:$A$16,1,FALSE)),1,0)</f>
        <v>0</v>
      </c>
      <c r="M3186" s="3">
        <f>IF(ISERROR(VLOOKUP(D3186,Data!$A$2:$D$223100,2,FALSE)),0,1)</f>
        <v>1</v>
      </c>
      <c r="N3186" s="3">
        <f t="shared" si="99"/>
        <v>0</v>
      </c>
      <c r="O3186" s="3" t="str">
        <f>IF(ISERROR(VLOOKUP(D3186,Data!$A$2:$C$223100,3,FALSE)),"INACTIVE",VLOOKUP(D3186,Data!$A$2:$C$223100,3,FALSE))</f>
        <v>FC</v>
      </c>
    </row>
    <row r="3187" spans="1:15" x14ac:dyDescent="0.25">
      <c r="A3187" t="s">
        <v>1106</v>
      </c>
      <c r="B3187" t="s">
        <v>1107</v>
      </c>
      <c r="C3187" t="s">
        <v>1121</v>
      </c>
      <c r="D3187" t="s">
        <v>1122</v>
      </c>
      <c r="E3187" t="s">
        <v>1124</v>
      </c>
      <c r="F3187" t="s">
        <v>5</v>
      </c>
      <c r="G3187" t="s">
        <v>5</v>
      </c>
      <c r="H3187" t="s">
        <v>5</v>
      </c>
      <c r="I3187" t="s">
        <v>1111</v>
      </c>
      <c r="J3187" t="s">
        <v>96</v>
      </c>
      <c r="K3187" s="3">
        <f t="shared" si="98"/>
        <v>0</v>
      </c>
      <c r="L3187" s="3">
        <f>IF(ISERROR(VLOOKUP(J3187,Lookups!$A$2:$A$16,1,FALSE)),1,0)</f>
        <v>0</v>
      </c>
      <c r="M3187" s="3">
        <f>IF(ISERROR(VLOOKUP(D3187,Data!$A$2:$D$223100,2,FALSE)),0,1)</f>
        <v>1</v>
      </c>
      <c r="N3187" s="3">
        <f t="shared" si="99"/>
        <v>0</v>
      </c>
      <c r="O3187" s="3" t="str">
        <f>IF(ISERROR(VLOOKUP(D3187,Data!$A$2:$C$223100,3,FALSE)),"INACTIVE",VLOOKUP(D3187,Data!$A$2:$C$223100,3,FALSE))</f>
        <v>FC</v>
      </c>
    </row>
    <row r="3188" spans="1:15" x14ac:dyDescent="0.25">
      <c r="A3188" t="s">
        <v>1106</v>
      </c>
      <c r="B3188" t="s">
        <v>1107</v>
      </c>
      <c r="C3188" t="s">
        <v>1121</v>
      </c>
      <c r="D3188" t="s">
        <v>1122</v>
      </c>
      <c r="E3188" t="s">
        <v>1125</v>
      </c>
      <c r="F3188" t="s">
        <v>5</v>
      </c>
      <c r="G3188" t="s">
        <v>5</v>
      </c>
      <c r="H3188" t="s">
        <v>5</v>
      </c>
      <c r="I3188" t="s">
        <v>1111</v>
      </c>
      <c r="J3188" t="s">
        <v>96</v>
      </c>
      <c r="K3188" s="3">
        <f t="shared" si="98"/>
        <v>0</v>
      </c>
      <c r="L3188" s="3">
        <f>IF(ISERROR(VLOOKUP(J3188,Lookups!$A$2:$A$16,1,FALSE)),1,0)</f>
        <v>0</v>
      </c>
      <c r="M3188" s="3">
        <f>IF(ISERROR(VLOOKUP(D3188,Data!$A$2:$D$223100,2,FALSE)),0,1)</f>
        <v>1</v>
      </c>
      <c r="N3188" s="3">
        <f t="shared" si="99"/>
        <v>0</v>
      </c>
      <c r="O3188" s="3" t="str">
        <f>IF(ISERROR(VLOOKUP(D3188,Data!$A$2:$C$223100,3,FALSE)),"INACTIVE",VLOOKUP(D3188,Data!$A$2:$C$223100,3,FALSE))</f>
        <v>FC</v>
      </c>
    </row>
    <row r="3189" spans="1:15" x14ac:dyDescent="0.25">
      <c r="A3189" t="s">
        <v>1272</v>
      </c>
      <c r="B3189" t="s">
        <v>1273</v>
      </c>
      <c r="C3189" t="s">
        <v>1311</v>
      </c>
      <c r="D3189" t="s">
        <v>1312</v>
      </c>
      <c r="E3189" t="s">
        <v>1344</v>
      </c>
      <c r="F3189" t="s">
        <v>5</v>
      </c>
      <c r="G3189" t="s">
        <v>5</v>
      </c>
      <c r="H3189" t="s">
        <v>5</v>
      </c>
      <c r="I3189" t="s">
        <v>1111</v>
      </c>
      <c r="J3189" t="s">
        <v>573</v>
      </c>
      <c r="K3189" s="3">
        <f t="shared" si="98"/>
        <v>0</v>
      </c>
      <c r="L3189" s="3">
        <f>IF(ISERROR(VLOOKUP(J3189,Lookups!$A$2:$A$16,1,FALSE)),1,0)</f>
        <v>1</v>
      </c>
      <c r="M3189" s="3">
        <f>IF(ISERROR(VLOOKUP(D3189,Data!$A$2:$D$223100,2,FALSE)),0,1)</f>
        <v>1</v>
      </c>
      <c r="N3189" s="3">
        <f t="shared" si="99"/>
        <v>1</v>
      </c>
      <c r="O3189" s="3" t="str">
        <f>IF(ISERROR(VLOOKUP(D3189,Data!$A$2:$C$223100,3,FALSE)),"INACTIVE",VLOOKUP(D3189,Data!$A$2:$C$223100,3,FALSE))</f>
        <v>FBA</v>
      </c>
    </row>
    <row r="3190" spans="1:15" x14ac:dyDescent="0.25">
      <c r="A3190" t="s">
        <v>1272</v>
      </c>
      <c r="B3190" t="s">
        <v>1273</v>
      </c>
      <c r="C3190" t="s">
        <v>1341</v>
      </c>
      <c r="D3190" t="s">
        <v>1342</v>
      </c>
      <c r="E3190" t="s">
        <v>1345</v>
      </c>
      <c r="F3190" t="s">
        <v>5</v>
      </c>
      <c r="G3190" t="s">
        <v>5</v>
      </c>
      <c r="H3190" t="s">
        <v>5</v>
      </c>
      <c r="I3190" t="s">
        <v>1111</v>
      </c>
      <c r="J3190" t="s">
        <v>573</v>
      </c>
      <c r="K3190" s="3">
        <f t="shared" si="98"/>
        <v>0</v>
      </c>
      <c r="L3190" s="3">
        <f>IF(ISERROR(VLOOKUP(J3190,Lookups!$A$2:$A$16,1,FALSE)),1,0)</f>
        <v>1</v>
      </c>
      <c r="M3190" s="3">
        <f>IF(ISERROR(VLOOKUP(D3190,Data!$A$2:$D$223100,2,FALSE)),0,1)</f>
        <v>1</v>
      </c>
      <c r="N3190" s="3">
        <f t="shared" si="99"/>
        <v>1</v>
      </c>
      <c r="O3190" s="3" t="str">
        <f>IF(ISERROR(VLOOKUP(D3190,Data!$A$2:$C$223100,3,FALSE)),"INACTIVE",VLOOKUP(D3190,Data!$A$2:$C$223100,3,FALSE))</f>
        <v>Demand Letter</v>
      </c>
    </row>
    <row r="3191" spans="1:15" x14ac:dyDescent="0.25">
      <c r="A3191" t="s">
        <v>1007</v>
      </c>
      <c r="B3191" t="s">
        <v>1008</v>
      </c>
      <c r="C3191" t="s">
        <v>1009</v>
      </c>
      <c r="D3191" t="s">
        <v>1010</v>
      </c>
      <c r="E3191" t="s">
        <v>5</v>
      </c>
      <c r="F3191" t="s">
        <v>5</v>
      </c>
      <c r="G3191" t="s">
        <v>1011</v>
      </c>
      <c r="H3191" t="s">
        <v>1012</v>
      </c>
      <c r="I3191" t="s">
        <v>1013</v>
      </c>
      <c r="J3191" t="s">
        <v>7</v>
      </c>
      <c r="K3191" s="3">
        <f t="shared" si="98"/>
        <v>0</v>
      </c>
      <c r="L3191" s="3">
        <f>IF(ISERROR(VLOOKUP(J3191,Lookups!$A$2:$A$16,1,FALSE)),1,0)</f>
        <v>1</v>
      </c>
      <c r="M3191" s="3">
        <f>IF(ISERROR(VLOOKUP(D3191,Data!$A$2:$D$223100,2,FALSE)),0,1)</f>
        <v>1</v>
      </c>
      <c r="N3191" s="3">
        <f t="shared" si="99"/>
        <v>1</v>
      </c>
      <c r="O3191" s="3" t="str">
        <f>IF(ISERROR(VLOOKUP(D3191,Data!$A$2:$C$223100,3,FALSE)),"INACTIVE",VLOOKUP(D3191,Data!$A$2:$C$223100,3,FALSE))</f>
        <v>Demand Letter</v>
      </c>
    </row>
    <row r="3192" spans="1:15" x14ac:dyDescent="0.25">
      <c r="A3192" t="s">
        <v>567</v>
      </c>
      <c r="B3192" t="s">
        <v>568</v>
      </c>
      <c r="C3192" t="s">
        <v>569</v>
      </c>
      <c r="D3192" t="s">
        <v>570</v>
      </c>
      <c r="E3192" t="s">
        <v>5</v>
      </c>
      <c r="F3192" t="s">
        <v>571</v>
      </c>
      <c r="G3192" t="s">
        <v>5</v>
      </c>
      <c r="H3192" t="s">
        <v>5</v>
      </c>
      <c r="I3192" t="s">
        <v>572</v>
      </c>
      <c r="J3192" t="s">
        <v>573</v>
      </c>
      <c r="K3192" s="3">
        <f t="shared" si="98"/>
        <v>0</v>
      </c>
      <c r="L3192" s="3">
        <f>IF(ISERROR(VLOOKUP(J3192,Lookups!$A$2:$A$16,1,FALSE)),1,0)</f>
        <v>1</v>
      </c>
      <c r="M3192" s="3">
        <f>IF(ISERROR(VLOOKUP(D3192,Data!$A$2:$D$223100,2,FALSE)),0,1)</f>
        <v>1</v>
      </c>
      <c r="N3192" s="3">
        <f t="shared" si="99"/>
        <v>1</v>
      </c>
      <c r="O3192" s="3" t="str">
        <f>IF(ISERROR(VLOOKUP(D3192,Data!$A$2:$C$223100,3,FALSE)),"INACTIVE",VLOOKUP(D3192,Data!$A$2:$C$223100,3,FALSE))</f>
        <v>Demand Letter</v>
      </c>
    </row>
    <row r="3193" spans="1:15" x14ac:dyDescent="0.25">
      <c r="A3193" t="s">
        <v>567</v>
      </c>
      <c r="B3193" t="s">
        <v>568</v>
      </c>
      <c r="C3193" t="s">
        <v>574</v>
      </c>
      <c r="D3193" t="s">
        <v>575</v>
      </c>
      <c r="E3193" t="s">
        <v>576</v>
      </c>
      <c r="F3193" t="s">
        <v>576</v>
      </c>
      <c r="G3193" t="s">
        <v>5</v>
      </c>
      <c r="H3193" t="s">
        <v>5</v>
      </c>
      <c r="I3193" t="s">
        <v>572</v>
      </c>
      <c r="J3193" t="s">
        <v>7</v>
      </c>
      <c r="K3193" s="3">
        <f t="shared" si="98"/>
        <v>0</v>
      </c>
      <c r="L3193" s="3">
        <f>IF(ISERROR(VLOOKUP(J3193,Lookups!$A$2:$A$16,1,FALSE)),1,0)</f>
        <v>1</v>
      </c>
      <c r="M3193" s="3">
        <f>IF(ISERROR(VLOOKUP(D3193,Data!$A$2:$D$223100,2,FALSE)),0,1)</f>
        <v>1</v>
      </c>
      <c r="N3193" s="3">
        <f t="shared" si="99"/>
        <v>1</v>
      </c>
      <c r="O3193" s="3" t="str">
        <f>IF(ISERROR(VLOOKUP(D3193,Data!$A$2:$C$223100,3,FALSE)),"INACTIVE",VLOOKUP(D3193,Data!$A$2:$C$223100,3,FALSE))</f>
        <v>60+</v>
      </c>
    </row>
    <row r="3194" spans="1:15" x14ac:dyDescent="0.25">
      <c r="A3194" t="s">
        <v>567</v>
      </c>
      <c r="B3194" t="s">
        <v>568</v>
      </c>
      <c r="C3194" t="s">
        <v>574</v>
      </c>
      <c r="D3194" t="s">
        <v>575</v>
      </c>
      <c r="E3194" t="s">
        <v>577</v>
      </c>
      <c r="F3194" t="s">
        <v>577</v>
      </c>
      <c r="G3194" t="s">
        <v>5</v>
      </c>
      <c r="H3194" t="s">
        <v>5</v>
      </c>
      <c r="I3194" t="s">
        <v>572</v>
      </c>
      <c r="J3194" t="s">
        <v>7</v>
      </c>
      <c r="K3194" s="3">
        <f t="shared" si="98"/>
        <v>0</v>
      </c>
      <c r="L3194" s="3">
        <f>IF(ISERROR(VLOOKUP(J3194,Lookups!$A$2:$A$16,1,FALSE)),1,0)</f>
        <v>1</v>
      </c>
      <c r="M3194" s="3">
        <f>IF(ISERROR(VLOOKUP(D3194,Data!$A$2:$D$223100,2,FALSE)),0,1)</f>
        <v>1</v>
      </c>
      <c r="N3194" s="3">
        <f t="shared" si="99"/>
        <v>1</v>
      </c>
      <c r="O3194" s="3" t="str">
        <f>IF(ISERROR(VLOOKUP(D3194,Data!$A$2:$C$223100,3,FALSE)),"INACTIVE",VLOOKUP(D3194,Data!$A$2:$C$223100,3,FALSE))</f>
        <v>60+</v>
      </c>
    </row>
    <row r="3195" spans="1:15" x14ac:dyDescent="0.25">
      <c r="A3195" t="s">
        <v>567</v>
      </c>
      <c r="B3195" t="s">
        <v>568</v>
      </c>
      <c r="C3195" t="s">
        <v>574</v>
      </c>
      <c r="D3195" t="s">
        <v>575</v>
      </c>
      <c r="E3195" t="s">
        <v>578</v>
      </c>
      <c r="F3195" t="s">
        <v>578</v>
      </c>
      <c r="G3195" t="s">
        <v>5</v>
      </c>
      <c r="H3195" t="s">
        <v>5</v>
      </c>
      <c r="I3195" t="s">
        <v>572</v>
      </c>
      <c r="J3195" t="s">
        <v>7</v>
      </c>
      <c r="K3195" s="3">
        <f t="shared" si="98"/>
        <v>0</v>
      </c>
      <c r="L3195" s="3">
        <f>IF(ISERROR(VLOOKUP(J3195,Lookups!$A$2:$A$16,1,FALSE)),1,0)</f>
        <v>1</v>
      </c>
      <c r="M3195" s="3">
        <f>IF(ISERROR(VLOOKUP(D3195,Data!$A$2:$D$223100,2,FALSE)),0,1)</f>
        <v>1</v>
      </c>
      <c r="N3195" s="3">
        <f t="shared" si="99"/>
        <v>1</v>
      </c>
      <c r="O3195" s="3" t="str">
        <f>IF(ISERROR(VLOOKUP(D3195,Data!$A$2:$C$223100,3,FALSE)),"INACTIVE",VLOOKUP(D3195,Data!$A$2:$C$223100,3,FALSE))</f>
        <v>60+</v>
      </c>
    </row>
    <row r="3196" spans="1:15" x14ac:dyDescent="0.25">
      <c r="A3196" t="s">
        <v>567</v>
      </c>
      <c r="B3196" t="s">
        <v>568</v>
      </c>
      <c r="C3196" t="s">
        <v>574</v>
      </c>
      <c r="D3196" t="s">
        <v>575</v>
      </c>
      <c r="E3196" t="s">
        <v>579</v>
      </c>
      <c r="F3196" t="s">
        <v>579</v>
      </c>
      <c r="G3196" t="s">
        <v>5</v>
      </c>
      <c r="H3196" t="s">
        <v>5</v>
      </c>
      <c r="I3196" t="s">
        <v>572</v>
      </c>
      <c r="J3196" t="s">
        <v>7</v>
      </c>
      <c r="K3196" s="3">
        <f t="shared" si="98"/>
        <v>0</v>
      </c>
      <c r="L3196" s="3">
        <f>IF(ISERROR(VLOOKUP(J3196,Lookups!$A$2:$A$16,1,FALSE)),1,0)</f>
        <v>1</v>
      </c>
      <c r="M3196" s="3">
        <f>IF(ISERROR(VLOOKUP(D3196,Data!$A$2:$D$223100,2,FALSE)),0,1)</f>
        <v>1</v>
      </c>
      <c r="N3196" s="3">
        <f t="shared" si="99"/>
        <v>1</v>
      </c>
      <c r="O3196" s="3" t="str">
        <f>IF(ISERROR(VLOOKUP(D3196,Data!$A$2:$C$223100,3,FALSE)),"INACTIVE",VLOOKUP(D3196,Data!$A$2:$C$223100,3,FALSE))</f>
        <v>60+</v>
      </c>
    </row>
    <row r="3197" spans="1:15" x14ac:dyDescent="0.25">
      <c r="A3197" t="s">
        <v>567</v>
      </c>
      <c r="B3197" t="s">
        <v>568</v>
      </c>
      <c r="C3197" t="s">
        <v>580</v>
      </c>
      <c r="D3197" t="s">
        <v>581</v>
      </c>
      <c r="E3197" t="s">
        <v>582</v>
      </c>
      <c r="F3197" t="s">
        <v>583</v>
      </c>
      <c r="G3197" t="s">
        <v>5</v>
      </c>
      <c r="H3197" t="s">
        <v>5</v>
      </c>
      <c r="I3197" t="s">
        <v>572</v>
      </c>
      <c r="J3197" t="s">
        <v>573</v>
      </c>
      <c r="K3197" s="3">
        <f t="shared" si="98"/>
        <v>0</v>
      </c>
      <c r="L3197" s="3">
        <f>IF(ISERROR(VLOOKUP(J3197,Lookups!$A$2:$A$16,1,FALSE)),1,0)</f>
        <v>1</v>
      </c>
      <c r="M3197" s="3">
        <f>IF(ISERROR(VLOOKUP(D3197,Data!$A$2:$D$223100,2,FALSE)),0,1)</f>
        <v>1</v>
      </c>
      <c r="N3197" s="3">
        <f t="shared" si="99"/>
        <v>1</v>
      </c>
      <c r="O3197" s="3" t="str">
        <f>IF(ISERROR(VLOOKUP(D3197,Data!$A$2:$C$223100,3,FALSE)),"INACTIVE",VLOOKUP(D3197,Data!$A$2:$C$223100,3,FALSE))</f>
        <v>180+</v>
      </c>
    </row>
    <row r="3198" spans="1:15" x14ac:dyDescent="0.25">
      <c r="A3198" t="s">
        <v>870</v>
      </c>
      <c r="B3198" t="s">
        <v>871</v>
      </c>
      <c r="C3198" t="s">
        <v>872</v>
      </c>
      <c r="D3198" t="s">
        <v>873</v>
      </c>
      <c r="E3198" t="s">
        <v>874</v>
      </c>
      <c r="F3198" t="s">
        <v>5</v>
      </c>
      <c r="G3198" t="s">
        <v>5</v>
      </c>
      <c r="H3198" t="s">
        <v>5</v>
      </c>
      <c r="I3198" t="s">
        <v>572</v>
      </c>
      <c r="J3198" t="s">
        <v>90</v>
      </c>
      <c r="K3198" s="3">
        <f t="shared" si="98"/>
        <v>0</v>
      </c>
      <c r="L3198" s="3">
        <f>IF(ISERROR(VLOOKUP(J3198,Lookups!$A$2:$A$16,1,FALSE)),1,0)</f>
        <v>0</v>
      </c>
      <c r="M3198" s="3">
        <f>IF(ISERROR(VLOOKUP(D3198,Data!$A$2:$D$223100,2,FALSE)),0,1)</f>
        <v>1</v>
      </c>
      <c r="N3198" s="3">
        <f t="shared" si="99"/>
        <v>0</v>
      </c>
      <c r="O3198" s="3" t="str">
        <f>IF(ISERROR(VLOOKUP(D3198,Data!$A$2:$C$223100,3,FALSE)),"INACTIVE",VLOOKUP(D3198,Data!$A$2:$C$223100,3,FALSE))</f>
        <v>FC</v>
      </c>
    </row>
    <row r="3199" spans="1:15" x14ac:dyDescent="0.25">
      <c r="A3199" t="s">
        <v>870</v>
      </c>
      <c r="B3199" t="s">
        <v>871</v>
      </c>
      <c r="C3199" t="s">
        <v>872</v>
      </c>
      <c r="D3199" t="s">
        <v>873</v>
      </c>
      <c r="E3199" t="s">
        <v>875</v>
      </c>
      <c r="F3199" t="s">
        <v>5</v>
      </c>
      <c r="G3199" t="s">
        <v>5</v>
      </c>
      <c r="H3199" t="s">
        <v>5</v>
      </c>
      <c r="I3199" t="s">
        <v>572</v>
      </c>
      <c r="J3199" t="s">
        <v>90</v>
      </c>
      <c r="K3199" s="3">
        <f t="shared" si="98"/>
        <v>0</v>
      </c>
      <c r="L3199" s="3">
        <f>IF(ISERROR(VLOOKUP(J3199,Lookups!$A$2:$A$16,1,FALSE)),1,0)</f>
        <v>0</v>
      </c>
      <c r="M3199" s="3">
        <f>IF(ISERROR(VLOOKUP(D3199,Data!$A$2:$D$223100,2,FALSE)),0,1)</f>
        <v>1</v>
      </c>
      <c r="N3199" s="3">
        <f t="shared" si="99"/>
        <v>0</v>
      </c>
      <c r="O3199" s="3" t="str">
        <f>IF(ISERROR(VLOOKUP(D3199,Data!$A$2:$C$223100,3,FALSE)),"INACTIVE",VLOOKUP(D3199,Data!$A$2:$C$223100,3,FALSE))</f>
        <v>FC</v>
      </c>
    </row>
    <row r="3200" spans="1:15" x14ac:dyDescent="0.25">
      <c r="A3200" t="s">
        <v>870</v>
      </c>
      <c r="B3200" t="s">
        <v>871</v>
      </c>
      <c r="C3200" t="s">
        <v>876</v>
      </c>
      <c r="D3200" t="s">
        <v>877</v>
      </c>
      <c r="E3200" t="s">
        <v>878</v>
      </c>
      <c r="F3200" t="s">
        <v>5</v>
      </c>
      <c r="G3200" t="s">
        <v>5</v>
      </c>
      <c r="H3200" t="s">
        <v>5</v>
      </c>
      <c r="I3200" t="s">
        <v>572</v>
      </c>
      <c r="J3200" t="s">
        <v>90</v>
      </c>
      <c r="K3200" s="3">
        <f t="shared" si="98"/>
        <v>0</v>
      </c>
      <c r="L3200" s="3">
        <f>IF(ISERROR(VLOOKUP(J3200,Lookups!$A$2:$A$16,1,FALSE)),1,0)</f>
        <v>0</v>
      </c>
      <c r="M3200" s="3">
        <f>IF(ISERROR(VLOOKUP(D3200,Data!$A$2:$D$223100,2,FALSE)),0,1)</f>
        <v>1</v>
      </c>
      <c r="N3200" s="3">
        <f t="shared" si="99"/>
        <v>0</v>
      </c>
      <c r="O3200" s="3" t="str">
        <f>IF(ISERROR(VLOOKUP(D3200,Data!$A$2:$C$223100,3,FALSE)),"INACTIVE",VLOOKUP(D3200,Data!$A$2:$C$223100,3,FALSE))</f>
        <v>BK13</v>
      </c>
    </row>
    <row r="3201" spans="1:15" x14ac:dyDescent="0.25">
      <c r="A3201" t="s">
        <v>870</v>
      </c>
      <c r="B3201" t="s">
        <v>871</v>
      </c>
      <c r="C3201" t="s">
        <v>876</v>
      </c>
      <c r="D3201" t="s">
        <v>877</v>
      </c>
      <c r="E3201" t="s">
        <v>879</v>
      </c>
      <c r="F3201" t="s">
        <v>5</v>
      </c>
      <c r="G3201" t="s">
        <v>5</v>
      </c>
      <c r="H3201" t="s">
        <v>5</v>
      </c>
      <c r="I3201" t="s">
        <v>572</v>
      </c>
      <c r="J3201" t="s">
        <v>90</v>
      </c>
      <c r="K3201" s="3">
        <f t="shared" si="98"/>
        <v>0</v>
      </c>
      <c r="L3201" s="3">
        <f>IF(ISERROR(VLOOKUP(J3201,Lookups!$A$2:$A$16,1,FALSE)),1,0)</f>
        <v>0</v>
      </c>
      <c r="M3201" s="3">
        <f>IF(ISERROR(VLOOKUP(D3201,Data!$A$2:$D$223100,2,FALSE)),0,1)</f>
        <v>1</v>
      </c>
      <c r="N3201" s="3">
        <f t="shared" si="99"/>
        <v>0</v>
      </c>
      <c r="O3201" s="3" t="str">
        <f>IF(ISERROR(VLOOKUP(D3201,Data!$A$2:$C$223100,3,FALSE)),"INACTIVE",VLOOKUP(D3201,Data!$A$2:$C$223100,3,FALSE))</f>
        <v>BK13</v>
      </c>
    </row>
    <row r="3202" spans="1:15" x14ac:dyDescent="0.25">
      <c r="A3202" t="s">
        <v>870</v>
      </c>
      <c r="B3202" t="s">
        <v>871</v>
      </c>
      <c r="C3202" t="s">
        <v>880</v>
      </c>
      <c r="D3202" t="s">
        <v>881</v>
      </c>
      <c r="E3202" t="s">
        <v>882</v>
      </c>
      <c r="F3202" t="s">
        <v>5</v>
      </c>
      <c r="G3202" t="s">
        <v>5</v>
      </c>
      <c r="H3202" t="s">
        <v>5</v>
      </c>
      <c r="I3202" t="s">
        <v>572</v>
      </c>
      <c r="J3202" t="s">
        <v>7</v>
      </c>
      <c r="K3202" s="3">
        <f t="shared" si="98"/>
        <v>0</v>
      </c>
      <c r="L3202" s="3">
        <f>IF(ISERROR(VLOOKUP(J3202,Lookups!$A$2:$A$16,1,FALSE)),1,0)</f>
        <v>1</v>
      </c>
      <c r="M3202" s="3">
        <f>IF(ISERROR(VLOOKUP(D3202,Data!$A$2:$D$223100,2,FALSE)),0,1)</f>
        <v>1</v>
      </c>
      <c r="N3202" s="3">
        <f t="shared" si="99"/>
        <v>1</v>
      </c>
      <c r="O3202" s="3" t="str">
        <f>IF(ISERROR(VLOOKUP(D3202,Data!$A$2:$C$223100,3,FALSE)),"INACTIVE",VLOOKUP(D3202,Data!$A$2:$C$223100,3,FALSE))</f>
        <v>180+</v>
      </c>
    </row>
    <row r="3203" spans="1:15" x14ac:dyDescent="0.25">
      <c r="A3203" t="s">
        <v>870</v>
      </c>
      <c r="B3203" t="s">
        <v>871</v>
      </c>
      <c r="C3203" t="s">
        <v>883</v>
      </c>
      <c r="D3203" t="s">
        <v>884</v>
      </c>
      <c r="E3203" t="s">
        <v>885</v>
      </c>
      <c r="F3203" t="s">
        <v>5</v>
      </c>
      <c r="G3203" t="s">
        <v>5</v>
      </c>
      <c r="H3203" t="s">
        <v>5</v>
      </c>
      <c r="I3203" t="s">
        <v>572</v>
      </c>
      <c r="J3203" t="s">
        <v>7</v>
      </c>
      <c r="K3203" s="3">
        <f t="shared" ref="K3203:K3266" si="100">IF(ISERROR(FIND("LIEN",A3203,1)),0,1)</f>
        <v>0</v>
      </c>
      <c r="L3203" s="3">
        <f>IF(ISERROR(VLOOKUP(J3203,Lookups!$A$2:$A$16,1,FALSE)),1,0)</f>
        <v>1</v>
      </c>
      <c r="M3203" s="3">
        <f>IF(ISERROR(VLOOKUP(D3203,Data!$A$2:$D$223100,2,FALSE)),0,1)</f>
        <v>1</v>
      </c>
      <c r="N3203" s="3">
        <f t="shared" ref="N3203:N3266" si="101">IF(M3203=0,0,IF(SUM(K3203:L3203)&gt;0,1,0))</f>
        <v>1</v>
      </c>
      <c r="O3203" s="3" t="str">
        <f>IF(ISERROR(VLOOKUP(D3203,Data!$A$2:$C$223100,3,FALSE)),"INACTIVE",VLOOKUP(D3203,Data!$A$2:$C$223100,3,FALSE))</f>
        <v>90+</v>
      </c>
    </row>
    <row r="3204" spans="1:15" x14ac:dyDescent="0.25">
      <c r="A3204" t="s">
        <v>870</v>
      </c>
      <c r="B3204" t="s">
        <v>871</v>
      </c>
      <c r="C3204" t="s">
        <v>886</v>
      </c>
      <c r="D3204" t="s">
        <v>887</v>
      </c>
      <c r="E3204" t="s">
        <v>888</v>
      </c>
      <c r="F3204" t="s">
        <v>5</v>
      </c>
      <c r="G3204" t="s">
        <v>5</v>
      </c>
      <c r="H3204" t="s">
        <v>5</v>
      </c>
      <c r="I3204" t="s">
        <v>572</v>
      </c>
      <c r="J3204" t="s">
        <v>7</v>
      </c>
      <c r="K3204" s="3">
        <f t="shared" si="100"/>
        <v>0</v>
      </c>
      <c r="L3204" s="3">
        <f>IF(ISERROR(VLOOKUP(J3204,Lookups!$A$2:$A$16,1,FALSE)),1,0)</f>
        <v>1</v>
      </c>
      <c r="M3204" s="3">
        <f>IF(ISERROR(VLOOKUP(D3204,Data!$A$2:$D$223100,2,FALSE)),0,1)</f>
        <v>1</v>
      </c>
      <c r="N3204" s="3">
        <f t="shared" si="101"/>
        <v>1</v>
      </c>
      <c r="O3204" s="3" t="str">
        <f>IF(ISERROR(VLOOKUP(D3204,Data!$A$2:$C$223100,3,FALSE)),"INACTIVE",VLOOKUP(D3204,Data!$A$2:$C$223100,3,FALSE))</f>
        <v>FBA</v>
      </c>
    </row>
    <row r="3205" spans="1:15" x14ac:dyDescent="0.25">
      <c r="A3205" t="s">
        <v>870</v>
      </c>
      <c r="B3205" t="s">
        <v>871</v>
      </c>
      <c r="C3205" t="s">
        <v>889</v>
      </c>
      <c r="D3205" t="s">
        <v>890</v>
      </c>
      <c r="E3205" t="s">
        <v>891</v>
      </c>
      <c r="F3205" t="s">
        <v>5</v>
      </c>
      <c r="G3205" t="s">
        <v>5</v>
      </c>
      <c r="H3205" t="s">
        <v>5</v>
      </c>
      <c r="I3205" t="s">
        <v>572</v>
      </c>
      <c r="J3205" t="s">
        <v>7</v>
      </c>
      <c r="K3205" s="3">
        <f t="shared" si="100"/>
        <v>0</v>
      </c>
      <c r="L3205" s="3">
        <f>IF(ISERROR(VLOOKUP(J3205,Lookups!$A$2:$A$16,1,FALSE)),1,0)</f>
        <v>1</v>
      </c>
      <c r="M3205" s="3">
        <f>IF(ISERROR(VLOOKUP(D3205,Data!$A$2:$D$223100,2,FALSE)),0,1)</f>
        <v>1</v>
      </c>
      <c r="N3205" s="3">
        <f t="shared" si="101"/>
        <v>1</v>
      </c>
      <c r="O3205" s="3" t="str">
        <f>IF(ISERROR(VLOOKUP(D3205,Data!$A$2:$C$223100,3,FALSE)),"INACTIVE",VLOOKUP(D3205,Data!$A$2:$C$223100,3,FALSE))</f>
        <v>Current</v>
      </c>
    </row>
    <row r="3206" spans="1:15" x14ac:dyDescent="0.25">
      <c r="A3206" t="s">
        <v>870</v>
      </c>
      <c r="B3206" t="s">
        <v>871</v>
      </c>
      <c r="C3206" t="s">
        <v>892</v>
      </c>
      <c r="D3206" t="s">
        <v>893</v>
      </c>
      <c r="E3206" t="s">
        <v>894</v>
      </c>
      <c r="F3206" t="s">
        <v>5</v>
      </c>
      <c r="G3206" t="s">
        <v>5</v>
      </c>
      <c r="H3206" t="s">
        <v>5</v>
      </c>
      <c r="I3206" t="s">
        <v>572</v>
      </c>
      <c r="J3206" t="s">
        <v>7</v>
      </c>
      <c r="K3206" s="3">
        <f t="shared" si="100"/>
        <v>0</v>
      </c>
      <c r="L3206" s="3">
        <f>IF(ISERROR(VLOOKUP(J3206,Lookups!$A$2:$A$16,1,FALSE)),1,0)</f>
        <v>1</v>
      </c>
      <c r="M3206" s="3">
        <f>IF(ISERROR(VLOOKUP(D3206,Data!$A$2:$D$223100,2,FALSE)),0,1)</f>
        <v>1</v>
      </c>
      <c r="N3206" s="3">
        <f t="shared" si="101"/>
        <v>1</v>
      </c>
      <c r="O3206" s="3" t="str">
        <f>IF(ISERROR(VLOOKUP(D3206,Data!$A$2:$C$223100,3,FALSE)),"INACTIVE",VLOOKUP(D3206,Data!$A$2:$C$223100,3,FALSE))</f>
        <v>Current</v>
      </c>
    </row>
    <row r="3207" spans="1:15" x14ac:dyDescent="0.25">
      <c r="A3207" t="s">
        <v>870</v>
      </c>
      <c r="B3207" t="s">
        <v>871</v>
      </c>
      <c r="C3207" t="s">
        <v>895</v>
      </c>
      <c r="D3207" t="s">
        <v>896</v>
      </c>
      <c r="E3207" t="s">
        <v>897</v>
      </c>
      <c r="F3207" t="s">
        <v>5</v>
      </c>
      <c r="G3207" t="s">
        <v>5</v>
      </c>
      <c r="H3207" t="s">
        <v>5</v>
      </c>
      <c r="I3207" t="s">
        <v>572</v>
      </c>
      <c r="J3207" t="s">
        <v>7</v>
      </c>
      <c r="K3207" s="3">
        <f t="shared" si="100"/>
        <v>0</v>
      </c>
      <c r="L3207" s="3">
        <f>IF(ISERROR(VLOOKUP(J3207,Lookups!$A$2:$A$16,1,FALSE)),1,0)</f>
        <v>1</v>
      </c>
      <c r="M3207" s="3">
        <f>IF(ISERROR(VLOOKUP(D3207,Data!$A$2:$D$223100,2,FALSE)),0,1)</f>
        <v>1</v>
      </c>
      <c r="N3207" s="3">
        <f t="shared" si="101"/>
        <v>1</v>
      </c>
      <c r="O3207" s="3" t="str">
        <f>IF(ISERROR(VLOOKUP(D3207,Data!$A$2:$C$223100,3,FALSE)),"INACTIVE",VLOOKUP(D3207,Data!$A$2:$C$223100,3,FALSE))</f>
        <v>FBA</v>
      </c>
    </row>
    <row r="3208" spans="1:15" x14ac:dyDescent="0.25">
      <c r="A3208" t="s">
        <v>870</v>
      </c>
      <c r="B3208" t="s">
        <v>871</v>
      </c>
      <c r="C3208" t="s">
        <v>898</v>
      </c>
      <c r="D3208" t="s">
        <v>899</v>
      </c>
      <c r="E3208" t="s">
        <v>900</v>
      </c>
      <c r="F3208" t="s">
        <v>5</v>
      </c>
      <c r="G3208" t="s">
        <v>5</v>
      </c>
      <c r="H3208" t="s">
        <v>5</v>
      </c>
      <c r="I3208" t="s">
        <v>572</v>
      </c>
      <c r="J3208" t="s">
        <v>7</v>
      </c>
      <c r="K3208" s="3">
        <f t="shared" si="100"/>
        <v>0</v>
      </c>
      <c r="L3208" s="3">
        <f>IF(ISERROR(VLOOKUP(J3208,Lookups!$A$2:$A$16,1,FALSE)),1,0)</f>
        <v>1</v>
      </c>
      <c r="M3208" s="3">
        <f>IF(ISERROR(VLOOKUP(D3208,Data!$A$2:$D$223100,2,FALSE)),0,1)</f>
        <v>1</v>
      </c>
      <c r="N3208" s="3">
        <f t="shared" si="101"/>
        <v>1</v>
      </c>
      <c r="O3208" s="3" t="str">
        <f>IF(ISERROR(VLOOKUP(D3208,Data!$A$2:$C$223100,3,FALSE)),"INACTIVE",VLOOKUP(D3208,Data!$A$2:$C$223100,3,FALSE))</f>
        <v>Demand Letter</v>
      </c>
    </row>
    <row r="3209" spans="1:15" x14ac:dyDescent="0.25">
      <c r="A3209" t="s">
        <v>870</v>
      </c>
      <c r="B3209" t="s">
        <v>871</v>
      </c>
      <c r="C3209" t="s">
        <v>901</v>
      </c>
      <c r="D3209" t="s">
        <v>902</v>
      </c>
      <c r="E3209" t="s">
        <v>903</v>
      </c>
      <c r="F3209" t="s">
        <v>5</v>
      </c>
      <c r="G3209" t="s">
        <v>5</v>
      </c>
      <c r="H3209" t="s">
        <v>5</v>
      </c>
      <c r="I3209" t="s">
        <v>572</v>
      </c>
      <c r="J3209" t="s">
        <v>7</v>
      </c>
      <c r="K3209" s="3">
        <f t="shared" si="100"/>
        <v>0</v>
      </c>
      <c r="L3209" s="3">
        <f>IF(ISERROR(VLOOKUP(J3209,Lookups!$A$2:$A$16,1,FALSE)),1,0)</f>
        <v>1</v>
      </c>
      <c r="M3209" s="3">
        <f>IF(ISERROR(VLOOKUP(D3209,Data!$A$2:$D$223100,2,FALSE)),0,1)</f>
        <v>1</v>
      </c>
      <c r="N3209" s="3">
        <f t="shared" si="101"/>
        <v>1</v>
      </c>
      <c r="O3209" s="3" t="str">
        <f>IF(ISERROR(VLOOKUP(D3209,Data!$A$2:$C$223100,3,FALSE)),"INACTIVE",VLOOKUP(D3209,Data!$A$2:$C$223100,3,FALSE))</f>
        <v>FC</v>
      </c>
    </row>
    <row r="3210" spans="1:15" x14ac:dyDescent="0.25">
      <c r="A3210" t="s">
        <v>870</v>
      </c>
      <c r="B3210" t="s">
        <v>871</v>
      </c>
      <c r="C3210" t="s">
        <v>904</v>
      </c>
      <c r="D3210" t="s">
        <v>905</v>
      </c>
      <c r="E3210" t="s">
        <v>906</v>
      </c>
      <c r="F3210" t="s">
        <v>5</v>
      </c>
      <c r="G3210" t="s">
        <v>5</v>
      </c>
      <c r="H3210" t="s">
        <v>5</v>
      </c>
      <c r="I3210" t="s">
        <v>572</v>
      </c>
      <c r="J3210" t="s">
        <v>90</v>
      </c>
      <c r="K3210" s="3">
        <f t="shared" si="100"/>
        <v>0</v>
      </c>
      <c r="L3210" s="3">
        <f>IF(ISERROR(VLOOKUP(J3210,Lookups!$A$2:$A$16,1,FALSE)),1,0)</f>
        <v>0</v>
      </c>
      <c r="M3210" s="3">
        <f>IF(ISERROR(VLOOKUP(D3210,Data!$A$2:$D$223100,2,FALSE)),0,1)</f>
        <v>1</v>
      </c>
      <c r="N3210" s="3">
        <f t="shared" si="101"/>
        <v>0</v>
      </c>
      <c r="O3210" s="3" t="str">
        <f>IF(ISERROR(VLOOKUP(D3210,Data!$A$2:$C$223100,3,FALSE)),"INACTIVE",VLOOKUP(D3210,Data!$A$2:$C$223100,3,FALSE))</f>
        <v>60+</v>
      </c>
    </row>
    <row r="3211" spans="1:15" x14ac:dyDescent="0.25">
      <c r="A3211" t="s">
        <v>870</v>
      </c>
      <c r="B3211" t="s">
        <v>871</v>
      </c>
      <c r="C3211" t="s">
        <v>904</v>
      </c>
      <c r="D3211" t="s">
        <v>905</v>
      </c>
      <c r="E3211" t="s">
        <v>907</v>
      </c>
      <c r="F3211" t="s">
        <v>5</v>
      </c>
      <c r="G3211" t="s">
        <v>5</v>
      </c>
      <c r="H3211" t="s">
        <v>5</v>
      </c>
      <c r="I3211" t="s">
        <v>572</v>
      </c>
      <c r="J3211" t="s">
        <v>90</v>
      </c>
      <c r="K3211" s="3">
        <f t="shared" si="100"/>
        <v>0</v>
      </c>
      <c r="L3211" s="3">
        <f>IF(ISERROR(VLOOKUP(J3211,Lookups!$A$2:$A$16,1,FALSE)),1,0)</f>
        <v>0</v>
      </c>
      <c r="M3211" s="3">
        <f>IF(ISERROR(VLOOKUP(D3211,Data!$A$2:$D$223100,2,FALSE)),0,1)</f>
        <v>1</v>
      </c>
      <c r="N3211" s="3">
        <f t="shared" si="101"/>
        <v>0</v>
      </c>
      <c r="O3211" s="3" t="str">
        <f>IF(ISERROR(VLOOKUP(D3211,Data!$A$2:$C$223100,3,FALSE)),"INACTIVE",VLOOKUP(D3211,Data!$A$2:$C$223100,3,FALSE))</f>
        <v>60+</v>
      </c>
    </row>
    <row r="3212" spans="1:15" x14ac:dyDescent="0.25">
      <c r="A3212" t="s">
        <v>870</v>
      </c>
      <c r="B3212" t="s">
        <v>871</v>
      </c>
      <c r="C3212" t="s">
        <v>908</v>
      </c>
      <c r="D3212" t="s">
        <v>909</v>
      </c>
      <c r="E3212" t="s">
        <v>910</v>
      </c>
      <c r="F3212" t="s">
        <v>5</v>
      </c>
      <c r="G3212" t="s">
        <v>5</v>
      </c>
      <c r="H3212" t="s">
        <v>5</v>
      </c>
      <c r="I3212" t="s">
        <v>572</v>
      </c>
      <c r="J3212" t="s">
        <v>7</v>
      </c>
      <c r="K3212" s="3">
        <f t="shared" si="100"/>
        <v>0</v>
      </c>
      <c r="L3212" s="3">
        <f>IF(ISERROR(VLOOKUP(J3212,Lookups!$A$2:$A$16,1,FALSE)),1,0)</f>
        <v>1</v>
      </c>
      <c r="M3212" s="3">
        <f>IF(ISERROR(VLOOKUP(D3212,Data!$A$2:$D$223100,2,FALSE)),0,1)</f>
        <v>1</v>
      </c>
      <c r="N3212" s="3">
        <f t="shared" si="101"/>
        <v>1</v>
      </c>
      <c r="O3212" s="3" t="str">
        <f>IF(ISERROR(VLOOKUP(D3212,Data!$A$2:$C$223100,3,FALSE)),"INACTIVE",VLOOKUP(D3212,Data!$A$2:$C$223100,3,FALSE))</f>
        <v>90+</v>
      </c>
    </row>
    <row r="3213" spans="1:15" x14ac:dyDescent="0.25">
      <c r="A3213" t="s">
        <v>870</v>
      </c>
      <c r="B3213" t="s">
        <v>871</v>
      </c>
      <c r="C3213" t="s">
        <v>911</v>
      </c>
      <c r="D3213" t="s">
        <v>912</v>
      </c>
      <c r="E3213" t="s">
        <v>913</v>
      </c>
      <c r="F3213" t="s">
        <v>5</v>
      </c>
      <c r="G3213" t="s">
        <v>5</v>
      </c>
      <c r="H3213" t="s">
        <v>5</v>
      </c>
      <c r="I3213" t="s">
        <v>572</v>
      </c>
      <c r="J3213" t="s">
        <v>7</v>
      </c>
      <c r="K3213" s="3">
        <f t="shared" si="100"/>
        <v>0</v>
      </c>
      <c r="L3213" s="3">
        <f>IF(ISERROR(VLOOKUP(J3213,Lookups!$A$2:$A$16,1,FALSE)),1,0)</f>
        <v>1</v>
      </c>
      <c r="M3213" s="3">
        <f>IF(ISERROR(VLOOKUP(D3213,Data!$A$2:$D$223100,2,FALSE)),0,1)</f>
        <v>1</v>
      </c>
      <c r="N3213" s="3">
        <f t="shared" si="101"/>
        <v>1</v>
      </c>
      <c r="O3213" s="3" t="str">
        <f>IF(ISERROR(VLOOKUP(D3213,Data!$A$2:$C$223100,3,FALSE)),"INACTIVE",VLOOKUP(D3213,Data!$A$2:$C$223100,3,FALSE))</f>
        <v>Current</v>
      </c>
    </row>
    <row r="3214" spans="1:15" x14ac:dyDescent="0.25">
      <c r="A3214" t="s">
        <v>870</v>
      </c>
      <c r="B3214" t="s">
        <v>871</v>
      </c>
      <c r="C3214" t="s">
        <v>914</v>
      </c>
      <c r="D3214" t="s">
        <v>915</v>
      </c>
      <c r="E3214" t="s">
        <v>916</v>
      </c>
      <c r="F3214" t="s">
        <v>5</v>
      </c>
      <c r="G3214" t="s">
        <v>5</v>
      </c>
      <c r="H3214" t="s">
        <v>5</v>
      </c>
      <c r="I3214" t="s">
        <v>572</v>
      </c>
      <c r="J3214" t="s">
        <v>7</v>
      </c>
      <c r="K3214" s="3">
        <f t="shared" si="100"/>
        <v>0</v>
      </c>
      <c r="L3214" s="3">
        <f>IF(ISERROR(VLOOKUP(J3214,Lookups!$A$2:$A$16,1,FALSE)),1,0)</f>
        <v>1</v>
      </c>
      <c r="M3214" s="3">
        <f>IF(ISERROR(VLOOKUP(D3214,Data!$A$2:$D$223100,2,FALSE)),0,1)</f>
        <v>1</v>
      </c>
      <c r="N3214" s="3">
        <f t="shared" si="101"/>
        <v>1</v>
      </c>
      <c r="O3214" s="3" t="str">
        <f>IF(ISERROR(VLOOKUP(D3214,Data!$A$2:$C$223100,3,FALSE)),"INACTIVE",VLOOKUP(D3214,Data!$A$2:$C$223100,3,FALSE))</f>
        <v>180+</v>
      </c>
    </row>
    <row r="3215" spans="1:15" x14ac:dyDescent="0.25">
      <c r="A3215" t="s">
        <v>870</v>
      </c>
      <c r="B3215" t="s">
        <v>871</v>
      </c>
      <c r="C3215" t="s">
        <v>917</v>
      </c>
      <c r="D3215" t="s">
        <v>918</v>
      </c>
      <c r="E3215" t="s">
        <v>919</v>
      </c>
      <c r="F3215" t="s">
        <v>5</v>
      </c>
      <c r="G3215" t="s">
        <v>5</v>
      </c>
      <c r="H3215" t="s">
        <v>5</v>
      </c>
      <c r="I3215" t="s">
        <v>572</v>
      </c>
      <c r="J3215" t="s">
        <v>7</v>
      </c>
      <c r="K3215" s="3">
        <f t="shared" si="100"/>
        <v>0</v>
      </c>
      <c r="L3215" s="3">
        <f>IF(ISERROR(VLOOKUP(J3215,Lookups!$A$2:$A$16,1,FALSE)),1,0)</f>
        <v>1</v>
      </c>
      <c r="M3215" s="3">
        <f>IF(ISERROR(VLOOKUP(D3215,Data!$A$2:$D$223100,2,FALSE)),0,1)</f>
        <v>1</v>
      </c>
      <c r="N3215" s="3">
        <f t="shared" si="101"/>
        <v>1</v>
      </c>
      <c r="O3215" s="3" t="str">
        <f>IF(ISERROR(VLOOKUP(D3215,Data!$A$2:$C$223100,3,FALSE)),"INACTIVE",VLOOKUP(D3215,Data!$A$2:$C$223100,3,FALSE))</f>
        <v>Demand Letter</v>
      </c>
    </row>
    <row r="3216" spans="1:15" x14ac:dyDescent="0.25">
      <c r="A3216" t="s">
        <v>870</v>
      </c>
      <c r="B3216" t="s">
        <v>871</v>
      </c>
      <c r="C3216" t="s">
        <v>920</v>
      </c>
      <c r="D3216" t="s">
        <v>921</v>
      </c>
      <c r="E3216" t="s">
        <v>922</v>
      </c>
      <c r="F3216" t="s">
        <v>5</v>
      </c>
      <c r="G3216" t="s">
        <v>5</v>
      </c>
      <c r="H3216" t="s">
        <v>5</v>
      </c>
      <c r="I3216" t="s">
        <v>572</v>
      </c>
      <c r="J3216" t="s">
        <v>7</v>
      </c>
      <c r="K3216" s="3">
        <f t="shared" si="100"/>
        <v>0</v>
      </c>
      <c r="L3216" s="3">
        <f>IF(ISERROR(VLOOKUP(J3216,Lookups!$A$2:$A$16,1,FALSE)),1,0)</f>
        <v>1</v>
      </c>
      <c r="M3216" s="3">
        <f>IF(ISERROR(VLOOKUP(D3216,Data!$A$2:$D$223100,2,FALSE)),0,1)</f>
        <v>1</v>
      </c>
      <c r="N3216" s="3">
        <f t="shared" si="101"/>
        <v>1</v>
      </c>
      <c r="O3216" s="3" t="str">
        <f>IF(ISERROR(VLOOKUP(D3216,Data!$A$2:$C$223100,3,FALSE)),"INACTIVE",VLOOKUP(D3216,Data!$A$2:$C$223100,3,FALSE))</f>
        <v>30+</v>
      </c>
    </row>
    <row r="3217" spans="1:15" x14ac:dyDescent="0.25">
      <c r="A3217" t="s">
        <v>870</v>
      </c>
      <c r="B3217" t="s">
        <v>871</v>
      </c>
      <c r="C3217" t="s">
        <v>923</v>
      </c>
      <c r="D3217" t="s">
        <v>924</v>
      </c>
      <c r="E3217" t="s">
        <v>925</v>
      </c>
      <c r="F3217" t="s">
        <v>5</v>
      </c>
      <c r="G3217" t="s">
        <v>5</v>
      </c>
      <c r="H3217" t="s">
        <v>5</v>
      </c>
      <c r="I3217" t="s">
        <v>572</v>
      </c>
      <c r="J3217" t="s">
        <v>7</v>
      </c>
      <c r="K3217" s="3">
        <f t="shared" si="100"/>
        <v>0</v>
      </c>
      <c r="L3217" s="3">
        <f>IF(ISERROR(VLOOKUP(J3217,Lookups!$A$2:$A$16,1,FALSE)),1,0)</f>
        <v>1</v>
      </c>
      <c r="M3217" s="3">
        <f>IF(ISERROR(VLOOKUP(D3217,Data!$A$2:$D$223100,2,FALSE)),0,1)</f>
        <v>1</v>
      </c>
      <c r="N3217" s="3">
        <f t="shared" si="101"/>
        <v>1</v>
      </c>
      <c r="O3217" s="3" t="str">
        <f>IF(ISERROR(VLOOKUP(D3217,Data!$A$2:$C$223100,3,FALSE)),"INACTIVE",VLOOKUP(D3217,Data!$A$2:$C$223100,3,FALSE))</f>
        <v>180+</v>
      </c>
    </row>
    <row r="3218" spans="1:15" x14ac:dyDescent="0.25">
      <c r="A3218" t="s">
        <v>870</v>
      </c>
      <c r="B3218" t="s">
        <v>871</v>
      </c>
      <c r="C3218" t="s">
        <v>926</v>
      </c>
      <c r="D3218" t="s">
        <v>927</v>
      </c>
      <c r="E3218" t="s">
        <v>928</v>
      </c>
      <c r="F3218" t="s">
        <v>5</v>
      </c>
      <c r="G3218" t="s">
        <v>5</v>
      </c>
      <c r="H3218" t="s">
        <v>5</v>
      </c>
      <c r="I3218" t="s">
        <v>572</v>
      </c>
      <c r="J3218" t="s">
        <v>7</v>
      </c>
      <c r="K3218" s="3">
        <f t="shared" si="100"/>
        <v>0</v>
      </c>
      <c r="L3218" s="3">
        <f>IF(ISERROR(VLOOKUP(J3218,Lookups!$A$2:$A$16,1,FALSE)),1,0)</f>
        <v>1</v>
      </c>
      <c r="M3218" s="3">
        <f>IF(ISERROR(VLOOKUP(D3218,Data!$A$2:$D$223100,2,FALSE)),0,1)</f>
        <v>1</v>
      </c>
      <c r="N3218" s="3">
        <f t="shared" si="101"/>
        <v>1</v>
      </c>
      <c r="O3218" s="3" t="str">
        <f>IF(ISERROR(VLOOKUP(D3218,Data!$A$2:$C$223100,3,FALSE)),"INACTIVE",VLOOKUP(D3218,Data!$A$2:$C$223100,3,FALSE))</f>
        <v>FBA</v>
      </c>
    </row>
    <row r="3219" spans="1:15" x14ac:dyDescent="0.25">
      <c r="A3219" t="s">
        <v>870</v>
      </c>
      <c r="B3219" t="s">
        <v>871</v>
      </c>
      <c r="C3219" t="s">
        <v>929</v>
      </c>
      <c r="D3219" t="s">
        <v>930</v>
      </c>
      <c r="E3219" t="s">
        <v>931</v>
      </c>
      <c r="F3219" t="s">
        <v>5</v>
      </c>
      <c r="G3219" t="s">
        <v>5</v>
      </c>
      <c r="H3219" t="s">
        <v>5</v>
      </c>
      <c r="I3219" t="s">
        <v>572</v>
      </c>
      <c r="J3219" t="s">
        <v>7</v>
      </c>
      <c r="K3219" s="3">
        <f t="shared" si="100"/>
        <v>0</v>
      </c>
      <c r="L3219" s="3">
        <f>IF(ISERROR(VLOOKUP(J3219,Lookups!$A$2:$A$16,1,FALSE)),1,0)</f>
        <v>1</v>
      </c>
      <c r="M3219" s="3">
        <f>IF(ISERROR(VLOOKUP(D3219,Data!$A$2:$D$223100,2,FALSE)),0,1)</f>
        <v>1</v>
      </c>
      <c r="N3219" s="3">
        <f t="shared" si="101"/>
        <v>1</v>
      </c>
      <c r="O3219" s="3" t="str">
        <f>IF(ISERROR(VLOOKUP(D3219,Data!$A$2:$C$223100,3,FALSE)),"INACTIVE",VLOOKUP(D3219,Data!$A$2:$C$223100,3,FALSE))</f>
        <v>60+</v>
      </c>
    </row>
    <row r="3220" spans="1:15" x14ac:dyDescent="0.25">
      <c r="A3220" t="s">
        <v>870</v>
      </c>
      <c r="B3220" t="s">
        <v>871</v>
      </c>
      <c r="C3220" t="s">
        <v>932</v>
      </c>
      <c r="D3220" t="s">
        <v>933</v>
      </c>
      <c r="E3220" t="s">
        <v>934</v>
      </c>
      <c r="F3220" t="s">
        <v>5</v>
      </c>
      <c r="G3220" t="s">
        <v>5</v>
      </c>
      <c r="H3220" t="s">
        <v>5</v>
      </c>
      <c r="I3220" t="s">
        <v>572</v>
      </c>
      <c r="J3220" t="s">
        <v>7</v>
      </c>
      <c r="K3220" s="3">
        <f t="shared" si="100"/>
        <v>0</v>
      </c>
      <c r="L3220" s="3">
        <f>IF(ISERROR(VLOOKUP(J3220,Lookups!$A$2:$A$16,1,FALSE)),1,0)</f>
        <v>1</v>
      </c>
      <c r="M3220" s="3">
        <f>IF(ISERROR(VLOOKUP(D3220,Data!$A$2:$D$223100,2,FALSE)),0,1)</f>
        <v>1</v>
      </c>
      <c r="N3220" s="3">
        <f t="shared" si="101"/>
        <v>1</v>
      </c>
      <c r="O3220" s="3" t="str">
        <f>IF(ISERROR(VLOOKUP(D3220,Data!$A$2:$C$223100,3,FALSE)),"INACTIVE",VLOOKUP(D3220,Data!$A$2:$C$223100,3,FALSE))</f>
        <v>90+</v>
      </c>
    </row>
    <row r="3221" spans="1:15" x14ac:dyDescent="0.25">
      <c r="A3221" t="s">
        <v>870</v>
      </c>
      <c r="B3221" t="s">
        <v>871</v>
      </c>
      <c r="C3221" t="s">
        <v>935</v>
      </c>
      <c r="D3221" t="s">
        <v>936</v>
      </c>
      <c r="E3221" t="s">
        <v>937</v>
      </c>
      <c r="F3221" t="s">
        <v>5</v>
      </c>
      <c r="G3221" t="s">
        <v>5</v>
      </c>
      <c r="H3221" t="s">
        <v>5</v>
      </c>
      <c r="I3221" t="s">
        <v>572</v>
      </c>
      <c r="J3221" t="s">
        <v>7</v>
      </c>
      <c r="K3221" s="3">
        <f t="shared" si="100"/>
        <v>0</v>
      </c>
      <c r="L3221" s="3">
        <f>IF(ISERROR(VLOOKUP(J3221,Lookups!$A$2:$A$16,1,FALSE)),1,0)</f>
        <v>1</v>
      </c>
      <c r="M3221" s="3">
        <f>IF(ISERROR(VLOOKUP(D3221,Data!$A$2:$D$223100,2,FALSE)),0,1)</f>
        <v>1</v>
      </c>
      <c r="N3221" s="3">
        <f t="shared" si="101"/>
        <v>1</v>
      </c>
      <c r="O3221" s="3" t="str">
        <f>IF(ISERROR(VLOOKUP(D3221,Data!$A$2:$C$223100,3,FALSE)),"INACTIVE",VLOOKUP(D3221,Data!$A$2:$C$223100,3,FALSE))</f>
        <v>30+</v>
      </c>
    </row>
    <row r="3222" spans="1:15" x14ac:dyDescent="0.25">
      <c r="A3222" t="s">
        <v>870</v>
      </c>
      <c r="B3222" t="s">
        <v>871</v>
      </c>
      <c r="C3222" t="s">
        <v>938</v>
      </c>
      <c r="D3222" t="s">
        <v>939</v>
      </c>
      <c r="E3222" t="s">
        <v>940</v>
      </c>
      <c r="F3222" t="s">
        <v>5</v>
      </c>
      <c r="G3222" t="s">
        <v>5</v>
      </c>
      <c r="H3222" t="s">
        <v>5</v>
      </c>
      <c r="I3222" t="s">
        <v>572</v>
      </c>
      <c r="J3222" t="s">
        <v>7</v>
      </c>
      <c r="K3222" s="3">
        <f t="shared" si="100"/>
        <v>0</v>
      </c>
      <c r="L3222" s="3">
        <f>IF(ISERROR(VLOOKUP(J3222,Lookups!$A$2:$A$16,1,FALSE)),1,0)</f>
        <v>1</v>
      </c>
      <c r="M3222" s="3">
        <f>IF(ISERROR(VLOOKUP(D3222,Data!$A$2:$D$223100,2,FALSE)),0,1)</f>
        <v>1</v>
      </c>
      <c r="N3222" s="3">
        <f t="shared" si="101"/>
        <v>1</v>
      </c>
      <c r="O3222" s="3" t="str">
        <f>IF(ISERROR(VLOOKUP(D3222,Data!$A$2:$C$223100,3,FALSE)),"INACTIVE",VLOOKUP(D3222,Data!$A$2:$C$223100,3,FALSE))</f>
        <v>Demand Letter</v>
      </c>
    </row>
    <row r="3223" spans="1:15" x14ac:dyDescent="0.25">
      <c r="A3223" t="s">
        <v>870</v>
      </c>
      <c r="B3223" t="s">
        <v>871</v>
      </c>
      <c r="C3223" t="s">
        <v>941</v>
      </c>
      <c r="D3223" t="s">
        <v>942</v>
      </c>
      <c r="E3223" t="s">
        <v>943</v>
      </c>
      <c r="F3223" t="s">
        <v>5</v>
      </c>
      <c r="G3223" t="s">
        <v>5</v>
      </c>
      <c r="H3223" t="s">
        <v>5</v>
      </c>
      <c r="I3223" t="s">
        <v>572</v>
      </c>
      <c r="J3223" t="s">
        <v>7</v>
      </c>
      <c r="K3223" s="3">
        <f t="shared" si="100"/>
        <v>0</v>
      </c>
      <c r="L3223" s="3">
        <f>IF(ISERROR(VLOOKUP(J3223,Lookups!$A$2:$A$16,1,FALSE)),1,0)</f>
        <v>1</v>
      </c>
      <c r="M3223" s="3">
        <f>IF(ISERROR(VLOOKUP(D3223,Data!$A$2:$D$223100,2,FALSE)),0,1)</f>
        <v>1</v>
      </c>
      <c r="N3223" s="3">
        <f t="shared" si="101"/>
        <v>1</v>
      </c>
      <c r="O3223" s="3" t="str">
        <f>IF(ISERROR(VLOOKUP(D3223,Data!$A$2:$C$223100,3,FALSE)),"INACTIVE",VLOOKUP(D3223,Data!$A$2:$C$223100,3,FALSE))</f>
        <v>120+</v>
      </c>
    </row>
    <row r="3224" spans="1:15" x14ac:dyDescent="0.25">
      <c r="A3224" t="s">
        <v>870</v>
      </c>
      <c r="B3224" t="s">
        <v>871</v>
      </c>
      <c r="C3224" t="s">
        <v>944</v>
      </c>
      <c r="D3224" t="s">
        <v>945</v>
      </c>
      <c r="E3224" t="s">
        <v>946</v>
      </c>
      <c r="F3224" t="s">
        <v>5</v>
      </c>
      <c r="G3224" t="s">
        <v>5</v>
      </c>
      <c r="H3224" t="s">
        <v>5</v>
      </c>
      <c r="I3224" t="s">
        <v>572</v>
      </c>
      <c r="J3224" t="s">
        <v>7</v>
      </c>
      <c r="K3224" s="3">
        <f t="shared" si="100"/>
        <v>0</v>
      </c>
      <c r="L3224" s="3">
        <f>IF(ISERROR(VLOOKUP(J3224,Lookups!$A$2:$A$16,1,FALSE)),1,0)</f>
        <v>1</v>
      </c>
      <c r="M3224" s="3">
        <f>IF(ISERROR(VLOOKUP(D3224,Data!$A$2:$D$223100,2,FALSE)),0,1)</f>
        <v>1</v>
      </c>
      <c r="N3224" s="3">
        <f t="shared" si="101"/>
        <v>1</v>
      </c>
      <c r="O3224" s="3" t="str">
        <f>IF(ISERROR(VLOOKUP(D3224,Data!$A$2:$C$223100,3,FALSE)),"INACTIVE",VLOOKUP(D3224,Data!$A$2:$C$223100,3,FALSE))</f>
        <v>Current</v>
      </c>
    </row>
    <row r="3225" spans="1:15" x14ac:dyDescent="0.25">
      <c r="A3225" t="s">
        <v>870</v>
      </c>
      <c r="B3225" t="s">
        <v>871</v>
      </c>
      <c r="C3225" t="s">
        <v>947</v>
      </c>
      <c r="D3225" t="s">
        <v>948</v>
      </c>
      <c r="E3225" t="s">
        <v>949</v>
      </c>
      <c r="F3225" t="s">
        <v>5</v>
      </c>
      <c r="G3225" t="s">
        <v>5</v>
      </c>
      <c r="H3225" t="s">
        <v>5</v>
      </c>
      <c r="I3225" t="s">
        <v>572</v>
      </c>
      <c r="J3225" t="s">
        <v>7</v>
      </c>
      <c r="K3225" s="3">
        <f t="shared" si="100"/>
        <v>0</v>
      </c>
      <c r="L3225" s="3">
        <f>IF(ISERROR(VLOOKUP(J3225,Lookups!$A$2:$A$16,1,FALSE)),1,0)</f>
        <v>1</v>
      </c>
      <c r="M3225" s="3">
        <f>IF(ISERROR(VLOOKUP(D3225,Data!$A$2:$D$223100,2,FALSE)),0,1)</f>
        <v>1</v>
      </c>
      <c r="N3225" s="3">
        <f t="shared" si="101"/>
        <v>1</v>
      </c>
      <c r="O3225" s="3" t="str">
        <f>IF(ISERROR(VLOOKUP(D3225,Data!$A$2:$C$223100,3,FALSE)),"INACTIVE",VLOOKUP(D3225,Data!$A$2:$C$223100,3,FALSE))</f>
        <v>Current</v>
      </c>
    </row>
    <row r="3226" spans="1:15" x14ac:dyDescent="0.25">
      <c r="A3226" t="s">
        <v>1042</v>
      </c>
      <c r="B3226" t="s">
        <v>1043</v>
      </c>
      <c r="C3226" t="s">
        <v>1044</v>
      </c>
      <c r="D3226" t="s">
        <v>1045</v>
      </c>
      <c r="E3226" t="s">
        <v>1046</v>
      </c>
      <c r="F3226" t="s">
        <v>5</v>
      </c>
      <c r="G3226" t="s">
        <v>5</v>
      </c>
      <c r="H3226" t="s">
        <v>5</v>
      </c>
      <c r="I3226" t="s">
        <v>572</v>
      </c>
      <c r="J3226" t="s">
        <v>7</v>
      </c>
      <c r="K3226" s="3">
        <f t="shared" si="100"/>
        <v>0</v>
      </c>
      <c r="L3226" s="3">
        <f>IF(ISERROR(VLOOKUP(J3226,Lookups!$A$2:$A$16,1,FALSE)),1,0)</f>
        <v>1</v>
      </c>
      <c r="M3226" s="3">
        <f>IF(ISERROR(VLOOKUP(D3226,Data!$A$2:$D$223100,2,FALSE)),0,1)</f>
        <v>1</v>
      </c>
      <c r="N3226" s="3">
        <f t="shared" si="101"/>
        <v>1</v>
      </c>
      <c r="O3226" s="3" t="str">
        <f>IF(ISERROR(VLOOKUP(D3226,Data!$A$2:$C$223100,3,FALSE)),"INACTIVE",VLOOKUP(D3226,Data!$A$2:$C$223100,3,FALSE))</f>
        <v>30+</v>
      </c>
    </row>
    <row r="3227" spans="1:15" x14ac:dyDescent="0.25">
      <c r="A3227" t="s">
        <v>1042</v>
      </c>
      <c r="B3227" t="s">
        <v>1043</v>
      </c>
      <c r="C3227" t="s">
        <v>1047</v>
      </c>
      <c r="D3227" t="s">
        <v>1048</v>
      </c>
      <c r="E3227" t="s">
        <v>1049</v>
      </c>
      <c r="F3227" t="s">
        <v>5</v>
      </c>
      <c r="G3227" t="s">
        <v>5</v>
      </c>
      <c r="H3227" t="s">
        <v>5</v>
      </c>
      <c r="I3227" t="s">
        <v>572</v>
      </c>
      <c r="J3227" t="s">
        <v>7</v>
      </c>
      <c r="K3227" s="3">
        <f t="shared" si="100"/>
        <v>0</v>
      </c>
      <c r="L3227" s="3">
        <f>IF(ISERROR(VLOOKUP(J3227,Lookups!$A$2:$A$16,1,FALSE)),1,0)</f>
        <v>1</v>
      </c>
      <c r="M3227" s="3">
        <f>IF(ISERROR(VLOOKUP(D3227,Data!$A$2:$D$223100,2,FALSE)),0,1)</f>
        <v>1</v>
      </c>
      <c r="N3227" s="3">
        <f t="shared" si="101"/>
        <v>1</v>
      </c>
      <c r="O3227" s="3" t="str">
        <f>IF(ISERROR(VLOOKUP(D3227,Data!$A$2:$C$223100,3,FALSE)),"INACTIVE",VLOOKUP(D3227,Data!$A$2:$C$223100,3,FALSE))</f>
        <v>Current</v>
      </c>
    </row>
    <row r="3228" spans="1:15" x14ac:dyDescent="0.25">
      <c r="A3228" t="s">
        <v>1042</v>
      </c>
      <c r="B3228" t="s">
        <v>1043</v>
      </c>
      <c r="C3228" t="s">
        <v>1050</v>
      </c>
      <c r="D3228" t="s">
        <v>1051</v>
      </c>
      <c r="E3228" t="s">
        <v>1052</v>
      </c>
      <c r="F3228" t="s">
        <v>5</v>
      </c>
      <c r="G3228" t="s">
        <v>5</v>
      </c>
      <c r="H3228" t="s">
        <v>5</v>
      </c>
      <c r="I3228" t="s">
        <v>572</v>
      </c>
      <c r="J3228" t="s">
        <v>7</v>
      </c>
      <c r="K3228" s="3">
        <f t="shared" si="100"/>
        <v>0</v>
      </c>
      <c r="L3228" s="3">
        <f>IF(ISERROR(VLOOKUP(J3228,Lookups!$A$2:$A$16,1,FALSE)),1,0)</f>
        <v>1</v>
      </c>
      <c r="M3228" s="3">
        <f>IF(ISERROR(VLOOKUP(D3228,Data!$A$2:$D$223100,2,FALSE)),0,1)</f>
        <v>1</v>
      </c>
      <c r="N3228" s="3">
        <f t="shared" si="101"/>
        <v>1</v>
      </c>
      <c r="O3228" s="3" t="str">
        <f>IF(ISERROR(VLOOKUP(D3228,Data!$A$2:$C$223100,3,FALSE)),"INACTIVE",VLOOKUP(D3228,Data!$A$2:$C$223100,3,FALSE))</f>
        <v>Current</v>
      </c>
    </row>
    <row r="3229" spans="1:15" x14ac:dyDescent="0.25">
      <c r="A3229" t="s">
        <v>1053</v>
      </c>
      <c r="B3229" t="s">
        <v>1054</v>
      </c>
      <c r="C3229" t="s">
        <v>1055</v>
      </c>
      <c r="D3229" t="s">
        <v>1056</v>
      </c>
      <c r="E3229" t="s">
        <v>1057</v>
      </c>
      <c r="F3229" t="s">
        <v>5</v>
      </c>
      <c r="G3229" t="s">
        <v>5</v>
      </c>
      <c r="H3229" t="s">
        <v>5</v>
      </c>
      <c r="I3229" t="s">
        <v>572</v>
      </c>
      <c r="J3229" t="s">
        <v>7</v>
      </c>
      <c r="K3229" s="3">
        <f t="shared" si="100"/>
        <v>0</v>
      </c>
      <c r="L3229" s="3">
        <f>IF(ISERROR(VLOOKUP(J3229,Lookups!$A$2:$A$16,1,FALSE)),1,0)</f>
        <v>1</v>
      </c>
      <c r="M3229" s="3">
        <f>IF(ISERROR(VLOOKUP(D3229,Data!$A$2:$D$223100,2,FALSE)),0,1)</f>
        <v>1</v>
      </c>
      <c r="N3229" s="3">
        <f t="shared" si="101"/>
        <v>1</v>
      </c>
      <c r="O3229" s="3" t="str">
        <f>IF(ISERROR(VLOOKUP(D3229,Data!$A$2:$C$223100,3,FALSE)),"INACTIVE",VLOOKUP(D3229,Data!$A$2:$C$223100,3,FALSE))</f>
        <v>Demand Letter</v>
      </c>
    </row>
    <row r="3230" spans="1:15" x14ac:dyDescent="0.25">
      <c r="A3230" t="s">
        <v>1373</v>
      </c>
      <c r="B3230" t="s">
        <v>1374</v>
      </c>
      <c r="C3230" t="s">
        <v>1375</v>
      </c>
      <c r="D3230" t="s">
        <v>1376</v>
      </c>
      <c r="E3230" t="s">
        <v>1377</v>
      </c>
      <c r="F3230" t="s">
        <v>5</v>
      </c>
      <c r="G3230" t="s">
        <v>5</v>
      </c>
      <c r="H3230" t="s">
        <v>5</v>
      </c>
      <c r="I3230" t="s">
        <v>572</v>
      </c>
      <c r="J3230" t="s">
        <v>7</v>
      </c>
      <c r="K3230" s="3">
        <f t="shared" si="100"/>
        <v>0</v>
      </c>
      <c r="L3230" s="3">
        <f>IF(ISERROR(VLOOKUP(J3230,Lookups!$A$2:$A$16,1,FALSE)),1,0)</f>
        <v>1</v>
      </c>
      <c r="M3230" s="3">
        <f>IF(ISERROR(VLOOKUP(D3230,Data!$A$2:$D$223100,2,FALSE)),0,1)</f>
        <v>1</v>
      </c>
      <c r="N3230" s="3">
        <f t="shared" si="101"/>
        <v>1</v>
      </c>
      <c r="O3230" s="3" t="str">
        <f>IF(ISERROR(VLOOKUP(D3230,Data!$A$2:$C$223100,3,FALSE)),"INACTIVE",VLOOKUP(D3230,Data!$A$2:$C$223100,3,FALSE))</f>
        <v>BK7</v>
      </c>
    </row>
    <row r="3231" spans="1:15" x14ac:dyDescent="0.25">
      <c r="A3231" t="s">
        <v>517</v>
      </c>
      <c r="B3231" t="s">
        <v>518</v>
      </c>
      <c r="C3231" t="s">
        <v>519</v>
      </c>
      <c r="D3231" t="s">
        <v>520</v>
      </c>
      <c r="E3231" t="s">
        <v>521</v>
      </c>
      <c r="F3231" t="s">
        <v>5</v>
      </c>
      <c r="G3231" t="s">
        <v>5</v>
      </c>
      <c r="H3231" t="s">
        <v>5</v>
      </c>
      <c r="I3231" t="s">
        <v>522</v>
      </c>
      <c r="J3231" t="s">
        <v>7</v>
      </c>
      <c r="K3231" s="3">
        <f t="shared" si="100"/>
        <v>0</v>
      </c>
      <c r="L3231" s="3">
        <f>IF(ISERROR(VLOOKUP(J3231,Lookups!$A$2:$A$16,1,FALSE)),1,0)</f>
        <v>1</v>
      </c>
      <c r="M3231" s="3">
        <f>IF(ISERROR(VLOOKUP(D3231,Data!$A$2:$D$223100,2,FALSE)),0,1)</f>
        <v>1</v>
      </c>
      <c r="N3231" s="3">
        <f t="shared" si="101"/>
        <v>1</v>
      </c>
      <c r="O3231" s="3" t="str">
        <f>IF(ISERROR(VLOOKUP(D3231,Data!$A$2:$C$223100,3,FALSE)),"INACTIVE",VLOOKUP(D3231,Data!$A$2:$C$223100,3,FALSE))</f>
        <v>FBA</v>
      </c>
    </row>
    <row r="3232" spans="1:15" x14ac:dyDescent="0.25">
      <c r="A3232" t="s">
        <v>517</v>
      </c>
      <c r="B3232" t="s">
        <v>518</v>
      </c>
      <c r="C3232" t="s">
        <v>519</v>
      </c>
      <c r="D3232" t="s">
        <v>523</v>
      </c>
      <c r="E3232" t="s">
        <v>521</v>
      </c>
      <c r="F3232" t="s">
        <v>5</v>
      </c>
      <c r="G3232" t="s">
        <v>5</v>
      </c>
      <c r="H3232" t="s">
        <v>5</v>
      </c>
      <c r="I3232" t="s">
        <v>522</v>
      </c>
      <c r="J3232" t="s">
        <v>7</v>
      </c>
      <c r="K3232" s="3">
        <f t="shared" si="100"/>
        <v>0</v>
      </c>
      <c r="L3232" s="3">
        <f>IF(ISERROR(VLOOKUP(J3232,Lookups!$A$2:$A$16,1,FALSE)),1,0)</f>
        <v>1</v>
      </c>
      <c r="M3232" s="3">
        <f>IF(ISERROR(VLOOKUP(D3232,Data!$A$2:$D$223100,2,FALSE)),0,1)</f>
        <v>0</v>
      </c>
      <c r="N3232" s="3">
        <f t="shared" si="101"/>
        <v>0</v>
      </c>
      <c r="O3232" s="3" t="str">
        <f>IF(ISERROR(VLOOKUP(D3232,Data!$A$2:$C$223100,3,FALSE)),"INACTIVE",VLOOKUP(D3232,Data!$A$2:$C$223100,3,FALSE))</f>
        <v>INACTIVE</v>
      </c>
    </row>
    <row r="3233" spans="1:15" x14ac:dyDescent="0.25">
      <c r="A3233" t="s">
        <v>567</v>
      </c>
      <c r="B3233" t="s">
        <v>568</v>
      </c>
      <c r="C3233" t="s">
        <v>584</v>
      </c>
      <c r="D3233" t="s">
        <v>585</v>
      </c>
      <c r="E3233" t="s">
        <v>586</v>
      </c>
      <c r="F3233" t="s">
        <v>586</v>
      </c>
      <c r="G3233" t="s">
        <v>5</v>
      </c>
      <c r="H3233" t="s">
        <v>5</v>
      </c>
      <c r="I3233" t="s">
        <v>522</v>
      </c>
      <c r="J3233" t="s">
        <v>40</v>
      </c>
      <c r="K3233" s="3">
        <f t="shared" si="100"/>
        <v>0</v>
      </c>
      <c r="L3233" s="3">
        <f>IF(ISERROR(VLOOKUP(J3233,Lookups!$A$2:$A$16,1,FALSE)),1,0)</f>
        <v>1</v>
      </c>
      <c r="M3233" s="3">
        <f>IF(ISERROR(VLOOKUP(D3233,Data!$A$2:$D$223100,2,FALSE)),0,1)</f>
        <v>1</v>
      </c>
      <c r="N3233" s="3">
        <f t="shared" si="101"/>
        <v>1</v>
      </c>
      <c r="O3233" s="3" t="str">
        <f>IF(ISERROR(VLOOKUP(D3233,Data!$A$2:$C$223100,3,FALSE)),"INACTIVE",VLOOKUP(D3233,Data!$A$2:$C$223100,3,FALSE))</f>
        <v>150+</v>
      </c>
    </row>
    <row r="3234" spans="1:15" x14ac:dyDescent="0.25">
      <c r="A3234" t="s">
        <v>567</v>
      </c>
      <c r="B3234" t="s">
        <v>568</v>
      </c>
      <c r="C3234" t="s">
        <v>587</v>
      </c>
      <c r="D3234" t="s">
        <v>588</v>
      </c>
      <c r="E3234" t="s">
        <v>589</v>
      </c>
      <c r="F3234" t="s">
        <v>589</v>
      </c>
      <c r="G3234" t="s">
        <v>5</v>
      </c>
      <c r="H3234" t="s">
        <v>5</v>
      </c>
      <c r="I3234" t="s">
        <v>522</v>
      </c>
      <c r="J3234" t="s">
        <v>40</v>
      </c>
      <c r="K3234" s="3">
        <f t="shared" si="100"/>
        <v>0</v>
      </c>
      <c r="L3234" s="3">
        <f>IF(ISERROR(VLOOKUP(J3234,Lookups!$A$2:$A$16,1,FALSE)),1,0)</f>
        <v>1</v>
      </c>
      <c r="M3234" s="3">
        <f>IF(ISERROR(VLOOKUP(D3234,Data!$A$2:$D$223100,2,FALSE)),0,1)</f>
        <v>1</v>
      </c>
      <c r="N3234" s="3">
        <f t="shared" si="101"/>
        <v>1</v>
      </c>
      <c r="O3234" s="3" t="str">
        <f>IF(ISERROR(VLOOKUP(D3234,Data!$A$2:$C$223100,3,FALSE)),"INACTIVE",VLOOKUP(D3234,Data!$A$2:$C$223100,3,FALSE))</f>
        <v>90+</v>
      </c>
    </row>
    <row r="3235" spans="1:15" x14ac:dyDescent="0.25">
      <c r="A3235" t="s">
        <v>567</v>
      </c>
      <c r="B3235" t="s">
        <v>568</v>
      </c>
      <c r="C3235" t="s">
        <v>590</v>
      </c>
      <c r="D3235" t="s">
        <v>591</v>
      </c>
      <c r="E3235" t="s">
        <v>592</v>
      </c>
      <c r="F3235" t="s">
        <v>592</v>
      </c>
      <c r="G3235" t="s">
        <v>5</v>
      </c>
      <c r="H3235" t="s">
        <v>5</v>
      </c>
      <c r="I3235" t="s">
        <v>522</v>
      </c>
      <c r="J3235" t="s">
        <v>47</v>
      </c>
      <c r="K3235" s="3">
        <f t="shared" si="100"/>
        <v>0</v>
      </c>
      <c r="L3235" s="3">
        <f>IF(ISERROR(VLOOKUP(J3235,Lookups!$A$2:$A$16,1,FALSE)),1,0)</f>
        <v>1</v>
      </c>
      <c r="M3235" s="3">
        <f>IF(ISERROR(VLOOKUP(D3235,Data!$A$2:$D$223100,2,FALSE)),0,1)</f>
        <v>0</v>
      </c>
      <c r="N3235" s="3">
        <f t="shared" si="101"/>
        <v>0</v>
      </c>
      <c r="O3235" s="3" t="str">
        <f>IF(ISERROR(VLOOKUP(D3235,Data!$A$2:$C$223100,3,FALSE)),"INACTIVE",VLOOKUP(D3235,Data!$A$2:$C$223100,3,FALSE))</f>
        <v>INACTIVE</v>
      </c>
    </row>
    <row r="3236" spans="1:15" x14ac:dyDescent="0.25">
      <c r="A3236" t="s">
        <v>567</v>
      </c>
      <c r="B3236" t="s">
        <v>568</v>
      </c>
      <c r="C3236" t="s">
        <v>593</v>
      </c>
      <c r="D3236" t="s">
        <v>594</v>
      </c>
      <c r="E3236" t="s">
        <v>595</v>
      </c>
      <c r="F3236" t="s">
        <v>595</v>
      </c>
      <c r="G3236" t="s">
        <v>5</v>
      </c>
      <c r="H3236" t="s">
        <v>5</v>
      </c>
      <c r="I3236" t="s">
        <v>522</v>
      </c>
      <c r="J3236" t="s">
        <v>47</v>
      </c>
      <c r="K3236" s="3">
        <f t="shared" si="100"/>
        <v>0</v>
      </c>
      <c r="L3236" s="3">
        <f>IF(ISERROR(VLOOKUP(J3236,Lookups!$A$2:$A$16,1,FALSE)),1,0)</f>
        <v>1</v>
      </c>
      <c r="M3236" s="3">
        <f>IF(ISERROR(VLOOKUP(D3236,Data!$A$2:$D$223100,2,FALSE)),0,1)</f>
        <v>1</v>
      </c>
      <c r="N3236" s="3">
        <f t="shared" si="101"/>
        <v>1</v>
      </c>
      <c r="O3236" s="3" t="str">
        <f>IF(ISERROR(VLOOKUP(D3236,Data!$A$2:$C$223100,3,FALSE)),"INACTIVE",VLOOKUP(D3236,Data!$A$2:$C$223100,3,FALSE))</f>
        <v>Demand Letter</v>
      </c>
    </row>
    <row r="3237" spans="1:15" x14ac:dyDescent="0.25">
      <c r="A3237" t="s">
        <v>567</v>
      </c>
      <c r="B3237" t="s">
        <v>568</v>
      </c>
      <c r="C3237" t="s">
        <v>596</v>
      </c>
      <c r="D3237" t="s">
        <v>597</v>
      </c>
      <c r="E3237" t="s">
        <v>598</v>
      </c>
      <c r="F3237" t="s">
        <v>598</v>
      </c>
      <c r="G3237" t="s">
        <v>5</v>
      </c>
      <c r="H3237" t="s">
        <v>5</v>
      </c>
      <c r="I3237" t="s">
        <v>522</v>
      </c>
      <c r="J3237" t="s">
        <v>47</v>
      </c>
      <c r="K3237" s="3">
        <f t="shared" si="100"/>
        <v>0</v>
      </c>
      <c r="L3237" s="3">
        <f>IF(ISERROR(VLOOKUP(J3237,Lookups!$A$2:$A$16,1,FALSE)),1,0)</f>
        <v>1</v>
      </c>
      <c r="M3237" s="3">
        <f>IF(ISERROR(VLOOKUP(D3237,Data!$A$2:$D$223100,2,FALSE)),0,1)</f>
        <v>1</v>
      </c>
      <c r="N3237" s="3">
        <f t="shared" si="101"/>
        <v>1</v>
      </c>
      <c r="O3237" s="3" t="str">
        <f>IF(ISERROR(VLOOKUP(D3237,Data!$A$2:$C$223100,3,FALSE)),"INACTIVE",VLOOKUP(D3237,Data!$A$2:$C$223100,3,FALSE))</f>
        <v>BK13</v>
      </c>
    </row>
    <row r="3238" spans="1:15" x14ac:dyDescent="0.25">
      <c r="A3238" t="s">
        <v>567</v>
      </c>
      <c r="B3238" t="s">
        <v>568</v>
      </c>
      <c r="C3238" t="s">
        <v>599</v>
      </c>
      <c r="D3238" t="s">
        <v>600</v>
      </c>
      <c r="E3238" t="s">
        <v>601</v>
      </c>
      <c r="F3238" t="s">
        <v>601</v>
      </c>
      <c r="G3238" t="s">
        <v>5</v>
      </c>
      <c r="H3238" t="s">
        <v>5</v>
      </c>
      <c r="I3238" t="s">
        <v>522</v>
      </c>
      <c r="J3238" t="s">
        <v>40</v>
      </c>
      <c r="K3238" s="3">
        <f t="shared" si="100"/>
        <v>0</v>
      </c>
      <c r="L3238" s="3">
        <f>IF(ISERROR(VLOOKUP(J3238,Lookups!$A$2:$A$16,1,FALSE)),1,0)</f>
        <v>1</v>
      </c>
      <c r="M3238" s="3">
        <f>IF(ISERROR(VLOOKUP(D3238,Data!$A$2:$D$223100,2,FALSE)),0,1)</f>
        <v>1</v>
      </c>
      <c r="N3238" s="3">
        <f t="shared" si="101"/>
        <v>1</v>
      </c>
      <c r="O3238" s="3" t="str">
        <f>IF(ISERROR(VLOOKUP(D3238,Data!$A$2:$C$223100,3,FALSE)),"INACTIVE",VLOOKUP(D3238,Data!$A$2:$C$223100,3,FALSE))</f>
        <v>60+</v>
      </c>
    </row>
    <row r="3239" spans="1:15" x14ac:dyDescent="0.25">
      <c r="A3239" t="s">
        <v>567</v>
      </c>
      <c r="B3239" t="s">
        <v>568</v>
      </c>
      <c r="C3239" t="s">
        <v>602</v>
      </c>
      <c r="D3239" t="s">
        <v>603</v>
      </c>
      <c r="E3239" t="s">
        <v>604</v>
      </c>
      <c r="F3239" t="s">
        <v>604</v>
      </c>
      <c r="G3239" t="s">
        <v>5</v>
      </c>
      <c r="H3239" t="s">
        <v>5</v>
      </c>
      <c r="I3239" t="s">
        <v>522</v>
      </c>
      <c r="J3239" t="s">
        <v>40</v>
      </c>
      <c r="K3239" s="3">
        <f t="shared" si="100"/>
        <v>0</v>
      </c>
      <c r="L3239" s="3">
        <f>IF(ISERROR(VLOOKUP(J3239,Lookups!$A$2:$A$16,1,FALSE)),1,0)</f>
        <v>1</v>
      </c>
      <c r="M3239" s="3">
        <f>IF(ISERROR(VLOOKUP(D3239,Data!$A$2:$D$223100,2,FALSE)),0,1)</f>
        <v>1</v>
      </c>
      <c r="N3239" s="3">
        <f t="shared" si="101"/>
        <v>1</v>
      </c>
      <c r="O3239" s="3" t="str">
        <f>IF(ISERROR(VLOOKUP(D3239,Data!$A$2:$C$223100,3,FALSE)),"INACTIVE",VLOOKUP(D3239,Data!$A$2:$C$223100,3,FALSE))</f>
        <v>90+</v>
      </c>
    </row>
    <row r="3240" spans="1:15" x14ac:dyDescent="0.25">
      <c r="A3240" t="s">
        <v>567</v>
      </c>
      <c r="B3240" t="s">
        <v>568</v>
      </c>
      <c r="C3240" t="s">
        <v>605</v>
      </c>
      <c r="D3240" t="s">
        <v>606</v>
      </c>
      <c r="E3240" t="s">
        <v>607</v>
      </c>
      <c r="F3240" t="s">
        <v>607</v>
      </c>
      <c r="G3240" t="s">
        <v>5</v>
      </c>
      <c r="H3240" t="s">
        <v>5</v>
      </c>
      <c r="I3240" t="s">
        <v>522</v>
      </c>
      <c r="J3240" t="s">
        <v>40</v>
      </c>
      <c r="K3240" s="3">
        <f t="shared" si="100"/>
        <v>0</v>
      </c>
      <c r="L3240" s="3">
        <f>IF(ISERROR(VLOOKUP(J3240,Lookups!$A$2:$A$16,1,FALSE)),1,0)</f>
        <v>1</v>
      </c>
      <c r="M3240" s="3">
        <f>IF(ISERROR(VLOOKUP(D3240,Data!$A$2:$D$223100,2,FALSE)),0,1)</f>
        <v>1</v>
      </c>
      <c r="N3240" s="3">
        <f t="shared" si="101"/>
        <v>1</v>
      </c>
      <c r="O3240" s="3" t="str">
        <f>IF(ISERROR(VLOOKUP(D3240,Data!$A$2:$C$223100,3,FALSE)),"INACTIVE",VLOOKUP(D3240,Data!$A$2:$C$223100,3,FALSE))</f>
        <v>60+</v>
      </c>
    </row>
    <row r="3241" spans="1:15" x14ac:dyDescent="0.25">
      <c r="A3241" t="s">
        <v>567</v>
      </c>
      <c r="B3241" t="s">
        <v>568</v>
      </c>
      <c r="C3241" t="s">
        <v>569</v>
      </c>
      <c r="D3241" t="s">
        <v>570</v>
      </c>
      <c r="E3241" t="s">
        <v>608</v>
      </c>
      <c r="F3241" t="s">
        <v>608</v>
      </c>
      <c r="G3241" t="s">
        <v>5</v>
      </c>
      <c r="H3241" t="s">
        <v>5</v>
      </c>
      <c r="I3241" t="s">
        <v>522</v>
      </c>
      <c r="J3241" t="s">
        <v>573</v>
      </c>
      <c r="K3241" s="3">
        <f t="shared" si="100"/>
        <v>0</v>
      </c>
      <c r="L3241" s="3">
        <f>IF(ISERROR(VLOOKUP(J3241,Lookups!$A$2:$A$16,1,FALSE)),1,0)</f>
        <v>1</v>
      </c>
      <c r="M3241" s="3">
        <f>IF(ISERROR(VLOOKUP(D3241,Data!$A$2:$D$223100,2,FALSE)),0,1)</f>
        <v>1</v>
      </c>
      <c r="N3241" s="3">
        <f t="shared" si="101"/>
        <v>1</v>
      </c>
      <c r="O3241" s="3" t="str">
        <f>IF(ISERROR(VLOOKUP(D3241,Data!$A$2:$C$223100,3,FALSE)),"INACTIVE",VLOOKUP(D3241,Data!$A$2:$C$223100,3,FALSE))</f>
        <v>Demand Letter</v>
      </c>
    </row>
    <row r="3242" spans="1:15" x14ac:dyDescent="0.25">
      <c r="A3242" t="s">
        <v>567</v>
      </c>
      <c r="B3242" t="s">
        <v>568</v>
      </c>
      <c r="C3242" t="s">
        <v>574</v>
      </c>
      <c r="D3242" t="s">
        <v>575</v>
      </c>
      <c r="E3242" t="s">
        <v>609</v>
      </c>
      <c r="F3242" t="s">
        <v>609</v>
      </c>
      <c r="G3242" t="s">
        <v>5</v>
      </c>
      <c r="H3242" t="s">
        <v>5</v>
      </c>
      <c r="I3242" t="s">
        <v>522</v>
      </c>
      <c r="J3242" t="s">
        <v>7</v>
      </c>
      <c r="K3242" s="3">
        <f t="shared" si="100"/>
        <v>0</v>
      </c>
      <c r="L3242" s="3">
        <f>IF(ISERROR(VLOOKUP(J3242,Lookups!$A$2:$A$16,1,FALSE)),1,0)</f>
        <v>1</v>
      </c>
      <c r="M3242" s="3">
        <f>IF(ISERROR(VLOOKUP(D3242,Data!$A$2:$D$223100,2,FALSE)),0,1)</f>
        <v>1</v>
      </c>
      <c r="N3242" s="3">
        <f t="shared" si="101"/>
        <v>1</v>
      </c>
      <c r="O3242" s="3" t="str">
        <f>IF(ISERROR(VLOOKUP(D3242,Data!$A$2:$C$223100,3,FALSE)),"INACTIVE",VLOOKUP(D3242,Data!$A$2:$C$223100,3,FALSE))</f>
        <v>60+</v>
      </c>
    </row>
    <row r="3243" spans="1:15" x14ac:dyDescent="0.25">
      <c r="A3243" t="s">
        <v>567</v>
      </c>
      <c r="B3243" t="s">
        <v>568</v>
      </c>
      <c r="C3243" t="s">
        <v>610</v>
      </c>
      <c r="D3243" t="s">
        <v>611</v>
      </c>
      <c r="E3243" t="s">
        <v>612</v>
      </c>
      <c r="F3243" t="s">
        <v>612</v>
      </c>
      <c r="G3243" t="s">
        <v>5</v>
      </c>
      <c r="H3243" t="s">
        <v>5</v>
      </c>
      <c r="I3243" t="s">
        <v>522</v>
      </c>
      <c r="J3243" t="s">
        <v>47</v>
      </c>
      <c r="K3243" s="3">
        <f t="shared" si="100"/>
        <v>0</v>
      </c>
      <c r="L3243" s="3">
        <f>IF(ISERROR(VLOOKUP(J3243,Lookups!$A$2:$A$16,1,FALSE)),1,0)</f>
        <v>1</v>
      </c>
      <c r="M3243" s="3">
        <f>IF(ISERROR(VLOOKUP(D3243,Data!$A$2:$D$223100,2,FALSE)),0,1)</f>
        <v>1</v>
      </c>
      <c r="N3243" s="3">
        <f t="shared" si="101"/>
        <v>1</v>
      </c>
      <c r="O3243" s="3" t="str">
        <f>IF(ISERROR(VLOOKUP(D3243,Data!$A$2:$C$223100,3,FALSE)),"INACTIVE",VLOOKUP(D3243,Data!$A$2:$C$223100,3,FALSE))</f>
        <v>BK13</v>
      </c>
    </row>
    <row r="3244" spans="1:15" x14ac:dyDescent="0.25">
      <c r="A3244" t="s">
        <v>567</v>
      </c>
      <c r="B3244" t="s">
        <v>568</v>
      </c>
      <c r="C3244" t="s">
        <v>613</v>
      </c>
      <c r="D3244" t="s">
        <v>614</v>
      </c>
      <c r="E3244" t="s">
        <v>615</v>
      </c>
      <c r="F3244" t="s">
        <v>615</v>
      </c>
      <c r="G3244" t="s">
        <v>5</v>
      </c>
      <c r="H3244" t="s">
        <v>5</v>
      </c>
      <c r="I3244" t="s">
        <v>522</v>
      </c>
      <c r="J3244" t="s">
        <v>47</v>
      </c>
      <c r="K3244" s="3">
        <f t="shared" si="100"/>
        <v>0</v>
      </c>
      <c r="L3244" s="3">
        <f>IF(ISERROR(VLOOKUP(J3244,Lookups!$A$2:$A$16,1,FALSE)),1,0)</f>
        <v>1</v>
      </c>
      <c r="M3244" s="3">
        <f>IF(ISERROR(VLOOKUP(D3244,Data!$A$2:$D$223100,2,FALSE)),0,1)</f>
        <v>1</v>
      </c>
      <c r="N3244" s="3">
        <f t="shared" si="101"/>
        <v>1</v>
      </c>
      <c r="O3244" s="3" t="str">
        <f>IF(ISERROR(VLOOKUP(D3244,Data!$A$2:$C$223100,3,FALSE)),"INACTIVE",VLOOKUP(D3244,Data!$A$2:$C$223100,3,FALSE))</f>
        <v>FC</v>
      </c>
    </row>
    <row r="3245" spans="1:15" x14ac:dyDescent="0.25">
      <c r="A3245" t="s">
        <v>567</v>
      </c>
      <c r="B3245" t="s">
        <v>568</v>
      </c>
      <c r="C3245" t="s">
        <v>616</v>
      </c>
      <c r="D3245" t="s">
        <v>617</v>
      </c>
      <c r="E3245" t="s">
        <v>618</v>
      </c>
      <c r="F3245" t="s">
        <v>618</v>
      </c>
      <c r="G3245" t="s">
        <v>5</v>
      </c>
      <c r="H3245" t="s">
        <v>5</v>
      </c>
      <c r="I3245" t="s">
        <v>522</v>
      </c>
      <c r="J3245" t="s">
        <v>47</v>
      </c>
      <c r="K3245" s="3">
        <f t="shared" si="100"/>
        <v>0</v>
      </c>
      <c r="L3245" s="3">
        <f>IF(ISERROR(VLOOKUP(J3245,Lookups!$A$2:$A$16,1,FALSE)),1,0)</f>
        <v>1</v>
      </c>
      <c r="M3245" s="3">
        <f>IF(ISERROR(VLOOKUP(D3245,Data!$A$2:$D$223100,2,FALSE)),0,1)</f>
        <v>1</v>
      </c>
      <c r="N3245" s="3">
        <f t="shared" si="101"/>
        <v>1</v>
      </c>
      <c r="O3245" s="3" t="str">
        <f>IF(ISERROR(VLOOKUP(D3245,Data!$A$2:$C$223100,3,FALSE)),"INACTIVE",VLOOKUP(D3245,Data!$A$2:$C$223100,3,FALSE))</f>
        <v>Demand Letter</v>
      </c>
    </row>
    <row r="3246" spans="1:15" x14ac:dyDescent="0.25">
      <c r="A3246" t="s">
        <v>567</v>
      </c>
      <c r="B3246" t="s">
        <v>568</v>
      </c>
      <c r="C3246" t="s">
        <v>619</v>
      </c>
      <c r="D3246" t="s">
        <v>620</v>
      </c>
      <c r="E3246" t="s">
        <v>621</v>
      </c>
      <c r="F3246" t="s">
        <v>621</v>
      </c>
      <c r="G3246" t="s">
        <v>5</v>
      </c>
      <c r="H3246" t="s">
        <v>5</v>
      </c>
      <c r="I3246" t="s">
        <v>522</v>
      </c>
      <c r="J3246" t="s">
        <v>47</v>
      </c>
      <c r="K3246" s="3">
        <f t="shared" si="100"/>
        <v>0</v>
      </c>
      <c r="L3246" s="3">
        <f>IF(ISERROR(VLOOKUP(J3246,Lookups!$A$2:$A$16,1,FALSE)),1,0)</f>
        <v>1</v>
      </c>
      <c r="M3246" s="3">
        <f>IF(ISERROR(VLOOKUP(D3246,Data!$A$2:$D$223100,2,FALSE)),0,1)</f>
        <v>1</v>
      </c>
      <c r="N3246" s="3">
        <f t="shared" si="101"/>
        <v>1</v>
      </c>
      <c r="O3246" s="3" t="str">
        <f>IF(ISERROR(VLOOKUP(D3246,Data!$A$2:$C$223100,3,FALSE)),"INACTIVE",VLOOKUP(D3246,Data!$A$2:$C$223100,3,FALSE))</f>
        <v>Current</v>
      </c>
    </row>
    <row r="3247" spans="1:15" x14ac:dyDescent="0.25">
      <c r="A3247" t="s">
        <v>567</v>
      </c>
      <c r="B3247" t="s">
        <v>568</v>
      </c>
      <c r="C3247" t="s">
        <v>622</v>
      </c>
      <c r="D3247" t="s">
        <v>623</v>
      </c>
      <c r="E3247" t="s">
        <v>624</v>
      </c>
      <c r="F3247" t="s">
        <v>624</v>
      </c>
      <c r="G3247" t="s">
        <v>5</v>
      </c>
      <c r="H3247" t="s">
        <v>5</v>
      </c>
      <c r="I3247" t="s">
        <v>522</v>
      </c>
      <c r="J3247" t="s">
        <v>40</v>
      </c>
      <c r="K3247" s="3">
        <f t="shared" si="100"/>
        <v>0</v>
      </c>
      <c r="L3247" s="3">
        <f>IF(ISERROR(VLOOKUP(J3247,Lookups!$A$2:$A$16,1,FALSE)),1,0)</f>
        <v>1</v>
      </c>
      <c r="M3247" s="3">
        <f>IF(ISERROR(VLOOKUP(D3247,Data!$A$2:$D$223100,2,FALSE)),0,1)</f>
        <v>1</v>
      </c>
      <c r="N3247" s="3">
        <f t="shared" si="101"/>
        <v>1</v>
      </c>
      <c r="O3247" s="3" t="str">
        <f>IF(ISERROR(VLOOKUP(D3247,Data!$A$2:$C$223100,3,FALSE)),"INACTIVE",VLOOKUP(D3247,Data!$A$2:$C$223100,3,FALSE))</f>
        <v>Current</v>
      </c>
    </row>
    <row r="3248" spans="1:15" x14ac:dyDescent="0.25">
      <c r="A3248" t="s">
        <v>567</v>
      </c>
      <c r="B3248" t="s">
        <v>568</v>
      </c>
      <c r="C3248" t="s">
        <v>625</v>
      </c>
      <c r="D3248" t="s">
        <v>626</v>
      </c>
      <c r="E3248" t="s">
        <v>627</v>
      </c>
      <c r="F3248" t="s">
        <v>627</v>
      </c>
      <c r="G3248" t="s">
        <v>5</v>
      </c>
      <c r="H3248" t="s">
        <v>5</v>
      </c>
      <c r="I3248" t="s">
        <v>522</v>
      </c>
      <c r="J3248" t="s">
        <v>40</v>
      </c>
      <c r="K3248" s="3">
        <f t="shared" si="100"/>
        <v>0</v>
      </c>
      <c r="L3248" s="3">
        <f>IF(ISERROR(VLOOKUP(J3248,Lookups!$A$2:$A$16,1,FALSE)),1,0)</f>
        <v>1</v>
      </c>
      <c r="M3248" s="3">
        <f>IF(ISERROR(VLOOKUP(D3248,Data!$A$2:$D$223100,2,FALSE)),0,1)</f>
        <v>1</v>
      </c>
      <c r="N3248" s="3">
        <f t="shared" si="101"/>
        <v>1</v>
      </c>
      <c r="O3248" s="3" t="str">
        <f>IF(ISERROR(VLOOKUP(D3248,Data!$A$2:$C$223100,3,FALSE)),"INACTIVE",VLOOKUP(D3248,Data!$A$2:$C$223100,3,FALSE))</f>
        <v>Current</v>
      </c>
    </row>
    <row r="3249" spans="1:15" x14ac:dyDescent="0.25">
      <c r="A3249" t="s">
        <v>567</v>
      </c>
      <c r="B3249" t="s">
        <v>568</v>
      </c>
      <c r="C3249" t="s">
        <v>628</v>
      </c>
      <c r="D3249" t="s">
        <v>629</v>
      </c>
      <c r="E3249" t="s">
        <v>630</v>
      </c>
      <c r="F3249" t="s">
        <v>630</v>
      </c>
      <c r="G3249" t="s">
        <v>5</v>
      </c>
      <c r="H3249" t="s">
        <v>5</v>
      </c>
      <c r="I3249" t="s">
        <v>522</v>
      </c>
      <c r="J3249" t="s">
        <v>40</v>
      </c>
      <c r="K3249" s="3">
        <f t="shared" si="100"/>
        <v>0</v>
      </c>
      <c r="L3249" s="3">
        <f>IF(ISERROR(VLOOKUP(J3249,Lookups!$A$2:$A$16,1,FALSE)),1,0)</f>
        <v>1</v>
      </c>
      <c r="M3249" s="3">
        <f>IF(ISERROR(VLOOKUP(D3249,Data!$A$2:$D$223100,2,FALSE)),0,1)</f>
        <v>1</v>
      </c>
      <c r="N3249" s="3">
        <f t="shared" si="101"/>
        <v>1</v>
      </c>
      <c r="O3249" s="3" t="str">
        <f>IF(ISERROR(VLOOKUP(D3249,Data!$A$2:$C$223100,3,FALSE)),"INACTIVE",VLOOKUP(D3249,Data!$A$2:$C$223100,3,FALSE))</f>
        <v>120+</v>
      </c>
    </row>
    <row r="3250" spans="1:15" x14ac:dyDescent="0.25">
      <c r="A3250" t="s">
        <v>567</v>
      </c>
      <c r="B3250" t="s">
        <v>568</v>
      </c>
      <c r="C3250" t="s">
        <v>631</v>
      </c>
      <c r="D3250" t="s">
        <v>632</v>
      </c>
      <c r="E3250" t="s">
        <v>633</v>
      </c>
      <c r="F3250" t="s">
        <v>633</v>
      </c>
      <c r="G3250" t="s">
        <v>5</v>
      </c>
      <c r="H3250" t="s">
        <v>5</v>
      </c>
      <c r="I3250" t="s">
        <v>522</v>
      </c>
      <c r="J3250" t="s">
        <v>40</v>
      </c>
      <c r="K3250" s="3">
        <f t="shared" si="100"/>
        <v>0</v>
      </c>
      <c r="L3250" s="3">
        <f>IF(ISERROR(VLOOKUP(J3250,Lookups!$A$2:$A$16,1,FALSE)),1,0)</f>
        <v>1</v>
      </c>
      <c r="M3250" s="3">
        <f>IF(ISERROR(VLOOKUP(D3250,Data!$A$2:$D$223100,2,FALSE)),0,1)</f>
        <v>1</v>
      </c>
      <c r="N3250" s="3">
        <f t="shared" si="101"/>
        <v>1</v>
      </c>
      <c r="O3250" s="3" t="str">
        <f>IF(ISERROR(VLOOKUP(D3250,Data!$A$2:$C$223100,3,FALSE)),"INACTIVE",VLOOKUP(D3250,Data!$A$2:$C$223100,3,FALSE))</f>
        <v>Current</v>
      </c>
    </row>
    <row r="3251" spans="1:15" x14ac:dyDescent="0.25">
      <c r="A3251" t="s">
        <v>567</v>
      </c>
      <c r="B3251" t="s">
        <v>568</v>
      </c>
      <c r="C3251" t="s">
        <v>634</v>
      </c>
      <c r="D3251" t="s">
        <v>635</v>
      </c>
      <c r="E3251" t="s">
        <v>636</v>
      </c>
      <c r="F3251" t="s">
        <v>636</v>
      </c>
      <c r="G3251" t="s">
        <v>5</v>
      </c>
      <c r="H3251" t="s">
        <v>5</v>
      </c>
      <c r="I3251" t="s">
        <v>522</v>
      </c>
      <c r="J3251" t="s">
        <v>40</v>
      </c>
      <c r="K3251" s="3">
        <f t="shared" si="100"/>
        <v>0</v>
      </c>
      <c r="L3251" s="3">
        <f>IF(ISERROR(VLOOKUP(J3251,Lookups!$A$2:$A$16,1,FALSE)),1,0)</f>
        <v>1</v>
      </c>
      <c r="M3251" s="3">
        <f>IF(ISERROR(VLOOKUP(D3251,Data!$A$2:$D$223100,2,FALSE)),0,1)</f>
        <v>1</v>
      </c>
      <c r="N3251" s="3">
        <f t="shared" si="101"/>
        <v>1</v>
      </c>
      <c r="O3251" s="3" t="str">
        <f>IF(ISERROR(VLOOKUP(D3251,Data!$A$2:$C$223100,3,FALSE)),"INACTIVE",VLOOKUP(D3251,Data!$A$2:$C$223100,3,FALSE))</f>
        <v>Demand Letter</v>
      </c>
    </row>
    <row r="3252" spans="1:15" x14ac:dyDescent="0.25">
      <c r="A3252" t="s">
        <v>567</v>
      </c>
      <c r="B3252" t="s">
        <v>568</v>
      </c>
      <c r="C3252" t="s">
        <v>637</v>
      </c>
      <c r="D3252" t="s">
        <v>638</v>
      </c>
      <c r="E3252" t="s">
        <v>639</v>
      </c>
      <c r="F3252" t="s">
        <v>639</v>
      </c>
      <c r="G3252" t="s">
        <v>5</v>
      </c>
      <c r="H3252" t="s">
        <v>5</v>
      </c>
      <c r="I3252" t="s">
        <v>522</v>
      </c>
      <c r="J3252" t="s">
        <v>47</v>
      </c>
      <c r="K3252" s="3">
        <f t="shared" si="100"/>
        <v>0</v>
      </c>
      <c r="L3252" s="3">
        <f>IF(ISERROR(VLOOKUP(J3252,Lookups!$A$2:$A$16,1,FALSE)),1,0)</f>
        <v>1</v>
      </c>
      <c r="M3252" s="3">
        <f>IF(ISERROR(VLOOKUP(D3252,Data!$A$2:$D$223100,2,FALSE)),0,1)</f>
        <v>1</v>
      </c>
      <c r="N3252" s="3">
        <f t="shared" si="101"/>
        <v>1</v>
      </c>
      <c r="O3252" s="3" t="str">
        <f>IF(ISERROR(VLOOKUP(D3252,Data!$A$2:$C$223100,3,FALSE)),"INACTIVE",VLOOKUP(D3252,Data!$A$2:$C$223100,3,FALSE))</f>
        <v>30+</v>
      </c>
    </row>
    <row r="3253" spans="1:15" x14ac:dyDescent="0.25">
      <c r="A3253" t="s">
        <v>567</v>
      </c>
      <c r="B3253" t="s">
        <v>568</v>
      </c>
      <c r="C3253" t="s">
        <v>640</v>
      </c>
      <c r="D3253" t="s">
        <v>641</v>
      </c>
      <c r="E3253" t="s">
        <v>642</v>
      </c>
      <c r="F3253" t="s">
        <v>642</v>
      </c>
      <c r="G3253" t="s">
        <v>5</v>
      </c>
      <c r="H3253" t="s">
        <v>5</v>
      </c>
      <c r="I3253" t="s">
        <v>522</v>
      </c>
      <c r="J3253" t="s">
        <v>40</v>
      </c>
      <c r="K3253" s="3">
        <f t="shared" si="100"/>
        <v>0</v>
      </c>
      <c r="L3253" s="3">
        <f>IF(ISERROR(VLOOKUP(J3253,Lookups!$A$2:$A$16,1,FALSE)),1,0)</f>
        <v>1</v>
      </c>
      <c r="M3253" s="3">
        <f>IF(ISERROR(VLOOKUP(D3253,Data!$A$2:$D$223100,2,FALSE)),0,1)</f>
        <v>1</v>
      </c>
      <c r="N3253" s="3">
        <f t="shared" si="101"/>
        <v>1</v>
      </c>
      <c r="O3253" s="3" t="str">
        <f>IF(ISERROR(VLOOKUP(D3253,Data!$A$2:$C$223100,3,FALSE)),"INACTIVE",VLOOKUP(D3253,Data!$A$2:$C$223100,3,FALSE))</f>
        <v>30+</v>
      </c>
    </row>
    <row r="3254" spans="1:15" x14ac:dyDescent="0.25">
      <c r="A3254" t="s">
        <v>567</v>
      </c>
      <c r="B3254" t="s">
        <v>568</v>
      </c>
      <c r="C3254" t="s">
        <v>643</v>
      </c>
      <c r="D3254" t="s">
        <v>644</v>
      </c>
      <c r="E3254" t="s">
        <v>645</v>
      </c>
      <c r="F3254" t="s">
        <v>645</v>
      </c>
      <c r="G3254" t="s">
        <v>5</v>
      </c>
      <c r="H3254" t="s">
        <v>5</v>
      </c>
      <c r="I3254" t="s">
        <v>522</v>
      </c>
      <c r="J3254" t="s">
        <v>40</v>
      </c>
      <c r="K3254" s="3">
        <f t="shared" si="100"/>
        <v>0</v>
      </c>
      <c r="L3254" s="3">
        <f>IF(ISERROR(VLOOKUP(J3254,Lookups!$A$2:$A$16,1,FALSE)),1,0)</f>
        <v>1</v>
      </c>
      <c r="M3254" s="3">
        <f>IF(ISERROR(VLOOKUP(D3254,Data!$A$2:$D$223100,2,FALSE)),0,1)</f>
        <v>1</v>
      </c>
      <c r="N3254" s="3">
        <f t="shared" si="101"/>
        <v>1</v>
      </c>
      <c r="O3254" s="3" t="str">
        <f>IF(ISERROR(VLOOKUP(D3254,Data!$A$2:$C$223100,3,FALSE)),"INACTIVE",VLOOKUP(D3254,Data!$A$2:$C$223100,3,FALSE))</f>
        <v>FC</v>
      </c>
    </row>
    <row r="3255" spans="1:15" x14ac:dyDescent="0.25">
      <c r="A3255" t="s">
        <v>567</v>
      </c>
      <c r="B3255" t="s">
        <v>568</v>
      </c>
      <c r="C3255" t="s">
        <v>646</v>
      </c>
      <c r="D3255" t="s">
        <v>647</v>
      </c>
      <c r="E3255" t="s">
        <v>648</v>
      </c>
      <c r="F3255" t="s">
        <v>648</v>
      </c>
      <c r="G3255" t="s">
        <v>5</v>
      </c>
      <c r="H3255" t="s">
        <v>5</v>
      </c>
      <c r="I3255" t="s">
        <v>522</v>
      </c>
      <c r="J3255" t="s">
        <v>40</v>
      </c>
      <c r="K3255" s="3">
        <f t="shared" si="100"/>
        <v>0</v>
      </c>
      <c r="L3255" s="3">
        <f>IF(ISERROR(VLOOKUP(J3255,Lookups!$A$2:$A$16,1,FALSE)),1,0)</f>
        <v>1</v>
      </c>
      <c r="M3255" s="3">
        <f>IF(ISERROR(VLOOKUP(D3255,Data!$A$2:$D$223100,2,FALSE)),0,1)</f>
        <v>1</v>
      </c>
      <c r="N3255" s="3">
        <f t="shared" si="101"/>
        <v>1</v>
      </c>
      <c r="O3255" s="3" t="str">
        <f>IF(ISERROR(VLOOKUP(D3255,Data!$A$2:$C$223100,3,FALSE)),"INACTIVE",VLOOKUP(D3255,Data!$A$2:$C$223100,3,FALSE))</f>
        <v>Current</v>
      </c>
    </row>
    <row r="3256" spans="1:15" x14ac:dyDescent="0.25">
      <c r="A3256" t="s">
        <v>567</v>
      </c>
      <c r="B3256" t="s">
        <v>568</v>
      </c>
      <c r="C3256" t="s">
        <v>649</v>
      </c>
      <c r="D3256" t="s">
        <v>650</v>
      </c>
      <c r="E3256" t="s">
        <v>651</v>
      </c>
      <c r="F3256" t="s">
        <v>651</v>
      </c>
      <c r="G3256" t="s">
        <v>5</v>
      </c>
      <c r="H3256" t="s">
        <v>5</v>
      </c>
      <c r="I3256" t="s">
        <v>522</v>
      </c>
      <c r="J3256" t="s">
        <v>47</v>
      </c>
      <c r="K3256" s="3">
        <f t="shared" si="100"/>
        <v>0</v>
      </c>
      <c r="L3256" s="3">
        <f>IF(ISERROR(VLOOKUP(J3256,Lookups!$A$2:$A$16,1,FALSE)),1,0)</f>
        <v>1</v>
      </c>
      <c r="M3256" s="3">
        <f>IF(ISERROR(VLOOKUP(D3256,Data!$A$2:$D$223100,2,FALSE)),0,1)</f>
        <v>1</v>
      </c>
      <c r="N3256" s="3">
        <f t="shared" si="101"/>
        <v>1</v>
      </c>
      <c r="O3256" s="3" t="str">
        <f>IF(ISERROR(VLOOKUP(D3256,Data!$A$2:$C$223100,3,FALSE)),"INACTIVE",VLOOKUP(D3256,Data!$A$2:$C$223100,3,FALSE))</f>
        <v>Demand Letter</v>
      </c>
    </row>
    <row r="3257" spans="1:15" x14ac:dyDescent="0.25">
      <c r="A3257" t="s">
        <v>567</v>
      </c>
      <c r="B3257" t="s">
        <v>568</v>
      </c>
      <c r="C3257" t="s">
        <v>652</v>
      </c>
      <c r="D3257" t="s">
        <v>653</v>
      </c>
      <c r="E3257" t="s">
        <v>654</v>
      </c>
      <c r="F3257" t="s">
        <v>654</v>
      </c>
      <c r="G3257" t="s">
        <v>5</v>
      </c>
      <c r="H3257" t="s">
        <v>5</v>
      </c>
      <c r="I3257" t="s">
        <v>522</v>
      </c>
      <c r="J3257" t="s">
        <v>40</v>
      </c>
      <c r="K3257" s="3">
        <f t="shared" si="100"/>
        <v>0</v>
      </c>
      <c r="L3257" s="3">
        <f>IF(ISERROR(VLOOKUP(J3257,Lookups!$A$2:$A$16,1,FALSE)),1,0)</f>
        <v>1</v>
      </c>
      <c r="M3257" s="3">
        <f>IF(ISERROR(VLOOKUP(D3257,Data!$A$2:$D$223100,2,FALSE)),0,1)</f>
        <v>1</v>
      </c>
      <c r="N3257" s="3">
        <f t="shared" si="101"/>
        <v>1</v>
      </c>
      <c r="O3257" s="3" t="str">
        <f>IF(ISERROR(VLOOKUP(D3257,Data!$A$2:$C$223100,3,FALSE)),"INACTIVE",VLOOKUP(D3257,Data!$A$2:$C$223100,3,FALSE))</f>
        <v>60+</v>
      </c>
    </row>
    <row r="3258" spans="1:15" x14ac:dyDescent="0.25">
      <c r="A3258" t="s">
        <v>567</v>
      </c>
      <c r="B3258" t="s">
        <v>568</v>
      </c>
      <c r="C3258" t="s">
        <v>655</v>
      </c>
      <c r="D3258" t="s">
        <v>656</v>
      </c>
      <c r="E3258" t="s">
        <v>657</v>
      </c>
      <c r="F3258" t="s">
        <v>657</v>
      </c>
      <c r="G3258" t="s">
        <v>5</v>
      </c>
      <c r="H3258" t="s">
        <v>5</v>
      </c>
      <c r="I3258" t="s">
        <v>522</v>
      </c>
      <c r="J3258" t="s">
        <v>40</v>
      </c>
      <c r="K3258" s="3">
        <f t="shared" si="100"/>
        <v>0</v>
      </c>
      <c r="L3258" s="3">
        <f>IF(ISERROR(VLOOKUP(J3258,Lookups!$A$2:$A$16,1,FALSE)),1,0)</f>
        <v>1</v>
      </c>
      <c r="M3258" s="3">
        <f>IF(ISERROR(VLOOKUP(D3258,Data!$A$2:$D$223100,2,FALSE)),0,1)</f>
        <v>1</v>
      </c>
      <c r="N3258" s="3">
        <f t="shared" si="101"/>
        <v>1</v>
      </c>
      <c r="O3258" s="3" t="str">
        <f>IF(ISERROR(VLOOKUP(D3258,Data!$A$2:$C$223100,3,FALSE)),"INACTIVE",VLOOKUP(D3258,Data!$A$2:$C$223100,3,FALSE))</f>
        <v>FC</v>
      </c>
    </row>
    <row r="3259" spans="1:15" x14ac:dyDescent="0.25">
      <c r="A3259" t="s">
        <v>567</v>
      </c>
      <c r="B3259" t="s">
        <v>568</v>
      </c>
      <c r="C3259" t="s">
        <v>658</v>
      </c>
      <c r="D3259" t="s">
        <v>659</v>
      </c>
      <c r="E3259" t="s">
        <v>660</v>
      </c>
      <c r="F3259" t="s">
        <v>660</v>
      </c>
      <c r="G3259" t="s">
        <v>5</v>
      </c>
      <c r="H3259" t="s">
        <v>5</v>
      </c>
      <c r="I3259" t="s">
        <v>522</v>
      </c>
      <c r="J3259" t="s">
        <v>47</v>
      </c>
      <c r="K3259" s="3">
        <f t="shared" si="100"/>
        <v>0</v>
      </c>
      <c r="L3259" s="3">
        <f>IF(ISERROR(VLOOKUP(J3259,Lookups!$A$2:$A$16,1,FALSE)),1,0)</f>
        <v>1</v>
      </c>
      <c r="M3259" s="3">
        <f>IF(ISERROR(VLOOKUP(D3259,Data!$A$2:$D$223100,2,FALSE)),0,1)</f>
        <v>1</v>
      </c>
      <c r="N3259" s="3">
        <f t="shared" si="101"/>
        <v>1</v>
      </c>
      <c r="O3259" s="3" t="str">
        <f>IF(ISERROR(VLOOKUP(D3259,Data!$A$2:$C$223100,3,FALSE)),"INACTIVE",VLOOKUP(D3259,Data!$A$2:$C$223100,3,FALSE))</f>
        <v>BK13</v>
      </c>
    </row>
    <row r="3260" spans="1:15" x14ac:dyDescent="0.25">
      <c r="A3260" t="s">
        <v>567</v>
      </c>
      <c r="B3260" t="s">
        <v>568</v>
      </c>
      <c r="C3260" t="s">
        <v>661</v>
      </c>
      <c r="D3260" t="s">
        <v>662</v>
      </c>
      <c r="E3260" t="s">
        <v>663</v>
      </c>
      <c r="F3260" t="s">
        <v>663</v>
      </c>
      <c r="G3260" t="s">
        <v>5</v>
      </c>
      <c r="H3260" t="s">
        <v>5</v>
      </c>
      <c r="I3260" t="s">
        <v>522</v>
      </c>
      <c r="J3260" t="s">
        <v>40</v>
      </c>
      <c r="K3260" s="3">
        <f t="shared" si="100"/>
        <v>0</v>
      </c>
      <c r="L3260" s="3">
        <f>IF(ISERROR(VLOOKUP(J3260,Lookups!$A$2:$A$16,1,FALSE)),1,0)</f>
        <v>1</v>
      </c>
      <c r="M3260" s="3">
        <f>IF(ISERROR(VLOOKUP(D3260,Data!$A$2:$D$223100,2,FALSE)),0,1)</f>
        <v>1</v>
      </c>
      <c r="N3260" s="3">
        <f t="shared" si="101"/>
        <v>1</v>
      </c>
      <c r="O3260" s="3" t="str">
        <f>IF(ISERROR(VLOOKUP(D3260,Data!$A$2:$C$223100,3,FALSE)),"INACTIVE",VLOOKUP(D3260,Data!$A$2:$C$223100,3,FALSE))</f>
        <v>120+</v>
      </c>
    </row>
    <row r="3261" spans="1:15" x14ac:dyDescent="0.25">
      <c r="A3261" t="s">
        <v>567</v>
      </c>
      <c r="B3261" t="s">
        <v>568</v>
      </c>
      <c r="C3261" t="s">
        <v>664</v>
      </c>
      <c r="D3261" t="s">
        <v>665</v>
      </c>
      <c r="E3261" t="s">
        <v>666</v>
      </c>
      <c r="F3261" t="s">
        <v>666</v>
      </c>
      <c r="G3261" t="s">
        <v>5</v>
      </c>
      <c r="H3261" t="s">
        <v>5</v>
      </c>
      <c r="I3261" t="s">
        <v>522</v>
      </c>
      <c r="J3261" t="s">
        <v>40</v>
      </c>
      <c r="K3261" s="3">
        <f t="shared" si="100"/>
        <v>0</v>
      </c>
      <c r="L3261" s="3">
        <f>IF(ISERROR(VLOOKUP(J3261,Lookups!$A$2:$A$16,1,FALSE)),1,0)</f>
        <v>1</v>
      </c>
      <c r="M3261" s="3">
        <f>IF(ISERROR(VLOOKUP(D3261,Data!$A$2:$D$223100,2,FALSE)),0,1)</f>
        <v>1</v>
      </c>
      <c r="N3261" s="3">
        <f t="shared" si="101"/>
        <v>1</v>
      </c>
      <c r="O3261" s="3" t="str">
        <f>IF(ISERROR(VLOOKUP(D3261,Data!$A$2:$C$223100,3,FALSE)),"INACTIVE",VLOOKUP(D3261,Data!$A$2:$C$223100,3,FALSE))</f>
        <v>Demand Letter</v>
      </c>
    </row>
    <row r="3262" spans="1:15" x14ac:dyDescent="0.25">
      <c r="A3262" t="s">
        <v>567</v>
      </c>
      <c r="B3262" t="s">
        <v>568</v>
      </c>
      <c r="C3262" t="s">
        <v>667</v>
      </c>
      <c r="D3262" t="s">
        <v>668</v>
      </c>
      <c r="E3262" t="s">
        <v>669</v>
      </c>
      <c r="F3262" t="s">
        <v>669</v>
      </c>
      <c r="G3262" t="s">
        <v>5</v>
      </c>
      <c r="H3262" t="s">
        <v>5</v>
      </c>
      <c r="I3262" t="s">
        <v>522</v>
      </c>
      <c r="J3262" t="s">
        <v>40</v>
      </c>
      <c r="K3262" s="3">
        <f t="shared" si="100"/>
        <v>0</v>
      </c>
      <c r="L3262" s="3">
        <f>IF(ISERROR(VLOOKUP(J3262,Lookups!$A$2:$A$16,1,FALSE)),1,0)</f>
        <v>1</v>
      </c>
      <c r="M3262" s="3">
        <f>IF(ISERROR(VLOOKUP(D3262,Data!$A$2:$D$223100,2,FALSE)),0,1)</f>
        <v>1</v>
      </c>
      <c r="N3262" s="3">
        <f t="shared" si="101"/>
        <v>1</v>
      </c>
      <c r="O3262" s="3" t="str">
        <f>IF(ISERROR(VLOOKUP(D3262,Data!$A$2:$C$223100,3,FALSE)),"INACTIVE",VLOOKUP(D3262,Data!$A$2:$C$223100,3,FALSE))</f>
        <v>Demand Letter</v>
      </c>
    </row>
    <row r="3263" spans="1:15" x14ac:dyDescent="0.25">
      <c r="A3263" t="s">
        <v>567</v>
      </c>
      <c r="B3263" t="s">
        <v>568</v>
      </c>
      <c r="C3263" t="s">
        <v>670</v>
      </c>
      <c r="D3263" t="s">
        <v>671</v>
      </c>
      <c r="E3263" t="s">
        <v>672</v>
      </c>
      <c r="F3263" t="s">
        <v>672</v>
      </c>
      <c r="G3263" t="s">
        <v>5</v>
      </c>
      <c r="H3263" t="s">
        <v>5</v>
      </c>
      <c r="I3263" t="s">
        <v>522</v>
      </c>
      <c r="J3263" t="s">
        <v>40</v>
      </c>
      <c r="K3263" s="3">
        <f t="shared" si="100"/>
        <v>0</v>
      </c>
      <c r="L3263" s="3">
        <f>IF(ISERROR(VLOOKUP(J3263,Lookups!$A$2:$A$16,1,FALSE)),1,0)</f>
        <v>1</v>
      </c>
      <c r="M3263" s="3">
        <f>IF(ISERROR(VLOOKUP(D3263,Data!$A$2:$D$223100,2,FALSE)),0,1)</f>
        <v>1</v>
      </c>
      <c r="N3263" s="3">
        <f t="shared" si="101"/>
        <v>1</v>
      </c>
      <c r="O3263" s="3" t="str">
        <f>IF(ISERROR(VLOOKUP(D3263,Data!$A$2:$C$223100,3,FALSE)),"INACTIVE",VLOOKUP(D3263,Data!$A$2:$C$223100,3,FALSE))</f>
        <v>Demand Letter</v>
      </c>
    </row>
    <row r="3264" spans="1:15" x14ac:dyDescent="0.25">
      <c r="A3264" t="s">
        <v>567</v>
      </c>
      <c r="B3264" t="s">
        <v>568</v>
      </c>
      <c r="C3264" t="s">
        <v>673</v>
      </c>
      <c r="D3264" t="s">
        <v>674</v>
      </c>
      <c r="E3264" t="s">
        <v>675</v>
      </c>
      <c r="F3264" t="s">
        <v>675</v>
      </c>
      <c r="G3264" t="s">
        <v>5</v>
      </c>
      <c r="H3264" t="s">
        <v>5</v>
      </c>
      <c r="I3264" t="s">
        <v>522</v>
      </c>
      <c r="J3264" t="s">
        <v>40</v>
      </c>
      <c r="K3264" s="3">
        <f t="shared" si="100"/>
        <v>0</v>
      </c>
      <c r="L3264" s="3">
        <f>IF(ISERROR(VLOOKUP(J3264,Lookups!$A$2:$A$16,1,FALSE)),1,0)</f>
        <v>1</v>
      </c>
      <c r="M3264" s="3">
        <f>IF(ISERROR(VLOOKUP(D3264,Data!$A$2:$D$223100,2,FALSE)),0,1)</f>
        <v>1</v>
      </c>
      <c r="N3264" s="3">
        <f t="shared" si="101"/>
        <v>1</v>
      </c>
      <c r="O3264" s="3" t="str">
        <f>IF(ISERROR(VLOOKUP(D3264,Data!$A$2:$C$223100,3,FALSE)),"INACTIVE",VLOOKUP(D3264,Data!$A$2:$C$223100,3,FALSE))</f>
        <v>30+</v>
      </c>
    </row>
    <row r="3265" spans="1:15" x14ac:dyDescent="0.25">
      <c r="A3265" t="s">
        <v>567</v>
      </c>
      <c r="B3265" t="s">
        <v>568</v>
      </c>
      <c r="C3265" t="s">
        <v>676</v>
      </c>
      <c r="D3265" t="s">
        <v>677</v>
      </c>
      <c r="E3265" t="s">
        <v>678</v>
      </c>
      <c r="F3265" t="s">
        <v>678</v>
      </c>
      <c r="G3265" t="s">
        <v>5</v>
      </c>
      <c r="H3265" t="s">
        <v>5</v>
      </c>
      <c r="I3265" t="s">
        <v>522</v>
      </c>
      <c r="J3265" t="s">
        <v>40</v>
      </c>
      <c r="K3265" s="3">
        <f t="shared" si="100"/>
        <v>0</v>
      </c>
      <c r="L3265" s="3">
        <f>IF(ISERROR(VLOOKUP(J3265,Lookups!$A$2:$A$16,1,FALSE)),1,0)</f>
        <v>1</v>
      </c>
      <c r="M3265" s="3">
        <f>IF(ISERROR(VLOOKUP(D3265,Data!$A$2:$D$223100,2,FALSE)),0,1)</f>
        <v>1</v>
      </c>
      <c r="N3265" s="3">
        <f t="shared" si="101"/>
        <v>1</v>
      </c>
      <c r="O3265" s="3" t="str">
        <f>IF(ISERROR(VLOOKUP(D3265,Data!$A$2:$C$223100,3,FALSE)),"INACTIVE",VLOOKUP(D3265,Data!$A$2:$C$223100,3,FALSE))</f>
        <v>Demand Letter</v>
      </c>
    </row>
    <row r="3266" spans="1:15" x14ac:dyDescent="0.25">
      <c r="A3266" t="s">
        <v>567</v>
      </c>
      <c r="B3266" t="s">
        <v>568</v>
      </c>
      <c r="C3266" t="s">
        <v>679</v>
      </c>
      <c r="D3266" t="s">
        <v>680</v>
      </c>
      <c r="E3266" t="s">
        <v>681</v>
      </c>
      <c r="F3266" t="s">
        <v>681</v>
      </c>
      <c r="G3266" t="s">
        <v>5</v>
      </c>
      <c r="H3266" t="s">
        <v>5</v>
      </c>
      <c r="I3266" t="s">
        <v>522</v>
      </c>
      <c r="J3266" t="s">
        <v>47</v>
      </c>
      <c r="K3266" s="3">
        <f t="shared" si="100"/>
        <v>0</v>
      </c>
      <c r="L3266" s="3">
        <f>IF(ISERROR(VLOOKUP(J3266,Lookups!$A$2:$A$16,1,FALSE)),1,0)</f>
        <v>1</v>
      </c>
      <c r="M3266" s="3">
        <f>IF(ISERROR(VLOOKUP(D3266,Data!$A$2:$D$223100,2,FALSE)),0,1)</f>
        <v>1</v>
      </c>
      <c r="N3266" s="3">
        <f t="shared" si="101"/>
        <v>1</v>
      </c>
      <c r="O3266" s="3" t="str">
        <f>IF(ISERROR(VLOOKUP(D3266,Data!$A$2:$C$223100,3,FALSE)),"INACTIVE",VLOOKUP(D3266,Data!$A$2:$C$223100,3,FALSE))</f>
        <v>FC</v>
      </c>
    </row>
    <row r="3267" spans="1:15" x14ac:dyDescent="0.25">
      <c r="A3267" t="s">
        <v>567</v>
      </c>
      <c r="B3267" t="s">
        <v>568</v>
      </c>
      <c r="C3267" t="s">
        <v>682</v>
      </c>
      <c r="D3267" t="s">
        <v>683</v>
      </c>
      <c r="E3267" t="s">
        <v>684</v>
      </c>
      <c r="F3267" t="s">
        <v>684</v>
      </c>
      <c r="G3267" t="s">
        <v>5</v>
      </c>
      <c r="H3267" t="s">
        <v>5</v>
      </c>
      <c r="I3267" t="s">
        <v>522</v>
      </c>
      <c r="J3267" t="s">
        <v>40</v>
      </c>
      <c r="K3267" s="3">
        <f t="shared" ref="K3267:K3330" si="102">IF(ISERROR(FIND("LIEN",A3267,1)),0,1)</f>
        <v>0</v>
      </c>
      <c r="L3267" s="3">
        <f>IF(ISERROR(VLOOKUP(J3267,Lookups!$A$2:$A$16,1,FALSE)),1,0)</f>
        <v>1</v>
      </c>
      <c r="M3267" s="3">
        <f>IF(ISERROR(VLOOKUP(D3267,Data!$A$2:$D$223100,2,FALSE)),0,1)</f>
        <v>1</v>
      </c>
      <c r="N3267" s="3">
        <f t="shared" ref="N3267:N3330" si="103">IF(M3267=0,0,IF(SUM(K3267:L3267)&gt;0,1,0))</f>
        <v>1</v>
      </c>
      <c r="O3267" s="3" t="str">
        <f>IF(ISERROR(VLOOKUP(D3267,Data!$A$2:$C$223100,3,FALSE)),"INACTIVE",VLOOKUP(D3267,Data!$A$2:$C$223100,3,FALSE))</f>
        <v>Current</v>
      </c>
    </row>
    <row r="3268" spans="1:15" x14ac:dyDescent="0.25">
      <c r="A3268" t="s">
        <v>567</v>
      </c>
      <c r="B3268" t="s">
        <v>568</v>
      </c>
      <c r="C3268" t="s">
        <v>685</v>
      </c>
      <c r="D3268" t="s">
        <v>686</v>
      </c>
      <c r="E3268" t="s">
        <v>687</v>
      </c>
      <c r="F3268" t="s">
        <v>687</v>
      </c>
      <c r="G3268" t="s">
        <v>5</v>
      </c>
      <c r="H3268" t="s">
        <v>5</v>
      </c>
      <c r="I3268" t="s">
        <v>522</v>
      </c>
      <c r="J3268" t="s">
        <v>47</v>
      </c>
      <c r="K3268" s="3">
        <f t="shared" si="102"/>
        <v>0</v>
      </c>
      <c r="L3268" s="3">
        <f>IF(ISERROR(VLOOKUP(J3268,Lookups!$A$2:$A$16,1,FALSE)),1,0)</f>
        <v>1</v>
      </c>
      <c r="M3268" s="3">
        <f>IF(ISERROR(VLOOKUP(D3268,Data!$A$2:$D$223100,2,FALSE)),0,1)</f>
        <v>1</v>
      </c>
      <c r="N3268" s="3">
        <f t="shared" si="103"/>
        <v>1</v>
      </c>
      <c r="O3268" s="3" t="str">
        <f>IF(ISERROR(VLOOKUP(D3268,Data!$A$2:$C$223100,3,FALSE)),"INACTIVE",VLOOKUP(D3268,Data!$A$2:$C$223100,3,FALSE))</f>
        <v>Demand Letter</v>
      </c>
    </row>
    <row r="3269" spans="1:15" x14ac:dyDescent="0.25">
      <c r="A3269" t="s">
        <v>567</v>
      </c>
      <c r="B3269" t="s">
        <v>568</v>
      </c>
      <c r="C3269" t="s">
        <v>688</v>
      </c>
      <c r="D3269" t="s">
        <v>689</v>
      </c>
      <c r="E3269" t="s">
        <v>690</v>
      </c>
      <c r="F3269" t="s">
        <v>690</v>
      </c>
      <c r="G3269" t="s">
        <v>5</v>
      </c>
      <c r="H3269" t="s">
        <v>5</v>
      </c>
      <c r="I3269" t="s">
        <v>522</v>
      </c>
      <c r="J3269" t="s">
        <v>47</v>
      </c>
      <c r="K3269" s="3">
        <f t="shared" si="102"/>
        <v>0</v>
      </c>
      <c r="L3269" s="3">
        <f>IF(ISERROR(VLOOKUP(J3269,Lookups!$A$2:$A$16,1,FALSE)),1,0)</f>
        <v>1</v>
      </c>
      <c r="M3269" s="3">
        <f>IF(ISERROR(VLOOKUP(D3269,Data!$A$2:$D$223100,2,FALSE)),0,1)</f>
        <v>1</v>
      </c>
      <c r="N3269" s="3">
        <f t="shared" si="103"/>
        <v>1</v>
      </c>
      <c r="O3269" s="3" t="str">
        <f>IF(ISERROR(VLOOKUP(D3269,Data!$A$2:$C$223100,3,FALSE)),"INACTIVE",VLOOKUP(D3269,Data!$A$2:$C$223100,3,FALSE))</f>
        <v>Demand Letter</v>
      </c>
    </row>
    <row r="3270" spans="1:15" x14ac:dyDescent="0.25">
      <c r="A3270" t="s">
        <v>567</v>
      </c>
      <c r="B3270" t="s">
        <v>568</v>
      </c>
      <c r="C3270" t="s">
        <v>580</v>
      </c>
      <c r="D3270" t="s">
        <v>581</v>
      </c>
      <c r="E3270" t="s">
        <v>691</v>
      </c>
      <c r="F3270" t="s">
        <v>691</v>
      </c>
      <c r="G3270" t="s">
        <v>5</v>
      </c>
      <c r="H3270" t="s">
        <v>5</v>
      </c>
      <c r="I3270" t="s">
        <v>522</v>
      </c>
      <c r="J3270" t="s">
        <v>573</v>
      </c>
      <c r="K3270" s="3">
        <f t="shared" si="102"/>
        <v>0</v>
      </c>
      <c r="L3270" s="3">
        <f>IF(ISERROR(VLOOKUP(J3270,Lookups!$A$2:$A$16,1,FALSE)),1,0)</f>
        <v>1</v>
      </c>
      <c r="M3270" s="3">
        <f>IF(ISERROR(VLOOKUP(D3270,Data!$A$2:$D$223100,2,FALSE)),0,1)</f>
        <v>1</v>
      </c>
      <c r="N3270" s="3">
        <f t="shared" si="103"/>
        <v>1</v>
      </c>
      <c r="O3270" s="3" t="str">
        <f>IF(ISERROR(VLOOKUP(D3270,Data!$A$2:$C$223100,3,FALSE)),"INACTIVE",VLOOKUP(D3270,Data!$A$2:$C$223100,3,FALSE))</f>
        <v>180+</v>
      </c>
    </row>
    <row r="3271" spans="1:15" x14ac:dyDescent="0.25">
      <c r="A3271" t="s">
        <v>567</v>
      </c>
      <c r="B3271" t="s">
        <v>568</v>
      </c>
      <c r="C3271" t="s">
        <v>692</v>
      </c>
      <c r="D3271" t="s">
        <v>693</v>
      </c>
      <c r="E3271" t="s">
        <v>694</v>
      </c>
      <c r="F3271" t="s">
        <v>694</v>
      </c>
      <c r="G3271" t="s">
        <v>5</v>
      </c>
      <c r="H3271" t="s">
        <v>5</v>
      </c>
      <c r="I3271" t="s">
        <v>522</v>
      </c>
      <c r="J3271" t="s">
        <v>40</v>
      </c>
      <c r="K3271" s="3">
        <f t="shared" si="102"/>
        <v>0</v>
      </c>
      <c r="L3271" s="3">
        <f>IF(ISERROR(VLOOKUP(J3271,Lookups!$A$2:$A$16,1,FALSE)),1,0)</f>
        <v>1</v>
      </c>
      <c r="M3271" s="3">
        <f>IF(ISERROR(VLOOKUP(D3271,Data!$A$2:$D$223100,2,FALSE)),0,1)</f>
        <v>1</v>
      </c>
      <c r="N3271" s="3">
        <f t="shared" si="103"/>
        <v>1</v>
      </c>
      <c r="O3271" s="3" t="str">
        <f>IF(ISERROR(VLOOKUP(D3271,Data!$A$2:$C$223100,3,FALSE)),"INACTIVE",VLOOKUP(D3271,Data!$A$2:$C$223100,3,FALSE))</f>
        <v>90+</v>
      </c>
    </row>
    <row r="3272" spans="1:15" x14ac:dyDescent="0.25">
      <c r="A3272" t="s">
        <v>567</v>
      </c>
      <c r="B3272" t="s">
        <v>568</v>
      </c>
      <c r="C3272" t="s">
        <v>695</v>
      </c>
      <c r="D3272" t="s">
        <v>696</v>
      </c>
      <c r="E3272" t="s">
        <v>697</v>
      </c>
      <c r="F3272" t="s">
        <v>697</v>
      </c>
      <c r="G3272" t="s">
        <v>5</v>
      </c>
      <c r="H3272" t="s">
        <v>5</v>
      </c>
      <c r="I3272" t="s">
        <v>522</v>
      </c>
      <c r="J3272" t="s">
        <v>40</v>
      </c>
      <c r="K3272" s="3">
        <f t="shared" si="102"/>
        <v>0</v>
      </c>
      <c r="L3272" s="3">
        <f>IF(ISERROR(VLOOKUP(J3272,Lookups!$A$2:$A$16,1,FALSE)),1,0)</f>
        <v>1</v>
      </c>
      <c r="M3272" s="3">
        <f>IF(ISERROR(VLOOKUP(D3272,Data!$A$2:$D$223100,2,FALSE)),0,1)</f>
        <v>1</v>
      </c>
      <c r="N3272" s="3">
        <f t="shared" si="103"/>
        <v>1</v>
      </c>
      <c r="O3272" s="3" t="str">
        <f>IF(ISERROR(VLOOKUP(D3272,Data!$A$2:$C$223100,3,FALSE)),"INACTIVE",VLOOKUP(D3272,Data!$A$2:$C$223100,3,FALSE))</f>
        <v>90+</v>
      </c>
    </row>
    <row r="3273" spans="1:15" x14ac:dyDescent="0.25">
      <c r="A3273" t="s">
        <v>567</v>
      </c>
      <c r="B3273" t="s">
        <v>568</v>
      </c>
      <c r="C3273" t="s">
        <v>698</v>
      </c>
      <c r="D3273" t="s">
        <v>699</v>
      </c>
      <c r="E3273" t="s">
        <v>700</v>
      </c>
      <c r="F3273" t="s">
        <v>700</v>
      </c>
      <c r="G3273" t="s">
        <v>5</v>
      </c>
      <c r="H3273" t="s">
        <v>5</v>
      </c>
      <c r="I3273" t="s">
        <v>522</v>
      </c>
      <c r="J3273" t="s">
        <v>40</v>
      </c>
      <c r="K3273" s="3">
        <f t="shared" si="102"/>
        <v>0</v>
      </c>
      <c r="L3273" s="3">
        <f>IF(ISERROR(VLOOKUP(J3273,Lookups!$A$2:$A$16,1,FALSE)),1,0)</f>
        <v>1</v>
      </c>
      <c r="M3273" s="3">
        <f>IF(ISERROR(VLOOKUP(D3273,Data!$A$2:$D$223100,2,FALSE)),0,1)</f>
        <v>1</v>
      </c>
      <c r="N3273" s="3">
        <f t="shared" si="103"/>
        <v>1</v>
      </c>
      <c r="O3273" s="3" t="str">
        <f>IF(ISERROR(VLOOKUP(D3273,Data!$A$2:$C$223100,3,FALSE)),"INACTIVE",VLOOKUP(D3273,Data!$A$2:$C$223100,3,FALSE))</f>
        <v>90+</v>
      </c>
    </row>
    <row r="3274" spans="1:15" x14ac:dyDescent="0.25">
      <c r="A3274" t="s">
        <v>701</v>
      </c>
      <c r="B3274" t="s">
        <v>702</v>
      </c>
      <c r="C3274" t="s">
        <v>703</v>
      </c>
      <c r="D3274" t="s">
        <v>704</v>
      </c>
      <c r="E3274" t="s">
        <v>705</v>
      </c>
      <c r="F3274" t="s">
        <v>5</v>
      </c>
      <c r="G3274" t="s">
        <v>5</v>
      </c>
      <c r="H3274" t="s">
        <v>5</v>
      </c>
      <c r="I3274" t="s">
        <v>522</v>
      </c>
      <c r="J3274" t="s">
        <v>14</v>
      </c>
      <c r="K3274" s="3">
        <f t="shared" si="102"/>
        <v>0</v>
      </c>
      <c r="L3274" s="3">
        <f>IF(ISERROR(VLOOKUP(J3274,Lookups!$A$2:$A$16,1,FALSE)),1,0)</f>
        <v>1</v>
      </c>
      <c r="M3274" s="3">
        <f>IF(ISERROR(VLOOKUP(D3274,Data!$A$2:$D$223100,2,FALSE)),0,1)</f>
        <v>1</v>
      </c>
      <c r="N3274" s="3">
        <f t="shared" si="103"/>
        <v>1</v>
      </c>
      <c r="O3274" s="3" t="str">
        <f>IF(ISERROR(VLOOKUP(D3274,Data!$A$2:$C$223100,3,FALSE)),"INACTIVE",VLOOKUP(D3274,Data!$A$2:$C$223100,3,FALSE))</f>
        <v>120+</v>
      </c>
    </row>
    <row r="3275" spans="1:15" x14ac:dyDescent="0.25">
      <c r="A3275" t="s">
        <v>701</v>
      </c>
      <c r="B3275" t="s">
        <v>702</v>
      </c>
      <c r="C3275" t="s">
        <v>703</v>
      </c>
      <c r="D3275" t="s">
        <v>704</v>
      </c>
      <c r="E3275" t="s">
        <v>706</v>
      </c>
      <c r="F3275" t="s">
        <v>5</v>
      </c>
      <c r="G3275" t="s">
        <v>5</v>
      </c>
      <c r="H3275" t="s">
        <v>5</v>
      </c>
      <c r="I3275" t="s">
        <v>522</v>
      </c>
      <c r="J3275" t="s">
        <v>14</v>
      </c>
      <c r="K3275" s="3">
        <f t="shared" si="102"/>
        <v>0</v>
      </c>
      <c r="L3275" s="3">
        <f>IF(ISERROR(VLOOKUP(J3275,Lookups!$A$2:$A$16,1,FALSE)),1,0)</f>
        <v>1</v>
      </c>
      <c r="M3275" s="3">
        <f>IF(ISERROR(VLOOKUP(D3275,Data!$A$2:$D$223100,2,FALSE)),0,1)</f>
        <v>1</v>
      </c>
      <c r="N3275" s="3">
        <f t="shared" si="103"/>
        <v>1</v>
      </c>
      <c r="O3275" s="3" t="str">
        <f>IF(ISERROR(VLOOKUP(D3275,Data!$A$2:$C$223100,3,FALSE)),"INACTIVE",VLOOKUP(D3275,Data!$A$2:$C$223100,3,FALSE))</f>
        <v>120+</v>
      </c>
    </row>
    <row r="3276" spans="1:15" x14ac:dyDescent="0.25">
      <c r="A3276" t="s">
        <v>701</v>
      </c>
      <c r="B3276" t="s">
        <v>702</v>
      </c>
      <c r="C3276" t="s">
        <v>707</v>
      </c>
      <c r="D3276" t="s">
        <v>708</v>
      </c>
      <c r="E3276" t="s">
        <v>5</v>
      </c>
      <c r="F3276" t="s">
        <v>709</v>
      </c>
      <c r="G3276" t="s">
        <v>5</v>
      </c>
      <c r="H3276" t="s">
        <v>5</v>
      </c>
      <c r="I3276" t="s">
        <v>522</v>
      </c>
      <c r="J3276" t="s">
        <v>573</v>
      </c>
      <c r="K3276" s="3">
        <f t="shared" si="102"/>
        <v>0</v>
      </c>
      <c r="L3276" s="3">
        <f>IF(ISERROR(VLOOKUP(J3276,Lookups!$A$2:$A$16,1,FALSE)),1,0)</f>
        <v>1</v>
      </c>
      <c r="M3276" s="3">
        <f>IF(ISERROR(VLOOKUP(D3276,Data!$A$2:$D$223100,2,FALSE)),0,1)</f>
        <v>1</v>
      </c>
      <c r="N3276" s="3">
        <f t="shared" si="103"/>
        <v>1</v>
      </c>
      <c r="O3276" s="3" t="str">
        <f>IF(ISERROR(VLOOKUP(D3276,Data!$A$2:$C$223100,3,FALSE)),"INACTIVE",VLOOKUP(D3276,Data!$A$2:$C$223100,3,FALSE))</f>
        <v>Demand Letter</v>
      </c>
    </row>
    <row r="3277" spans="1:15" x14ac:dyDescent="0.25">
      <c r="A3277" t="s">
        <v>849</v>
      </c>
      <c r="B3277" t="s">
        <v>850</v>
      </c>
      <c r="C3277" t="s">
        <v>851</v>
      </c>
      <c r="D3277" t="s">
        <v>852</v>
      </c>
      <c r="E3277" t="s">
        <v>853</v>
      </c>
      <c r="F3277" t="s">
        <v>5</v>
      </c>
      <c r="G3277" t="s">
        <v>5</v>
      </c>
      <c r="H3277" t="s">
        <v>5</v>
      </c>
      <c r="I3277" t="s">
        <v>522</v>
      </c>
      <c r="J3277" t="s">
        <v>96</v>
      </c>
      <c r="K3277" s="3">
        <f t="shared" si="102"/>
        <v>0</v>
      </c>
      <c r="L3277" s="3">
        <f>IF(ISERROR(VLOOKUP(J3277,Lookups!$A$2:$A$16,1,FALSE)),1,0)</f>
        <v>0</v>
      </c>
      <c r="M3277" s="3">
        <f>IF(ISERROR(VLOOKUP(D3277,Data!$A$2:$D$223100,2,FALSE)),0,1)</f>
        <v>1</v>
      </c>
      <c r="N3277" s="3">
        <f t="shared" si="103"/>
        <v>0</v>
      </c>
      <c r="O3277" s="3" t="str">
        <f>IF(ISERROR(VLOOKUP(D3277,Data!$A$2:$C$223100,3,FALSE)),"INACTIVE",VLOOKUP(D3277,Data!$A$2:$C$223100,3,FALSE))</f>
        <v>FC</v>
      </c>
    </row>
    <row r="3278" spans="1:15" x14ac:dyDescent="0.25">
      <c r="A3278" t="s">
        <v>849</v>
      </c>
      <c r="B3278" t="s">
        <v>850</v>
      </c>
      <c r="C3278" t="s">
        <v>851</v>
      </c>
      <c r="D3278" t="s">
        <v>852</v>
      </c>
      <c r="E3278" t="s">
        <v>854</v>
      </c>
      <c r="F3278" t="s">
        <v>5</v>
      </c>
      <c r="G3278" t="s">
        <v>5</v>
      </c>
      <c r="H3278" t="s">
        <v>5</v>
      </c>
      <c r="I3278" t="s">
        <v>522</v>
      </c>
      <c r="J3278" t="s">
        <v>96</v>
      </c>
      <c r="K3278" s="3">
        <f t="shared" si="102"/>
        <v>0</v>
      </c>
      <c r="L3278" s="3">
        <f>IF(ISERROR(VLOOKUP(J3278,Lookups!$A$2:$A$16,1,FALSE)),1,0)</f>
        <v>0</v>
      </c>
      <c r="M3278" s="3">
        <f>IF(ISERROR(VLOOKUP(D3278,Data!$A$2:$D$223100,2,FALSE)),0,1)</f>
        <v>1</v>
      </c>
      <c r="N3278" s="3">
        <f t="shared" si="103"/>
        <v>0</v>
      </c>
      <c r="O3278" s="3" t="str">
        <f>IF(ISERROR(VLOOKUP(D3278,Data!$A$2:$C$223100,3,FALSE)),"INACTIVE",VLOOKUP(D3278,Data!$A$2:$C$223100,3,FALSE))</f>
        <v>FC</v>
      </c>
    </row>
    <row r="3279" spans="1:15" x14ac:dyDescent="0.25">
      <c r="A3279" t="s">
        <v>849</v>
      </c>
      <c r="B3279" t="s">
        <v>850</v>
      </c>
      <c r="C3279" t="s">
        <v>855</v>
      </c>
      <c r="D3279" t="s">
        <v>856</v>
      </c>
      <c r="E3279" t="s">
        <v>857</v>
      </c>
      <c r="F3279" t="s">
        <v>5</v>
      </c>
      <c r="G3279" t="s">
        <v>5</v>
      </c>
      <c r="H3279" t="s">
        <v>5</v>
      </c>
      <c r="I3279" t="s">
        <v>522</v>
      </c>
      <c r="J3279" t="s">
        <v>96</v>
      </c>
      <c r="K3279" s="3">
        <f t="shared" si="102"/>
        <v>0</v>
      </c>
      <c r="L3279" s="3">
        <f>IF(ISERROR(VLOOKUP(J3279,Lookups!$A$2:$A$16,1,FALSE)),1,0)</f>
        <v>0</v>
      </c>
      <c r="M3279" s="3">
        <f>IF(ISERROR(VLOOKUP(D3279,Data!$A$2:$D$223100,2,FALSE)),0,1)</f>
        <v>1</v>
      </c>
      <c r="N3279" s="3">
        <f t="shared" si="103"/>
        <v>0</v>
      </c>
      <c r="O3279" s="3" t="str">
        <f>IF(ISERROR(VLOOKUP(D3279,Data!$A$2:$C$223100,3,FALSE)),"INACTIVE",VLOOKUP(D3279,Data!$A$2:$C$223100,3,FALSE))</f>
        <v>BK13</v>
      </c>
    </row>
    <row r="3280" spans="1:15" x14ac:dyDescent="0.25">
      <c r="A3280" t="s">
        <v>962</v>
      </c>
      <c r="B3280" t="s">
        <v>963</v>
      </c>
      <c r="C3280" t="s">
        <v>964</v>
      </c>
      <c r="D3280" t="s">
        <v>965</v>
      </c>
      <c r="E3280" t="s">
        <v>966</v>
      </c>
      <c r="F3280" t="s">
        <v>5</v>
      </c>
      <c r="G3280" t="s">
        <v>5</v>
      </c>
      <c r="H3280" t="s">
        <v>5</v>
      </c>
      <c r="I3280" t="s">
        <v>522</v>
      </c>
      <c r="J3280" t="s">
        <v>96</v>
      </c>
      <c r="K3280" s="3">
        <f t="shared" si="102"/>
        <v>0</v>
      </c>
      <c r="L3280" s="3">
        <f>IF(ISERROR(VLOOKUP(J3280,Lookups!$A$2:$A$16,1,FALSE)),1,0)</f>
        <v>0</v>
      </c>
      <c r="M3280" s="3">
        <f>IF(ISERROR(VLOOKUP(D3280,Data!$A$2:$D$223100,2,FALSE)),0,1)</f>
        <v>1</v>
      </c>
      <c r="N3280" s="3">
        <f t="shared" si="103"/>
        <v>0</v>
      </c>
      <c r="O3280" s="3" t="str">
        <f>IF(ISERROR(VLOOKUP(D3280,Data!$A$2:$C$223100,3,FALSE)),"INACTIVE",VLOOKUP(D3280,Data!$A$2:$C$223100,3,FALSE))</f>
        <v>Current</v>
      </c>
    </row>
    <row r="3281" spans="1:15" x14ac:dyDescent="0.25">
      <c r="A3281" t="s">
        <v>962</v>
      </c>
      <c r="B3281" t="s">
        <v>963</v>
      </c>
      <c r="C3281" t="s">
        <v>964</v>
      </c>
      <c r="D3281" t="s">
        <v>965</v>
      </c>
      <c r="E3281" t="s">
        <v>967</v>
      </c>
      <c r="F3281" t="s">
        <v>5</v>
      </c>
      <c r="G3281" t="s">
        <v>5</v>
      </c>
      <c r="H3281" t="s">
        <v>5</v>
      </c>
      <c r="I3281" t="s">
        <v>522</v>
      </c>
      <c r="J3281" t="s">
        <v>96</v>
      </c>
      <c r="K3281" s="3">
        <f t="shared" si="102"/>
        <v>0</v>
      </c>
      <c r="L3281" s="3">
        <f>IF(ISERROR(VLOOKUP(J3281,Lookups!$A$2:$A$16,1,FALSE)),1,0)</f>
        <v>0</v>
      </c>
      <c r="M3281" s="3">
        <f>IF(ISERROR(VLOOKUP(D3281,Data!$A$2:$D$223100,2,FALSE)),0,1)</f>
        <v>1</v>
      </c>
      <c r="N3281" s="3">
        <f t="shared" si="103"/>
        <v>0</v>
      </c>
      <c r="O3281" s="3" t="str">
        <f>IF(ISERROR(VLOOKUP(D3281,Data!$A$2:$C$223100,3,FALSE)),"INACTIVE",VLOOKUP(D3281,Data!$A$2:$C$223100,3,FALSE))</f>
        <v>Current</v>
      </c>
    </row>
    <row r="3282" spans="1:15" x14ac:dyDescent="0.25">
      <c r="A3282" t="s">
        <v>962</v>
      </c>
      <c r="B3282" t="s">
        <v>963</v>
      </c>
      <c r="C3282" t="s">
        <v>968</v>
      </c>
      <c r="D3282" t="s">
        <v>969</v>
      </c>
      <c r="E3282" t="s">
        <v>970</v>
      </c>
      <c r="F3282" t="s">
        <v>5</v>
      </c>
      <c r="G3282" t="s">
        <v>5</v>
      </c>
      <c r="H3282" t="s">
        <v>5</v>
      </c>
      <c r="I3282" t="s">
        <v>522</v>
      </c>
      <c r="J3282" t="s">
        <v>90</v>
      </c>
      <c r="K3282" s="3">
        <f t="shared" si="102"/>
        <v>0</v>
      </c>
      <c r="L3282" s="3">
        <f>IF(ISERROR(VLOOKUP(J3282,Lookups!$A$2:$A$16,1,FALSE)),1,0)</f>
        <v>0</v>
      </c>
      <c r="M3282" s="3">
        <f>IF(ISERROR(VLOOKUP(D3282,Data!$A$2:$D$223100,2,FALSE)),0,1)</f>
        <v>1</v>
      </c>
      <c r="N3282" s="3">
        <f t="shared" si="103"/>
        <v>0</v>
      </c>
      <c r="O3282" s="3" t="str">
        <f>IF(ISERROR(VLOOKUP(D3282,Data!$A$2:$C$223100,3,FALSE)),"INACTIVE",VLOOKUP(D3282,Data!$A$2:$C$223100,3,FALSE))</f>
        <v>Current</v>
      </c>
    </row>
    <row r="3283" spans="1:15" x14ac:dyDescent="0.25">
      <c r="A3283" t="s">
        <v>962</v>
      </c>
      <c r="B3283" t="s">
        <v>963</v>
      </c>
      <c r="C3283" t="s">
        <v>971</v>
      </c>
      <c r="D3283" t="s">
        <v>972</v>
      </c>
      <c r="E3283" t="s">
        <v>973</v>
      </c>
      <c r="F3283" t="s">
        <v>5</v>
      </c>
      <c r="G3283" t="s">
        <v>5</v>
      </c>
      <c r="H3283" t="s">
        <v>5</v>
      </c>
      <c r="I3283" t="s">
        <v>522</v>
      </c>
      <c r="J3283" t="s">
        <v>90</v>
      </c>
      <c r="K3283" s="3">
        <f t="shared" si="102"/>
        <v>0</v>
      </c>
      <c r="L3283" s="3">
        <f>IF(ISERROR(VLOOKUP(J3283,Lookups!$A$2:$A$16,1,FALSE)),1,0)</f>
        <v>0</v>
      </c>
      <c r="M3283" s="3">
        <f>IF(ISERROR(VLOOKUP(D3283,Data!$A$2:$D$223100,2,FALSE)),0,1)</f>
        <v>1</v>
      </c>
      <c r="N3283" s="3">
        <f t="shared" si="103"/>
        <v>0</v>
      </c>
      <c r="O3283" s="3" t="str">
        <f>IF(ISERROR(VLOOKUP(D3283,Data!$A$2:$C$223100,3,FALSE)),"INACTIVE",VLOOKUP(D3283,Data!$A$2:$C$223100,3,FALSE))</f>
        <v>Current</v>
      </c>
    </row>
    <row r="3284" spans="1:15" x14ac:dyDescent="0.25">
      <c r="A3284" t="s">
        <v>962</v>
      </c>
      <c r="B3284" t="s">
        <v>963</v>
      </c>
      <c r="C3284" t="s">
        <v>974</v>
      </c>
      <c r="D3284" t="s">
        <v>975</v>
      </c>
      <c r="E3284" t="s">
        <v>976</v>
      </c>
      <c r="F3284" t="s">
        <v>5</v>
      </c>
      <c r="G3284" t="s">
        <v>5</v>
      </c>
      <c r="H3284" t="s">
        <v>5</v>
      </c>
      <c r="I3284" t="s">
        <v>522</v>
      </c>
      <c r="J3284" t="s">
        <v>90</v>
      </c>
      <c r="K3284" s="3">
        <f t="shared" si="102"/>
        <v>0</v>
      </c>
      <c r="L3284" s="3">
        <f>IF(ISERROR(VLOOKUP(J3284,Lookups!$A$2:$A$16,1,FALSE)),1,0)</f>
        <v>0</v>
      </c>
      <c r="M3284" s="3">
        <f>IF(ISERROR(VLOOKUP(D3284,Data!$A$2:$D$223100,2,FALSE)),0,1)</f>
        <v>1</v>
      </c>
      <c r="N3284" s="3">
        <f t="shared" si="103"/>
        <v>0</v>
      </c>
      <c r="O3284" s="3" t="str">
        <f>IF(ISERROR(VLOOKUP(D3284,Data!$A$2:$C$223100,3,FALSE)),"INACTIVE",VLOOKUP(D3284,Data!$A$2:$C$223100,3,FALSE))</f>
        <v>180+</v>
      </c>
    </row>
    <row r="3285" spans="1:15" x14ac:dyDescent="0.25">
      <c r="A3285" t="s">
        <v>1014</v>
      </c>
      <c r="B3285" t="s">
        <v>1015</v>
      </c>
      <c r="C3285" t="s">
        <v>1016</v>
      </c>
      <c r="D3285" t="s">
        <v>1017</v>
      </c>
      <c r="E3285" t="s">
        <v>1018</v>
      </c>
      <c r="F3285" t="s">
        <v>5</v>
      </c>
      <c r="G3285" t="s">
        <v>5</v>
      </c>
      <c r="H3285" t="s">
        <v>5</v>
      </c>
      <c r="I3285" t="s">
        <v>522</v>
      </c>
      <c r="J3285" t="s">
        <v>7</v>
      </c>
      <c r="K3285" s="3">
        <f t="shared" si="102"/>
        <v>0</v>
      </c>
      <c r="L3285" s="3">
        <f>IF(ISERROR(VLOOKUP(J3285,Lookups!$A$2:$A$16,1,FALSE)),1,0)</f>
        <v>1</v>
      </c>
      <c r="M3285" s="3">
        <f>IF(ISERROR(VLOOKUP(D3285,Data!$A$2:$D$223100,2,FALSE)),0,1)</f>
        <v>1</v>
      </c>
      <c r="N3285" s="3">
        <f t="shared" si="103"/>
        <v>1</v>
      </c>
      <c r="O3285" s="3" t="str">
        <f>IF(ISERROR(VLOOKUP(D3285,Data!$A$2:$C$223100,3,FALSE)),"INACTIVE",VLOOKUP(D3285,Data!$A$2:$C$223100,3,FALSE))</f>
        <v>Current</v>
      </c>
    </row>
    <row r="3286" spans="1:15" x14ac:dyDescent="0.25">
      <c r="A3286" t="s">
        <v>1014</v>
      </c>
      <c r="B3286" t="s">
        <v>1015</v>
      </c>
      <c r="C3286" t="s">
        <v>1019</v>
      </c>
      <c r="D3286" t="s">
        <v>1020</v>
      </c>
      <c r="E3286" t="s">
        <v>1021</v>
      </c>
      <c r="F3286" t="s">
        <v>5</v>
      </c>
      <c r="G3286" t="s">
        <v>5</v>
      </c>
      <c r="H3286" t="s">
        <v>5</v>
      </c>
      <c r="I3286" t="s">
        <v>522</v>
      </c>
      <c r="J3286" t="s">
        <v>96</v>
      </c>
      <c r="K3286" s="3">
        <f t="shared" si="102"/>
        <v>0</v>
      </c>
      <c r="L3286" s="3">
        <f>IF(ISERROR(VLOOKUP(J3286,Lookups!$A$2:$A$16,1,FALSE)),1,0)</f>
        <v>0</v>
      </c>
      <c r="M3286" s="3">
        <f>IF(ISERROR(VLOOKUP(D3286,Data!$A$2:$D$223100,2,FALSE)),0,1)</f>
        <v>1</v>
      </c>
      <c r="N3286" s="3">
        <f t="shared" si="103"/>
        <v>0</v>
      </c>
      <c r="O3286" s="3" t="str">
        <f>IF(ISERROR(VLOOKUP(D3286,Data!$A$2:$C$223100,3,FALSE)),"INACTIVE",VLOOKUP(D3286,Data!$A$2:$C$223100,3,FALSE))</f>
        <v>FC</v>
      </c>
    </row>
    <row r="3287" spans="1:15" x14ac:dyDescent="0.25">
      <c r="A3287" t="s">
        <v>1014</v>
      </c>
      <c r="B3287" t="s">
        <v>1015</v>
      </c>
      <c r="C3287" t="s">
        <v>1019</v>
      </c>
      <c r="D3287" t="s">
        <v>1020</v>
      </c>
      <c r="E3287" t="s">
        <v>1022</v>
      </c>
      <c r="F3287" t="s">
        <v>5</v>
      </c>
      <c r="G3287" t="s">
        <v>5</v>
      </c>
      <c r="H3287" t="s">
        <v>5</v>
      </c>
      <c r="I3287" t="s">
        <v>522</v>
      </c>
      <c r="J3287" t="s">
        <v>96</v>
      </c>
      <c r="K3287" s="3">
        <f t="shared" si="102"/>
        <v>0</v>
      </c>
      <c r="L3287" s="3">
        <f>IF(ISERROR(VLOOKUP(J3287,Lookups!$A$2:$A$16,1,FALSE)),1,0)</f>
        <v>0</v>
      </c>
      <c r="M3287" s="3">
        <f>IF(ISERROR(VLOOKUP(D3287,Data!$A$2:$D$223100,2,FALSE)),0,1)</f>
        <v>1</v>
      </c>
      <c r="N3287" s="3">
        <f t="shared" si="103"/>
        <v>0</v>
      </c>
      <c r="O3287" s="3" t="str">
        <f>IF(ISERROR(VLOOKUP(D3287,Data!$A$2:$C$223100,3,FALSE)),"INACTIVE",VLOOKUP(D3287,Data!$A$2:$C$223100,3,FALSE))</f>
        <v>FC</v>
      </c>
    </row>
    <row r="3288" spans="1:15" x14ac:dyDescent="0.25">
      <c r="A3288" t="s">
        <v>1014</v>
      </c>
      <c r="B3288" t="s">
        <v>1015</v>
      </c>
      <c r="C3288" t="s">
        <v>1019</v>
      </c>
      <c r="D3288" t="s">
        <v>1020</v>
      </c>
      <c r="E3288" t="s">
        <v>1023</v>
      </c>
      <c r="F3288" t="s">
        <v>5</v>
      </c>
      <c r="G3288" t="s">
        <v>5</v>
      </c>
      <c r="H3288" t="s">
        <v>5</v>
      </c>
      <c r="I3288" t="s">
        <v>522</v>
      </c>
      <c r="J3288" t="s">
        <v>96</v>
      </c>
      <c r="K3288" s="3">
        <f t="shared" si="102"/>
        <v>0</v>
      </c>
      <c r="L3288" s="3">
        <f>IF(ISERROR(VLOOKUP(J3288,Lookups!$A$2:$A$16,1,FALSE)),1,0)</f>
        <v>0</v>
      </c>
      <c r="M3288" s="3">
        <f>IF(ISERROR(VLOOKUP(D3288,Data!$A$2:$D$223100,2,FALSE)),0,1)</f>
        <v>1</v>
      </c>
      <c r="N3288" s="3">
        <f t="shared" si="103"/>
        <v>0</v>
      </c>
      <c r="O3288" s="3" t="str">
        <f>IF(ISERROR(VLOOKUP(D3288,Data!$A$2:$C$223100,3,FALSE)),"INACTIVE",VLOOKUP(D3288,Data!$A$2:$C$223100,3,FALSE))</f>
        <v>FC</v>
      </c>
    </row>
    <row r="3289" spans="1:15" x14ac:dyDescent="0.25">
      <c r="A3289" t="s">
        <v>1029</v>
      </c>
      <c r="B3289" t="s">
        <v>1030</v>
      </c>
      <c r="C3289" t="s">
        <v>1031</v>
      </c>
      <c r="D3289" t="s">
        <v>1032</v>
      </c>
      <c r="E3289" t="s">
        <v>1033</v>
      </c>
      <c r="F3289" t="s">
        <v>5</v>
      </c>
      <c r="G3289" t="s">
        <v>5</v>
      </c>
      <c r="H3289" t="s">
        <v>5</v>
      </c>
      <c r="I3289" t="s">
        <v>522</v>
      </c>
      <c r="J3289" t="s">
        <v>7</v>
      </c>
      <c r="K3289" s="3">
        <f t="shared" si="102"/>
        <v>0</v>
      </c>
      <c r="L3289" s="3">
        <f>IF(ISERROR(VLOOKUP(J3289,Lookups!$A$2:$A$16,1,FALSE)),1,0)</f>
        <v>1</v>
      </c>
      <c r="M3289" s="3">
        <f>IF(ISERROR(VLOOKUP(D3289,Data!$A$2:$D$223100,2,FALSE)),0,1)</f>
        <v>1</v>
      </c>
      <c r="N3289" s="3">
        <f t="shared" si="103"/>
        <v>1</v>
      </c>
      <c r="O3289" s="3" t="str">
        <f>IF(ISERROR(VLOOKUP(D3289,Data!$A$2:$C$223100,3,FALSE)),"INACTIVE",VLOOKUP(D3289,Data!$A$2:$C$223100,3,FALSE))</f>
        <v>FBA</v>
      </c>
    </row>
    <row r="3290" spans="1:15" x14ac:dyDescent="0.25">
      <c r="A3290" t="s">
        <v>1034</v>
      </c>
      <c r="B3290" t="s">
        <v>1035</v>
      </c>
      <c r="C3290" t="s">
        <v>1036</v>
      </c>
      <c r="D3290" t="s">
        <v>1037</v>
      </c>
      <c r="E3290" t="s">
        <v>1038</v>
      </c>
      <c r="F3290" t="s">
        <v>5</v>
      </c>
      <c r="G3290" t="s">
        <v>5</v>
      </c>
      <c r="H3290" t="s">
        <v>5</v>
      </c>
      <c r="I3290" t="s">
        <v>522</v>
      </c>
      <c r="J3290" t="s">
        <v>7</v>
      </c>
      <c r="K3290" s="3">
        <f t="shared" si="102"/>
        <v>0</v>
      </c>
      <c r="L3290" s="3">
        <f>IF(ISERROR(VLOOKUP(J3290,Lookups!$A$2:$A$16,1,FALSE)),1,0)</f>
        <v>1</v>
      </c>
      <c r="M3290" s="3">
        <f>IF(ISERROR(VLOOKUP(D3290,Data!$A$2:$D$223100,2,FALSE)),0,1)</f>
        <v>1</v>
      </c>
      <c r="N3290" s="3">
        <f t="shared" si="103"/>
        <v>1</v>
      </c>
      <c r="O3290" s="3" t="str">
        <f>IF(ISERROR(VLOOKUP(D3290,Data!$A$2:$C$223100,3,FALSE)),"INACTIVE",VLOOKUP(D3290,Data!$A$2:$C$223100,3,FALSE))</f>
        <v>60+</v>
      </c>
    </row>
    <row r="3291" spans="1:15" x14ac:dyDescent="0.25">
      <c r="A3291" t="s">
        <v>1034</v>
      </c>
      <c r="B3291" t="s">
        <v>1035</v>
      </c>
      <c r="C3291" t="s">
        <v>1039</v>
      </c>
      <c r="D3291" t="s">
        <v>1040</v>
      </c>
      <c r="E3291" t="s">
        <v>1041</v>
      </c>
      <c r="F3291" t="s">
        <v>5</v>
      </c>
      <c r="G3291" t="s">
        <v>5</v>
      </c>
      <c r="H3291" t="s">
        <v>5</v>
      </c>
      <c r="I3291" t="s">
        <v>522</v>
      </c>
      <c r="J3291" t="s">
        <v>7</v>
      </c>
      <c r="K3291" s="3">
        <f t="shared" si="102"/>
        <v>0</v>
      </c>
      <c r="L3291" s="3">
        <f>IF(ISERROR(VLOOKUP(J3291,Lookups!$A$2:$A$16,1,FALSE)),1,0)</f>
        <v>1</v>
      </c>
      <c r="M3291" s="3">
        <f>IF(ISERROR(VLOOKUP(D3291,Data!$A$2:$D$223100,2,FALSE)),0,1)</f>
        <v>1</v>
      </c>
      <c r="N3291" s="3">
        <f t="shared" si="103"/>
        <v>1</v>
      </c>
      <c r="O3291" s="3" t="str">
        <f>IF(ISERROR(VLOOKUP(D3291,Data!$A$2:$C$223100,3,FALSE)),"INACTIVE",VLOOKUP(D3291,Data!$A$2:$C$223100,3,FALSE))</f>
        <v>FC</v>
      </c>
    </row>
    <row r="3292" spans="1:15" x14ac:dyDescent="0.25">
      <c r="A3292" t="s">
        <v>1063</v>
      </c>
      <c r="B3292" t="s">
        <v>1064</v>
      </c>
      <c r="C3292" t="s">
        <v>1065</v>
      </c>
      <c r="D3292" t="s">
        <v>1066</v>
      </c>
      <c r="E3292" t="s">
        <v>1067</v>
      </c>
      <c r="F3292" t="s">
        <v>5</v>
      </c>
      <c r="G3292" t="s">
        <v>5</v>
      </c>
      <c r="H3292" t="s">
        <v>5</v>
      </c>
      <c r="I3292" t="s">
        <v>522</v>
      </c>
      <c r="J3292" t="s">
        <v>7</v>
      </c>
      <c r="K3292" s="3">
        <f t="shared" si="102"/>
        <v>0</v>
      </c>
      <c r="L3292" s="3">
        <f>IF(ISERROR(VLOOKUP(J3292,Lookups!$A$2:$A$16,1,FALSE)),1,0)</f>
        <v>1</v>
      </c>
      <c r="M3292" s="3">
        <f>IF(ISERROR(VLOOKUP(D3292,Data!$A$2:$D$223100,2,FALSE)),0,1)</f>
        <v>1</v>
      </c>
      <c r="N3292" s="3">
        <f t="shared" si="103"/>
        <v>1</v>
      </c>
      <c r="O3292" s="3" t="str">
        <f>IF(ISERROR(VLOOKUP(D3292,Data!$A$2:$C$223100,3,FALSE)),"INACTIVE",VLOOKUP(D3292,Data!$A$2:$C$223100,3,FALSE))</f>
        <v>30+</v>
      </c>
    </row>
    <row r="3293" spans="1:15" x14ac:dyDescent="0.25">
      <c r="A3293" t="s">
        <v>1063</v>
      </c>
      <c r="B3293" t="s">
        <v>1064</v>
      </c>
      <c r="C3293" t="s">
        <v>1068</v>
      </c>
      <c r="D3293" t="s">
        <v>1069</v>
      </c>
      <c r="E3293" t="s">
        <v>1070</v>
      </c>
      <c r="F3293" t="s">
        <v>5</v>
      </c>
      <c r="G3293" t="s">
        <v>5</v>
      </c>
      <c r="H3293" t="s">
        <v>5</v>
      </c>
      <c r="I3293" t="s">
        <v>522</v>
      </c>
      <c r="J3293" t="s">
        <v>7</v>
      </c>
      <c r="K3293" s="3">
        <f t="shared" si="102"/>
        <v>0</v>
      </c>
      <c r="L3293" s="3">
        <f>IF(ISERROR(VLOOKUP(J3293,Lookups!$A$2:$A$16,1,FALSE)),1,0)</f>
        <v>1</v>
      </c>
      <c r="M3293" s="3">
        <f>IF(ISERROR(VLOOKUP(D3293,Data!$A$2:$D$223100,2,FALSE)),0,1)</f>
        <v>1</v>
      </c>
      <c r="N3293" s="3">
        <f t="shared" si="103"/>
        <v>1</v>
      </c>
      <c r="O3293" s="3" t="str">
        <f>IF(ISERROR(VLOOKUP(D3293,Data!$A$2:$C$223100,3,FALSE)),"INACTIVE",VLOOKUP(D3293,Data!$A$2:$C$223100,3,FALSE))</f>
        <v>180+</v>
      </c>
    </row>
    <row r="3294" spans="1:15" x14ac:dyDescent="0.25">
      <c r="A3294" t="s">
        <v>1071</v>
      </c>
      <c r="B3294" t="s">
        <v>1072</v>
      </c>
      <c r="C3294" t="s">
        <v>1073</v>
      </c>
      <c r="D3294" t="s">
        <v>1074</v>
      </c>
      <c r="E3294" t="s">
        <v>1075</v>
      </c>
      <c r="F3294" t="s">
        <v>5</v>
      </c>
      <c r="G3294" t="s">
        <v>5</v>
      </c>
      <c r="H3294" t="s">
        <v>5</v>
      </c>
      <c r="I3294" t="s">
        <v>522</v>
      </c>
      <c r="J3294" t="s">
        <v>7</v>
      </c>
      <c r="K3294" s="3">
        <f t="shared" si="102"/>
        <v>0</v>
      </c>
      <c r="L3294" s="3">
        <f>IF(ISERROR(VLOOKUP(J3294,Lookups!$A$2:$A$16,1,FALSE)),1,0)</f>
        <v>1</v>
      </c>
      <c r="M3294" s="3">
        <f>IF(ISERROR(VLOOKUP(D3294,Data!$A$2:$D$223100,2,FALSE)),0,1)</f>
        <v>1</v>
      </c>
      <c r="N3294" s="3">
        <f t="shared" si="103"/>
        <v>1</v>
      </c>
      <c r="O3294" s="3" t="str">
        <f>IF(ISERROR(VLOOKUP(D3294,Data!$A$2:$C$223100,3,FALSE)),"INACTIVE",VLOOKUP(D3294,Data!$A$2:$C$223100,3,FALSE))</f>
        <v>Current</v>
      </c>
    </row>
    <row r="3295" spans="1:15" x14ac:dyDescent="0.25">
      <c r="A3295" t="s">
        <v>1076</v>
      </c>
      <c r="B3295" t="s">
        <v>1077</v>
      </c>
      <c r="C3295" t="s">
        <v>1078</v>
      </c>
      <c r="D3295" t="s">
        <v>1079</v>
      </c>
      <c r="E3295" t="s">
        <v>1080</v>
      </c>
      <c r="F3295" t="s">
        <v>5</v>
      </c>
      <c r="G3295" t="s">
        <v>5</v>
      </c>
      <c r="H3295" t="s">
        <v>5</v>
      </c>
      <c r="I3295" t="s">
        <v>522</v>
      </c>
      <c r="J3295" t="s">
        <v>7</v>
      </c>
      <c r="K3295" s="3">
        <f t="shared" si="102"/>
        <v>0</v>
      </c>
      <c r="L3295" s="3">
        <f>IF(ISERROR(VLOOKUP(J3295,Lookups!$A$2:$A$16,1,FALSE)),1,0)</f>
        <v>1</v>
      </c>
      <c r="M3295" s="3">
        <f>IF(ISERROR(VLOOKUP(D3295,Data!$A$2:$D$223100,2,FALSE)),0,1)</f>
        <v>0</v>
      </c>
      <c r="N3295" s="3">
        <f t="shared" si="103"/>
        <v>0</v>
      </c>
      <c r="O3295" s="3" t="str">
        <f>IF(ISERROR(VLOOKUP(D3295,Data!$A$2:$C$223100,3,FALSE)),"INACTIVE",VLOOKUP(D3295,Data!$A$2:$C$223100,3,FALSE))</f>
        <v>INACTIVE</v>
      </c>
    </row>
    <row r="3296" spans="1:15" x14ac:dyDescent="0.25">
      <c r="A3296" t="s">
        <v>15</v>
      </c>
      <c r="B3296" t="s">
        <v>16</v>
      </c>
      <c r="C3296" t="s">
        <v>17</v>
      </c>
      <c r="D3296" t="s">
        <v>18</v>
      </c>
      <c r="E3296" t="s">
        <v>19</v>
      </c>
      <c r="F3296" t="s">
        <v>5</v>
      </c>
      <c r="G3296" t="s">
        <v>5</v>
      </c>
      <c r="H3296" t="s">
        <v>5</v>
      </c>
      <c r="I3296" t="s">
        <v>20</v>
      </c>
      <c r="J3296" t="s">
        <v>14</v>
      </c>
      <c r="K3296" s="3">
        <f t="shared" si="102"/>
        <v>0</v>
      </c>
      <c r="L3296" s="3">
        <f>IF(ISERROR(VLOOKUP(J3296,Lookups!$A$2:$A$16,1,FALSE)),1,0)</f>
        <v>1</v>
      </c>
      <c r="M3296" s="3">
        <f>IF(ISERROR(VLOOKUP(D3296,Data!$A$2:$D$223100,2,FALSE)),0,1)</f>
        <v>1</v>
      </c>
      <c r="N3296" s="3">
        <f t="shared" si="103"/>
        <v>1</v>
      </c>
      <c r="O3296" s="3" t="str">
        <f>IF(ISERROR(VLOOKUP(D3296,Data!$A$2:$C$223100,3,FALSE)),"INACTIVE",VLOOKUP(D3296,Data!$A$2:$C$223100,3,FALSE))</f>
        <v>FBA</v>
      </c>
    </row>
    <row r="3297" spans="1:15" x14ac:dyDescent="0.25">
      <c r="A3297" t="s">
        <v>15</v>
      </c>
      <c r="B3297" t="s">
        <v>16</v>
      </c>
      <c r="C3297" t="s">
        <v>21</v>
      </c>
      <c r="D3297" t="s">
        <v>22</v>
      </c>
      <c r="E3297" t="s">
        <v>23</v>
      </c>
      <c r="F3297" t="s">
        <v>5</v>
      </c>
      <c r="G3297" t="s">
        <v>5</v>
      </c>
      <c r="H3297" t="s">
        <v>5</v>
      </c>
      <c r="I3297" t="s">
        <v>20</v>
      </c>
      <c r="J3297" t="s">
        <v>14</v>
      </c>
      <c r="K3297" s="3">
        <f t="shared" si="102"/>
        <v>0</v>
      </c>
      <c r="L3297" s="3">
        <f>IF(ISERROR(VLOOKUP(J3297,Lookups!$A$2:$A$16,1,FALSE)),1,0)</f>
        <v>1</v>
      </c>
      <c r="M3297" s="3">
        <f>IF(ISERROR(VLOOKUP(D3297,Data!$A$2:$D$223100,2,FALSE)),0,1)</f>
        <v>1</v>
      </c>
      <c r="N3297" s="3">
        <f t="shared" si="103"/>
        <v>1</v>
      </c>
      <c r="O3297" s="3" t="str">
        <f>IF(ISERROR(VLOOKUP(D3297,Data!$A$2:$C$223100,3,FALSE)),"INACTIVE",VLOOKUP(D3297,Data!$A$2:$C$223100,3,FALSE))</f>
        <v>30+</v>
      </c>
    </row>
    <row r="3298" spans="1:15" x14ac:dyDescent="0.25">
      <c r="A3298" t="s">
        <v>15</v>
      </c>
      <c r="B3298" t="s">
        <v>16</v>
      </c>
      <c r="C3298" t="s">
        <v>24</v>
      </c>
      <c r="D3298" t="s">
        <v>25</v>
      </c>
      <c r="E3298" t="s">
        <v>26</v>
      </c>
      <c r="F3298" t="s">
        <v>5</v>
      </c>
      <c r="G3298" t="s">
        <v>5</v>
      </c>
      <c r="H3298" t="s">
        <v>5</v>
      </c>
      <c r="I3298" t="s">
        <v>20</v>
      </c>
      <c r="J3298" t="s">
        <v>14</v>
      </c>
      <c r="K3298" s="3">
        <f t="shared" si="102"/>
        <v>0</v>
      </c>
      <c r="L3298" s="3">
        <f>IF(ISERROR(VLOOKUP(J3298,Lookups!$A$2:$A$16,1,FALSE)),1,0)</f>
        <v>1</v>
      </c>
      <c r="M3298" s="3">
        <f>IF(ISERROR(VLOOKUP(D3298,Data!$A$2:$D$223100,2,FALSE)),0,1)</f>
        <v>1</v>
      </c>
      <c r="N3298" s="3">
        <f t="shared" si="103"/>
        <v>1</v>
      </c>
      <c r="O3298" s="3" t="str">
        <f>IF(ISERROR(VLOOKUP(D3298,Data!$A$2:$C$223100,3,FALSE)),"INACTIVE",VLOOKUP(D3298,Data!$A$2:$C$223100,3,FALSE))</f>
        <v>FC</v>
      </c>
    </row>
    <row r="3299" spans="1:15" x14ac:dyDescent="0.25">
      <c r="A3299" t="s">
        <v>15</v>
      </c>
      <c r="B3299" t="s">
        <v>16</v>
      </c>
      <c r="C3299" t="s">
        <v>27</v>
      </c>
      <c r="D3299" t="s">
        <v>28</v>
      </c>
      <c r="E3299" t="s">
        <v>29</v>
      </c>
      <c r="F3299" t="s">
        <v>5</v>
      </c>
      <c r="G3299" t="s">
        <v>5</v>
      </c>
      <c r="H3299" t="s">
        <v>5</v>
      </c>
      <c r="I3299" t="s">
        <v>20</v>
      </c>
      <c r="J3299" t="s">
        <v>14</v>
      </c>
      <c r="K3299" s="3">
        <f t="shared" si="102"/>
        <v>0</v>
      </c>
      <c r="L3299" s="3">
        <f>IF(ISERROR(VLOOKUP(J3299,Lookups!$A$2:$A$16,1,FALSE)),1,0)</f>
        <v>1</v>
      </c>
      <c r="M3299" s="3">
        <f>IF(ISERROR(VLOOKUP(D3299,Data!$A$2:$D$223100,2,FALSE)),0,1)</f>
        <v>1</v>
      </c>
      <c r="N3299" s="3">
        <f t="shared" si="103"/>
        <v>1</v>
      </c>
      <c r="O3299" s="3" t="str">
        <f>IF(ISERROR(VLOOKUP(D3299,Data!$A$2:$C$223100,3,FALSE)),"INACTIVE",VLOOKUP(D3299,Data!$A$2:$C$223100,3,FALSE))</f>
        <v>120+</v>
      </c>
    </row>
    <row r="3300" spans="1:15" x14ac:dyDescent="0.25">
      <c r="A3300" t="s">
        <v>101</v>
      </c>
      <c r="B3300" t="s">
        <v>102</v>
      </c>
      <c r="C3300" t="s">
        <v>103</v>
      </c>
      <c r="D3300" t="s">
        <v>104</v>
      </c>
      <c r="E3300" t="s">
        <v>105</v>
      </c>
      <c r="F3300" t="s">
        <v>5</v>
      </c>
      <c r="G3300" t="s">
        <v>5</v>
      </c>
      <c r="H3300" t="s">
        <v>5</v>
      </c>
      <c r="I3300" t="s">
        <v>20</v>
      </c>
      <c r="J3300" t="s">
        <v>90</v>
      </c>
      <c r="K3300" s="3">
        <f t="shared" si="102"/>
        <v>0</v>
      </c>
      <c r="L3300" s="3">
        <f>IF(ISERROR(VLOOKUP(J3300,Lookups!$A$2:$A$16,1,FALSE)),1,0)</f>
        <v>0</v>
      </c>
      <c r="M3300" s="3">
        <f>IF(ISERROR(VLOOKUP(D3300,Data!$A$2:$D$223100,2,FALSE)),0,1)</f>
        <v>1</v>
      </c>
      <c r="N3300" s="3">
        <f t="shared" si="103"/>
        <v>0</v>
      </c>
      <c r="O3300" s="3" t="str">
        <f>IF(ISERROR(VLOOKUP(D3300,Data!$A$2:$C$223100,3,FALSE)),"INACTIVE",VLOOKUP(D3300,Data!$A$2:$C$223100,3,FALSE))</f>
        <v>Current</v>
      </c>
    </row>
    <row r="3301" spans="1:15" x14ac:dyDescent="0.25">
      <c r="A3301" t="s">
        <v>101</v>
      </c>
      <c r="B3301" t="s">
        <v>102</v>
      </c>
      <c r="C3301" t="s">
        <v>106</v>
      </c>
      <c r="D3301" t="s">
        <v>107</v>
      </c>
      <c r="E3301" t="s">
        <v>108</v>
      </c>
      <c r="F3301" t="s">
        <v>5</v>
      </c>
      <c r="G3301" t="s">
        <v>5</v>
      </c>
      <c r="H3301" t="s">
        <v>5</v>
      </c>
      <c r="I3301" t="s">
        <v>20</v>
      </c>
      <c r="J3301" t="s">
        <v>90</v>
      </c>
      <c r="K3301" s="3">
        <f t="shared" si="102"/>
        <v>0</v>
      </c>
      <c r="L3301" s="3">
        <f>IF(ISERROR(VLOOKUP(J3301,Lookups!$A$2:$A$16,1,FALSE)),1,0)</f>
        <v>0</v>
      </c>
      <c r="M3301" s="3">
        <f>IF(ISERROR(VLOOKUP(D3301,Data!$A$2:$D$223100,2,FALSE)),0,1)</f>
        <v>1</v>
      </c>
      <c r="N3301" s="3">
        <f t="shared" si="103"/>
        <v>0</v>
      </c>
      <c r="O3301" s="3" t="str">
        <f>IF(ISERROR(VLOOKUP(D3301,Data!$A$2:$C$223100,3,FALSE)),"INACTIVE",VLOOKUP(D3301,Data!$A$2:$C$223100,3,FALSE))</f>
        <v>FBA</v>
      </c>
    </row>
    <row r="3302" spans="1:15" x14ac:dyDescent="0.25">
      <c r="A3302" t="s">
        <v>404</v>
      </c>
      <c r="B3302" t="s">
        <v>405</v>
      </c>
      <c r="C3302" t="s">
        <v>406</v>
      </c>
      <c r="D3302" t="s">
        <v>407</v>
      </c>
      <c r="E3302" t="s">
        <v>408</v>
      </c>
      <c r="F3302" t="s">
        <v>5</v>
      </c>
      <c r="G3302" t="s">
        <v>5</v>
      </c>
      <c r="H3302" t="s">
        <v>5</v>
      </c>
      <c r="I3302" t="s">
        <v>20</v>
      </c>
      <c r="J3302" t="s">
        <v>90</v>
      </c>
      <c r="K3302" s="3">
        <f t="shared" si="102"/>
        <v>0</v>
      </c>
      <c r="L3302" s="3">
        <f>IF(ISERROR(VLOOKUP(J3302,Lookups!$A$2:$A$16,1,FALSE)),1,0)</f>
        <v>0</v>
      </c>
      <c r="M3302" s="3">
        <f>IF(ISERROR(VLOOKUP(D3302,Data!$A$2:$D$223100,2,FALSE)),0,1)</f>
        <v>1</v>
      </c>
      <c r="N3302" s="3">
        <f t="shared" si="103"/>
        <v>0</v>
      </c>
      <c r="O3302" s="3" t="str">
        <f>IF(ISERROR(VLOOKUP(D3302,Data!$A$2:$C$223100,3,FALSE)),"INACTIVE",VLOOKUP(D3302,Data!$A$2:$C$223100,3,FALSE))</f>
        <v>FC</v>
      </c>
    </row>
    <row r="3303" spans="1:15" x14ac:dyDescent="0.25">
      <c r="A3303" t="s">
        <v>417</v>
      </c>
      <c r="B3303" t="s">
        <v>418</v>
      </c>
      <c r="C3303" t="s">
        <v>419</v>
      </c>
      <c r="D3303" t="s">
        <v>420</v>
      </c>
      <c r="E3303" t="s">
        <v>421</v>
      </c>
      <c r="F3303" t="s">
        <v>5</v>
      </c>
      <c r="G3303" t="s">
        <v>5</v>
      </c>
      <c r="H3303" t="s">
        <v>5</v>
      </c>
      <c r="I3303" t="s">
        <v>20</v>
      </c>
      <c r="J3303" t="s">
        <v>90</v>
      </c>
      <c r="K3303" s="3">
        <f t="shared" si="102"/>
        <v>0</v>
      </c>
      <c r="L3303" s="3">
        <f>IF(ISERROR(VLOOKUP(J3303,Lookups!$A$2:$A$16,1,FALSE)),1,0)</f>
        <v>0</v>
      </c>
      <c r="M3303" s="3">
        <f>IF(ISERROR(VLOOKUP(D3303,Data!$A$2:$D$223100,2,FALSE)),0,1)</f>
        <v>1</v>
      </c>
      <c r="N3303" s="3">
        <f t="shared" si="103"/>
        <v>0</v>
      </c>
      <c r="O3303" s="3" t="str">
        <f>IF(ISERROR(VLOOKUP(D3303,Data!$A$2:$C$223100,3,FALSE)),"INACTIVE",VLOOKUP(D3303,Data!$A$2:$C$223100,3,FALSE))</f>
        <v>120+</v>
      </c>
    </row>
    <row r="3304" spans="1:15" x14ac:dyDescent="0.25">
      <c r="A3304" t="s">
        <v>417</v>
      </c>
      <c r="B3304" t="s">
        <v>418</v>
      </c>
      <c r="C3304" t="s">
        <v>422</v>
      </c>
      <c r="D3304" t="s">
        <v>423</v>
      </c>
      <c r="E3304" t="s">
        <v>424</v>
      </c>
      <c r="F3304" t="s">
        <v>5</v>
      </c>
      <c r="G3304" t="s">
        <v>5</v>
      </c>
      <c r="H3304" t="s">
        <v>5</v>
      </c>
      <c r="I3304" t="s">
        <v>20</v>
      </c>
      <c r="J3304" t="s">
        <v>90</v>
      </c>
      <c r="K3304" s="3">
        <f t="shared" si="102"/>
        <v>0</v>
      </c>
      <c r="L3304" s="3">
        <f>IF(ISERROR(VLOOKUP(J3304,Lookups!$A$2:$A$16,1,FALSE)),1,0)</f>
        <v>0</v>
      </c>
      <c r="M3304" s="3">
        <f>IF(ISERROR(VLOOKUP(D3304,Data!$A$2:$D$223100,2,FALSE)),0,1)</f>
        <v>1</v>
      </c>
      <c r="N3304" s="3">
        <f t="shared" si="103"/>
        <v>0</v>
      </c>
      <c r="O3304" s="3" t="str">
        <f>IF(ISERROR(VLOOKUP(D3304,Data!$A$2:$C$223100,3,FALSE)),"INACTIVE",VLOOKUP(D3304,Data!$A$2:$C$223100,3,FALSE))</f>
        <v>BK13</v>
      </c>
    </row>
    <row r="3305" spans="1:15" x14ac:dyDescent="0.25">
      <c r="A3305" t="s">
        <v>417</v>
      </c>
      <c r="B3305" t="s">
        <v>418</v>
      </c>
      <c r="C3305" t="s">
        <v>425</v>
      </c>
      <c r="D3305" t="s">
        <v>426</v>
      </c>
      <c r="E3305" t="s">
        <v>427</v>
      </c>
      <c r="F3305" t="s">
        <v>5</v>
      </c>
      <c r="G3305" t="s">
        <v>5</v>
      </c>
      <c r="H3305" t="s">
        <v>5</v>
      </c>
      <c r="I3305" t="s">
        <v>20</v>
      </c>
      <c r="J3305" t="s">
        <v>90</v>
      </c>
      <c r="K3305" s="3">
        <f t="shared" si="102"/>
        <v>0</v>
      </c>
      <c r="L3305" s="3">
        <f>IF(ISERROR(VLOOKUP(J3305,Lookups!$A$2:$A$16,1,FALSE)),1,0)</f>
        <v>0</v>
      </c>
      <c r="M3305" s="3">
        <f>IF(ISERROR(VLOOKUP(D3305,Data!$A$2:$D$223100,2,FALSE)),0,1)</f>
        <v>1</v>
      </c>
      <c r="N3305" s="3">
        <f t="shared" si="103"/>
        <v>0</v>
      </c>
      <c r="O3305" s="3" t="str">
        <f>IF(ISERROR(VLOOKUP(D3305,Data!$A$2:$C$223100,3,FALSE)),"INACTIVE",VLOOKUP(D3305,Data!$A$2:$C$223100,3,FALSE))</f>
        <v>BK13</v>
      </c>
    </row>
    <row r="3306" spans="1:15" x14ac:dyDescent="0.25">
      <c r="A3306" t="s">
        <v>512</v>
      </c>
      <c r="B3306" t="s">
        <v>513</v>
      </c>
      <c r="C3306" t="s">
        <v>514</v>
      </c>
      <c r="D3306" t="s">
        <v>515</v>
      </c>
      <c r="E3306" t="s">
        <v>516</v>
      </c>
      <c r="F3306" t="s">
        <v>5</v>
      </c>
      <c r="G3306" t="s">
        <v>5</v>
      </c>
      <c r="H3306" t="s">
        <v>5</v>
      </c>
      <c r="I3306" t="s">
        <v>20</v>
      </c>
      <c r="J3306" t="s">
        <v>7</v>
      </c>
      <c r="K3306" s="3">
        <f t="shared" si="102"/>
        <v>0</v>
      </c>
      <c r="L3306" s="3">
        <f>IF(ISERROR(VLOOKUP(J3306,Lookups!$A$2:$A$16,1,FALSE)),1,0)</f>
        <v>1</v>
      </c>
      <c r="M3306" s="3">
        <f>IF(ISERROR(VLOOKUP(D3306,Data!$A$2:$D$223100,2,FALSE)),0,1)</f>
        <v>1</v>
      </c>
      <c r="N3306" s="3">
        <f t="shared" si="103"/>
        <v>1</v>
      </c>
      <c r="O3306" s="3" t="str">
        <f>IF(ISERROR(VLOOKUP(D3306,Data!$A$2:$C$223100,3,FALSE)),"INACTIVE",VLOOKUP(D3306,Data!$A$2:$C$223100,3,FALSE))</f>
        <v>FC</v>
      </c>
    </row>
    <row r="3307" spans="1:15" x14ac:dyDescent="0.25">
      <c r="A3307" t="s">
        <v>524</v>
      </c>
      <c r="B3307" t="s">
        <v>525</v>
      </c>
      <c r="C3307" t="s">
        <v>526</v>
      </c>
      <c r="D3307" t="s">
        <v>527</v>
      </c>
      <c r="E3307" t="s">
        <v>528</v>
      </c>
      <c r="F3307" t="s">
        <v>5</v>
      </c>
      <c r="G3307" t="s">
        <v>5</v>
      </c>
      <c r="H3307" t="s">
        <v>5</v>
      </c>
      <c r="I3307" t="s">
        <v>20</v>
      </c>
      <c r="J3307" t="s">
        <v>7</v>
      </c>
      <c r="K3307" s="3">
        <f t="shared" si="102"/>
        <v>0</v>
      </c>
      <c r="L3307" s="3">
        <f>IF(ISERROR(VLOOKUP(J3307,Lookups!$A$2:$A$16,1,FALSE)),1,0)</f>
        <v>1</v>
      </c>
      <c r="M3307" s="3">
        <f>IF(ISERROR(VLOOKUP(D3307,Data!$A$2:$D$223100,2,FALSE)),0,1)</f>
        <v>1</v>
      </c>
      <c r="N3307" s="3">
        <f t="shared" si="103"/>
        <v>1</v>
      </c>
      <c r="O3307" s="3" t="str">
        <f>IF(ISERROR(VLOOKUP(D3307,Data!$A$2:$C$223100,3,FALSE)),"INACTIVE",VLOOKUP(D3307,Data!$A$2:$C$223100,3,FALSE))</f>
        <v>Demand Letter</v>
      </c>
    </row>
    <row r="3308" spans="1:15" x14ac:dyDescent="0.25">
      <c r="A3308" t="s">
        <v>562</v>
      </c>
      <c r="B3308" t="s">
        <v>563</v>
      </c>
      <c r="C3308" t="s">
        <v>564</v>
      </c>
      <c r="D3308" t="s">
        <v>565</v>
      </c>
      <c r="E3308" t="s">
        <v>566</v>
      </c>
      <c r="F3308" t="s">
        <v>566</v>
      </c>
      <c r="G3308" t="s">
        <v>5</v>
      </c>
      <c r="H3308" t="s">
        <v>5</v>
      </c>
      <c r="I3308" t="s">
        <v>20</v>
      </c>
      <c r="J3308" t="s">
        <v>40</v>
      </c>
      <c r="K3308" s="3">
        <f t="shared" si="102"/>
        <v>0</v>
      </c>
      <c r="L3308" s="3">
        <f>IF(ISERROR(VLOOKUP(J3308,Lookups!$A$2:$A$16,1,FALSE)),1,0)</f>
        <v>1</v>
      </c>
      <c r="M3308" s="3">
        <f>IF(ISERROR(VLOOKUP(D3308,Data!$A$2:$D$223100,2,FALSE)),0,1)</f>
        <v>1</v>
      </c>
      <c r="N3308" s="3">
        <f t="shared" si="103"/>
        <v>1</v>
      </c>
      <c r="O3308" s="3" t="str">
        <f>IF(ISERROR(VLOOKUP(D3308,Data!$A$2:$C$223100,3,FALSE)),"INACTIVE",VLOOKUP(D3308,Data!$A$2:$C$223100,3,FALSE))</f>
        <v>Demand Letter</v>
      </c>
    </row>
    <row r="3309" spans="1:15" x14ac:dyDescent="0.25">
      <c r="A3309" t="s">
        <v>1024</v>
      </c>
      <c r="B3309" t="s">
        <v>1025</v>
      </c>
      <c r="C3309" t="s">
        <v>1026</v>
      </c>
      <c r="D3309" t="s">
        <v>1027</v>
      </c>
      <c r="E3309" t="s">
        <v>1028</v>
      </c>
      <c r="F3309" t="s">
        <v>5</v>
      </c>
      <c r="G3309" t="s">
        <v>5</v>
      </c>
      <c r="H3309" t="s">
        <v>5</v>
      </c>
      <c r="I3309" t="s">
        <v>20</v>
      </c>
      <c r="J3309" t="s">
        <v>7</v>
      </c>
      <c r="K3309" s="3">
        <f t="shared" si="102"/>
        <v>0</v>
      </c>
      <c r="L3309" s="3">
        <f>IF(ISERROR(VLOOKUP(J3309,Lookups!$A$2:$A$16,1,FALSE)),1,0)</f>
        <v>1</v>
      </c>
      <c r="M3309" s="3">
        <f>IF(ISERROR(VLOOKUP(D3309,Data!$A$2:$D$223100,2,FALSE)),0,1)</f>
        <v>1</v>
      </c>
      <c r="N3309" s="3">
        <f t="shared" si="103"/>
        <v>1</v>
      </c>
      <c r="O3309" s="3" t="str">
        <f>IF(ISERROR(VLOOKUP(D3309,Data!$A$2:$C$223100,3,FALSE)),"INACTIVE",VLOOKUP(D3309,Data!$A$2:$C$223100,3,FALSE))</f>
        <v>Current</v>
      </c>
    </row>
    <row r="3310" spans="1:15" x14ac:dyDescent="0.25">
      <c r="A3310" t="s">
        <v>1058</v>
      </c>
      <c r="B3310" t="s">
        <v>1059</v>
      </c>
      <c r="C3310" t="s">
        <v>1060</v>
      </c>
      <c r="D3310" t="s">
        <v>1061</v>
      </c>
      <c r="E3310" t="s">
        <v>1062</v>
      </c>
      <c r="F3310" t="s">
        <v>5</v>
      </c>
      <c r="G3310" t="s">
        <v>5</v>
      </c>
      <c r="H3310" t="s">
        <v>5</v>
      </c>
      <c r="I3310" t="s">
        <v>20</v>
      </c>
      <c r="J3310" t="s">
        <v>7</v>
      </c>
      <c r="K3310" s="3">
        <f t="shared" si="102"/>
        <v>0</v>
      </c>
      <c r="L3310" s="3">
        <f>IF(ISERROR(VLOOKUP(J3310,Lookups!$A$2:$A$16,1,FALSE)),1,0)</f>
        <v>1</v>
      </c>
      <c r="M3310" s="3">
        <f>IF(ISERROR(VLOOKUP(D3310,Data!$A$2:$D$223100,2,FALSE)),0,1)</f>
        <v>1</v>
      </c>
      <c r="N3310" s="3">
        <f t="shared" si="103"/>
        <v>1</v>
      </c>
      <c r="O3310" s="3" t="str">
        <f>IF(ISERROR(VLOOKUP(D3310,Data!$A$2:$C$223100,3,FALSE)),"INACTIVE",VLOOKUP(D3310,Data!$A$2:$C$223100,3,FALSE))</f>
        <v>30+</v>
      </c>
    </row>
    <row r="3311" spans="1:15" x14ac:dyDescent="0.25">
      <c r="A3311" t="s">
        <v>145</v>
      </c>
      <c r="B3311" t="s">
        <v>146</v>
      </c>
      <c r="C3311" t="s">
        <v>147</v>
      </c>
      <c r="D3311" t="s">
        <v>148</v>
      </c>
      <c r="E3311" t="s">
        <v>149</v>
      </c>
      <c r="F3311" t="s">
        <v>5</v>
      </c>
      <c r="G3311" t="s">
        <v>5</v>
      </c>
      <c r="H3311" t="s">
        <v>5</v>
      </c>
      <c r="I3311" t="s">
        <v>150</v>
      </c>
      <c r="J3311" t="s">
        <v>7</v>
      </c>
      <c r="K3311" s="3">
        <f t="shared" si="102"/>
        <v>0</v>
      </c>
      <c r="L3311" s="3">
        <f>IF(ISERROR(VLOOKUP(J3311,Lookups!$A$2:$A$16,1,FALSE)),1,0)</f>
        <v>1</v>
      </c>
      <c r="M3311" s="3">
        <f>IF(ISERROR(VLOOKUP(D3311,Data!$A$2:$D$223100,2,FALSE)),0,1)</f>
        <v>1</v>
      </c>
      <c r="N3311" s="3">
        <f t="shared" si="103"/>
        <v>1</v>
      </c>
      <c r="O3311" s="3" t="str">
        <f>IF(ISERROR(VLOOKUP(D3311,Data!$A$2:$C$223100,3,FALSE)),"INACTIVE",VLOOKUP(D3311,Data!$A$2:$C$223100,3,FALSE))</f>
        <v>Current</v>
      </c>
    </row>
    <row r="3312" spans="1:15" x14ac:dyDescent="0.25">
      <c r="A3312" t="s">
        <v>159</v>
      </c>
      <c r="B3312" t="s">
        <v>160</v>
      </c>
      <c r="C3312" t="s">
        <v>161</v>
      </c>
      <c r="D3312" t="s">
        <v>162</v>
      </c>
      <c r="E3312" t="s">
        <v>163</v>
      </c>
      <c r="F3312" t="s">
        <v>5</v>
      </c>
      <c r="G3312" t="s">
        <v>5</v>
      </c>
      <c r="H3312" t="s">
        <v>5</v>
      </c>
      <c r="I3312" t="s">
        <v>150</v>
      </c>
      <c r="J3312" t="s">
        <v>7</v>
      </c>
      <c r="K3312" s="3">
        <f t="shared" si="102"/>
        <v>0</v>
      </c>
      <c r="L3312" s="3">
        <f>IF(ISERROR(VLOOKUP(J3312,Lookups!$A$2:$A$16,1,FALSE)),1,0)</f>
        <v>1</v>
      </c>
      <c r="M3312" s="3">
        <f>IF(ISERROR(VLOOKUP(D3312,Data!$A$2:$D$223100,2,FALSE)),0,1)</f>
        <v>1</v>
      </c>
      <c r="N3312" s="3">
        <f t="shared" si="103"/>
        <v>1</v>
      </c>
      <c r="O3312" s="3" t="str">
        <f>IF(ISERROR(VLOOKUP(D3312,Data!$A$2:$C$223100,3,FALSE)),"INACTIVE",VLOOKUP(D3312,Data!$A$2:$C$223100,3,FALSE))</f>
        <v>150+</v>
      </c>
    </row>
    <row r="3313" spans="1:15" x14ac:dyDescent="0.25">
      <c r="A3313" t="s">
        <v>159</v>
      </c>
      <c r="B3313" t="s">
        <v>160</v>
      </c>
      <c r="C3313" t="s">
        <v>164</v>
      </c>
      <c r="D3313" t="s">
        <v>165</v>
      </c>
      <c r="E3313" t="s">
        <v>166</v>
      </c>
      <c r="F3313" t="s">
        <v>5</v>
      </c>
      <c r="G3313" t="s">
        <v>5</v>
      </c>
      <c r="H3313" t="s">
        <v>5</v>
      </c>
      <c r="I3313" t="s">
        <v>150</v>
      </c>
      <c r="J3313" t="s">
        <v>90</v>
      </c>
      <c r="K3313" s="3">
        <f t="shared" si="102"/>
        <v>0</v>
      </c>
      <c r="L3313" s="3">
        <f>IF(ISERROR(VLOOKUP(J3313,Lookups!$A$2:$A$16,1,FALSE)),1,0)</f>
        <v>0</v>
      </c>
      <c r="M3313" s="3">
        <f>IF(ISERROR(VLOOKUP(D3313,Data!$A$2:$D$223100,2,FALSE)),0,1)</f>
        <v>1</v>
      </c>
      <c r="N3313" s="3">
        <f t="shared" si="103"/>
        <v>0</v>
      </c>
      <c r="O3313" s="3" t="str">
        <f>IF(ISERROR(VLOOKUP(D3313,Data!$A$2:$C$223100,3,FALSE)),"INACTIVE",VLOOKUP(D3313,Data!$A$2:$C$223100,3,FALSE))</f>
        <v>120+</v>
      </c>
    </row>
    <row r="3314" spans="1:15" x14ac:dyDescent="0.25">
      <c r="A3314" t="s">
        <v>159</v>
      </c>
      <c r="B3314" t="s">
        <v>160</v>
      </c>
      <c r="C3314" t="s">
        <v>164</v>
      </c>
      <c r="D3314" t="s">
        <v>165</v>
      </c>
      <c r="E3314" t="s">
        <v>167</v>
      </c>
      <c r="F3314" t="s">
        <v>5</v>
      </c>
      <c r="G3314" t="s">
        <v>5</v>
      </c>
      <c r="H3314" t="s">
        <v>5</v>
      </c>
      <c r="I3314" t="s">
        <v>150</v>
      </c>
      <c r="J3314" t="s">
        <v>90</v>
      </c>
      <c r="K3314" s="3">
        <f t="shared" si="102"/>
        <v>0</v>
      </c>
      <c r="L3314" s="3">
        <f>IF(ISERROR(VLOOKUP(J3314,Lookups!$A$2:$A$16,1,FALSE)),1,0)</f>
        <v>0</v>
      </c>
      <c r="M3314" s="3">
        <f>IF(ISERROR(VLOOKUP(D3314,Data!$A$2:$D$223100,2,FALSE)),0,1)</f>
        <v>1</v>
      </c>
      <c r="N3314" s="3">
        <f t="shared" si="103"/>
        <v>0</v>
      </c>
      <c r="O3314" s="3" t="str">
        <f>IF(ISERROR(VLOOKUP(D3314,Data!$A$2:$C$223100,3,FALSE)),"INACTIVE",VLOOKUP(D3314,Data!$A$2:$C$223100,3,FALSE))</f>
        <v>120+</v>
      </c>
    </row>
    <row r="3315" spans="1:15" x14ac:dyDescent="0.25">
      <c r="A3315" t="s">
        <v>159</v>
      </c>
      <c r="B3315" t="s">
        <v>160</v>
      </c>
      <c r="C3315" t="s">
        <v>168</v>
      </c>
      <c r="D3315" t="s">
        <v>169</v>
      </c>
      <c r="E3315" t="s">
        <v>170</v>
      </c>
      <c r="F3315" t="s">
        <v>5</v>
      </c>
      <c r="G3315" t="s">
        <v>5</v>
      </c>
      <c r="H3315" t="s">
        <v>5</v>
      </c>
      <c r="I3315" t="s">
        <v>150</v>
      </c>
      <c r="J3315" t="s">
        <v>90</v>
      </c>
      <c r="K3315" s="3">
        <f t="shared" si="102"/>
        <v>0</v>
      </c>
      <c r="L3315" s="3">
        <f>IF(ISERROR(VLOOKUP(J3315,Lookups!$A$2:$A$16,1,FALSE)),1,0)</f>
        <v>0</v>
      </c>
      <c r="M3315" s="3">
        <f>IF(ISERROR(VLOOKUP(D3315,Data!$A$2:$D$223100,2,FALSE)),0,1)</f>
        <v>1</v>
      </c>
      <c r="N3315" s="3">
        <f t="shared" si="103"/>
        <v>0</v>
      </c>
      <c r="O3315" s="3" t="str">
        <f>IF(ISERROR(VLOOKUP(D3315,Data!$A$2:$C$223100,3,FALSE)),"INACTIVE",VLOOKUP(D3315,Data!$A$2:$C$223100,3,FALSE))</f>
        <v>FBA</v>
      </c>
    </row>
    <row r="3316" spans="1:15" x14ac:dyDescent="0.25">
      <c r="A3316" t="s">
        <v>159</v>
      </c>
      <c r="B3316" t="s">
        <v>160</v>
      </c>
      <c r="C3316" t="s">
        <v>168</v>
      </c>
      <c r="D3316" t="s">
        <v>169</v>
      </c>
      <c r="E3316" t="s">
        <v>171</v>
      </c>
      <c r="F3316" t="s">
        <v>5</v>
      </c>
      <c r="G3316" t="s">
        <v>5</v>
      </c>
      <c r="H3316" t="s">
        <v>5</v>
      </c>
      <c r="I3316" t="s">
        <v>150</v>
      </c>
      <c r="J3316" t="s">
        <v>90</v>
      </c>
      <c r="K3316" s="3">
        <f t="shared" si="102"/>
        <v>0</v>
      </c>
      <c r="L3316" s="3">
        <f>IF(ISERROR(VLOOKUP(J3316,Lookups!$A$2:$A$16,1,FALSE)),1,0)</f>
        <v>0</v>
      </c>
      <c r="M3316" s="3">
        <f>IF(ISERROR(VLOOKUP(D3316,Data!$A$2:$D$223100,2,FALSE)),0,1)</f>
        <v>1</v>
      </c>
      <c r="N3316" s="3">
        <f t="shared" si="103"/>
        <v>0</v>
      </c>
      <c r="O3316" s="3" t="str">
        <f>IF(ISERROR(VLOOKUP(D3316,Data!$A$2:$C$223100,3,FALSE)),"INACTIVE",VLOOKUP(D3316,Data!$A$2:$C$223100,3,FALSE))</f>
        <v>FBA</v>
      </c>
    </row>
    <row r="3317" spans="1:15" x14ac:dyDescent="0.25">
      <c r="A3317" t="s">
        <v>172</v>
      </c>
      <c r="B3317" t="s">
        <v>173</v>
      </c>
      <c r="C3317" t="s">
        <v>174</v>
      </c>
      <c r="D3317" t="s">
        <v>175</v>
      </c>
      <c r="E3317" t="s">
        <v>176</v>
      </c>
      <c r="F3317" t="s">
        <v>5</v>
      </c>
      <c r="G3317" t="s">
        <v>5</v>
      </c>
      <c r="H3317" t="s">
        <v>5</v>
      </c>
      <c r="I3317" t="s">
        <v>150</v>
      </c>
      <c r="J3317" t="s">
        <v>7</v>
      </c>
      <c r="K3317" s="3">
        <f t="shared" si="102"/>
        <v>0</v>
      </c>
      <c r="L3317" s="3">
        <f>IF(ISERROR(VLOOKUP(J3317,Lookups!$A$2:$A$16,1,FALSE)),1,0)</f>
        <v>1</v>
      </c>
      <c r="M3317" s="3">
        <f>IF(ISERROR(VLOOKUP(D3317,Data!$A$2:$D$223100,2,FALSE)),0,1)</f>
        <v>1</v>
      </c>
      <c r="N3317" s="3">
        <f t="shared" si="103"/>
        <v>1</v>
      </c>
      <c r="O3317" s="3" t="str">
        <f>IF(ISERROR(VLOOKUP(D3317,Data!$A$2:$C$223100,3,FALSE)),"INACTIVE",VLOOKUP(D3317,Data!$A$2:$C$223100,3,FALSE))</f>
        <v>30+</v>
      </c>
    </row>
    <row r="3318" spans="1:15" x14ac:dyDescent="0.25">
      <c r="A3318" t="s">
        <v>194</v>
      </c>
      <c r="B3318" t="s">
        <v>195</v>
      </c>
      <c r="C3318" t="s">
        <v>196</v>
      </c>
      <c r="D3318" t="s">
        <v>197</v>
      </c>
      <c r="E3318" t="s">
        <v>198</v>
      </c>
      <c r="F3318" t="s">
        <v>5</v>
      </c>
      <c r="G3318" t="s">
        <v>5</v>
      </c>
      <c r="H3318" t="s">
        <v>5</v>
      </c>
      <c r="I3318" t="s">
        <v>150</v>
      </c>
      <c r="J3318" t="s">
        <v>7</v>
      </c>
      <c r="K3318" s="3">
        <f t="shared" si="102"/>
        <v>0</v>
      </c>
      <c r="L3318" s="3">
        <f>IF(ISERROR(VLOOKUP(J3318,Lookups!$A$2:$A$16,1,FALSE)),1,0)</f>
        <v>1</v>
      </c>
      <c r="M3318" s="3">
        <f>IF(ISERROR(VLOOKUP(D3318,Data!$A$2:$D$223100,2,FALSE)),0,1)</f>
        <v>1</v>
      </c>
      <c r="N3318" s="3">
        <f t="shared" si="103"/>
        <v>1</v>
      </c>
      <c r="O3318" s="3" t="str">
        <f>IF(ISERROR(VLOOKUP(D3318,Data!$A$2:$C$223100,3,FALSE)),"INACTIVE",VLOOKUP(D3318,Data!$A$2:$C$223100,3,FALSE))</f>
        <v>BK13</v>
      </c>
    </row>
    <row r="3319" spans="1:15" x14ac:dyDescent="0.25">
      <c r="A3319" t="s">
        <v>194</v>
      </c>
      <c r="B3319" t="s">
        <v>195</v>
      </c>
      <c r="C3319" t="s">
        <v>199</v>
      </c>
      <c r="D3319" t="s">
        <v>200</v>
      </c>
      <c r="E3319" t="s">
        <v>201</v>
      </c>
      <c r="F3319" t="s">
        <v>5</v>
      </c>
      <c r="G3319" t="s">
        <v>5</v>
      </c>
      <c r="H3319" t="s">
        <v>5</v>
      </c>
      <c r="I3319" t="s">
        <v>150</v>
      </c>
      <c r="J3319" t="s">
        <v>7</v>
      </c>
      <c r="K3319" s="3">
        <f t="shared" si="102"/>
        <v>0</v>
      </c>
      <c r="L3319" s="3">
        <f>IF(ISERROR(VLOOKUP(J3319,Lookups!$A$2:$A$16,1,FALSE)),1,0)</f>
        <v>1</v>
      </c>
      <c r="M3319" s="3">
        <f>IF(ISERROR(VLOOKUP(D3319,Data!$A$2:$D$223100,2,FALSE)),0,1)</f>
        <v>1</v>
      </c>
      <c r="N3319" s="3">
        <f t="shared" si="103"/>
        <v>1</v>
      </c>
      <c r="O3319" s="3" t="str">
        <f>IF(ISERROR(VLOOKUP(D3319,Data!$A$2:$C$223100,3,FALSE)),"INACTIVE",VLOOKUP(D3319,Data!$A$2:$C$223100,3,FALSE))</f>
        <v>Current</v>
      </c>
    </row>
    <row r="3320" spans="1:15" x14ac:dyDescent="0.25">
      <c r="A3320" t="s">
        <v>194</v>
      </c>
      <c r="B3320" t="s">
        <v>195</v>
      </c>
      <c r="C3320" t="s">
        <v>202</v>
      </c>
      <c r="D3320" t="s">
        <v>203</v>
      </c>
      <c r="E3320" t="s">
        <v>204</v>
      </c>
      <c r="F3320" t="s">
        <v>5</v>
      </c>
      <c r="G3320" t="s">
        <v>5</v>
      </c>
      <c r="H3320" t="s">
        <v>5</v>
      </c>
      <c r="I3320" t="s">
        <v>150</v>
      </c>
      <c r="J3320" t="s">
        <v>7</v>
      </c>
      <c r="K3320" s="3">
        <f t="shared" si="102"/>
        <v>0</v>
      </c>
      <c r="L3320" s="3">
        <f>IF(ISERROR(VLOOKUP(J3320,Lookups!$A$2:$A$16,1,FALSE)),1,0)</f>
        <v>1</v>
      </c>
      <c r="M3320" s="3">
        <f>IF(ISERROR(VLOOKUP(D3320,Data!$A$2:$D$223100,2,FALSE)),0,1)</f>
        <v>1</v>
      </c>
      <c r="N3320" s="3">
        <f t="shared" si="103"/>
        <v>1</v>
      </c>
      <c r="O3320" s="3" t="str">
        <f>IF(ISERROR(VLOOKUP(D3320,Data!$A$2:$C$223100,3,FALSE)),"INACTIVE",VLOOKUP(D3320,Data!$A$2:$C$223100,3,FALSE))</f>
        <v>180+</v>
      </c>
    </row>
    <row r="3321" spans="1:15" x14ac:dyDescent="0.25">
      <c r="A3321" t="s">
        <v>487</v>
      </c>
      <c r="B3321" t="s">
        <v>488</v>
      </c>
      <c r="C3321" t="s">
        <v>489</v>
      </c>
      <c r="D3321" t="s">
        <v>490</v>
      </c>
      <c r="E3321" t="s">
        <v>491</v>
      </c>
      <c r="F3321" t="s">
        <v>5</v>
      </c>
      <c r="G3321" t="s">
        <v>5</v>
      </c>
      <c r="H3321" t="s">
        <v>5</v>
      </c>
      <c r="I3321" t="s">
        <v>150</v>
      </c>
      <c r="J3321" t="s">
        <v>7</v>
      </c>
      <c r="K3321" s="3">
        <f t="shared" si="102"/>
        <v>0</v>
      </c>
      <c r="L3321" s="3">
        <f>IF(ISERROR(VLOOKUP(J3321,Lookups!$A$2:$A$16,1,FALSE)),1,0)</f>
        <v>1</v>
      </c>
      <c r="M3321" s="3">
        <f>IF(ISERROR(VLOOKUP(D3321,Data!$A$2:$D$223100,2,FALSE)),0,1)</f>
        <v>1</v>
      </c>
      <c r="N3321" s="3">
        <f t="shared" si="103"/>
        <v>1</v>
      </c>
      <c r="O3321" s="3" t="str">
        <f>IF(ISERROR(VLOOKUP(D3321,Data!$A$2:$C$223100,3,FALSE)),"INACTIVE",VLOOKUP(D3321,Data!$A$2:$C$223100,3,FALSE))</f>
        <v>60+</v>
      </c>
    </row>
    <row r="3322" spans="1:15" x14ac:dyDescent="0.25">
      <c r="A3322" t="s">
        <v>487</v>
      </c>
      <c r="B3322" t="s">
        <v>488</v>
      </c>
      <c r="C3322" t="s">
        <v>492</v>
      </c>
      <c r="D3322" t="s">
        <v>493</v>
      </c>
      <c r="E3322" t="s">
        <v>494</v>
      </c>
      <c r="F3322" t="s">
        <v>5</v>
      </c>
      <c r="G3322" t="s">
        <v>5</v>
      </c>
      <c r="H3322" t="s">
        <v>5</v>
      </c>
      <c r="I3322" t="s">
        <v>150</v>
      </c>
      <c r="J3322" t="s">
        <v>7</v>
      </c>
      <c r="K3322" s="3">
        <f t="shared" si="102"/>
        <v>0</v>
      </c>
      <c r="L3322" s="3">
        <f>IF(ISERROR(VLOOKUP(J3322,Lookups!$A$2:$A$16,1,FALSE)),1,0)</f>
        <v>1</v>
      </c>
      <c r="M3322" s="3">
        <f>IF(ISERROR(VLOOKUP(D3322,Data!$A$2:$D$223100,2,FALSE)),0,1)</f>
        <v>1</v>
      </c>
      <c r="N3322" s="3">
        <f t="shared" si="103"/>
        <v>1</v>
      </c>
      <c r="O3322" s="3" t="str">
        <f>IF(ISERROR(VLOOKUP(D3322,Data!$A$2:$C$223100,3,FALSE)),"INACTIVE",VLOOKUP(D3322,Data!$A$2:$C$223100,3,FALSE))</f>
        <v>Current</v>
      </c>
    </row>
    <row r="3323" spans="1:15" x14ac:dyDescent="0.25">
      <c r="A3323" t="s">
        <v>495</v>
      </c>
      <c r="B3323" t="s">
        <v>496</v>
      </c>
      <c r="C3323" t="s">
        <v>497</v>
      </c>
      <c r="D3323" t="s">
        <v>498</v>
      </c>
      <c r="E3323" t="s">
        <v>499</v>
      </c>
      <c r="F3323" t="s">
        <v>5</v>
      </c>
      <c r="G3323" t="s">
        <v>5</v>
      </c>
      <c r="H3323" t="s">
        <v>5</v>
      </c>
      <c r="I3323" t="s">
        <v>150</v>
      </c>
      <c r="J3323" t="s">
        <v>7</v>
      </c>
      <c r="K3323" s="3">
        <f t="shared" si="102"/>
        <v>0</v>
      </c>
      <c r="L3323" s="3">
        <f>IF(ISERROR(VLOOKUP(J3323,Lookups!$A$2:$A$16,1,FALSE)),1,0)</f>
        <v>1</v>
      </c>
      <c r="M3323" s="3">
        <f>IF(ISERROR(VLOOKUP(D3323,Data!$A$2:$D$223100,2,FALSE)),0,1)</f>
        <v>1</v>
      </c>
      <c r="N3323" s="3">
        <f t="shared" si="103"/>
        <v>1</v>
      </c>
      <c r="O3323" s="3" t="str">
        <f>IF(ISERROR(VLOOKUP(D3323,Data!$A$2:$C$223100,3,FALSE)),"INACTIVE",VLOOKUP(D3323,Data!$A$2:$C$223100,3,FALSE))</f>
        <v>Current</v>
      </c>
    </row>
    <row r="3324" spans="1:15" x14ac:dyDescent="0.25">
      <c r="A3324" t="s">
        <v>495</v>
      </c>
      <c r="B3324" t="s">
        <v>496</v>
      </c>
      <c r="C3324" t="s">
        <v>500</v>
      </c>
      <c r="D3324" t="s">
        <v>501</v>
      </c>
      <c r="E3324" t="s">
        <v>502</v>
      </c>
      <c r="F3324" t="s">
        <v>5</v>
      </c>
      <c r="G3324" t="s">
        <v>5</v>
      </c>
      <c r="H3324" t="s">
        <v>5</v>
      </c>
      <c r="I3324" t="s">
        <v>150</v>
      </c>
      <c r="J3324" t="s">
        <v>7</v>
      </c>
      <c r="K3324" s="3">
        <f t="shared" si="102"/>
        <v>0</v>
      </c>
      <c r="L3324" s="3">
        <f>IF(ISERROR(VLOOKUP(J3324,Lookups!$A$2:$A$16,1,FALSE)),1,0)</f>
        <v>1</v>
      </c>
      <c r="M3324" s="3">
        <f>IF(ISERROR(VLOOKUP(D3324,Data!$A$2:$D$223100,2,FALSE)),0,1)</f>
        <v>1</v>
      </c>
      <c r="N3324" s="3">
        <f t="shared" si="103"/>
        <v>1</v>
      </c>
      <c r="O3324" s="3" t="str">
        <f>IF(ISERROR(VLOOKUP(D3324,Data!$A$2:$C$223100,3,FALSE)),"INACTIVE",VLOOKUP(D3324,Data!$A$2:$C$223100,3,FALSE))</f>
        <v>FBA</v>
      </c>
    </row>
    <row r="3325" spans="1:15" x14ac:dyDescent="0.25">
      <c r="A3325" t="s">
        <v>495</v>
      </c>
      <c r="B3325" t="s">
        <v>496</v>
      </c>
      <c r="C3325" t="s">
        <v>503</v>
      </c>
      <c r="D3325" t="s">
        <v>504</v>
      </c>
      <c r="E3325" t="s">
        <v>505</v>
      </c>
      <c r="F3325" t="s">
        <v>5</v>
      </c>
      <c r="G3325" t="s">
        <v>5</v>
      </c>
      <c r="H3325" t="s">
        <v>5</v>
      </c>
      <c r="I3325" t="s">
        <v>150</v>
      </c>
      <c r="J3325" t="s">
        <v>7</v>
      </c>
      <c r="K3325" s="3">
        <f t="shared" si="102"/>
        <v>0</v>
      </c>
      <c r="L3325" s="3">
        <f>IF(ISERROR(VLOOKUP(J3325,Lookups!$A$2:$A$16,1,FALSE)),1,0)</f>
        <v>1</v>
      </c>
      <c r="M3325" s="3">
        <f>IF(ISERROR(VLOOKUP(D3325,Data!$A$2:$D$223100,2,FALSE)),0,1)</f>
        <v>1</v>
      </c>
      <c r="N3325" s="3">
        <f t="shared" si="103"/>
        <v>1</v>
      </c>
      <c r="O3325" s="3" t="str">
        <f>IF(ISERROR(VLOOKUP(D3325,Data!$A$2:$C$223100,3,FALSE)),"INACTIVE",VLOOKUP(D3325,Data!$A$2:$C$223100,3,FALSE))</f>
        <v>Current</v>
      </c>
    </row>
    <row r="3326" spans="1:15" x14ac:dyDescent="0.25">
      <c r="A3326" t="s">
        <v>495</v>
      </c>
      <c r="B3326" t="s">
        <v>496</v>
      </c>
      <c r="C3326" t="s">
        <v>506</v>
      </c>
      <c r="D3326" t="s">
        <v>507</v>
      </c>
      <c r="E3326" t="s">
        <v>508</v>
      </c>
      <c r="F3326" t="s">
        <v>5</v>
      </c>
      <c r="G3326" t="s">
        <v>5</v>
      </c>
      <c r="H3326" t="s">
        <v>5</v>
      </c>
      <c r="I3326" t="s">
        <v>150</v>
      </c>
      <c r="J3326" t="s">
        <v>7</v>
      </c>
      <c r="K3326" s="3">
        <f t="shared" si="102"/>
        <v>0</v>
      </c>
      <c r="L3326" s="3">
        <f>IF(ISERROR(VLOOKUP(J3326,Lookups!$A$2:$A$16,1,FALSE)),1,0)</f>
        <v>1</v>
      </c>
      <c r="M3326" s="3">
        <f>IF(ISERROR(VLOOKUP(D3326,Data!$A$2:$D$223100,2,FALSE)),0,1)</f>
        <v>1</v>
      </c>
      <c r="N3326" s="3">
        <f t="shared" si="103"/>
        <v>1</v>
      </c>
      <c r="O3326" s="3" t="str">
        <f>IF(ISERROR(VLOOKUP(D3326,Data!$A$2:$C$223100,3,FALSE)),"INACTIVE",VLOOKUP(D3326,Data!$A$2:$C$223100,3,FALSE))</f>
        <v>180+</v>
      </c>
    </row>
    <row r="3327" spans="1:15" x14ac:dyDescent="0.25">
      <c r="A3327" t="s">
        <v>495</v>
      </c>
      <c r="B3327" t="s">
        <v>496</v>
      </c>
      <c r="C3327" t="s">
        <v>509</v>
      </c>
      <c r="D3327" t="s">
        <v>510</v>
      </c>
      <c r="E3327" t="s">
        <v>511</v>
      </c>
      <c r="F3327" t="s">
        <v>5</v>
      </c>
      <c r="G3327" t="s">
        <v>5</v>
      </c>
      <c r="H3327" t="s">
        <v>5</v>
      </c>
      <c r="I3327" t="s">
        <v>150</v>
      </c>
      <c r="J3327" t="s">
        <v>7</v>
      </c>
      <c r="K3327" s="3">
        <f t="shared" si="102"/>
        <v>0</v>
      </c>
      <c r="L3327" s="3">
        <f>IF(ISERROR(VLOOKUP(J3327,Lookups!$A$2:$A$16,1,FALSE)),1,0)</f>
        <v>1</v>
      </c>
      <c r="M3327" s="3">
        <f>IF(ISERROR(VLOOKUP(D3327,Data!$A$2:$D$223100,2,FALSE)),0,1)</f>
        <v>1</v>
      </c>
      <c r="N3327" s="3">
        <f t="shared" si="103"/>
        <v>1</v>
      </c>
      <c r="O3327" s="3" t="str">
        <f>IF(ISERROR(VLOOKUP(D3327,Data!$A$2:$C$223100,3,FALSE)),"INACTIVE",VLOOKUP(D3327,Data!$A$2:$C$223100,3,FALSE))</f>
        <v>Demand Letter</v>
      </c>
    </row>
    <row r="3328" spans="1:15" x14ac:dyDescent="0.25">
      <c r="A3328" t="s">
        <v>529</v>
      </c>
      <c r="B3328" t="s">
        <v>530</v>
      </c>
      <c r="C3328" t="s">
        <v>531</v>
      </c>
      <c r="D3328" t="s">
        <v>532</v>
      </c>
      <c r="E3328" t="s">
        <v>533</v>
      </c>
      <c r="F3328" t="s">
        <v>5</v>
      </c>
      <c r="G3328" t="s">
        <v>5</v>
      </c>
      <c r="H3328" t="s">
        <v>5</v>
      </c>
      <c r="I3328" t="s">
        <v>150</v>
      </c>
      <c r="J3328" t="s">
        <v>7</v>
      </c>
      <c r="K3328" s="3">
        <f t="shared" si="102"/>
        <v>0</v>
      </c>
      <c r="L3328" s="3">
        <f>IF(ISERROR(VLOOKUP(J3328,Lookups!$A$2:$A$16,1,FALSE)),1,0)</f>
        <v>1</v>
      </c>
      <c r="M3328" s="3">
        <f>IF(ISERROR(VLOOKUP(D3328,Data!$A$2:$D$223100,2,FALSE)),0,1)</f>
        <v>1</v>
      </c>
      <c r="N3328" s="3">
        <f t="shared" si="103"/>
        <v>1</v>
      </c>
      <c r="O3328" s="3" t="str">
        <f>IF(ISERROR(VLOOKUP(D3328,Data!$A$2:$C$223100,3,FALSE)),"INACTIVE",VLOOKUP(D3328,Data!$A$2:$C$223100,3,FALSE))</f>
        <v>90+</v>
      </c>
    </row>
    <row r="3329" spans="1:15" x14ac:dyDescent="0.25">
      <c r="A3329" t="s">
        <v>550</v>
      </c>
      <c r="B3329" t="s">
        <v>551</v>
      </c>
      <c r="C3329" t="s">
        <v>552</v>
      </c>
      <c r="D3329" t="s">
        <v>553</v>
      </c>
      <c r="E3329" t="s">
        <v>554</v>
      </c>
      <c r="F3329" t="s">
        <v>5</v>
      </c>
      <c r="G3329" t="s">
        <v>5</v>
      </c>
      <c r="H3329" t="s">
        <v>5</v>
      </c>
      <c r="I3329" t="s">
        <v>150</v>
      </c>
      <c r="J3329" t="s">
        <v>7</v>
      </c>
      <c r="K3329" s="3">
        <f t="shared" si="102"/>
        <v>0</v>
      </c>
      <c r="L3329" s="3">
        <f>IF(ISERROR(VLOOKUP(J3329,Lookups!$A$2:$A$16,1,FALSE)),1,0)</f>
        <v>1</v>
      </c>
      <c r="M3329" s="3">
        <f>IF(ISERROR(VLOOKUP(D3329,Data!$A$2:$D$223100,2,FALSE)),0,1)</f>
        <v>1</v>
      </c>
      <c r="N3329" s="3">
        <f t="shared" si="103"/>
        <v>1</v>
      </c>
      <c r="O3329" s="3" t="str">
        <f>IF(ISERROR(VLOOKUP(D3329,Data!$A$2:$C$223100,3,FALSE)),"INACTIVE",VLOOKUP(D3329,Data!$A$2:$C$223100,3,FALSE))</f>
        <v>30+</v>
      </c>
    </row>
    <row r="3330" spans="1:15" x14ac:dyDescent="0.25">
      <c r="A3330" t="s">
        <v>1081</v>
      </c>
      <c r="B3330" t="s">
        <v>1082</v>
      </c>
      <c r="C3330" t="s">
        <v>1083</v>
      </c>
      <c r="D3330" t="s">
        <v>1084</v>
      </c>
      <c r="E3330" t="s">
        <v>1085</v>
      </c>
      <c r="F3330" t="s">
        <v>5</v>
      </c>
      <c r="G3330" t="s">
        <v>5</v>
      </c>
      <c r="H3330" t="s">
        <v>5</v>
      </c>
      <c r="I3330" t="s">
        <v>150</v>
      </c>
      <c r="J3330" t="s">
        <v>7</v>
      </c>
      <c r="K3330" s="3">
        <f t="shared" si="102"/>
        <v>0</v>
      </c>
      <c r="L3330" s="3">
        <f>IF(ISERROR(VLOOKUP(J3330,Lookups!$A$2:$A$16,1,FALSE)),1,0)</f>
        <v>1</v>
      </c>
      <c r="M3330" s="3">
        <f>IF(ISERROR(VLOOKUP(D3330,Data!$A$2:$D$223100,2,FALSE)),0,1)</f>
        <v>1</v>
      </c>
      <c r="N3330" s="3">
        <f t="shared" si="103"/>
        <v>1</v>
      </c>
      <c r="O3330" s="3" t="str">
        <f>IF(ISERROR(VLOOKUP(D3330,Data!$A$2:$C$223100,3,FALSE)),"INACTIVE",VLOOKUP(D3330,Data!$A$2:$C$223100,3,FALSE))</f>
        <v>30+</v>
      </c>
    </row>
    <row r="3331" spans="1:15" x14ac:dyDescent="0.25">
      <c r="A3331" t="s">
        <v>1081</v>
      </c>
      <c r="B3331" t="s">
        <v>1082</v>
      </c>
      <c r="C3331" t="s">
        <v>1086</v>
      </c>
      <c r="D3331" t="s">
        <v>1087</v>
      </c>
      <c r="E3331" t="s">
        <v>1088</v>
      </c>
      <c r="F3331" t="s">
        <v>5</v>
      </c>
      <c r="G3331" t="s">
        <v>5</v>
      </c>
      <c r="H3331" t="s">
        <v>5</v>
      </c>
      <c r="I3331" t="s">
        <v>150</v>
      </c>
      <c r="J3331" t="s">
        <v>7</v>
      </c>
      <c r="K3331" s="3">
        <f t="shared" ref="K3331:K3394" si="104">IF(ISERROR(FIND("LIEN",A3331,1)),0,1)</f>
        <v>0</v>
      </c>
      <c r="L3331" s="3">
        <f>IF(ISERROR(VLOOKUP(J3331,Lookups!$A$2:$A$16,1,FALSE)),1,0)</f>
        <v>1</v>
      </c>
      <c r="M3331" s="3">
        <f>IF(ISERROR(VLOOKUP(D3331,Data!$A$2:$D$223100,2,FALSE)),0,1)</f>
        <v>1</v>
      </c>
      <c r="N3331" s="3">
        <f t="shared" ref="N3331:N3394" si="105">IF(M3331=0,0,IF(SUM(K3331:L3331)&gt;0,1,0))</f>
        <v>1</v>
      </c>
      <c r="O3331" s="3" t="str">
        <f>IF(ISERROR(VLOOKUP(D3331,Data!$A$2:$C$223100,3,FALSE)),"INACTIVE",VLOOKUP(D3331,Data!$A$2:$C$223100,3,FALSE))</f>
        <v>120+</v>
      </c>
    </row>
    <row r="3332" spans="1:15" x14ac:dyDescent="0.25">
      <c r="A3332" t="s">
        <v>8</v>
      </c>
      <c r="B3332" t="s">
        <v>9</v>
      </c>
      <c r="C3332" t="s">
        <v>10</v>
      </c>
      <c r="D3332" t="s">
        <v>11</v>
      </c>
      <c r="E3332" t="s">
        <v>12</v>
      </c>
      <c r="F3332" t="s">
        <v>5</v>
      </c>
      <c r="G3332" t="s">
        <v>5</v>
      </c>
      <c r="H3332" t="s">
        <v>5</v>
      </c>
      <c r="I3332" t="s">
        <v>13</v>
      </c>
      <c r="J3332" t="s">
        <v>14</v>
      </c>
      <c r="K3332" s="3">
        <f t="shared" si="104"/>
        <v>0</v>
      </c>
      <c r="L3332" s="3">
        <f>IF(ISERROR(VLOOKUP(J3332,Lookups!$A$2:$A$16,1,FALSE)),1,0)</f>
        <v>1</v>
      </c>
      <c r="M3332" s="3">
        <f>IF(ISERROR(VLOOKUP(D3332,Data!$A$2:$D$223100,2,FALSE)),0,1)</f>
        <v>1</v>
      </c>
      <c r="N3332" s="3">
        <f t="shared" si="105"/>
        <v>1</v>
      </c>
      <c r="O3332" s="3" t="str">
        <f>IF(ISERROR(VLOOKUP(D3332,Data!$A$2:$C$223100,3,FALSE)),"INACTIVE",VLOOKUP(D3332,Data!$A$2:$C$223100,3,FALSE))</f>
        <v>FBA</v>
      </c>
    </row>
    <row r="3333" spans="1:15" x14ac:dyDescent="0.25">
      <c r="A3333" t="s">
        <v>183</v>
      </c>
      <c r="B3333" t="s">
        <v>184</v>
      </c>
      <c r="C3333" t="s">
        <v>185</v>
      </c>
      <c r="D3333" t="s">
        <v>186</v>
      </c>
      <c r="E3333" t="s">
        <v>187</v>
      </c>
      <c r="F3333" t="s">
        <v>5</v>
      </c>
      <c r="G3333" t="s">
        <v>5</v>
      </c>
      <c r="H3333" t="s">
        <v>5</v>
      </c>
      <c r="I3333" t="s">
        <v>13</v>
      </c>
      <c r="J3333" t="s">
        <v>7</v>
      </c>
      <c r="K3333" s="3">
        <f t="shared" si="104"/>
        <v>0</v>
      </c>
      <c r="L3333" s="3">
        <f>IF(ISERROR(VLOOKUP(J3333,Lookups!$A$2:$A$16,1,FALSE)),1,0)</f>
        <v>1</v>
      </c>
      <c r="M3333" s="3">
        <f>IF(ISERROR(VLOOKUP(D3333,Data!$A$2:$D$223100,2,FALSE)),0,1)</f>
        <v>1</v>
      </c>
      <c r="N3333" s="3">
        <f t="shared" si="105"/>
        <v>1</v>
      </c>
      <c r="O3333" s="3" t="str">
        <f>IF(ISERROR(VLOOKUP(D3333,Data!$A$2:$C$223100,3,FALSE)),"INACTIVE",VLOOKUP(D3333,Data!$A$2:$C$223100,3,FALSE))</f>
        <v>120+</v>
      </c>
    </row>
    <row r="3334" spans="1:15" x14ac:dyDescent="0.25">
      <c r="A3334" t="s">
        <v>428</v>
      </c>
      <c r="B3334" t="s">
        <v>429</v>
      </c>
      <c r="C3334" t="s">
        <v>430</v>
      </c>
      <c r="D3334" t="s">
        <v>431</v>
      </c>
      <c r="E3334" t="s">
        <v>432</v>
      </c>
      <c r="F3334" t="s">
        <v>5</v>
      </c>
      <c r="G3334" t="s">
        <v>5</v>
      </c>
      <c r="H3334" t="s">
        <v>5</v>
      </c>
      <c r="I3334" t="s">
        <v>13</v>
      </c>
      <c r="J3334" t="s">
        <v>96</v>
      </c>
      <c r="K3334" s="3">
        <f t="shared" si="104"/>
        <v>0</v>
      </c>
      <c r="L3334" s="3">
        <f>IF(ISERROR(VLOOKUP(J3334,Lookups!$A$2:$A$16,1,FALSE)),1,0)</f>
        <v>0</v>
      </c>
      <c r="M3334" s="3">
        <f>IF(ISERROR(VLOOKUP(D3334,Data!$A$2:$D$223100,2,FALSE)),0,1)</f>
        <v>1</v>
      </c>
      <c r="N3334" s="3">
        <f t="shared" si="105"/>
        <v>0</v>
      </c>
      <c r="O3334" s="3" t="str">
        <f>IF(ISERROR(VLOOKUP(D3334,Data!$A$2:$C$223100,3,FALSE)),"INACTIVE",VLOOKUP(D3334,Data!$A$2:$C$223100,3,FALSE))</f>
        <v>BK13</v>
      </c>
    </row>
    <row r="3335" spans="1:15" x14ac:dyDescent="0.25">
      <c r="A3335" t="s">
        <v>428</v>
      </c>
      <c r="B3335" t="s">
        <v>429</v>
      </c>
      <c r="C3335" t="s">
        <v>430</v>
      </c>
      <c r="D3335" t="s">
        <v>431</v>
      </c>
      <c r="E3335" t="s">
        <v>433</v>
      </c>
      <c r="F3335" t="s">
        <v>5</v>
      </c>
      <c r="G3335" t="s">
        <v>5</v>
      </c>
      <c r="H3335" t="s">
        <v>5</v>
      </c>
      <c r="I3335" t="s">
        <v>13</v>
      </c>
      <c r="J3335" t="s">
        <v>96</v>
      </c>
      <c r="K3335" s="3">
        <f t="shared" si="104"/>
        <v>0</v>
      </c>
      <c r="L3335" s="3">
        <f>IF(ISERROR(VLOOKUP(J3335,Lookups!$A$2:$A$16,1,FALSE)),1,0)</f>
        <v>0</v>
      </c>
      <c r="M3335" s="3">
        <f>IF(ISERROR(VLOOKUP(D3335,Data!$A$2:$D$223100,2,FALSE)),0,1)</f>
        <v>1</v>
      </c>
      <c r="N3335" s="3">
        <f t="shared" si="105"/>
        <v>0</v>
      </c>
      <c r="O3335" s="3" t="str">
        <f>IF(ISERROR(VLOOKUP(D3335,Data!$A$2:$C$223100,3,FALSE)),"INACTIVE",VLOOKUP(D3335,Data!$A$2:$C$223100,3,FALSE))</f>
        <v>BK13</v>
      </c>
    </row>
    <row r="3336" spans="1:15" x14ac:dyDescent="0.25">
      <c r="A3336" t="s">
        <v>468</v>
      </c>
      <c r="B3336" t="s">
        <v>469</v>
      </c>
      <c r="C3336" t="s">
        <v>470</v>
      </c>
      <c r="D3336" t="s">
        <v>471</v>
      </c>
      <c r="E3336" t="s">
        <v>472</v>
      </c>
      <c r="F3336" t="s">
        <v>5</v>
      </c>
      <c r="G3336" t="s">
        <v>5</v>
      </c>
      <c r="H3336" t="s">
        <v>5</v>
      </c>
      <c r="I3336" t="s">
        <v>13</v>
      </c>
      <c r="J3336" t="s">
        <v>7</v>
      </c>
      <c r="K3336" s="3">
        <f t="shared" si="104"/>
        <v>0</v>
      </c>
      <c r="L3336" s="3">
        <f>IF(ISERROR(VLOOKUP(J3336,Lookups!$A$2:$A$16,1,FALSE)),1,0)</f>
        <v>1</v>
      </c>
      <c r="M3336" s="3">
        <f>IF(ISERROR(VLOOKUP(D3336,Data!$A$2:$D$223100,2,FALSE)),0,1)</f>
        <v>1</v>
      </c>
      <c r="N3336" s="3">
        <f t="shared" si="105"/>
        <v>1</v>
      </c>
      <c r="O3336" s="3" t="str">
        <f>IF(ISERROR(VLOOKUP(D3336,Data!$A$2:$C$223100,3,FALSE)),"INACTIVE",VLOOKUP(D3336,Data!$A$2:$C$223100,3,FALSE))</f>
        <v>Current</v>
      </c>
    </row>
    <row r="3337" spans="1:15" x14ac:dyDescent="0.25">
      <c r="A3337" t="s">
        <v>1004</v>
      </c>
      <c r="B3337" t="s">
        <v>1005</v>
      </c>
      <c r="C3337" t="s">
        <v>425</v>
      </c>
      <c r="D3337" t="s">
        <v>426</v>
      </c>
      <c r="E3337" t="s">
        <v>1006</v>
      </c>
      <c r="F3337" t="s">
        <v>5</v>
      </c>
      <c r="G3337" t="s">
        <v>5</v>
      </c>
      <c r="H3337" t="s">
        <v>5</v>
      </c>
      <c r="I3337" t="s">
        <v>13</v>
      </c>
      <c r="J3337" t="s">
        <v>96</v>
      </c>
      <c r="K3337" s="3">
        <f t="shared" si="104"/>
        <v>0</v>
      </c>
      <c r="L3337" s="3">
        <f>IF(ISERROR(VLOOKUP(J3337,Lookups!$A$2:$A$16,1,FALSE)),1,0)</f>
        <v>0</v>
      </c>
      <c r="M3337" s="3">
        <f>IF(ISERROR(VLOOKUP(D3337,Data!$A$2:$D$223100,2,FALSE)),0,1)</f>
        <v>1</v>
      </c>
      <c r="N3337" s="3">
        <f t="shared" si="105"/>
        <v>0</v>
      </c>
      <c r="O3337" s="3" t="str">
        <f>IF(ISERROR(VLOOKUP(D3337,Data!$A$2:$C$223100,3,FALSE)),"INACTIVE",VLOOKUP(D3337,Data!$A$2:$C$223100,3,FALSE))</f>
        <v>BK13</v>
      </c>
    </row>
    <row r="3338" spans="1:15" x14ac:dyDescent="0.25">
      <c r="A3338" t="s">
        <v>139</v>
      </c>
      <c r="B3338" t="s">
        <v>140</v>
      </c>
      <c r="C3338" t="s">
        <v>141</v>
      </c>
      <c r="D3338" t="s">
        <v>142</v>
      </c>
      <c r="E3338" t="s">
        <v>143</v>
      </c>
      <c r="F3338" t="s">
        <v>5</v>
      </c>
      <c r="G3338" t="s">
        <v>5</v>
      </c>
      <c r="H3338" t="s">
        <v>5</v>
      </c>
      <c r="I3338" t="s">
        <v>144</v>
      </c>
      <c r="J3338" t="s">
        <v>7</v>
      </c>
      <c r="K3338" s="3">
        <f t="shared" si="104"/>
        <v>0</v>
      </c>
      <c r="L3338" s="3">
        <f>IF(ISERROR(VLOOKUP(J3338,Lookups!$A$2:$A$16,1,FALSE)),1,0)</f>
        <v>1</v>
      </c>
      <c r="M3338" s="3">
        <f>IF(ISERROR(VLOOKUP(D3338,Data!$A$2:$D$223100,2,FALSE)),0,1)</f>
        <v>1</v>
      </c>
      <c r="N3338" s="3">
        <f t="shared" si="105"/>
        <v>1</v>
      </c>
      <c r="O3338" s="3" t="str">
        <f>IF(ISERROR(VLOOKUP(D3338,Data!$A$2:$C$223100,3,FALSE)),"INACTIVE",VLOOKUP(D3338,Data!$A$2:$C$223100,3,FALSE))</f>
        <v>Current</v>
      </c>
    </row>
    <row r="3339" spans="1:15" x14ac:dyDescent="0.25">
      <c r="A3339" t="s">
        <v>359</v>
      </c>
      <c r="B3339" t="s">
        <v>360</v>
      </c>
      <c r="C3339" t="s">
        <v>361</v>
      </c>
      <c r="D3339" t="s">
        <v>362</v>
      </c>
      <c r="E3339" t="s">
        <v>363</v>
      </c>
      <c r="F3339" t="s">
        <v>5</v>
      </c>
      <c r="G3339" t="s">
        <v>5</v>
      </c>
      <c r="H3339" t="s">
        <v>5</v>
      </c>
      <c r="I3339" t="s">
        <v>144</v>
      </c>
      <c r="J3339" t="s">
        <v>90</v>
      </c>
      <c r="K3339" s="3">
        <f t="shared" si="104"/>
        <v>0</v>
      </c>
      <c r="L3339" s="3">
        <f>IF(ISERROR(VLOOKUP(J3339,Lookups!$A$2:$A$16,1,FALSE)),1,0)</f>
        <v>0</v>
      </c>
      <c r="M3339" s="3">
        <f>IF(ISERROR(VLOOKUP(D3339,Data!$A$2:$D$223100,2,FALSE)),0,1)</f>
        <v>1</v>
      </c>
      <c r="N3339" s="3">
        <f t="shared" si="105"/>
        <v>0</v>
      </c>
      <c r="O3339" s="3" t="str">
        <f>IF(ISERROR(VLOOKUP(D3339,Data!$A$2:$C$223100,3,FALSE)),"INACTIVE",VLOOKUP(D3339,Data!$A$2:$C$223100,3,FALSE))</f>
        <v>FC</v>
      </c>
    </row>
    <row r="3340" spans="1:15" x14ac:dyDescent="0.25">
      <c r="A3340" t="s">
        <v>359</v>
      </c>
      <c r="B3340" t="s">
        <v>360</v>
      </c>
      <c r="C3340" t="s">
        <v>361</v>
      </c>
      <c r="D3340" t="s">
        <v>362</v>
      </c>
      <c r="E3340" t="s">
        <v>364</v>
      </c>
      <c r="F3340" t="s">
        <v>5</v>
      </c>
      <c r="G3340" t="s">
        <v>5</v>
      </c>
      <c r="H3340" t="s">
        <v>5</v>
      </c>
      <c r="I3340" t="s">
        <v>144</v>
      </c>
      <c r="J3340" t="s">
        <v>90</v>
      </c>
      <c r="K3340" s="3">
        <f t="shared" si="104"/>
        <v>0</v>
      </c>
      <c r="L3340" s="3">
        <f>IF(ISERROR(VLOOKUP(J3340,Lookups!$A$2:$A$16,1,FALSE)),1,0)</f>
        <v>0</v>
      </c>
      <c r="M3340" s="3">
        <f>IF(ISERROR(VLOOKUP(D3340,Data!$A$2:$D$223100,2,FALSE)),0,1)</f>
        <v>1</v>
      </c>
      <c r="N3340" s="3">
        <f t="shared" si="105"/>
        <v>0</v>
      </c>
      <c r="O3340" s="3" t="str">
        <f>IF(ISERROR(VLOOKUP(D3340,Data!$A$2:$C$223100,3,FALSE)),"INACTIVE",VLOOKUP(D3340,Data!$A$2:$C$223100,3,FALSE))</f>
        <v>FC</v>
      </c>
    </row>
    <row r="3341" spans="1:15" x14ac:dyDescent="0.25">
      <c r="A3341" t="s">
        <v>359</v>
      </c>
      <c r="B3341" t="s">
        <v>360</v>
      </c>
      <c r="C3341" t="s">
        <v>365</v>
      </c>
      <c r="D3341" t="s">
        <v>366</v>
      </c>
      <c r="E3341" t="s">
        <v>367</v>
      </c>
      <c r="F3341" t="s">
        <v>5</v>
      </c>
      <c r="G3341" t="s">
        <v>5</v>
      </c>
      <c r="H3341" t="s">
        <v>5</v>
      </c>
      <c r="I3341" t="s">
        <v>144</v>
      </c>
      <c r="J3341" t="s">
        <v>7</v>
      </c>
      <c r="K3341" s="3">
        <f t="shared" si="104"/>
        <v>0</v>
      </c>
      <c r="L3341" s="3">
        <f>IF(ISERROR(VLOOKUP(J3341,Lookups!$A$2:$A$16,1,FALSE)),1,0)</f>
        <v>1</v>
      </c>
      <c r="M3341" s="3">
        <f>IF(ISERROR(VLOOKUP(D3341,Data!$A$2:$D$223100,2,FALSE)),0,1)</f>
        <v>1</v>
      </c>
      <c r="N3341" s="3">
        <f t="shared" si="105"/>
        <v>1</v>
      </c>
      <c r="O3341" s="3" t="str">
        <f>IF(ISERROR(VLOOKUP(D3341,Data!$A$2:$C$223100,3,FALSE)),"INACTIVE",VLOOKUP(D3341,Data!$A$2:$C$223100,3,FALSE))</f>
        <v>Current</v>
      </c>
    </row>
    <row r="3342" spans="1:15" x14ac:dyDescent="0.25">
      <c r="A3342" t="s">
        <v>359</v>
      </c>
      <c r="B3342" t="s">
        <v>360</v>
      </c>
      <c r="C3342" t="s">
        <v>368</v>
      </c>
      <c r="D3342" t="s">
        <v>369</v>
      </c>
      <c r="E3342" t="s">
        <v>370</v>
      </c>
      <c r="F3342" t="s">
        <v>5</v>
      </c>
      <c r="G3342" t="s">
        <v>5</v>
      </c>
      <c r="H3342" t="s">
        <v>5</v>
      </c>
      <c r="I3342" t="s">
        <v>144</v>
      </c>
      <c r="J3342" t="s">
        <v>7</v>
      </c>
      <c r="K3342" s="3">
        <f t="shared" si="104"/>
        <v>0</v>
      </c>
      <c r="L3342" s="3">
        <f>IF(ISERROR(VLOOKUP(J3342,Lookups!$A$2:$A$16,1,FALSE)),1,0)</f>
        <v>1</v>
      </c>
      <c r="M3342" s="3">
        <f>IF(ISERROR(VLOOKUP(D3342,Data!$A$2:$D$223100,2,FALSE)),0,1)</f>
        <v>1</v>
      </c>
      <c r="N3342" s="3">
        <f t="shared" si="105"/>
        <v>1</v>
      </c>
      <c r="O3342" s="3" t="str">
        <f>IF(ISERROR(VLOOKUP(D3342,Data!$A$2:$C$223100,3,FALSE)),"INACTIVE",VLOOKUP(D3342,Data!$A$2:$C$223100,3,FALSE))</f>
        <v>Current</v>
      </c>
    </row>
    <row r="3343" spans="1:15" x14ac:dyDescent="0.25">
      <c r="A3343" t="s">
        <v>359</v>
      </c>
      <c r="B3343" t="s">
        <v>360</v>
      </c>
      <c r="C3343" t="s">
        <v>371</v>
      </c>
      <c r="D3343" t="s">
        <v>372</v>
      </c>
      <c r="E3343" t="s">
        <v>373</v>
      </c>
      <c r="F3343" t="s">
        <v>5</v>
      </c>
      <c r="G3343" t="s">
        <v>5</v>
      </c>
      <c r="H3343" t="s">
        <v>5</v>
      </c>
      <c r="I3343" t="s">
        <v>144</v>
      </c>
      <c r="J3343" t="s">
        <v>7</v>
      </c>
      <c r="K3343" s="3">
        <f t="shared" si="104"/>
        <v>0</v>
      </c>
      <c r="L3343" s="3">
        <f>IF(ISERROR(VLOOKUP(J3343,Lookups!$A$2:$A$16,1,FALSE)),1,0)</f>
        <v>1</v>
      </c>
      <c r="M3343" s="3">
        <f>IF(ISERROR(VLOOKUP(D3343,Data!$A$2:$D$223100,2,FALSE)),0,1)</f>
        <v>1</v>
      </c>
      <c r="N3343" s="3">
        <f t="shared" si="105"/>
        <v>1</v>
      </c>
      <c r="O3343" s="3" t="str">
        <f>IF(ISERROR(VLOOKUP(D3343,Data!$A$2:$C$223100,3,FALSE)),"INACTIVE",VLOOKUP(D3343,Data!$A$2:$C$223100,3,FALSE))</f>
        <v>FC</v>
      </c>
    </row>
    <row r="3344" spans="1:15" x14ac:dyDescent="0.25">
      <c r="A3344" t="s">
        <v>359</v>
      </c>
      <c r="B3344" t="s">
        <v>360</v>
      </c>
      <c r="C3344" t="s">
        <v>374</v>
      </c>
      <c r="D3344" t="s">
        <v>375</v>
      </c>
      <c r="E3344" t="s">
        <v>376</v>
      </c>
      <c r="F3344" t="s">
        <v>5</v>
      </c>
      <c r="G3344" t="s">
        <v>5</v>
      </c>
      <c r="H3344" t="s">
        <v>5</v>
      </c>
      <c r="I3344" t="s">
        <v>144</v>
      </c>
      <c r="J3344" t="s">
        <v>90</v>
      </c>
      <c r="K3344" s="3">
        <f t="shared" si="104"/>
        <v>0</v>
      </c>
      <c r="L3344" s="3">
        <f>IF(ISERROR(VLOOKUP(J3344,Lookups!$A$2:$A$16,1,FALSE)),1,0)</f>
        <v>0</v>
      </c>
      <c r="M3344" s="3">
        <f>IF(ISERROR(VLOOKUP(D3344,Data!$A$2:$D$223100,2,FALSE)),0,1)</f>
        <v>1</v>
      </c>
      <c r="N3344" s="3">
        <f t="shared" si="105"/>
        <v>0</v>
      </c>
      <c r="O3344" s="3" t="str">
        <f>IF(ISERROR(VLOOKUP(D3344,Data!$A$2:$C$223100,3,FALSE)),"INACTIVE",VLOOKUP(D3344,Data!$A$2:$C$223100,3,FALSE))</f>
        <v>FC</v>
      </c>
    </row>
    <row r="3345" spans="1:15" x14ac:dyDescent="0.25">
      <c r="A3345" t="s">
        <v>359</v>
      </c>
      <c r="B3345" t="s">
        <v>360</v>
      </c>
      <c r="C3345" t="s">
        <v>374</v>
      </c>
      <c r="D3345" t="s">
        <v>375</v>
      </c>
      <c r="E3345" t="s">
        <v>377</v>
      </c>
      <c r="F3345" t="s">
        <v>5</v>
      </c>
      <c r="G3345" t="s">
        <v>5</v>
      </c>
      <c r="H3345" t="s">
        <v>5</v>
      </c>
      <c r="I3345" t="s">
        <v>144</v>
      </c>
      <c r="J3345" t="s">
        <v>90</v>
      </c>
      <c r="K3345" s="3">
        <f t="shared" si="104"/>
        <v>0</v>
      </c>
      <c r="L3345" s="3">
        <f>IF(ISERROR(VLOOKUP(J3345,Lookups!$A$2:$A$16,1,FALSE)),1,0)</f>
        <v>0</v>
      </c>
      <c r="M3345" s="3">
        <f>IF(ISERROR(VLOOKUP(D3345,Data!$A$2:$D$223100,2,FALSE)),0,1)</f>
        <v>1</v>
      </c>
      <c r="N3345" s="3">
        <f t="shared" si="105"/>
        <v>0</v>
      </c>
      <c r="O3345" s="3" t="str">
        <f>IF(ISERROR(VLOOKUP(D3345,Data!$A$2:$C$223100,3,FALSE)),"INACTIVE",VLOOKUP(D3345,Data!$A$2:$C$223100,3,FALSE))</f>
        <v>FC</v>
      </c>
    </row>
    <row r="3346" spans="1:15" x14ac:dyDescent="0.25">
      <c r="A3346" t="s">
        <v>177</v>
      </c>
      <c r="B3346" t="s">
        <v>178</v>
      </c>
      <c r="C3346" t="s">
        <v>179</v>
      </c>
      <c r="D3346" t="s">
        <v>180</v>
      </c>
      <c r="E3346" t="s">
        <v>181</v>
      </c>
      <c r="F3346" t="s">
        <v>5</v>
      </c>
      <c r="G3346" t="s">
        <v>5</v>
      </c>
      <c r="H3346" t="s">
        <v>5</v>
      </c>
      <c r="I3346" t="s">
        <v>182</v>
      </c>
      <c r="J3346" t="s">
        <v>7</v>
      </c>
      <c r="K3346" s="3">
        <f t="shared" si="104"/>
        <v>0</v>
      </c>
      <c r="L3346" s="3">
        <f>IF(ISERROR(VLOOKUP(J3346,Lookups!$A$2:$A$16,1,FALSE)),1,0)</f>
        <v>1</v>
      </c>
      <c r="M3346" s="3">
        <f>IF(ISERROR(VLOOKUP(D3346,Data!$A$2:$D$223100,2,FALSE)),0,1)</f>
        <v>1</v>
      </c>
      <c r="N3346" s="3">
        <f t="shared" si="105"/>
        <v>1</v>
      </c>
      <c r="O3346" s="3" t="str">
        <f>IF(ISERROR(VLOOKUP(D3346,Data!$A$2:$C$223100,3,FALSE)),"INACTIVE",VLOOKUP(D3346,Data!$A$2:$C$223100,3,FALSE))</f>
        <v>FC</v>
      </c>
    </row>
    <row r="3347" spans="1:15" x14ac:dyDescent="0.25">
      <c r="A3347" t="s">
        <v>205</v>
      </c>
      <c r="B3347" t="s">
        <v>206</v>
      </c>
      <c r="C3347" t="s">
        <v>207</v>
      </c>
      <c r="D3347" t="s">
        <v>208</v>
      </c>
      <c r="E3347" t="s">
        <v>209</v>
      </c>
      <c r="F3347" t="s">
        <v>5</v>
      </c>
      <c r="G3347" t="s">
        <v>5</v>
      </c>
      <c r="H3347" t="s">
        <v>5</v>
      </c>
      <c r="I3347" t="s">
        <v>182</v>
      </c>
      <c r="J3347" t="s">
        <v>7</v>
      </c>
      <c r="K3347" s="3">
        <f t="shared" si="104"/>
        <v>0</v>
      </c>
      <c r="L3347" s="3">
        <f>IF(ISERROR(VLOOKUP(J3347,Lookups!$A$2:$A$16,1,FALSE)),1,0)</f>
        <v>1</v>
      </c>
      <c r="M3347" s="3">
        <f>IF(ISERROR(VLOOKUP(D3347,Data!$A$2:$D$223100,2,FALSE)),0,1)</f>
        <v>1</v>
      </c>
      <c r="N3347" s="3">
        <f t="shared" si="105"/>
        <v>1</v>
      </c>
      <c r="O3347" s="3" t="str">
        <f>IF(ISERROR(VLOOKUP(D3347,Data!$A$2:$C$223100,3,FALSE)),"INACTIVE",VLOOKUP(D3347,Data!$A$2:$C$223100,3,FALSE))</f>
        <v>BK13</v>
      </c>
    </row>
    <row r="3348" spans="1:15" x14ac:dyDescent="0.25">
      <c r="A3348" t="s">
        <v>205</v>
      </c>
      <c r="B3348" t="s">
        <v>206</v>
      </c>
      <c r="C3348" t="s">
        <v>210</v>
      </c>
      <c r="D3348" t="s">
        <v>211</v>
      </c>
      <c r="E3348" t="s">
        <v>212</v>
      </c>
      <c r="F3348" t="s">
        <v>5</v>
      </c>
      <c r="G3348" t="s">
        <v>5</v>
      </c>
      <c r="H3348" t="s">
        <v>5</v>
      </c>
      <c r="I3348" t="s">
        <v>182</v>
      </c>
      <c r="J3348" t="s">
        <v>7</v>
      </c>
      <c r="K3348" s="3">
        <f t="shared" si="104"/>
        <v>0</v>
      </c>
      <c r="L3348" s="3">
        <f>IF(ISERROR(VLOOKUP(J3348,Lookups!$A$2:$A$16,1,FALSE)),1,0)</f>
        <v>1</v>
      </c>
      <c r="M3348" s="3">
        <f>IF(ISERROR(VLOOKUP(D3348,Data!$A$2:$D$223100,2,FALSE)),0,1)</f>
        <v>1</v>
      </c>
      <c r="N3348" s="3">
        <f t="shared" si="105"/>
        <v>1</v>
      </c>
      <c r="O3348" s="3" t="str">
        <f>IF(ISERROR(VLOOKUP(D3348,Data!$A$2:$C$223100,3,FALSE)),"INACTIVE",VLOOKUP(D3348,Data!$A$2:$C$223100,3,FALSE))</f>
        <v>30+</v>
      </c>
    </row>
    <row r="3349" spans="1:15" x14ac:dyDescent="0.25">
      <c r="A3349" t="s">
        <v>447</v>
      </c>
      <c r="B3349" t="s">
        <v>448</v>
      </c>
      <c r="C3349" t="s">
        <v>449</v>
      </c>
      <c r="D3349" t="s">
        <v>450</v>
      </c>
      <c r="E3349" t="s">
        <v>451</v>
      </c>
      <c r="F3349" t="s">
        <v>5</v>
      </c>
      <c r="G3349" t="s">
        <v>5</v>
      </c>
      <c r="H3349" t="s">
        <v>5</v>
      </c>
      <c r="I3349" t="s">
        <v>182</v>
      </c>
      <c r="J3349" t="s">
        <v>90</v>
      </c>
      <c r="K3349" s="3">
        <f t="shared" si="104"/>
        <v>0</v>
      </c>
      <c r="L3349" s="3">
        <f>IF(ISERROR(VLOOKUP(J3349,Lookups!$A$2:$A$16,1,FALSE)),1,0)</f>
        <v>0</v>
      </c>
      <c r="M3349" s="3">
        <f>IF(ISERROR(VLOOKUP(D3349,Data!$A$2:$D$223100,2,FALSE)),0,1)</f>
        <v>0</v>
      </c>
      <c r="N3349" s="3">
        <f t="shared" si="105"/>
        <v>0</v>
      </c>
      <c r="O3349" s="3" t="str">
        <f>IF(ISERROR(VLOOKUP(D3349,Data!$A$2:$C$223100,3,FALSE)),"INACTIVE",VLOOKUP(D3349,Data!$A$2:$C$223100,3,FALSE))</f>
        <v>INACTIVE</v>
      </c>
    </row>
    <row r="3350" spans="1:15" x14ac:dyDescent="0.25">
      <c r="A3350" t="s">
        <v>447</v>
      </c>
      <c r="B3350" t="s">
        <v>448</v>
      </c>
      <c r="C3350" t="s">
        <v>452</v>
      </c>
      <c r="D3350" t="s">
        <v>453</v>
      </c>
      <c r="E3350" t="s">
        <v>454</v>
      </c>
      <c r="F3350" t="s">
        <v>5</v>
      </c>
      <c r="G3350" t="s">
        <v>5</v>
      </c>
      <c r="H3350" t="s">
        <v>5</v>
      </c>
      <c r="I3350" t="s">
        <v>182</v>
      </c>
      <c r="J3350" t="s">
        <v>96</v>
      </c>
      <c r="K3350" s="3">
        <f t="shared" si="104"/>
        <v>0</v>
      </c>
      <c r="L3350" s="3">
        <f>IF(ISERROR(VLOOKUP(J3350,Lookups!$A$2:$A$16,1,FALSE)),1,0)</f>
        <v>0</v>
      </c>
      <c r="M3350" s="3">
        <f>IF(ISERROR(VLOOKUP(D3350,Data!$A$2:$D$223100,2,FALSE)),0,1)</f>
        <v>1</v>
      </c>
      <c r="N3350" s="3">
        <f t="shared" si="105"/>
        <v>0</v>
      </c>
      <c r="O3350" s="3" t="str">
        <f>IF(ISERROR(VLOOKUP(D3350,Data!$A$2:$C$223100,3,FALSE)),"INACTIVE",VLOOKUP(D3350,Data!$A$2:$C$223100,3,FALSE))</f>
        <v>30+</v>
      </c>
    </row>
    <row r="3351" spans="1:15" x14ac:dyDescent="0.25">
      <c r="A3351" t="s">
        <v>447</v>
      </c>
      <c r="B3351" t="s">
        <v>448</v>
      </c>
      <c r="C3351" t="s">
        <v>455</v>
      </c>
      <c r="D3351" t="s">
        <v>456</v>
      </c>
      <c r="E3351" t="s">
        <v>457</v>
      </c>
      <c r="F3351" t="s">
        <v>5</v>
      </c>
      <c r="G3351" t="s">
        <v>5</v>
      </c>
      <c r="H3351" t="s">
        <v>5</v>
      </c>
      <c r="I3351" t="s">
        <v>182</v>
      </c>
      <c r="J3351" t="s">
        <v>90</v>
      </c>
      <c r="K3351" s="3">
        <f t="shared" si="104"/>
        <v>0</v>
      </c>
      <c r="L3351" s="3">
        <f>IF(ISERROR(VLOOKUP(J3351,Lookups!$A$2:$A$16,1,FALSE)),1,0)</f>
        <v>0</v>
      </c>
      <c r="M3351" s="3">
        <f>IF(ISERROR(VLOOKUP(D3351,Data!$A$2:$D$223100,2,FALSE)),0,1)</f>
        <v>0</v>
      </c>
      <c r="N3351" s="3">
        <f t="shared" si="105"/>
        <v>0</v>
      </c>
      <c r="O3351" s="3" t="str">
        <f>IF(ISERROR(VLOOKUP(D3351,Data!$A$2:$C$223100,3,FALSE)),"INACTIVE",VLOOKUP(D3351,Data!$A$2:$C$223100,3,FALSE))</f>
        <v>INACTIVE</v>
      </c>
    </row>
    <row r="3352" spans="1:15" x14ac:dyDescent="0.25">
      <c r="A3352" t="s">
        <v>447</v>
      </c>
      <c r="B3352" t="s">
        <v>448</v>
      </c>
      <c r="C3352" t="s">
        <v>458</v>
      </c>
      <c r="D3352" t="s">
        <v>459</v>
      </c>
      <c r="E3352" t="s">
        <v>460</v>
      </c>
      <c r="F3352" t="s">
        <v>5</v>
      </c>
      <c r="G3352" t="s">
        <v>5</v>
      </c>
      <c r="H3352" t="s">
        <v>5</v>
      </c>
      <c r="I3352" t="s">
        <v>182</v>
      </c>
      <c r="J3352" t="s">
        <v>90</v>
      </c>
      <c r="K3352" s="3">
        <f t="shared" si="104"/>
        <v>0</v>
      </c>
      <c r="L3352" s="3">
        <f>IF(ISERROR(VLOOKUP(J3352,Lookups!$A$2:$A$16,1,FALSE)),1,0)</f>
        <v>0</v>
      </c>
      <c r="M3352" s="3">
        <f>IF(ISERROR(VLOOKUP(D3352,Data!$A$2:$D$223100,2,FALSE)),0,1)</f>
        <v>0</v>
      </c>
      <c r="N3352" s="3">
        <f t="shared" si="105"/>
        <v>0</v>
      </c>
      <c r="O3352" s="3" t="str">
        <f>IF(ISERROR(VLOOKUP(D3352,Data!$A$2:$C$223100,3,FALSE)),"INACTIVE",VLOOKUP(D3352,Data!$A$2:$C$223100,3,FALSE))</f>
        <v>INACTIVE</v>
      </c>
    </row>
    <row r="3353" spans="1:15" x14ac:dyDescent="0.25">
      <c r="A3353" t="s">
        <v>447</v>
      </c>
      <c r="B3353" t="s">
        <v>448</v>
      </c>
      <c r="C3353" t="s">
        <v>461</v>
      </c>
      <c r="D3353" t="s">
        <v>462</v>
      </c>
      <c r="E3353" t="s">
        <v>463</v>
      </c>
      <c r="F3353" t="s">
        <v>5</v>
      </c>
      <c r="G3353" t="s">
        <v>5</v>
      </c>
      <c r="H3353" t="s">
        <v>5</v>
      </c>
      <c r="I3353" t="s">
        <v>182</v>
      </c>
      <c r="J3353" t="s">
        <v>96</v>
      </c>
      <c r="K3353" s="3">
        <f t="shared" si="104"/>
        <v>0</v>
      </c>
      <c r="L3353" s="3">
        <f>IF(ISERROR(VLOOKUP(J3353,Lookups!$A$2:$A$16,1,FALSE)),1,0)</f>
        <v>0</v>
      </c>
      <c r="M3353" s="3">
        <f>IF(ISERROR(VLOOKUP(D3353,Data!$A$2:$D$223100,2,FALSE)),0,1)</f>
        <v>1</v>
      </c>
      <c r="N3353" s="3">
        <f t="shared" si="105"/>
        <v>0</v>
      </c>
      <c r="O3353" s="3" t="str">
        <f>IF(ISERROR(VLOOKUP(D3353,Data!$A$2:$C$223100,3,FALSE)),"INACTIVE",VLOOKUP(D3353,Data!$A$2:$C$223100,3,FALSE))</f>
        <v>FC</v>
      </c>
    </row>
    <row r="3354" spans="1:15" x14ac:dyDescent="0.25">
      <c r="A3354" t="s">
        <v>447</v>
      </c>
      <c r="B3354" t="s">
        <v>448</v>
      </c>
      <c r="C3354" t="s">
        <v>461</v>
      </c>
      <c r="D3354" t="s">
        <v>462</v>
      </c>
      <c r="E3354" t="s">
        <v>463</v>
      </c>
      <c r="F3354" t="s">
        <v>5</v>
      </c>
      <c r="G3354" t="s">
        <v>5</v>
      </c>
      <c r="H3354" t="s">
        <v>5</v>
      </c>
      <c r="I3354" t="s">
        <v>182</v>
      </c>
      <c r="J3354" t="s">
        <v>96</v>
      </c>
      <c r="K3354" s="3">
        <f t="shared" si="104"/>
        <v>0</v>
      </c>
      <c r="L3354" s="3">
        <f>IF(ISERROR(VLOOKUP(J3354,Lookups!$A$2:$A$16,1,FALSE)),1,0)</f>
        <v>0</v>
      </c>
      <c r="M3354" s="3">
        <f>IF(ISERROR(VLOOKUP(D3354,Data!$A$2:$D$223100,2,FALSE)),0,1)</f>
        <v>1</v>
      </c>
      <c r="N3354" s="3">
        <f t="shared" si="105"/>
        <v>0</v>
      </c>
      <c r="O3354" s="3" t="str">
        <f>IF(ISERROR(VLOOKUP(D3354,Data!$A$2:$C$223100,3,FALSE)),"INACTIVE",VLOOKUP(D3354,Data!$A$2:$C$223100,3,FALSE))</f>
        <v>FC</v>
      </c>
    </row>
    <row r="3355" spans="1:15" x14ac:dyDescent="0.25">
      <c r="A3355" t="s">
        <v>447</v>
      </c>
      <c r="B3355" t="s">
        <v>448</v>
      </c>
      <c r="C3355" t="s">
        <v>461</v>
      </c>
      <c r="D3355" t="s">
        <v>462</v>
      </c>
      <c r="E3355" t="s">
        <v>464</v>
      </c>
      <c r="F3355" t="s">
        <v>5</v>
      </c>
      <c r="G3355" t="s">
        <v>5</v>
      </c>
      <c r="H3355" t="s">
        <v>5</v>
      </c>
      <c r="I3355" t="s">
        <v>182</v>
      </c>
      <c r="J3355" t="s">
        <v>96</v>
      </c>
      <c r="K3355" s="3">
        <f t="shared" si="104"/>
        <v>0</v>
      </c>
      <c r="L3355" s="3">
        <f>IF(ISERROR(VLOOKUP(J3355,Lookups!$A$2:$A$16,1,FALSE)),1,0)</f>
        <v>0</v>
      </c>
      <c r="M3355" s="3">
        <f>IF(ISERROR(VLOOKUP(D3355,Data!$A$2:$D$223100,2,FALSE)),0,1)</f>
        <v>1</v>
      </c>
      <c r="N3355" s="3">
        <f t="shared" si="105"/>
        <v>0</v>
      </c>
      <c r="O3355" s="3" t="str">
        <f>IF(ISERROR(VLOOKUP(D3355,Data!$A$2:$C$223100,3,FALSE)),"INACTIVE",VLOOKUP(D3355,Data!$A$2:$C$223100,3,FALSE))</f>
        <v>FC</v>
      </c>
    </row>
    <row r="3356" spans="1:15" x14ac:dyDescent="0.25">
      <c r="A3356" t="s">
        <v>447</v>
      </c>
      <c r="B3356" t="s">
        <v>448</v>
      </c>
      <c r="C3356" t="s">
        <v>465</v>
      </c>
      <c r="D3356" t="s">
        <v>466</v>
      </c>
      <c r="E3356" t="s">
        <v>467</v>
      </c>
      <c r="F3356" t="s">
        <v>5</v>
      </c>
      <c r="G3356" t="s">
        <v>5</v>
      </c>
      <c r="H3356" t="s">
        <v>5</v>
      </c>
      <c r="I3356" t="s">
        <v>182</v>
      </c>
      <c r="J3356" t="s">
        <v>90</v>
      </c>
      <c r="K3356" s="3">
        <f t="shared" si="104"/>
        <v>0</v>
      </c>
      <c r="L3356" s="3">
        <f>IF(ISERROR(VLOOKUP(J3356,Lookups!$A$2:$A$16,1,FALSE)),1,0)</f>
        <v>0</v>
      </c>
      <c r="M3356" s="3">
        <f>IF(ISERROR(VLOOKUP(D3356,Data!$A$2:$D$223100,2,FALSE)),0,1)</f>
        <v>1</v>
      </c>
      <c r="N3356" s="3">
        <f t="shared" si="105"/>
        <v>0</v>
      </c>
      <c r="O3356" s="3" t="str">
        <f>IF(ISERROR(VLOOKUP(D3356,Data!$A$2:$C$223100,3,FALSE)),"INACTIVE",VLOOKUP(D3356,Data!$A$2:$C$223100,3,FALSE))</f>
        <v>Current</v>
      </c>
    </row>
    <row r="3357" spans="1:15" x14ac:dyDescent="0.25">
      <c r="A3357" t="s">
        <v>473</v>
      </c>
      <c r="B3357" t="s">
        <v>474</v>
      </c>
      <c r="C3357" t="s">
        <v>475</v>
      </c>
      <c r="D3357" t="s">
        <v>476</v>
      </c>
      <c r="E3357" t="s">
        <v>477</v>
      </c>
      <c r="F3357" t="s">
        <v>5</v>
      </c>
      <c r="G3357" t="s">
        <v>5</v>
      </c>
      <c r="H3357" t="s">
        <v>5</v>
      </c>
      <c r="I3357" t="s">
        <v>182</v>
      </c>
      <c r="J3357" t="s">
        <v>7</v>
      </c>
      <c r="K3357" s="3">
        <f t="shared" si="104"/>
        <v>0</v>
      </c>
      <c r="L3357" s="3">
        <f>IF(ISERROR(VLOOKUP(J3357,Lookups!$A$2:$A$16,1,FALSE)),1,0)</f>
        <v>1</v>
      </c>
      <c r="M3357" s="3">
        <f>IF(ISERROR(VLOOKUP(D3357,Data!$A$2:$D$223100,2,FALSE)),0,1)</f>
        <v>1</v>
      </c>
      <c r="N3357" s="3">
        <f t="shared" si="105"/>
        <v>1</v>
      </c>
      <c r="O3357" s="3" t="str">
        <f>IF(ISERROR(VLOOKUP(D3357,Data!$A$2:$C$223100,3,FALSE)),"INACTIVE",VLOOKUP(D3357,Data!$A$2:$C$223100,3,FALSE))</f>
        <v>60+</v>
      </c>
    </row>
    <row r="3358" spans="1:15" x14ac:dyDescent="0.25">
      <c r="A3358" t="s">
        <v>473</v>
      </c>
      <c r="B3358" t="s">
        <v>474</v>
      </c>
      <c r="C3358" t="s">
        <v>478</v>
      </c>
      <c r="D3358" t="s">
        <v>479</v>
      </c>
      <c r="E3358" t="s">
        <v>480</v>
      </c>
      <c r="F3358" t="s">
        <v>5</v>
      </c>
      <c r="G3358" t="s">
        <v>5</v>
      </c>
      <c r="H3358" t="s">
        <v>5</v>
      </c>
      <c r="I3358" t="s">
        <v>182</v>
      </c>
      <c r="J3358" t="s">
        <v>7</v>
      </c>
      <c r="K3358" s="3">
        <f t="shared" si="104"/>
        <v>0</v>
      </c>
      <c r="L3358" s="3">
        <f>IF(ISERROR(VLOOKUP(J3358,Lookups!$A$2:$A$16,1,FALSE)),1,0)</f>
        <v>1</v>
      </c>
      <c r="M3358" s="3">
        <f>IF(ISERROR(VLOOKUP(D3358,Data!$A$2:$D$223100,2,FALSE)),0,1)</f>
        <v>1</v>
      </c>
      <c r="N3358" s="3">
        <f t="shared" si="105"/>
        <v>1</v>
      </c>
      <c r="O3358" s="3" t="str">
        <f>IF(ISERROR(VLOOKUP(D3358,Data!$A$2:$C$223100,3,FALSE)),"INACTIVE",VLOOKUP(D3358,Data!$A$2:$C$223100,3,FALSE))</f>
        <v>FC</v>
      </c>
    </row>
    <row r="3359" spans="1:15" x14ac:dyDescent="0.25">
      <c r="A3359" t="s">
        <v>473</v>
      </c>
      <c r="B3359" t="s">
        <v>474</v>
      </c>
      <c r="C3359" t="s">
        <v>481</v>
      </c>
      <c r="D3359" t="s">
        <v>482</v>
      </c>
      <c r="E3359" t="s">
        <v>483</v>
      </c>
      <c r="F3359" t="s">
        <v>5</v>
      </c>
      <c r="G3359" t="s">
        <v>5</v>
      </c>
      <c r="H3359" t="s">
        <v>5</v>
      </c>
      <c r="I3359" t="s">
        <v>182</v>
      </c>
      <c r="J3359" t="s">
        <v>7</v>
      </c>
      <c r="K3359" s="3">
        <f t="shared" si="104"/>
        <v>0</v>
      </c>
      <c r="L3359" s="3">
        <f>IF(ISERROR(VLOOKUP(J3359,Lookups!$A$2:$A$16,1,FALSE)),1,0)</f>
        <v>1</v>
      </c>
      <c r="M3359" s="3">
        <f>IF(ISERROR(VLOOKUP(D3359,Data!$A$2:$D$223100,2,FALSE)),0,1)</f>
        <v>1</v>
      </c>
      <c r="N3359" s="3">
        <f t="shared" si="105"/>
        <v>1</v>
      </c>
      <c r="O3359" s="3" t="str">
        <f>IF(ISERROR(VLOOKUP(D3359,Data!$A$2:$C$223100,3,FALSE)),"INACTIVE",VLOOKUP(D3359,Data!$A$2:$C$223100,3,FALSE))</f>
        <v>Current</v>
      </c>
    </row>
    <row r="3360" spans="1:15" x14ac:dyDescent="0.25">
      <c r="A3360" t="s">
        <v>473</v>
      </c>
      <c r="B3360" t="s">
        <v>474</v>
      </c>
      <c r="C3360" t="s">
        <v>484</v>
      </c>
      <c r="D3360" t="s">
        <v>485</v>
      </c>
      <c r="E3360" t="s">
        <v>486</v>
      </c>
      <c r="F3360" t="s">
        <v>5</v>
      </c>
      <c r="G3360" t="s">
        <v>5</v>
      </c>
      <c r="H3360" t="s">
        <v>5</v>
      </c>
      <c r="I3360" t="s">
        <v>182</v>
      </c>
      <c r="J3360" t="s">
        <v>7</v>
      </c>
      <c r="K3360" s="3">
        <f t="shared" si="104"/>
        <v>0</v>
      </c>
      <c r="L3360" s="3">
        <f>IF(ISERROR(VLOOKUP(J3360,Lookups!$A$2:$A$16,1,FALSE)),1,0)</f>
        <v>1</v>
      </c>
      <c r="M3360" s="3">
        <f>IF(ISERROR(VLOOKUP(D3360,Data!$A$2:$D$223100,2,FALSE)),0,1)</f>
        <v>1</v>
      </c>
      <c r="N3360" s="3">
        <f t="shared" si="105"/>
        <v>1</v>
      </c>
      <c r="O3360" s="3" t="str">
        <f>IF(ISERROR(VLOOKUP(D3360,Data!$A$2:$C$223100,3,FALSE)),"INACTIVE",VLOOKUP(D3360,Data!$A$2:$C$223100,3,FALSE))</f>
        <v>60+</v>
      </c>
    </row>
    <row r="3361" spans="1:15" x14ac:dyDescent="0.25">
      <c r="A3361" t="s">
        <v>534</v>
      </c>
      <c r="B3361" t="s">
        <v>535</v>
      </c>
      <c r="C3361" t="s">
        <v>536</v>
      </c>
      <c r="D3361" t="s">
        <v>537</v>
      </c>
      <c r="E3361" t="s">
        <v>538</v>
      </c>
      <c r="F3361" t="s">
        <v>5</v>
      </c>
      <c r="G3361" t="s">
        <v>5</v>
      </c>
      <c r="H3361" t="s">
        <v>5</v>
      </c>
      <c r="I3361" t="s">
        <v>182</v>
      </c>
      <c r="J3361" t="s">
        <v>96</v>
      </c>
      <c r="K3361" s="3">
        <f t="shared" si="104"/>
        <v>0</v>
      </c>
      <c r="L3361" s="3">
        <f>IF(ISERROR(VLOOKUP(J3361,Lookups!$A$2:$A$16,1,FALSE)),1,0)</f>
        <v>0</v>
      </c>
      <c r="M3361" s="3">
        <f>IF(ISERROR(VLOOKUP(D3361,Data!$A$2:$D$223100,2,FALSE)),0,1)</f>
        <v>0</v>
      </c>
      <c r="N3361" s="3">
        <f t="shared" si="105"/>
        <v>0</v>
      </c>
      <c r="O3361" s="3" t="str">
        <f>IF(ISERROR(VLOOKUP(D3361,Data!$A$2:$C$223100,3,FALSE)),"INACTIVE",VLOOKUP(D3361,Data!$A$2:$C$223100,3,FALSE))</f>
        <v>INACTIVE</v>
      </c>
    </row>
    <row r="3362" spans="1:15" x14ac:dyDescent="0.25">
      <c r="A3362" t="s">
        <v>534</v>
      </c>
      <c r="B3362" t="s">
        <v>535</v>
      </c>
      <c r="C3362" t="s">
        <v>536</v>
      </c>
      <c r="D3362" t="s">
        <v>537</v>
      </c>
      <c r="E3362" t="s">
        <v>539</v>
      </c>
      <c r="F3362" t="s">
        <v>5</v>
      </c>
      <c r="G3362" t="s">
        <v>5</v>
      </c>
      <c r="H3362" t="s">
        <v>5</v>
      </c>
      <c r="I3362" t="s">
        <v>182</v>
      </c>
      <c r="J3362" t="s">
        <v>96</v>
      </c>
      <c r="K3362" s="3">
        <f t="shared" si="104"/>
        <v>0</v>
      </c>
      <c r="L3362" s="3">
        <f>IF(ISERROR(VLOOKUP(J3362,Lookups!$A$2:$A$16,1,FALSE)),1,0)</f>
        <v>0</v>
      </c>
      <c r="M3362" s="3">
        <f>IF(ISERROR(VLOOKUP(D3362,Data!$A$2:$D$223100,2,FALSE)),0,1)</f>
        <v>0</v>
      </c>
      <c r="N3362" s="3">
        <f t="shared" si="105"/>
        <v>0</v>
      </c>
      <c r="O3362" s="3" t="str">
        <f>IF(ISERROR(VLOOKUP(D3362,Data!$A$2:$C$223100,3,FALSE)),"INACTIVE",VLOOKUP(D3362,Data!$A$2:$C$223100,3,FALSE))</f>
        <v>INACTIVE</v>
      </c>
    </row>
    <row r="3363" spans="1:15" x14ac:dyDescent="0.25">
      <c r="A3363" t="s">
        <v>540</v>
      </c>
      <c r="B3363" t="s">
        <v>541</v>
      </c>
      <c r="C3363" t="s">
        <v>542</v>
      </c>
      <c r="D3363" t="s">
        <v>543</v>
      </c>
      <c r="E3363" t="s">
        <v>544</v>
      </c>
      <c r="F3363" t="s">
        <v>5</v>
      </c>
      <c r="G3363" t="s">
        <v>5</v>
      </c>
      <c r="H3363" t="s">
        <v>5</v>
      </c>
      <c r="I3363" t="s">
        <v>182</v>
      </c>
      <c r="J3363" t="s">
        <v>96</v>
      </c>
      <c r="K3363" s="3">
        <f t="shared" si="104"/>
        <v>0</v>
      </c>
      <c r="L3363" s="3">
        <f>IF(ISERROR(VLOOKUP(J3363,Lookups!$A$2:$A$16,1,FALSE)),1,0)</f>
        <v>0</v>
      </c>
      <c r="M3363" s="3">
        <f>IF(ISERROR(VLOOKUP(D3363,Data!$A$2:$D$223100,2,FALSE)),0,1)</f>
        <v>1</v>
      </c>
      <c r="N3363" s="3">
        <f t="shared" si="105"/>
        <v>0</v>
      </c>
      <c r="O3363" s="3" t="str">
        <f>IF(ISERROR(VLOOKUP(D3363,Data!$A$2:$C$223100,3,FALSE)),"INACTIVE",VLOOKUP(D3363,Data!$A$2:$C$223100,3,FALSE))</f>
        <v>FC</v>
      </c>
    </row>
    <row r="3364" spans="1:15" x14ac:dyDescent="0.25">
      <c r="A3364" t="s">
        <v>540</v>
      </c>
      <c r="B3364" t="s">
        <v>541</v>
      </c>
      <c r="C3364" t="s">
        <v>542</v>
      </c>
      <c r="D3364" t="s">
        <v>543</v>
      </c>
      <c r="E3364" t="s">
        <v>545</v>
      </c>
      <c r="F3364" t="s">
        <v>5</v>
      </c>
      <c r="G3364" t="s">
        <v>5</v>
      </c>
      <c r="H3364" t="s">
        <v>5</v>
      </c>
      <c r="I3364" t="s">
        <v>182</v>
      </c>
      <c r="J3364" t="s">
        <v>96</v>
      </c>
      <c r="K3364" s="3">
        <f t="shared" si="104"/>
        <v>0</v>
      </c>
      <c r="L3364" s="3">
        <f>IF(ISERROR(VLOOKUP(J3364,Lookups!$A$2:$A$16,1,FALSE)),1,0)</f>
        <v>0</v>
      </c>
      <c r="M3364" s="3">
        <f>IF(ISERROR(VLOOKUP(D3364,Data!$A$2:$D$223100,2,FALSE)),0,1)</f>
        <v>1</v>
      </c>
      <c r="N3364" s="3">
        <f t="shared" si="105"/>
        <v>0</v>
      </c>
      <c r="O3364" s="3" t="str">
        <f>IF(ISERROR(VLOOKUP(D3364,Data!$A$2:$C$223100,3,FALSE)),"INACTIVE",VLOOKUP(D3364,Data!$A$2:$C$223100,3,FALSE))</f>
        <v>FC</v>
      </c>
    </row>
    <row r="3365" spans="1:15" x14ac:dyDescent="0.25">
      <c r="A3365" t="s">
        <v>540</v>
      </c>
      <c r="B3365" t="s">
        <v>541</v>
      </c>
      <c r="C3365" t="s">
        <v>542</v>
      </c>
      <c r="D3365" t="s">
        <v>543</v>
      </c>
      <c r="E3365" t="s">
        <v>546</v>
      </c>
      <c r="F3365" t="s">
        <v>5</v>
      </c>
      <c r="G3365" t="s">
        <v>5</v>
      </c>
      <c r="H3365" t="s">
        <v>5</v>
      </c>
      <c r="I3365" t="s">
        <v>182</v>
      </c>
      <c r="J3365" t="s">
        <v>96</v>
      </c>
      <c r="K3365" s="3">
        <f t="shared" si="104"/>
        <v>0</v>
      </c>
      <c r="L3365" s="3">
        <f>IF(ISERROR(VLOOKUP(J3365,Lookups!$A$2:$A$16,1,FALSE)),1,0)</f>
        <v>0</v>
      </c>
      <c r="M3365" s="3">
        <f>IF(ISERROR(VLOOKUP(D3365,Data!$A$2:$D$223100,2,FALSE)),0,1)</f>
        <v>1</v>
      </c>
      <c r="N3365" s="3">
        <f t="shared" si="105"/>
        <v>0</v>
      </c>
      <c r="O3365" s="3" t="str">
        <f>IF(ISERROR(VLOOKUP(D3365,Data!$A$2:$C$223100,3,FALSE)),"INACTIVE",VLOOKUP(D3365,Data!$A$2:$C$223100,3,FALSE))</f>
        <v>FC</v>
      </c>
    </row>
    <row r="3366" spans="1:15" x14ac:dyDescent="0.25">
      <c r="A3366" t="s">
        <v>540</v>
      </c>
      <c r="B3366" t="s">
        <v>541</v>
      </c>
      <c r="C3366" t="s">
        <v>547</v>
      </c>
      <c r="D3366" t="s">
        <v>548</v>
      </c>
      <c r="E3366" t="s">
        <v>549</v>
      </c>
      <c r="F3366" t="s">
        <v>5</v>
      </c>
      <c r="G3366" t="s">
        <v>5</v>
      </c>
      <c r="H3366" t="s">
        <v>5</v>
      </c>
      <c r="I3366" t="s">
        <v>182</v>
      </c>
      <c r="J3366" t="s">
        <v>7</v>
      </c>
      <c r="K3366" s="3">
        <f t="shared" si="104"/>
        <v>0</v>
      </c>
      <c r="L3366" s="3">
        <f>IF(ISERROR(VLOOKUP(J3366,Lookups!$A$2:$A$16,1,FALSE)),1,0)</f>
        <v>1</v>
      </c>
      <c r="M3366" s="3">
        <f>IF(ISERROR(VLOOKUP(D3366,Data!$A$2:$D$223100,2,FALSE)),0,1)</f>
        <v>1</v>
      </c>
      <c r="N3366" s="3">
        <f t="shared" si="105"/>
        <v>1</v>
      </c>
      <c r="O3366" s="3" t="str">
        <f>IF(ISERROR(VLOOKUP(D3366,Data!$A$2:$C$223100,3,FALSE)),"INACTIVE",VLOOKUP(D3366,Data!$A$2:$C$223100,3,FALSE))</f>
        <v>Current</v>
      </c>
    </row>
    <row r="3367" spans="1:15" x14ac:dyDescent="0.25">
      <c r="A3367" t="s">
        <v>258</v>
      </c>
      <c r="B3367" t="s">
        <v>259</v>
      </c>
      <c r="C3367" t="s">
        <v>260</v>
      </c>
      <c r="D3367" t="s">
        <v>261</v>
      </c>
      <c r="E3367" t="s">
        <v>262</v>
      </c>
      <c r="F3367" t="s">
        <v>5</v>
      </c>
      <c r="G3367" t="s">
        <v>5</v>
      </c>
      <c r="H3367" t="s">
        <v>5</v>
      </c>
      <c r="I3367" t="s">
        <v>263</v>
      </c>
      <c r="J3367" t="s">
        <v>7</v>
      </c>
      <c r="K3367" s="3">
        <f t="shared" si="104"/>
        <v>0</v>
      </c>
      <c r="L3367" s="3">
        <f>IF(ISERROR(VLOOKUP(J3367,Lookups!$A$2:$A$16,1,FALSE)),1,0)</f>
        <v>1</v>
      </c>
      <c r="M3367" s="3">
        <f>IF(ISERROR(VLOOKUP(D3367,Data!$A$2:$D$223100,2,FALSE)),0,1)</f>
        <v>1</v>
      </c>
      <c r="N3367" s="3">
        <f t="shared" si="105"/>
        <v>1</v>
      </c>
      <c r="O3367" s="3" t="str">
        <f>IF(ISERROR(VLOOKUP(D3367,Data!$A$2:$C$223100,3,FALSE)),"INACTIVE",VLOOKUP(D3367,Data!$A$2:$C$223100,3,FALSE))</f>
        <v>Current</v>
      </c>
    </row>
    <row r="3368" spans="1:15" x14ac:dyDescent="0.25">
      <c r="A3368" t="s">
        <v>297</v>
      </c>
      <c r="B3368" t="s">
        <v>298</v>
      </c>
      <c r="C3368" t="s">
        <v>299</v>
      </c>
      <c r="D3368" t="s">
        <v>300</v>
      </c>
      <c r="E3368" t="s">
        <v>301</v>
      </c>
      <c r="F3368" t="s">
        <v>5</v>
      </c>
      <c r="G3368" t="s">
        <v>5</v>
      </c>
      <c r="H3368" t="s">
        <v>5</v>
      </c>
      <c r="I3368" t="s">
        <v>263</v>
      </c>
      <c r="J3368" t="s">
        <v>90</v>
      </c>
      <c r="K3368" s="3">
        <f t="shared" si="104"/>
        <v>0</v>
      </c>
      <c r="L3368" s="3">
        <f>IF(ISERROR(VLOOKUP(J3368,Lookups!$A$2:$A$16,1,FALSE)),1,0)</f>
        <v>0</v>
      </c>
      <c r="M3368" s="3">
        <f>IF(ISERROR(VLOOKUP(D3368,Data!$A$2:$D$223100,2,FALSE)),0,1)</f>
        <v>1</v>
      </c>
      <c r="N3368" s="3">
        <f t="shared" si="105"/>
        <v>0</v>
      </c>
      <c r="O3368" s="3" t="str">
        <f>IF(ISERROR(VLOOKUP(D3368,Data!$A$2:$C$223100,3,FALSE)),"INACTIVE",VLOOKUP(D3368,Data!$A$2:$C$223100,3,FALSE))</f>
        <v>FBA</v>
      </c>
    </row>
    <row r="3369" spans="1:15" x14ac:dyDescent="0.25">
      <c r="A3369" t="s">
        <v>297</v>
      </c>
      <c r="B3369" t="s">
        <v>298</v>
      </c>
      <c r="C3369" t="s">
        <v>299</v>
      </c>
      <c r="D3369" t="s">
        <v>300</v>
      </c>
      <c r="E3369" t="s">
        <v>302</v>
      </c>
      <c r="F3369" t="s">
        <v>5</v>
      </c>
      <c r="G3369" t="s">
        <v>5</v>
      </c>
      <c r="H3369" t="s">
        <v>5</v>
      </c>
      <c r="I3369" t="s">
        <v>263</v>
      </c>
      <c r="J3369" t="s">
        <v>90</v>
      </c>
      <c r="K3369" s="3">
        <f t="shared" si="104"/>
        <v>0</v>
      </c>
      <c r="L3369" s="3">
        <f>IF(ISERROR(VLOOKUP(J3369,Lookups!$A$2:$A$16,1,FALSE)),1,0)</f>
        <v>0</v>
      </c>
      <c r="M3369" s="3">
        <f>IF(ISERROR(VLOOKUP(D3369,Data!$A$2:$D$223100,2,FALSE)),0,1)</f>
        <v>1</v>
      </c>
      <c r="N3369" s="3">
        <f t="shared" si="105"/>
        <v>0</v>
      </c>
      <c r="O3369" s="3" t="str">
        <f>IF(ISERROR(VLOOKUP(D3369,Data!$A$2:$C$223100,3,FALSE)),"INACTIVE",VLOOKUP(D3369,Data!$A$2:$C$223100,3,FALSE))</f>
        <v>FBA</v>
      </c>
    </row>
    <row r="3370" spans="1:15" x14ac:dyDescent="0.25">
      <c r="A3370" t="s">
        <v>303</v>
      </c>
      <c r="B3370" t="s">
        <v>304</v>
      </c>
      <c r="C3370" t="s">
        <v>305</v>
      </c>
      <c r="D3370" t="s">
        <v>306</v>
      </c>
      <c r="E3370" t="s">
        <v>307</v>
      </c>
      <c r="F3370" t="s">
        <v>5</v>
      </c>
      <c r="G3370" t="s">
        <v>5</v>
      </c>
      <c r="H3370" t="s">
        <v>5</v>
      </c>
      <c r="I3370" t="s">
        <v>263</v>
      </c>
      <c r="J3370" t="s">
        <v>90</v>
      </c>
      <c r="K3370" s="3">
        <f t="shared" si="104"/>
        <v>0</v>
      </c>
      <c r="L3370" s="3">
        <f>IF(ISERROR(VLOOKUP(J3370,Lookups!$A$2:$A$16,1,FALSE)),1,0)</f>
        <v>0</v>
      </c>
      <c r="M3370" s="3">
        <f>IF(ISERROR(VLOOKUP(D3370,Data!$A$2:$D$223100,2,FALSE)),0,1)</f>
        <v>1</v>
      </c>
      <c r="N3370" s="3">
        <f t="shared" si="105"/>
        <v>0</v>
      </c>
      <c r="O3370" s="3" t="str">
        <f>IF(ISERROR(VLOOKUP(D3370,Data!$A$2:$C$223100,3,FALSE)),"INACTIVE",VLOOKUP(D3370,Data!$A$2:$C$223100,3,FALSE))</f>
        <v>BK13</v>
      </c>
    </row>
    <row r="3371" spans="1:15" x14ac:dyDescent="0.25">
      <c r="A3371" t="s">
        <v>303</v>
      </c>
      <c r="B3371" t="s">
        <v>304</v>
      </c>
      <c r="C3371" t="s">
        <v>305</v>
      </c>
      <c r="D3371" t="s">
        <v>306</v>
      </c>
      <c r="E3371" t="s">
        <v>308</v>
      </c>
      <c r="F3371" t="s">
        <v>5</v>
      </c>
      <c r="G3371" t="s">
        <v>5</v>
      </c>
      <c r="H3371" t="s">
        <v>5</v>
      </c>
      <c r="I3371" t="s">
        <v>263</v>
      </c>
      <c r="J3371" t="s">
        <v>90</v>
      </c>
      <c r="K3371" s="3">
        <f t="shared" si="104"/>
        <v>0</v>
      </c>
      <c r="L3371" s="3">
        <f>IF(ISERROR(VLOOKUP(J3371,Lookups!$A$2:$A$16,1,FALSE)),1,0)</f>
        <v>0</v>
      </c>
      <c r="M3371" s="3">
        <f>IF(ISERROR(VLOOKUP(D3371,Data!$A$2:$D$223100,2,FALSE)),0,1)</f>
        <v>1</v>
      </c>
      <c r="N3371" s="3">
        <f t="shared" si="105"/>
        <v>0</v>
      </c>
      <c r="O3371" s="3" t="str">
        <f>IF(ISERROR(VLOOKUP(D3371,Data!$A$2:$C$223100,3,FALSE)),"INACTIVE",VLOOKUP(D3371,Data!$A$2:$C$223100,3,FALSE))</f>
        <v>BK13</v>
      </c>
    </row>
    <row r="3372" spans="1:15" x14ac:dyDescent="0.25">
      <c r="A3372" t="s">
        <v>303</v>
      </c>
      <c r="B3372" t="s">
        <v>304</v>
      </c>
      <c r="C3372" t="s">
        <v>309</v>
      </c>
      <c r="D3372" t="s">
        <v>310</v>
      </c>
      <c r="E3372" t="s">
        <v>311</v>
      </c>
      <c r="F3372" t="s">
        <v>5</v>
      </c>
      <c r="G3372" t="s">
        <v>5</v>
      </c>
      <c r="H3372" t="s">
        <v>5</v>
      </c>
      <c r="I3372" t="s">
        <v>263</v>
      </c>
      <c r="J3372" t="s">
        <v>7</v>
      </c>
      <c r="K3372" s="3">
        <f t="shared" si="104"/>
        <v>0</v>
      </c>
      <c r="L3372" s="3">
        <f>IF(ISERROR(VLOOKUP(J3372,Lookups!$A$2:$A$16,1,FALSE)),1,0)</f>
        <v>1</v>
      </c>
      <c r="M3372" s="3">
        <f>IF(ISERROR(VLOOKUP(D3372,Data!$A$2:$D$223100,2,FALSE)),0,1)</f>
        <v>1</v>
      </c>
      <c r="N3372" s="3">
        <f t="shared" si="105"/>
        <v>1</v>
      </c>
      <c r="O3372" s="3" t="str">
        <f>IF(ISERROR(VLOOKUP(D3372,Data!$A$2:$C$223100,3,FALSE)),"INACTIVE",VLOOKUP(D3372,Data!$A$2:$C$223100,3,FALSE))</f>
        <v>Demand Letter</v>
      </c>
    </row>
    <row r="3373" spans="1:15" x14ac:dyDescent="0.25">
      <c r="A3373" t="s">
        <v>0</v>
      </c>
      <c r="B3373" t="s">
        <v>1</v>
      </c>
      <c r="C3373" t="s">
        <v>2</v>
      </c>
      <c r="D3373" t="s">
        <v>3</v>
      </c>
      <c r="E3373" t="s">
        <v>4</v>
      </c>
      <c r="F3373" t="s">
        <v>4</v>
      </c>
      <c r="G3373" t="s">
        <v>5</v>
      </c>
      <c r="H3373" t="s">
        <v>5</v>
      </c>
      <c r="I3373" t="s">
        <v>6</v>
      </c>
      <c r="J3373" t="s">
        <v>7</v>
      </c>
      <c r="K3373" s="3">
        <f t="shared" si="104"/>
        <v>0</v>
      </c>
      <c r="L3373" s="3">
        <f>IF(ISERROR(VLOOKUP(J3373,Lookups!$A$2:$A$16,1,FALSE)),1,0)</f>
        <v>1</v>
      </c>
      <c r="M3373" s="3">
        <f>IF(ISERROR(VLOOKUP(D3373,Data!$A$2:$D$223100,2,FALSE)),0,1)</f>
        <v>1</v>
      </c>
      <c r="N3373" s="3">
        <f t="shared" si="105"/>
        <v>1</v>
      </c>
      <c r="O3373" s="3" t="str">
        <f>IF(ISERROR(VLOOKUP(D3373,Data!$A$2:$C$223100,3,FALSE)),"INACTIVE",VLOOKUP(D3373,Data!$A$2:$C$223100,3,FALSE))</f>
        <v>Demand Letter</v>
      </c>
    </row>
    <row r="3374" spans="1:15" x14ac:dyDescent="0.25">
      <c r="A3374" t="s">
        <v>122</v>
      </c>
      <c r="B3374" t="s">
        <v>123</v>
      </c>
      <c r="C3374" t="s">
        <v>124</v>
      </c>
      <c r="D3374" t="s">
        <v>125</v>
      </c>
      <c r="E3374" t="s">
        <v>5</v>
      </c>
      <c r="F3374" t="s">
        <v>126</v>
      </c>
      <c r="G3374" t="s">
        <v>5</v>
      </c>
      <c r="H3374" t="s">
        <v>5</v>
      </c>
      <c r="I3374" t="s">
        <v>6</v>
      </c>
      <c r="J3374" t="s">
        <v>7</v>
      </c>
      <c r="K3374" s="3">
        <f t="shared" si="104"/>
        <v>0</v>
      </c>
      <c r="L3374" s="3">
        <f>IF(ISERROR(VLOOKUP(J3374,Lookups!$A$2:$A$16,1,FALSE)),1,0)</f>
        <v>1</v>
      </c>
      <c r="M3374" s="3">
        <f>IF(ISERROR(VLOOKUP(D3374,Data!$A$2:$D$223100,2,FALSE)),0,1)</f>
        <v>1</v>
      </c>
      <c r="N3374" s="3">
        <f t="shared" si="105"/>
        <v>1</v>
      </c>
      <c r="O3374" s="3" t="str">
        <f>IF(ISERROR(VLOOKUP(D3374,Data!$A$2:$C$223100,3,FALSE)),"INACTIVE",VLOOKUP(D3374,Data!$A$2:$C$223100,3,FALSE))</f>
        <v>180+</v>
      </c>
    </row>
    <row r="3375" spans="1:15" x14ac:dyDescent="0.25">
      <c r="A3375" t="s">
        <v>122</v>
      </c>
      <c r="B3375" t="s">
        <v>123</v>
      </c>
      <c r="C3375" t="s">
        <v>127</v>
      </c>
      <c r="D3375" t="s">
        <v>128</v>
      </c>
      <c r="E3375" t="s">
        <v>5</v>
      </c>
      <c r="F3375" t="s">
        <v>129</v>
      </c>
      <c r="G3375" t="s">
        <v>5</v>
      </c>
      <c r="H3375" t="s">
        <v>5</v>
      </c>
      <c r="I3375" t="s">
        <v>6</v>
      </c>
      <c r="J3375" t="s">
        <v>7</v>
      </c>
      <c r="K3375" s="3">
        <f t="shared" si="104"/>
        <v>0</v>
      </c>
      <c r="L3375" s="3">
        <f>IF(ISERROR(VLOOKUP(J3375,Lookups!$A$2:$A$16,1,FALSE)),1,0)</f>
        <v>1</v>
      </c>
      <c r="M3375" s="3">
        <f>IF(ISERROR(VLOOKUP(D3375,Data!$A$2:$D$223100,2,FALSE)),0,1)</f>
        <v>1</v>
      </c>
      <c r="N3375" s="3">
        <f t="shared" si="105"/>
        <v>1</v>
      </c>
      <c r="O3375" s="3" t="str">
        <f>IF(ISERROR(VLOOKUP(D3375,Data!$A$2:$C$223100,3,FALSE)),"INACTIVE",VLOOKUP(D3375,Data!$A$2:$C$223100,3,FALSE))</f>
        <v>Current</v>
      </c>
    </row>
    <row r="3376" spans="1:15" x14ac:dyDescent="0.25">
      <c r="A3376" t="s">
        <v>122</v>
      </c>
      <c r="B3376" t="s">
        <v>123</v>
      </c>
      <c r="C3376" t="s">
        <v>130</v>
      </c>
      <c r="D3376" t="s">
        <v>131</v>
      </c>
      <c r="E3376" t="s">
        <v>5</v>
      </c>
      <c r="F3376" t="s">
        <v>132</v>
      </c>
      <c r="G3376" t="s">
        <v>5</v>
      </c>
      <c r="H3376" t="s">
        <v>5</v>
      </c>
      <c r="I3376" t="s">
        <v>6</v>
      </c>
      <c r="J3376" t="s">
        <v>7</v>
      </c>
      <c r="K3376" s="3">
        <f t="shared" si="104"/>
        <v>0</v>
      </c>
      <c r="L3376" s="3">
        <f>IF(ISERROR(VLOOKUP(J3376,Lookups!$A$2:$A$16,1,FALSE)),1,0)</f>
        <v>1</v>
      </c>
      <c r="M3376" s="3">
        <f>IF(ISERROR(VLOOKUP(D3376,Data!$A$2:$D$223100,2,FALSE)),0,1)</f>
        <v>1</v>
      </c>
      <c r="N3376" s="3">
        <f t="shared" si="105"/>
        <v>1</v>
      </c>
      <c r="O3376" s="3" t="str">
        <f>IF(ISERROR(VLOOKUP(D3376,Data!$A$2:$C$223100,3,FALSE)),"INACTIVE",VLOOKUP(D3376,Data!$A$2:$C$223100,3,FALSE))</f>
        <v>FC</v>
      </c>
    </row>
    <row r="3377" spans="1:15" x14ac:dyDescent="0.25">
      <c r="A3377" t="s">
        <v>188</v>
      </c>
      <c r="B3377" t="s">
        <v>189</v>
      </c>
      <c r="C3377" t="s">
        <v>190</v>
      </c>
      <c r="D3377" t="s">
        <v>191</v>
      </c>
      <c r="E3377" t="s">
        <v>192</v>
      </c>
      <c r="F3377" t="s">
        <v>5</v>
      </c>
      <c r="G3377" t="s">
        <v>5</v>
      </c>
      <c r="H3377" t="s">
        <v>5</v>
      </c>
      <c r="I3377" t="s">
        <v>6</v>
      </c>
      <c r="J3377" t="s">
        <v>90</v>
      </c>
      <c r="K3377" s="3">
        <f t="shared" si="104"/>
        <v>0</v>
      </c>
      <c r="L3377" s="3">
        <f>IF(ISERROR(VLOOKUP(J3377,Lookups!$A$2:$A$16,1,FALSE)),1,0)</f>
        <v>0</v>
      </c>
      <c r="M3377" s="3">
        <f>IF(ISERROR(VLOOKUP(D3377,Data!$A$2:$D$223100,2,FALSE)),0,1)</f>
        <v>1</v>
      </c>
      <c r="N3377" s="3">
        <f t="shared" si="105"/>
        <v>0</v>
      </c>
      <c r="O3377" s="3" t="str">
        <f>IF(ISERROR(VLOOKUP(D3377,Data!$A$2:$C$223100,3,FALSE)),"INACTIVE",VLOOKUP(D3377,Data!$A$2:$C$223100,3,FALSE))</f>
        <v>FC</v>
      </c>
    </row>
    <row r="3378" spans="1:15" x14ac:dyDescent="0.25">
      <c r="A3378" t="s">
        <v>188</v>
      </c>
      <c r="B3378" t="s">
        <v>189</v>
      </c>
      <c r="C3378" t="s">
        <v>190</v>
      </c>
      <c r="D3378" t="s">
        <v>191</v>
      </c>
      <c r="E3378" t="s">
        <v>193</v>
      </c>
      <c r="F3378" t="s">
        <v>5</v>
      </c>
      <c r="G3378" t="s">
        <v>5</v>
      </c>
      <c r="H3378" t="s">
        <v>5</v>
      </c>
      <c r="I3378" t="s">
        <v>6</v>
      </c>
      <c r="J3378" t="s">
        <v>90</v>
      </c>
      <c r="K3378" s="3">
        <f t="shared" si="104"/>
        <v>0</v>
      </c>
      <c r="L3378" s="3">
        <f>IF(ISERROR(VLOOKUP(J3378,Lookups!$A$2:$A$16,1,FALSE)),1,0)</f>
        <v>0</v>
      </c>
      <c r="M3378" s="3">
        <f>IF(ISERROR(VLOOKUP(D3378,Data!$A$2:$D$223100,2,FALSE)),0,1)</f>
        <v>1</v>
      </c>
      <c r="N3378" s="3">
        <f t="shared" si="105"/>
        <v>0</v>
      </c>
      <c r="O3378" s="3" t="str">
        <f>IF(ISERROR(VLOOKUP(D3378,Data!$A$2:$C$223100,3,FALSE)),"INACTIVE",VLOOKUP(D3378,Data!$A$2:$C$223100,3,FALSE))</f>
        <v>FC</v>
      </c>
    </row>
    <row r="3379" spans="1:15" x14ac:dyDescent="0.25">
      <c r="A3379" t="s">
        <v>264</v>
      </c>
      <c r="B3379" t="s">
        <v>265</v>
      </c>
      <c r="C3379" t="s">
        <v>266</v>
      </c>
      <c r="D3379" t="s">
        <v>267</v>
      </c>
      <c r="E3379" t="s">
        <v>268</v>
      </c>
      <c r="F3379" t="s">
        <v>5</v>
      </c>
      <c r="G3379" t="s">
        <v>5</v>
      </c>
      <c r="H3379" t="s">
        <v>5</v>
      </c>
      <c r="I3379" t="s">
        <v>6</v>
      </c>
      <c r="J3379" t="s">
        <v>7</v>
      </c>
      <c r="K3379" s="3">
        <f t="shared" si="104"/>
        <v>0</v>
      </c>
      <c r="L3379" s="3">
        <f>IF(ISERROR(VLOOKUP(J3379,Lookups!$A$2:$A$16,1,FALSE)),1,0)</f>
        <v>1</v>
      </c>
      <c r="M3379" s="3">
        <f>IF(ISERROR(VLOOKUP(D3379,Data!$A$2:$D$223100,2,FALSE)),0,1)</f>
        <v>0</v>
      </c>
      <c r="N3379" s="3">
        <f t="shared" si="105"/>
        <v>0</v>
      </c>
      <c r="O3379" s="3" t="str">
        <f>IF(ISERROR(VLOOKUP(D3379,Data!$A$2:$C$223100,3,FALSE)),"INACTIVE",VLOOKUP(D3379,Data!$A$2:$C$223100,3,FALSE))</f>
        <v>INACTIVE</v>
      </c>
    </row>
    <row r="3380" spans="1:15" x14ac:dyDescent="0.25">
      <c r="A3380" t="s">
        <v>264</v>
      </c>
      <c r="B3380" t="s">
        <v>265</v>
      </c>
      <c r="C3380" t="s">
        <v>269</v>
      </c>
      <c r="D3380" t="s">
        <v>270</v>
      </c>
      <c r="E3380" t="s">
        <v>271</v>
      </c>
      <c r="F3380" t="s">
        <v>5</v>
      </c>
      <c r="G3380" t="s">
        <v>5</v>
      </c>
      <c r="H3380" t="s">
        <v>5</v>
      </c>
      <c r="I3380" t="s">
        <v>6</v>
      </c>
      <c r="J3380" t="s">
        <v>96</v>
      </c>
      <c r="K3380" s="3">
        <f t="shared" si="104"/>
        <v>0</v>
      </c>
      <c r="L3380" s="3">
        <f>IF(ISERROR(VLOOKUP(J3380,Lookups!$A$2:$A$16,1,FALSE)),1,0)</f>
        <v>0</v>
      </c>
      <c r="M3380" s="3">
        <f>IF(ISERROR(VLOOKUP(D3380,Data!$A$2:$D$223100,2,FALSE)),0,1)</f>
        <v>1</v>
      </c>
      <c r="N3380" s="3">
        <f t="shared" si="105"/>
        <v>0</v>
      </c>
      <c r="O3380" s="3" t="str">
        <f>IF(ISERROR(VLOOKUP(D3380,Data!$A$2:$C$223100,3,FALSE)),"INACTIVE",VLOOKUP(D3380,Data!$A$2:$C$223100,3,FALSE))</f>
        <v>Current</v>
      </c>
    </row>
    <row r="3381" spans="1:15" x14ac:dyDescent="0.25">
      <c r="A3381" t="s">
        <v>264</v>
      </c>
      <c r="B3381" t="s">
        <v>265</v>
      </c>
      <c r="C3381" t="s">
        <v>269</v>
      </c>
      <c r="D3381" t="s">
        <v>270</v>
      </c>
      <c r="E3381" t="s">
        <v>272</v>
      </c>
      <c r="F3381" t="s">
        <v>5</v>
      </c>
      <c r="G3381" t="s">
        <v>5</v>
      </c>
      <c r="H3381" t="s">
        <v>5</v>
      </c>
      <c r="I3381" t="s">
        <v>6</v>
      </c>
      <c r="J3381" t="s">
        <v>96</v>
      </c>
      <c r="K3381" s="3">
        <f t="shared" si="104"/>
        <v>0</v>
      </c>
      <c r="L3381" s="3">
        <f>IF(ISERROR(VLOOKUP(J3381,Lookups!$A$2:$A$16,1,FALSE)),1,0)</f>
        <v>0</v>
      </c>
      <c r="M3381" s="3">
        <f>IF(ISERROR(VLOOKUP(D3381,Data!$A$2:$D$223100,2,FALSE)),0,1)</f>
        <v>1</v>
      </c>
      <c r="N3381" s="3">
        <f t="shared" si="105"/>
        <v>0</v>
      </c>
      <c r="O3381" s="3" t="str">
        <f>IF(ISERROR(VLOOKUP(D3381,Data!$A$2:$C$223100,3,FALSE)),"INACTIVE",VLOOKUP(D3381,Data!$A$2:$C$223100,3,FALSE))</f>
        <v>Current</v>
      </c>
    </row>
    <row r="3382" spans="1:15" x14ac:dyDescent="0.25">
      <c r="A3382" t="s">
        <v>264</v>
      </c>
      <c r="B3382" t="s">
        <v>265</v>
      </c>
      <c r="C3382" t="s">
        <v>273</v>
      </c>
      <c r="D3382" t="s">
        <v>270</v>
      </c>
      <c r="E3382" t="s">
        <v>274</v>
      </c>
      <c r="F3382" t="s">
        <v>5</v>
      </c>
      <c r="G3382" t="s">
        <v>5</v>
      </c>
      <c r="H3382" t="s">
        <v>5</v>
      </c>
      <c r="I3382" t="s">
        <v>6</v>
      </c>
      <c r="J3382" t="s">
        <v>96</v>
      </c>
      <c r="K3382" s="3">
        <f t="shared" si="104"/>
        <v>0</v>
      </c>
      <c r="L3382" s="3">
        <f>IF(ISERROR(VLOOKUP(J3382,Lookups!$A$2:$A$16,1,FALSE)),1,0)</f>
        <v>0</v>
      </c>
      <c r="M3382" s="3">
        <f>IF(ISERROR(VLOOKUP(D3382,Data!$A$2:$D$223100,2,FALSE)),0,1)</f>
        <v>1</v>
      </c>
      <c r="N3382" s="3">
        <f t="shared" si="105"/>
        <v>0</v>
      </c>
      <c r="O3382" s="3" t="str">
        <f>IF(ISERROR(VLOOKUP(D3382,Data!$A$2:$C$223100,3,FALSE)),"INACTIVE",VLOOKUP(D3382,Data!$A$2:$C$223100,3,FALSE))</f>
        <v>Current</v>
      </c>
    </row>
    <row r="3383" spans="1:15" x14ac:dyDescent="0.25">
      <c r="A3383" t="s">
        <v>264</v>
      </c>
      <c r="B3383" t="s">
        <v>265</v>
      </c>
      <c r="C3383" t="s">
        <v>275</v>
      </c>
      <c r="D3383" t="s">
        <v>276</v>
      </c>
      <c r="E3383" t="s">
        <v>277</v>
      </c>
      <c r="F3383" t="s">
        <v>5</v>
      </c>
      <c r="G3383" t="s">
        <v>5</v>
      </c>
      <c r="H3383" t="s">
        <v>5</v>
      </c>
      <c r="I3383" t="s">
        <v>6</v>
      </c>
      <c r="J3383" t="s">
        <v>7</v>
      </c>
      <c r="K3383" s="3">
        <f t="shared" si="104"/>
        <v>0</v>
      </c>
      <c r="L3383" s="3">
        <f>IF(ISERROR(VLOOKUP(J3383,Lookups!$A$2:$A$16,1,FALSE)),1,0)</f>
        <v>1</v>
      </c>
      <c r="M3383" s="3">
        <f>IF(ISERROR(VLOOKUP(D3383,Data!$A$2:$D$223100,2,FALSE)),0,1)</f>
        <v>1</v>
      </c>
      <c r="N3383" s="3">
        <f t="shared" si="105"/>
        <v>1</v>
      </c>
      <c r="O3383" s="3" t="str">
        <f>IF(ISERROR(VLOOKUP(D3383,Data!$A$2:$C$223100,3,FALSE)),"INACTIVE",VLOOKUP(D3383,Data!$A$2:$C$223100,3,FALSE))</f>
        <v>FBA</v>
      </c>
    </row>
    <row r="3384" spans="1:15" x14ac:dyDescent="0.25">
      <c r="A3384" t="s">
        <v>264</v>
      </c>
      <c r="B3384" t="s">
        <v>265</v>
      </c>
      <c r="C3384" t="s">
        <v>278</v>
      </c>
      <c r="D3384" t="s">
        <v>279</v>
      </c>
      <c r="E3384" t="s">
        <v>280</v>
      </c>
      <c r="F3384" t="s">
        <v>5</v>
      </c>
      <c r="G3384" t="s">
        <v>5</v>
      </c>
      <c r="H3384" t="s">
        <v>5</v>
      </c>
      <c r="I3384" t="s">
        <v>6</v>
      </c>
      <c r="J3384" t="s">
        <v>7</v>
      </c>
      <c r="K3384" s="3">
        <f t="shared" si="104"/>
        <v>0</v>
      </c>
      <c r="L3384" s="3">
        <f>IF(ISERROR(VLOOKUP(J3384,Lookups!$A$2:$A$16,1,FALSE)),1,0)</f>
        <v>1</v>
      </c>
      <c r="M3384" s="3">
        <f>IF(ISERROR(VLOOKUP(D3384,Data!$A$2:$D$223100,2,FALSE)),0,1)</f>
        <v>1</v>
      </c>
      <c r="N3384" s="3">
        <f t="shared" si="105"/>
        <v>1</v>
      </c>
      <c r="O3384" s="3" t="str">
        <f>IF(ISERROR(VLOOKUP(D3384,Data!$A$2:$C$223100,3,FALSE)),"INACTIVE",VLOOKUP(D3384,Data!$A$2:$C$223100,3,FALSE))</f>
        <v>Current</v>
      </c>
    </row>
    <row r="3385" spans="1:15" x14ac:dyDescent="0.25">
      <c r="A3385" t="s">
        <v>264</v>
      </c>
      <c r="B3385" t="s">
        <v>265</v>
      </c>
      <c r="C3385" t="s">
        <v>281</v>
      </c>
      <c r="D3385" t="s">
        <v>282</v>
      </c>
      <c r="E3385" t="s">
        <v>283</v>
      </c>
      <c r="F3385" t="s">
        <v>5</v>
      </c>
      <c r="G3385" t="s">
        <v>5</v>
      </c>
      <c r="H3385" t="s">
        <v>5</v>
      </c>
      <c r="I3385" t="s">
        <v>6</v>
      </c>
      <c r="J3385" t="s">
        <v>90</v>
      </c>
      <c r="K3385" s="3">
        <f t="shared" si="104"/>
        <v>0</v>
      </c>
      <c r="L3385" s="3">
        <f>IF(ISERROR(VLOOKUP(J3385,Lookups!$A$2:$A$16,1,FALSE)),1,0)</f>
        <v>0</v>
      </c>
      <c r="M3385" s="3">
        <f>IF(ISERROR(VLOOKUP(D3385,Data!$A$2:$D$223100,2,FALSE)),0,1)</f>
        <v>1</v>
      </c>
      <c r="N3385" s="3">
        <f t="shared" si="105"/>
        <v>0</v>
      </c>
      <c r="O3385" s="3" t="str">
        <f>IF(ISERROR(VLOOKUP(D3385,Data!$A$2:$C$223100,3,FALSE)),"INACTIVE",VLOOKUP(D3385,Data!$A$2:$C$223100,3,FALSE))</f>
        <v>Current</v>
      </c>
    </row>
    <row r="3386" spans="1:15" x14ac:dyDescent="0.25">
      <c r="A3386" t="s">
        <v>264</v>
      </c>
      <c r="B3386" t="s">
        <v>265</v>
      </c>
      <c r="C3386" t="s">
        <v>284</v>
      </c>
      <c r="D3386" t="s">
        <v>285</v>
      </c>
      <c r="E3386" t="s">
        <v>286</v>
      </c>
      <c r="F3386" t="s">
        <v>5</v>
      </c>
      <c r="G3386" t="s">
        <v>5</v>
      </c>
      <c r="H3386" t="s">
        <v>5</v>
      </c>
      <c r="I3386" t="s">
        <v>6</v>
      </c>
      <c r="J3386" t="s">
        <v>96</v>
      </c>
      <c r="K3386" s="3">
        <f t="shared" si="104"/>
        <v>0</v>
      </c>
      <c r="L3386" s="3">
        <f>IF(ISERROR(VLOOKUP(J3386,Lookups!$A$2:$A$16,1,FALSE)),1,0)</f>
        <v>0</v>
      </c>
      <c r="M3386" s="3">
        <f>IF(ISERROR(VLOOKUP(D3386,Data!$A$2:$D$223100,2,FALSE)),0,1)</f>
        <v>1</v>
      </c>
      <c r="N3386" s="3">
        <f t="shared" si="105"/>
        <v>0</v>
      </c>
      <c r="O3386" s="3" t="str">
        <f>IF(ISERROR(VLOOKUP(D3386,Data!$A$2:$C$223100,3,FALSE)),"INACTIVE",VLOOKUP(D3386,Data!$A$2:$C$223100,3,FALSE))</f>
        <v>FC</v>
      </c>
    </row>
    <row r="3387" spans="1:15" x14ac:dyDescent="0.25">
      <c r="A3387" t="s">
        <v>264</v>
      </c>
      <c r="B3387" t="s">
        <v>265</v>
      </c>
      <c r="C3387" t="s">
        <v>284</v>
      </c>
      <c r="D3387" t="s">
        <v>285</v>
      </c>
      <c r="E3387" t="s">
        <v>287</v>
      </c>
      <c r="F3387" t="s">
        <v>5</v>
      </c>
      <c r="G3387" t="s">
        <v>5</v>
      </c>
      <c r="H3387" t="s">
        <v>5</v>
      </c>
      <c r="I3387" t="s">
        <v>6</v>
      </c>
      <c r="J3387" t="s">
        <v>96</v>
      </c>
      <c r="K3387" s="3">
        <f t="shared" si="104"/>
        <v>0</v>
      </c>
      <c r="L3387" s="3">
        <f>IF(ISERROR(VLOOKUP(J3387,Lookups!$A$2:$A$16,1,FALSE)),1,0)</f>
        <v>0</v>
      </c>
      <c r="M3387" s="3">
        <f>IF(ISERROR(VLOOKUP(D3387,Data!$A$2:$D$223100,2,FALSE)),0,1)</f>
        <v>1</v>
      </c>
      <c r="N3387" s="3">
        <f t="shared" si="105"/>
        <v>0</v>
      </c>
      <c r="O3387" s="3" t="str">
        <f>IF(ISERROR(VLOOKUP(D3387,Data!$A$2:$C$223100,3,FALSE)),"INACTIVE",VLOOKUP(D3387,Data!$A$2:$C$223100,3,FALSE))</f>
        <v>FC</v>
      </c>
    </row>
    <row r="3388" spans="1:15" x14ac:dyDescent="0.25">
      <c r="A3388" t="s">
        <v>264</v>
      </c>
      <c r="B3388" t="s">
        <v>265</v>
      </c>
      <c r="C3388" t="s">
        <v>284</v>
      </c>
      <c r="D3388" t="s">
        <v>285</v>
      </c>
      <c r="E3388" t="s">
        <v>288</v>
      </c>
      <c r="F3388" t="s">
        <v>5</v>
      </c>
      <c r="G3388" t="s">
        <v>5</v>
      </c>
      <c r="H3388" t="s">
        <v>5</v>
      </c>
      <c r="I3388" t="s">
        <v>6</v>
      </c>
      <c r="J3388" t="s">
        <v>96</v>
      </c>
      <c r="K3388" s="3">
        <f t="shared" si="104"/>
        <v>0</v>
      </c>
      <c r="L3388" s="3">
        <f>IF(ISERROR(VLOOKUP(J3388,Lookups!$A$2:$A$16,1,FALSE)),1,0)</f>
        <v>0</v>
      </c>
      <c r="M3388" s="3">
        <f>IF(ISERROR(VLOOKUP(D3388,Data!$A$2:$D$223100,2,FALSE)),0,1)</f>
        <v>1</v>
      </c>
      <c r="N3388" s="3">
        <f t="shared" si="105"/>
        <v>0</v>
      </c>
      <c r="O3388" s="3" t="str">
        <f>IF(ISERROR(VLOOKUP(D3388,Data!$A$2:$C$223100,3,FALSE)),"INACTIVE",VLOOKUP(D3388,Data!$A$2:$C$223100,3,FALSE))</f>
        <v>FC</v>
      </c>
    </row>
    <row r="3389" spans="1:15" x14ac:dyDescent="0.25">
      <c r="A3389" t="s">
        <v>289</v>
      </c>
      <c r="B3389" t="s">
        <v>290</v>
      </c>
      <c r="C3389" t="s">
        <v>291</v>
      </c>
      <c r="D3389" t="s">
        <v>292</v>
      </c>
      <c r="E3389" t="s">
        <v>293</v>
      </c>
      <c r="F3389" t="s">
        <v>5</v>
      </c>
      <c r="G3389" t="s">
        <v>5</v>
      </c>
      <c r="H3389" t="s">
        <v>5</v>
      </c>
      <c r="I3389" t="s">
        <v>6</v>
      </c>
      <c r="J3389" t="s">
        <v>7</v>
      </c>
      <c r="K3389" s="3">
        <f t="shared" si="104"/>
        <v>0</v>
      </c>
      <c r="L3389" s="3">
        <f>IF(ISERROR(VLOOKUP(J3389,Lookups!$A$2:$A$16,1,FALSE)),1,0)</f>
        <v>1</v>
      </c>
      <c r="M3389" s="3">
        <f>IF(ISERROR(VLOOKUP(D3389,Data!$A$2:$D$223100,2,FALSE)),0,1)</f>
        <v>1</v>
      </c>
      <c r="N3389" s="3">
        <f t="shared" si="105"/>
        <v>1</v>
      </c>
      <c r="O3389" s="3" t="str">
        <f>IF(ISERROR(VLOOKUP(D3389,Data!$A$2:$C$223100,3,FALSE)),"INACTIVE",VLOOKUP(D3389,Data!$A$2:$C$223100,3,FALSE))</f>
        <v>90+</v>
      </c>
    </row>
    <row r="3390" spans="1:15" x14ac:dyDescent="0.25">
      <c r="A3390" t="s">
        <v>289</v>
      </c>
      <c r="B3390" t="s">
        <v>290</v>
      </c>
      <c r="C3390" t="s">
        <v>294</v>
      </c>
      <c r="D3390" t="s">
        <v>295</v>
      </c>
      <c r="E3390" t="s">
        <v>296</v>
      </c>
      <c r="F3390" t="s">
        <v>5</v>
      </c>
      <c r="G3390" t="s">
        <v>5</v>
      </c>
      <c r="H3390" t="s">
        <v>5</v>
      </c>
      <c r="I3390" t="s">
        <v>6</v>
      </c>
      <c r="J3390" t="s">
        <v>7</v>
      </c>
      <c r="K3390" s="3">
        <f t="shared" si="104"/>
        <v>0</v>
      </c>
      <c r="L3390" s="3">
        <f>IF(ISERROR(VLOOKUP(J3390,Lookups!$A$2:$A$16,1,FALSE)),1,0)</f>
        <v>1</v>
      </c>
      <c r="M3390" s="3">
        <f>IF(ISERROR(VLOOKUP(D3390,Data!$A$2:$D$223100,2,FALSE)),0,1)</f>
        <v>1</v>
      </c>
      <c r="N3390" s="3">
        <f t="shared" si="105"/>
        <v>1</v>
      </c>
      <c r="O3390" s="3" t="str">
        <f>IF(ISERROR(VLOOKUP(D3390,Data!$A$2:$C$223100,3,FALSE)),"INACTIVE",VLOOKUP(D3390,Data!$A$2:$C$223100,3,FALSE))</f>
        <v>FBA</v>
      </c>
    </row>
    <row r="3391" spans="1:15" x14ac:dyDescent="0.25">
      <c r="A3391" t="s">
        <v>312</v>
      </c>
      <c r="B3391" t="s">
        <v>313</v>
      </c>
      <c r="C3391" t="s">
        <v>314</v>
      </c>
      <c r="D3391" t="s">
        <v>315</v>
      </c>
      <c r="E3391" t="s">
        <v>316</v>
      </c>
      <c r="F3391" t="s">
        <v>5</v>
      </c>
      <c r="G3391" t="s">
        <v>5</v>
      </c>
      <c r="H3391" t="s">
        <v>5</v>
      </c>
      <c r="I3391" t="s">
        <v>6</v>
      </c>
      <c r="J3391" t="s">
        <v>7</v>
      </c>
      <c r="K3391" s="3">
        <f t="shared" si="104"/>
        <v>0</v>
      </c>
      <c r="L3391" s="3">
        <f>IF(ISERROR(VLOOKUP(J3391,Lookups!$A$2:$A$16,1,FALSE)),1,0)</f>
        <v>1</v>
      </c>
      <c r="M3391" s="3">
        <f>IF(ISERROR(VLOOKUP(D3391,Data!$A$2:$D$223100,2,FALSE)),0,1)</f>
        <v>1</v>
      </c>
      <c r="N3391" s="3">
        <f t="shared" si="105"/>
        <v>1</v>
      </c>
      <c r="O3391" s="3" t="str">
        <f>IF(ISERROR(VLOOKUP(D3391,Data!$A$2:$C$223100,3,FALSE)),"INACTIVE",VLOOKUP(D3391,Data!$A$2:$C$223100,3,FALSE))</f>
        <v>120+</v>
      </c>
    </row>
    <row r="3392" spans="1:15" x14ac:dyDescent="0.25">
      <c r="A3392" t="s">
        <v>312</v>
      </c>
      <c r="B3392" t="s">
        <v>313</v>
      </c>
      <c r="C3392" t="s">
        <v>317</v>
      </c>
      <c r="D3392" t="s">
        <v>318</v>
      </c>
      <c r="E3392" t="s">
        <v>319</v>
      </c>
      <c r="F3392" t="s">
        <v>5</v>
      </c>
      <c r="G3392" t="s">
        <v>5</v>
      </c>
      <c r="H3392" t="s">
        <v>5</v>
      </c>
      <c r="I3392" t="s">
        <v>6</v>
      </c>
      <c r="J3392" t="s">
        <v>90</v>
      </c>
      <c r="K3392" s="3">
        <f t="shared" si="104"/>
        <v>0</v>
      </c>
      <c r="L3392" s="3">
        <f>IF(ISERROR(VLOOKUP(J3392,Lookups!$A$2:$A$16,1,FALSE)),1,0)</f>
        <v>0</v>
      </c>
      <c r="M3392" s="3">
        <f>IF(ISERROR(VLOOKUP(D3392,Data!$A$2:$D$223100,2,FALSE)),0,1)</f>
        <v>1</v>
      </c>
      <c r="N3392" s="3">
        <f t="shared" si="105"/>
        <v>0</v>
      </c>
      <c r="O3392" s="3" t="str">
        <f>IF(ISERROR(VLOOKUP(D3392,Data!$A$2:$C$223100,3,FALSE)),"INACTIVE",VLOOKUP(D3392,Data!$A$2:$C$223100,3,FALSE))</f>
        <v>Demand Letter</v>
      </c>
    </row>
    <row r="3393" spans="1:15" x14ac:dyDescent="0.25">
      <c r="A3393" t="s">
        <v>312</v>
      </c>
      <c r="B3393" t="s">
        <v>313</v>
      </c>
      <c r="C3393" t="s">
        <v>317</v>
      </c>
      <c r="D3393" t="s">
        <v>318</v>
      </c>
      <c r="E3393" t="s">
        <v>320</v>
      </c>
      <c r="F3393" t="s">
        <v>5</v>
      </c>
      <c r="G3393" t="s">
        <v>5</v>
      </c>
      <c r="H3393" t="s">
        <v>5</v>
      </c>
      <c r="I3393" t="s">
        <v>6</v>
      </c>
      <c r="J3393" t="s">
        <v>90</v>
      </c>
      <c r="K3393" s="3">
        <f t="shared" si="104"/>
        <v>0</v>
      </c>
      <c r="L3393" s="3">
        <f>IF(ISERROR(VLOOKUP(J3393,Lookups!$A$2:$A$16,1,FALSE)),1,0)</f>
        <v>0</v>
      </c>
      <c r="M3393" s="3">
        <f>IF(ISERROR(VLOOKUP(D3393,Data!$A$2:$D$223100,2,FALSE)),0,1)</f>
        <v>1</v>
      </c>
      <c r="N3393" s="3">
        <f t="shared" si="105"/>
        <v>0</v>
      </c>
      <c r="O3393" s="3" t="str">
        <f>IF(ISERROR(VLOOKUP(D3393,Data!$A$2:$C$223100,3,FALSE)),"INACTIVE",VLOOKUP(D3393,Data!$A$2:$C$223100,3,FALSE))</f>
        <v>Demand Letter</v>
      </c>
    </row>
    <row r="3394" spans="1:15" x14ac:dyDescent="0.25">
      <c r="A3394" t="s">
        <v>312</v>
      </c>
      <c r="B3394" t="s">
        <v>313</v>
      </c>
      <c r="C3394" t="s">
        <v>321</v>
      </c>
      <c r="D3394" t="s">
        <v>322</v>
      </c>
      <c r="E3394" t="s">
        <v>323</v>
      </c>
      <c r="F3394" t="s">
        <v>5</v>
      </c>
      <c r="G3394" t="s">
        <v>5</v>
      </c>
      <c r="H3394" t="s">
        <v>5</v>
      </c>
      <c r="I3394" t="s">
        <v>6</v>
      </c>
      <c r="J3394" t="s">
        <v>7</v>
      </c>
      <c r="K3394" s="3">
        <f t="shared" si="104"/>
        <v>0</v>
      </c>
      <c r="L3394" s="3">
        <f>IF(ISERROR(VLOOKUP(J3394,Lookups!$A$2:$A$16,1,FALSE)),1,0)</f>
        <v>1</v>
      </c>
      <c r="M3394" s="3">
        <f>IF(ISERROR(VLOOKUP(D3394,Data!$A$2:$D$223100,2,FALSE)),0,1)</f>
        <v>1</v>
      </c>
      <c r="N3394" s="3">
        <f t="shared" si="105"/>
        <v>1</v>
      </c>
      <c r="O3394" s="3" t="str">
        <f>IF(ISERROR(VLOOKUP(D3394,Data!$A$2:$C$223100,3,FALSE)),"INACTIVE",VLOOKUP(D3394,Data!$A$2:$C$223100,3,FALSE))</f>
        <v>60+</v>
      </c>
    </row>
    <row r="3395" spans="1:15" x14ac:dyDescent="0.25">
      <c r="A3395" t="s">
        <v>312</v>
      </c>
      <c r="B3395" t="s">
        <v>313</v>
      </c>
      <c r="C3395" t="s">
        <v>324</v>
      </c>
      <c r="D3395" t="s">
        <v>325</v>
      </c>
      <c r="E3395" t="s">
        <v>326</v>
      </c>
      <c r="F3395" t="s">
        <v>5</v>
      </c>
      <c r="G3395" t="s">
        <v>5</v>
      </c>
      <c r="H3395" t="s">
        <v>5</v>
      </c>
      <c r="I3395" t="s">
        <v>6</v>
      </c>
      <c r="J3395" t="s">
        <v>7</v>
      </c>
      <c r="K3395" s="3">
        <f t="shared" ref="K3395:K3455" si="106">IF(ISERROR(FIND("LIEN",A3395,1)),0,1)</f>
        <v>0</v>
      </c>
      <c r="L3395" s="3">
        <f>IF(ISERROR(VLOOKUP(J3395,Lookups!$A$2:$A$16,1,FALSE)),1,0)</f>
        <v>1</v>
      </c>
      <c r="M3395" s="3">
        <f>IF(ISERROR(VLOOKUP(D3395,Data!$A$2:$D$223100,2,FALSE)),0,1)</f>
        <v>1</v>
      </c>
      <c r="N3395" s="3">
        <f t="shared" ref="N3395:N3455" si="107">IF(M3395=0,0,IF(SUM(K3395:L3395)&gt;0,1,0))</f>
        <v>1</v>
      </c>
      <c r="O3395" s="3" t="str">
        <f>IF(ISERROR(VLOOKUP(D3395,Data!$A$2:$C$223100,3,FALSE)),"INACTIVE",VLOOKUP(D3395,Data!$A$2:$C$223100,3,FALSE))</f>
        <v>180+</v>
      </c>
    </row>
    <row r="3396" spans="1:15" x14ac:dyDescent="0.25">
      <c r="A3396" t="s">
        <v>338</v>
      </c>
      <c r="B3396" t="s">
        <v>339</v>
      </c>
      <c r="C3396" t="s">
        <v>340</v>
      </c>
      <c r="D3396" t="s">
        <v>341</v>
      </c>
      <c r="E3396" t="s">
        <v>342</v>
      </c>
      <c r="F3396" t="s">
        <v>5</v>
      </c>
      <c r="G3396" t="s">
        <v>5</v>
      </c>
      <c r="H3396" t="s">
        <v>5</v>
      </c>
      <c r="I3396" t="s">
        <v>6</v>
      </c>
      <c r="J3396" t="s">
        <v>90</v>
      </c>
      <c r="K3396" s="3">
        <f t="shared" si="106"/>
        <v>0</v>
      </c>
      <c r="L3396" s="3">
        <f>IF(ISERROR(VLOOKUP(J3396,Lookups!$A$2:$A$16,1,FALSE)),1,0)</f>
        <v>0</v>
      </c>
      <c r="M3396" s="3">
        <f>IF(ISERROR(VLOOKUP(D3396,Data!$A$2:$D$223100,2,FALSE)),0,1)</f>
        <v>1</v>
      </c>
      <c r="N3396" s="3">
        <f t="shared" si="107"/>
        <v>0</v>
      </c>
      <c r="O3396" s="3" t="str">
        <f>IF(ISERROR(VLOOKUP(D3396,Data!$A$2:$C$223100,3,FALSE)),"INACTIVE",VLOOKUP(D3396,Data!$A$2:$C$223100,3,FALSE))</f>
        <v>30+</v>
      </c>
    </row>
    <row r="3397" spans="1:15" x14ac:dyDescent="0.25">
      <c r="A3397" t="s">
        <v>378</v>
      </c>
      <c r="B3397" t="s">
        <v>379</v>
      </c>
      <c r="C3397" t="s">
        <v>380</v>
      </c>
      <c r="D3397" t="s">
        <v>381</v>
      </c>
      <c r="E3397" t="s">
        <v>382</v>
      </c>
      <c r="F3397" t="s">
        <v>5</v>
      </c>
      <c r="G3397" t="s">
        <v>5</v>
      </c>
      <c r="H3397" t="s">
        <v>5</v>
      </c>
      <c r="I3397" t="s">
        <v>6</v>
      </c>
      <c r="J3397" t="s">
        <v>90</v>
      </c>
      <c r="K3397" s="3">
        <f t="shared" si="106"/>
        <v>0</v>
      </c>
      <c r="L3397" s="3">
        <f>IF(ISERROR(VLOOKUP(J3397,Lookups!$A$2:$A$16,1,FALSE)),1,0)</f>
        <v>0</v>
      </c>
      <c r="M3397" s="3">
        <f>IF(ISERROR(VLOOKUP(D3397,Data!$A$2:$D$223100,2,FALSE)),0,1)</f>
        <v>1</v>
      </c>
      <c r="N3397" s="3">
        <f t="shared" si="107"/>
        <v>0</v>
      </c>
      <c r="O3397" s="3" t="str">
        <f>IF(ISERROR(VLOOKUP(D3397,Data!$A$2:$C$223100,3,FALSE)),"INACTIVE",VLOOKUP(D3397,Data!$A$2:$C$223100,3,FALSE))</f>
        <v>Demand Letter</v>
      </c>
    </row>
    <row r="3398" spans="1:15" x14ac:dyDescent="0.25">
      <c r="A3398" t="s">
        <v>378</v>
      </c>
      <c r="B3398" t="s">
        <v>379</v>
      </c>
      <c r="C3398" t="s">
        <v>383</v>
      </c>
      <c r="D3398" t="s">
        <v>381</v>
      </c>
      <c r="E3398" t="s">
        <v>384</v>
      </c>
      <c r="F3398" t="s">
        <v>5</v>
      </c>
      <c r="G3398" t="s">
        <v>5</v>
      </c>
      <c r="H3398" t="s">
        <v>5</v>
      </c>
      <c r="I3398" t="s">
        <v>6</v>
      </c>
      <c r="J3398" t="s">
        <v>90</v>
      </c>
      <c r="K3398" s="3">
        <f t="shared" si="106"/>
        <v>0</v>
      </c>
      <c r="L3398" s="3">
        <f>IF(ISERROR(VLOOKUP(J3398,Lookups!$A$2:$A$16,1,FALSE)),1,0)</f>
        <v>0</v>
      </c>
      <c r="M3398" s="3">
        <f>IF(ISERROR(VLOOKUP(D3398,Data!$A$2:$D$223100,2,FALSE)),0,1)</f>
        <v>1</v>
      </c>
      <c r="N3398" s="3">
        <f t="shared" si="107"/>
        <v>0</v>
      </c>
      <c r="O3398" s="3" t="str">
        <f>IF(ISERROR(VLOOKUP(D3398,Data!$A$2:$C$223100,3,FALSE)),"INACTIVE",VLOOKUP(D3398,Data!$A$2:$C$223100,3,FALSE))</f>
        <v>Demand Letter</v>
      </c>
    </row>
    <row r="3399" spans="1:15" x14ac:dyDescent="0.25">
      <c r="A3399" t="s">
        <v>378</v>
      </c>
      <c r="B3399" t="s">
        <v>379</v>
      </c>
      <c r="C3399" t="s">
        <v>383</v>
      </c>
      <c r="D3399" t="s">
        <v>381</v>
      </c>
      <c r="E3399" t="s">
        <v>385</v>
      </c>
      <c r="F3399" t="s">
        <v>5</v>
      </c>
      <c r="G3399" t="s">
        <v>5</v>
      </c>
      <c r="H3399" t="s">
        <v>5</v>
      </c>
      <c r="I3399" t="s">
        <v>6</v>
      </c>
      <c r="J3399" t="s">
        <v>90</v>
      </c>
      <c r="K3399" s="3">
        <f t="shared" si="106"/>
        <v>0</v>
      </c>
      <c r="L3399" s="3">
        <f>IF(ISERROR(VLOOKUP(J3399,Lookups!$A$2:$A$16,1,FALSE)),1,0)</f>
        <v>0</v>
      </c>
      <c r="M3399" s="3">
        <f>IF(ISERROR(VLOOKUP(D3399,Data!$A$2:$D$223100,2,FALSE)),0,1)</f>
        <v>1</v>
      </c>
      <c r="N3399" s="3">
        <f t="shared" si="107"/>
        <v>0</v>
      </c>
      <c r="O3399" s="3" t="str">
        <f>IF(ISERROR(VLOOKUP(D3399,Data!$A$2:$C$223100,3,FALSE)),"INACTIVE",VLOOKUP(D3399,Data!$A$2:$C$223100,3,FALSE))</f>
        <v>Demand Letter</v>
      </c>
    </row>
    <row r="3400" spans="1:15" x14ac:dyDescent="0.25">
      <c r="A3400" t="s">
        <v>378</v>
      </c>
      <c r="B3400" t="s">
        <v>379</v>
      </c>
      <c r="C3400" t="s">
        <v>386</v>
      </c>
      <c r="D3400" t="s">
        <v>387</v>
      </c>
      <c r="E3400" t="s">
        <v>388</v>
      </c>
      <c r="F3400" t="s">
        <v>5</v>
      </c>
      <c r="G3400" t="s">
        <v>5</v>
      </c>
      <c r="H3400" t="s">
        <v>5</v>
      </c>
      <c r="I3400" t="s">
        <v>6</v>
      </c>
      <c r="J3400" t="s">
        <v>7</v>
      </c>
      <c r="K3400" s="3">
        <f t="shared" si="106"/>
        <v>0</v>
      </c>
      <c r="L3400" s="3">
        <f>IF(ISERROR(VLOOKUP(J3400,Lookups!$A$2:$A$16,1,FALSE)),1,0)</f>
        <v>1</v>
      </c>
      <c r="M3400" s="3">
        <f>IF(ISERROR(VLOOKUP(D3400,Data!$A$2:$D$223100,2,FALSE)),0,1)</f>
        <v>1</v>
      </c>
      <c r="N3400" s="3">
        <f t="shared" si="107"/>
        <v>1</v>
      </c>
      <c r="O3400" s="3" t="str">
        <f>IF(ISERROR(VLOOKUP(D3400,Data!$A$2:$C$223100,3,FALSE)),"INACTIVE",VLOOKUP(D3400,Data!$A$2:$C$223100,3,FALSE))</f>
        <v>BK13</v>
      </c>
    </row>
    <row r="3401" spans="1:15" x14ac:dyDescent="0.25">
      <c r="A3401" t="s">
        <v>378</v>
      </c>
      <c r="B3401" t="s">
        <v>379</v>
      </c>
      <c r="C3401" t="s">
        <v>389</v>
      </c>
      <c r="D3401" t="s">
        <v>390</v>
      </c>
      <c r="E3401" t="s">
        <v>391</v>
      </c>
      <c r="F3401" t="s">
        <v>5</v>
      </c>
      <c r="G3401" t="s">
        <v>5</v>
      </c>
      <c r="H3401" t="s">
        <v>5</v>
      </c>
      <c r="I3401" t="s">
        <v>6</v>
      </c>
      <c r="J3401" t="s">
        <v>7</v>
      </c>
      <c r="K3401" s="3">
        <f t="shared" si="106"/>
        <v>0</v>
      </c>
      <c r="L3401" s="3">
        <f>IF(ISERROR(VLOOKUP(J3401,Lookups!$A$2:$A$16,1,FALSE)),1,0)</f>
        <v>1</v>
      </c>
      <c r="M3401" s="3">
        <f>IF(ISERROR(VLOOKUP(D3401,Data!$A$2:$D$223100,2,FALSE)),0,1)</f>
        <v>1</v>
      </c>
      <c r="N3401" s="3">
        <f t="shared" si="107"/>
        <v>1</v>
      </c>
      <c r="O3401" s="3" t="str">
        <f>IF(ISERROR(VLOOKUP(D3401,Data!$A$2:$C$223100,3,FALSE)),"INACTIVE",VLOOKUP(D3401,Data!$A$2:$C$223100,3,FALSE))</f>
        <v>30+</v>
      </c>
    </row>
    <row r="3402" spans="1:15" x14ac:dyDescent="0.25">
      <c r="A3402" t="s">
        <v>378</v>
      </c>
      <c r="B3402" t="s">
        <v>379</v>
      </c>
      <c r="C3402" t="s">
        <v>392</v>
      </c>
      <c r="D3402" t="s">
        <v>393</v>
      </c>
      <c r="E3402" t="s">
        <v>394</v>
      </c>
      <c r="F3402" t="s">
        <v>5</v>
      </c>
      <c r="G3402" t="s">
        <v>5</v>
      </c>
      <c r="H3402" t="s">
        <v>5</v>
      </c>
      <c r="I3402" t="s">
        <v>6</v>
      </c>
      <c r="J3402" t="s">
        <v>7</v>
      </c>
      <c r="K3402" s="3">
        <f t="shared" si="106"/>
        <v>0</v>
      </c>
      <c r="L3402" s="3">
        <f>IF(ISERROR(VLOOKUP(J3402,Lookups!$A$2:$A$16,1,FALSE)),1,0)</f>
        <v>1</v>
      </c>
      <c r="M3402" s="3">
        <f>IF(ISERROR(VLOOKUP(D3402,Data!$A$2:$D$223100,2,FALSE)),0,1)</f>
        <v>1</v>
      </c>
      <c r="N3402" s="3">
        <f t="shared" si="107"/>
        <v>1</v>
      </c>
      <c r="O3402" s="3" t="str">
        <f>IF(ISERROR(VLOOKUP(D3402,Data!$A$2:$C$223100,3,FALSE)),"INACTIVE",VLOOKUP(D3402,Data!$A$2:$C$223100,3,FALSE))</f>
        <v>Current</v>
      </c>
    </row>
    <row r="3403" spans="1:15" x14ac:dyDescent="0.25">
      <c r="A3403" t="s">
        <v>378</v>
      </c>
      <c r="B3403" t="s">
        <v>379</v>
      </c>
      <c r="C3403" t="s">
        <v>395</v>
      </c>
      <c r="D3403" t="s">
        <v>396</v>
      </c>
      <c r="E3403" t="s">
        <v>397</v>
      </c>
      <c r="F3403" t="s">
        <v>5</v>
      </c>
      <c r="G3403" t="s">
        <v>5</v>
      </c>
      <c r="H3403" t="s">
        <v>5</v>
      </c>
      <c r="I3403" t="s">
        <v>6</v>
      </c>
      <c r="J3403" t="s">
        <v>7</v>
      </c>
      <c r="K3403" s="3">
        <f t="shared" si="106"/>
        <v>0</v>
      </c>
      <c r="L3403" s="3">
        <f>IF(ISERROR(VLOOKUP(J3403,Lookups!$A$2:$A$16,1,FALSE)),1,0)</f>
        <v>1</v>
      </c>
      <c r="M3403" s="3">
        <f>IF(ISERROR(VLOOKUP(D3403,Data!$A$2:$D$223100,2,FALSE)),0,1)</f>
        <v>1</v>
      </c>
      <c r="N3403" s="3">
        <f t="shared" si="107"/>
        <v>1</v>
      </c>
      <c r="O3403" s="3" t="str">
        <f>IF(ISERROR(VLOOKUP(D3403,Data!$A$2:$C$223100,3,FALSE)),"INACTIVE",VLOOKUP(D3403,Data!$A$2:$C$223100,3,FALSE))</f>
        <v>30+</v>
      </c>
    </row>
    <row r="3404" spans="1:15" x14ac:dyDescent="0.25">
      <c r="A3404" t="s">
        <v>378</v>
      </c>
      <c r="B3404" t="s">
        <v>379</v>
      </c>
      <c r="C3404" t="s">
        <v>398</v>
      </c>
      <c r="D3404" t="s">
        <v>399</v>
      </c>
      <c r="E3404" t="s">
        <v>400</v>
      </c>
      <c r="F3404" t="s">
        <v>5</v>
      </c>
      <c r="G3404" t="s">
        <v>5</v>
      </c>
      <c r="H3404" t="s">
        <v>5</v>
      </c>
      <c r="I3404" t="s">
        <v>6</v>
      </c>
      <c r="J3404" t="s">
        <v>7</v>
      </c>
      <c r="K3404" s="3">
        <f t="shared" si="106"/>
        <v>0</v>
      </c>
      <c r="L3404" s="3">
        <f>IF(ISERROR(VLOOKUP(J3404,Lookups!$A$2:$A$16,1,FALSE)),1,0)</f>
        <v>1</v>
      </c>
      <c r="M3404" s="3">
        <f>IF(ISERROR(VLOOKUP(D3404,Data!$A$2:$D$223100,2,FALSE)),0,1)</f>
        <v>1</v>
      </c>
      <c r="N3404" s="3">
        <f t="shared" si="107"/>
        <v>1</v>
      </c>
      <c r="O3404" s="3" t="str">
        <f>IF(ISERROR(VLOOKUP(D3404,Data!$A$2:$C$223100,3,FALSE)),"INACTIVE",VLOOKUP(D3404,Data!$A$2:$C$223100,3,FALSE))</f>
        <v>BK13</v>
      </c>
    </row>
    <row r="3405" spans="1:15" x14ac:dyDescent="0.25">
      <c r="A3405" t="s">
        <v>378</v>
      </c>
      <c r="B3405" t="s">
        <v>379</v>
      </c>
      <c r="C3405" t="s">
        <v>401</v>
      </c>
      <c r="D3405" t="s">
        <v>402</v>
      </c>
      <c r="E3405" t="s">
        <v>403</v>
      </c>
      <c r="F3405" t="s">
        <v>5</v>
      </c>
      <c r="G3405" t="s">
        <v>5</v>
      </c>
      <c r="H3405" t="s">
        <v>5</v>
      </c>
      <c r="I3405" t="s">
        <v>6</v>
      </c>
      <c r="J3405" t="s">
        <v>7</v>
      </c>
      <c r="K3405" s="3">
        <f t="shared" si="106"/>
        <v>0</v>
      </c>
      <c r="L3405" s="3">
        <f>IF(ISERROR(VLOOKUP(J3405,Lookups!$A$2:$A$16,1,FALSE)),1,0)</f>
        <v>1</v>
      </c>
      <c r="M3405" s="3">
        <f>IF(ISERROR(VLOOKUP(D3405,Data!$A$2:$D$223100,2,FALSE)),0,1)</f>
        <v>1</v>
      </c>
      <c r="N3405" s="3">
        <f t="shared" si="107"/>
        <v>1</v>
      </c>
      <c r="O3405" s="3" t="str">
        <f>IF(ISERROR(VLOOKUP(D3405,Data!$A$2:$C$223100,3,FALSE)),"INACTIVE",VLOOKUP(D3405,Data!$A$2:$C$223100,3,FALSE))</f>
        <v>150+</v>
      </c>
    </row>
    <row r="3406" spans="1:15" x14ac:dyDescent="0.25">
      <c r="A3406" t="s">
        <v>84</v>
      </c>
      <c r="B3406" t="s">
        <v>85</v>
      </c>
      <c r="C3406" t="s">
        <v>86</v>
      </c>
      <c r="D3406" t="s">
        <v>87</v>
      </c>
      <c r="E3406" t="s">
        <v>88</v>
      </c>
      <c r="F3406" t="s">
        <v>5</v>
      </c>
      <c r="G3406" t="s">
        <v>5</v>
      </c>
      <c r="H3406" t="s">
        <v>5</v>
      </c>
      <c r="I3406" t="s">
        <v>89</v>
      </c>
      <c r="J3406" t="s">
        <v>90</v>
      </c>
      <c r="K3406" s="3">
        <f t="shared" si="106"/>
        <v>0</v>
      </c>
      <c r="L3406" s="3">
        <f>IF(ISERROR(VLOOKUP(J3406,Lookups!$A$2:$A$16,1,FALSE)),1,0)</f>
        <v>0</v>
      </c>
      <c r="M3406" s="3">
        <f>IF(ISERROR(VLOOKUP(D3406,Data!$A$2:$D$223100,2,FALSE)),0,1)</f>
        <v>1</v>
      </c>
      <c r="N3406" s="3">
        <f t="shared" si="107"/>
        <v>0</v>
      </c>
      <c r="O3406" s="3" t="str">
        <f>IF(ISERROR(VLOOKUP(D3406,Data!$A$2:$C$223100,3,FALSE)),"INACTIVE",VLOOKUP(D3406,Data!$A$2:$C$223100,3,FALSE))</f>
        <v>120+</v>
      </c>
    </row>
    <row r="3407" spans="1:15" x14ac:dyDescent="0.25">
      <c r="A3407" t="s">
        <v>84</v>
      </c>
      <c r="B3407" t="s">
        <v>85</v>
      </c>
      <c r="C3407" t="s">
        <v>91</v>
      </c>
      <c r="D3407" t="s">
        <v>87</v>
      </c>
      <c r="E3407" t="s">
        <v>92</v>
      </c>
      <c r="F3407" t="s">
        <v>5</v>
      </c>
      <c r="G3407" t="s">
        <v>5</v>
      </c>
      <c r="H3407" t="s">
        <v>5</v>
      </c>
      <c r="I3407" t="s">
        <v>89</v>
      </c>
      <c r="J3407" t="s">
        <v>90</v>
      </c>
      <c r="K3407" s="3">
        <f t="shared" si="106"/>
        <v>0</v>
      </c>
      <c r="L3407" s="3">
        <f>IF(ISERROR(VLOOKUP(J3407,Lookups!$A$2:$A$16,1,FALSE)),1,0)</f>
        <v>0</v>
      </c>
      <c r="M3407" s="3">
        <f>IF(ISERROR(VLOOKUP(D3407,Data!$A$2:$D$223100,2,FALSE)),0,1)</f>
        <v>1</v>
      </c>
      <c r="N3407" s="3">
        <f t="shared" si="107"/>
        <v>0</v>
      </c>
      <c r="O3407" s="3" t="str">
        <f>IF(ISERROR(VLOOKUP(D3407,Data!$A$2:$C$223100,3,FALSE)),"INACTIVE",VLOOKUP(D3407,Data!$A$2:$C$223100,3,FALSE))</f>
        <v>120+</v>
      </c>
    </row>
    <row r="3408" spans="1:15" x14ac:dyDescent="0.25">
      <c r="A3408" t="s">
        <v>84</v>
      </c>
      <c r="B3408" t="s">
        <v>85</v>
      </c>
      <c r="C3408" t="s">
        <v>93</v>
      </c>
      <c r="D3408" t="s">
        <v>94</v>
      </c>
      <c r="E3408" t="s">
        <v>95</v>
      </c>
      <c r="F3408" t="s">
        <v>5</v>
      </c>
      <c r="G3408" t="s">
        <v>5</v>
      </c>
      <c r="H3408" t="s">
        <v>5</v>
      </c>
      <c r="I3408" t="s">
        <v>89</v>
      </c>
      <c r="J3408" t="s">
        <v>96</v>
      </c>
      <c r="K3408" s="3">
        <f t="shared" si="106"/>
        <v>0</v>
      </c>
      <c r="L3408" s="3">
        <f>IF(ISERROR(VLOOKUP(J3408,Lookups!$A$2:$A$16,1,FALSE)),1,0)</f>
        <v>0</v>
      </c>
      <c r="M3408" s="3">
        <f>IF(ISERROR(VLOOKUP(D3408,Data!$A$2:$D$223100,2,FALSE)),0,1)</f>
        <v>1</v>
      </c>
      <c r="N3408" s="3">
        <f t="shared" si="107"/>
        <v>0</v>
      </c>
      <c r="O3408" s="3" t="str">
        <f>IF(ISERROR(VLOOKUP(D3408,Data!$A$2:$C$223100,3,FALSE)),"INACTIVE",VLOOKUP(D3408,Data!$A$2:$C$223100,3,FALSE))</f>
        <v>BK13</v>
      </c>
    </row>
    <row r="3409" spans="1:15" x14ac:dyDescent="0.25">
      <c r="A3409" t="s">
        <v>84</v>
      </c>
      <c r="B3409" t="s">
        <v>85</v>
      </c>
      <c r="C3409" t="s">
        <v>93</v>
      </c>
      <c r="D3409" t="s">
        <v>94</v>
      </c>
      <c r="E3409" t="s">
        <v>97</v>
      </c>
      <c r="F3409" t="s">
        <v>5</v>
      </c>
      <c r="G3409" t="s">
        <v>5</v>
      </c>
      <c r="H3409" t="s">
        <v>5</v>
      </c>
      <c r="I3409" t="s">
        <v>89</v>
      </c>
      <c r="J3409" t="s">
        <v>96</v>
      </c>
      <c r="K3409" s="3">
        <f t="shared" si="106"/>
        <v>0</v>
      </c>
      <c r="L3409" s="3">
        <f>IF(ISERROR(VLOOKUP(J3409,Lookups!$A$2:$A$16,1,FALSE)),1,0)</f>
        <v>0</v>
      </c>
      <c r="M3409" s="3">
        <f>IF(ISERROR(VLOOKUP(D3409,Data!$A$2:$D$223100,2,FALSE)),0,1)</f>
        <v>1</v>
      </c>
      <c r="N3409" s="3">
        <f t="shared" si="107"/>
        <v>0</v>
      </c>
      <c r="O3409" s="3" t="str">
        <f>IF(ISERROR(VLOOKUP(D3409,Data!$A$2:$C$223100,3,FALSE)),"INACTIVE",VLOOKUP(D3409,Data!$A$2:$C$223100,3,FALSE))</f>
        <v>BK13</v>
      </c>
    </row>
    <row r="3410" spans="1:15" x14ac:dyDescent="0.25">
      <c r="A3410" t="s">
        <v>84</v>
      </c>
      <c r="B3410" t="s">
        <v>85</v>
      </c>
      <c r="C3410" t="s">
        <v>93</v>
      </c>
      <c r="D3410" t="s">
        <v>94</v>
      </c>
      <c r="E3410" t="s">
        <v>98</v>
      </c>
      <c r="F3410" t="s">
        <v>5</v>
      </c>
      <c r="G3410" t="s">
        <v>5</v>
      </c>
      <c r="H3410" t="s">
        <v>5</v>
      </c>
      <c r="I3410" t="s">
        <v>89</v>
      </c>
      <c r="J3410" t="s">
        <v>96</v>
      </c>
      <c r="K3410" s="3">
        <f t="shared" si="106"/>
        <v>0</v>
      </c>
      <c r="L3410" s="3">
        <f>IF(ISERROR(VLOOKUP(J3410,Lookups!$A$2:$A$16,1,FALSE)),1,0)</f>
        <v>0</v>
      </c>
      <c r="M3410" s="3">
        <f>IF(ISERROR(VLOOKUP(D3410,Data!$A$2:$D$223100,2,FALSE)),0,1)</f>
        <v>1</v>
      </c>
      <c r="N3410" s="3">
        <f t="shared" si="107"/>
        <v>0</v>
      </c>
      <c r="O3410" s="3" t="str">
        <f>IF(ISERROR(VLOOKUP(D3410,Data!$A$2:$C$223100,3,FALSE)),"INACTIVE",VLOOKUP(D3410,Data!$A$2:$C$223100,3,FALSE))</f>
        <v>BK13</v>
      </c>
    </row>
    <row r="3411" spans="1:15" x14ac:dyDescent="0.25">
      <c r="A3411" t="s">
        <v>84</v>
      </c>
      <c r="B3411" t="s">
        <v>85</v>
      </c>
      <c r="C3411" t="s">
        <v>93</v>
      </c>
      <c r="D3411" t="s">
        <v>94</v>
      </c>
      <c r="E3411" t="s">
        <v>99</v>
      </c>
      <c r="F3411" t="s">
        <v>5</v>
      </c>
      <c r="G3411" t="s">
        <v>5</v>
      </c>
      <c r="H3411" t="s">
        <v>5</v>
      </c>
      <c r="I3411" t="s">
        <v>89</v>
      </c>
      <c r="J3411" t="s">
        <v>96</v>
      </c>
      <c r="K3411" s="3">
        <f t="shared" si="106"/>
        <v>0</v>
      </c>
      <c r="L3411" s="3">
        <f>IF(ISERROR(VLOOKUP(J3411,Lookups!$A$2:$A$16,1,FALSE)),1,0)</f>
        <v>0</v>
      </c>
      <c r="M3411" s="3">
        <f>IF(ISERROR(VLOOKUP(D3411,Data!$A$2:$D$223100,2,FALSE)),0,1)</f>
        <v>1</v>
      </c>
      <c r="N3411" s="3">
        <f t="shared" si="107"/>
        <v>0</v>
      </c>
      <c r="O3411" s="3" t="str">
        <f>IF(ISERROR(VLOOKUP(D3411,Data!$A$2:$C$223100,3,FALSE)),"INACTIVE",VLOOKUP(D3411,Data!$A$2:$C$223100,3,FALSE))</f>
        <v>BK13</v>
      </c>
    </row>
    <row r="3412" spans="1:15" x14ac:dyDescent="0.25">
      <c r="A3412" t="s">
        <v>84</v>
      </c>
      <c r="B3412" t="s">
        <v>85</v>
      </c>
      <c r="C3412" t="s">
        <v>93</v>
      </c>
      <c r="D3412" t="s">
        <v>94</v>
      </c>
      <c r="E3412" t="s">
        <v>100</v>
      </c>
      <c r="F3412" t="s">
        <v>5</v>
      </c>
      <c r="G3412" t="s">
        <v>5</v>
      </c>
      <c r="H3412" t="s">
        <v>5</v>
      </c>
      <c r="I3412" t="s">
        <v>89</v>
      </c>
      <c r="J3412" t="s">
        <v>96</v>
      </c>
      <c r="K3412" s="3">
        <f t="shared" si="106"/>
        <v>0</v>
      </c>
      <c r="L3412" s="3">
        <f>IF(ISERROR(VLOOKUP(J3412,Lookups!$A$2:$A$16,1,FALSE)),1,0)</f>
        <v>0</v>
      </c>
      <c r="M3412" s="3">
        <f>IF(ISERROR(VLOOKUP(D3412,Data!$A$2:$D$223100,2,FALSE)),0,1)</f>
        <v>1</v>
      </c>
      <c r="N3412" s="3">
        <f t="shared" si="107"/>
        <v>0</v>
      </c>
      <c r="O3412" s="3" t="str">
        <f>IF(ISERROR(VLOOKUP(D3412,Data!$A$2:$C$223100,3,FALSE)),"INACTIVE",VLOOKUP(D3412,Data!$A$2:$C$223100,3,FALSE))</f>
        <v>BK13</v>
      </c>
    </row>
    <row r="3413" spans="1:15" x14ac:dyDescent="0.25">
      <c r="A3413" t="s">
        <v>151</v>
      </c>
      <c r="B3413" t="s">
        <v>152</v>
      </c>
      <c r="C3413" t="s">
        <v>153</v>
      </c>
      <c r="D3413" t="s">
        <v>154</v>
      </c>
      <c r="E3413" t="s">
        <v>155</v>
      </c>
      <c r="F3413" t="s">
        <v>5</v>
      </c>
      <c r="G3413" t="s">
        <v>5</v>
      </c>
      <c r="H3413" t="s">
        <v>5</v>
      </c>
      <c r="I3413" t="s">
        <v>89</v>
      </c>
      <c r="J3413" t="s">
        <v>7</v>
      </c>
      <c r="K3413" s="3">
        <f t="shared" si="106"/>
        <v>0</v>
      </c>
      <c r="L3413" s="3">
        <f>IF(ISERROR(VLOOKUP(J3413,Lookups!$A$2:$A$16,1,FALSE)),1,0)</f>
        <v>1</v>
      </c>
      <c r="M3413" s="3">
        <f>IF(ISERROR(VLOOKUP(D3413,Data!$A$2:$D$223100,2,FALSE)),0,1)</f>
        <v>1</v>
      </c>
      <c r="N3413" s="3">
        <f t="shared" si="107"/>
        <v>1</v>
      </c>
      <c r="O3413" s="3" t="str">
        <f>IF(ISERROR(VLOOKUP(D3413,Data!$A$2:$C$223100,3,FALSE)),"INACTIVE",VLOOKUP(D3413,Data!$A$2:$C$223100,3,FALSE))</f>
        <v>180+</v>
      </c>
    </row>
    <row r="3414" spans="1:15" x14ac:dyDescent="0.25">
      <c r="A3414" t="s">
        <v>151</v>
      </c>
      <c r="B3414" t="s">
        <v>152</v>
      </c>
      <c r="C3414" t="s">
        <v>156</v>
      </c>
      <c r="D3414" t="s">
        <v>157</v>
      </c>
      <c r="E3414" t="s">
        <v>158</v>
      </c>
      <c r="F3414" t="s">
        <v>5</v>
      </c>
      <c r="G3414" t="s">
        <v>5</v>
      </c>
      <c r="H3414" t="s">
        <v>5</v>
      </c>
      <c r="I3414" t="s">
        <v>89</v>
      </c>
      <c r="J3414" t="s">
        <v>7</v>
      </c>
      <c r="K3414" s="3">
        <f t="shared" si="106"/>
        <v>0</v>
      </c>
      <c r="L3414" s="3">
        <f>IF(ISERROR(VLOOKUP(J3414,Lookups!$A$2:$A$16,1,FALSE)),1,0)</f>
        <v>1</v>
      </c>
      <c r="M3414" s="3">
        <f>IF(ISERROR(VLOOKUP(D3414,Data!$A$2:$D$223100,2,FALSE)),0,1)</f>
        <v>1</v>
      </c>
      <c r="N3414" s="3">
        <f t="shared" si="107"/>
        <v>1</v>
      </c>
      <c r="O3414" s="3" t="str">
        <f>IF(ISERROR(VLOOKUP(D3414,Data!$A$2:$C$223100,3,FALSE)),"INACTIVE",VLOOKUP(D3414,Data!$A$2:$C$223100,3,FALSE))</f>
        <v>30+</v>
      </c>
    </row>
    <row r="3415" spans="1:15" x14ac:dyDescent="0.25">
      <c r="A3415" t="s">
        <v>213</v>
      </c>
      <c r="B3415" t="s">
        <v>214</v>
      </c>
      <c r="C3415" t="s">
        <v>215</v>
      </c>
      <c r="D3415" t="s">
        <v>216</v>
      </c>
      <c r="E3415" t="s">
        <v>217</v>
      </c>
      <c r="F3415" t="s">
        <v>5</v>
      </c>
      <c r="G3415" t="s">
        <v>5</v>
      </c>
      <c r="H3415" t="s">
        <v>5</v>
      </c>
      <c r="I3415" t="s">
        <v>89</v>
      </c>
      <c r="J3415" t="s">
        <v>7</v>
      </c>
      <c r="K3415" s="3">
        <f t="shared" si="106"/>
        <v>0</v>
      </c>
      <c r="L3415" s="3">
        <f>IF(ISERROR(VLOOKUP(J3415,Lookups!$A$2:$A$16,1,FALSE)),1,0)</f>
        <v>1</v>
      </c>
      <c r="M3415" s="3">
        <f>IF(ISERROR(VLOOKUP(D3415,Data!$A$2:$D$223100,2,FALSE)),0,1)</f>
        <v>1</v>
      </c>
      <c r="N3415" s="3">
        <f t="shared" si="107"/>
        <v>1</v>
      </c>
      <c r="O3415" s="3" t="str">
        <f>IF(ISERROR(VLOOKUP(D3415,Data!$A$2:$C$223100,3,FALSE)),"INACTIVE",VLOOKUP(D3415,Data!$A$2:$C$223100,3,FALSE))</f>
        <v>90+</v>
      </c>
    </row>
    <row r="3416" spans="1:15" x14ac:dyDescent="0.25">
      <c r="A3416" t="s">
        <v>218</v>
      </c>
      <c r="B3416" t="s">
        <v>219</v>
      </c>
      <c r="C3416" t="s">
        <v>220</v>
      </c>
      <c r="D3416" t="s">
        <v>221</v>
      </c>
      <c r="E3416" t="s">
        <v>222</v>
      </c>
      <c r="F3416" t="s">
        <v>5</v>
      </c>
      <c r="G3416" t="s">
        <v>5</v>
      </c>
      <c r="H3416" t="s">
        <v>5</v>
      </c>
      <c r="I3416" t="s">
        <v>89</v>
      </c>
      <c r="J3416" t="s">
        <v>90</v>
      </c>
      <c r="K3416" s="3">
        <f t="shared" si="106"/>
        <v>0</v>
      </c>
      <c r="L3416" s="3">
        <f>IF(ISERROR(VLOOKUP(J3416,Lookups!$A$2:$A$16,1,FALSE)),1,0)</f>
        <v>0</v>
      </c>
      <c r="M3416" s="3">
        <f>IF(ISERROR(VLOOKUP(D3416,Data!$A$2:$D$223100,2,FALSE)),0,1)</f>
        <v>1</v>
      </c>
      <c r="N3416" s="3">
        <f t="shared" si="107"/>
        <v>0</v>
      </c>
      <c r="O3416" s="3" t="str">
        <f>IF(ISERROR(VLOOKUP(D3416,Data!$A$2:$C$223100,3,FALSE)),"INACTIVE",VLOOKUP(D3416,Data!$A$2:$C$223100,3,FALSE))</f>
        <v>FBA</v>
      </c>
    </row>
    <row r="3417" spans="1:15" x14ac:dyDescent="0.25">
      <c r="A3417" t="s">
        <v>218</v>
      </c>
      <c r="B3417" t="s">
        <v>219</v>
      </c>
      <c r="C3417" t="s">
        <v>220</v>
      </c>
      <c r="D3417" t="s">
        <v>221</v>
      </c>
      <c r="E3417" t="s">
        <v>223</v>
      </c>
      <c r="F3417" t="s">
        <v>5</v>
      </c>
      <c r="G3417" t="s">
        <v>5</v>
      </c>
      <c r="H3417" t="s">
        <v>5</v>
      </c>
      <c r="I3417" t="s">
        <v>89</v>
      </c>
      <c r="J3417" t="s">
        <v>90</v>
      </c>
      <c r="K3417" s="3">
        <f t="shared" si="106"/>
        <v>0</v>
      </c>
      <c r="L3417" s="3">
        <f>IF(ISERROR(VLOOKUP(J3417,Lookups!$A$2:$A$16,1,FALSE)),1,0)</f>
        <v>0</v>
      </c>
      <c r="M3417" s="3">
        <f>IF(ISERROR(VLOOKUP(D3417,Data!$A$2:$D$223100,2,FALSE)),0,1)</f>
        <v>1</v>
      </c>
      <c r="N3417" s="3">
        <f t="shared" si="107"/>
        <v>0</v>
      </c>
      <c r="O3417" s="3" t="str">
        <f>IF(ISERROR(VLOOKUP(D3417,Data!$A$2:$C$223100,3,FALSE)),"INACTIVE",VLOOKUP(D3417,Data!$A$2:$C$223100,3,FALSE))</f>
        <v>FBA</v>
      </c>
    </row>
    <row r="3418" spans="1:15" x14ac:dyDescent="0.25">
      <c r="A3418" t="s">
        <v>218</v>
      </c>
      <c r="B3418" t="s">
        <v>219</v>
      </c>
      <c r="C3418" t="s">
        <v>224</v>
      </c>
      <c r="D3418" t="s">
        <v>225</v>
      </c>
      <c r="E3418" t="s">
        <v>226</v>
      </c>
      <c r="F3418" t="s">
        <v>5</v>
      </c>
      <c r="G3418" t="s">
        <v>5</v>
      </c>
      <c r="H3418" t="s">
        <v>5</v>
      </c>
      <c r="I3418" t="s">
        <v>89</v>
      </c>
      <c r="J3418" t="s">
        <v>7</v>
      </c>
      <c r="K3418" s="3">
        <f t="shared" si="106"/>
        <v>0</v>
      </c>
      <c r="L3418" s="3">
        <f>IF(ISERROR(VLOOKUP(J3418,Lookups!$A$2:$A$16,1,FALSE)),1,0)</f>
        <v>1</v>
      </c>
      <c r="M3418" s="3">
        <f>IF(ISERROR(VLOOKUP(D3418,Data!$A$2:$D$223100,2,FALSE)),0,1)</f>
        <v>0</v>
      </c>
      <c r="N3418" s="3">
        <f t="shared" si="107"/>
        <v>0</v>
      </c>
      <c r="O3418" s="3" t="str">
        <f>IF(ISERROR(VLOOKUP(D3418,Data!$A$2:$C$223100,3,FALSE)),"INACTIVE",VLOOKUP(D3418,Data!$A$2:$C$223100,3,FALSE))</f>
        <v>INACTIVE</v>
      </c>
    </row>
    <row r="3419" spans="1:15" x14ac:dyDescent="0.25">
      <c r="A3419" t="s">
        <v>218</v>
      </c>
      <c r="B3419" t="s">
        <v>219</v>
      </c>
      <c r="C3419" t="s">
        <v>227</v>
      </c>
      <c r="D3419" t="s">
        <v>228</v>
      </c>
      <c r="E3419" t="s">
        <v>229</v>
      </c>
      <c r="F3419" t="s">
        <v>5</v>
      </c>
      <c r="G3419" t="s">
        <v>5</v>
      </c>
      <c r="H3419" t="s">
        <v>5</v>
      </c>
      <c r="I3419" t="s">
        <v>89</v>
      </c>
      <c r="J3419" t="s">
        <v>7</v>
      </c>
      <c r="K3419" s="3">
        <f t="shared" si="106"/>
        <v>0</v>
      </c>
      <c r="L3419" s="3">
        <f>IF(ISERROR(VLOOKUP(J3419,Lookups!$A$2:$A$16,1,FALSE)),1,0)</f>
        <v>1</v>
      </c>
      <c r="M3419" s="3">
        <f>IF(ISERROR(VLOOKUP(D3419,Data!$A$2:$D$223100,2,FALSE)),0,1)</f>
        <v>1</v>
      </c>
      <c r="N3419" s="3">
        <f t="shared" si="107"/>
        <v>1</v>
      </c>
      <c r="O3419" s="3" t="str">
        <f>IF(ISERROR(VLOOKUP(D3419,Data!$A$2:$C$223100,3,FALSE)),"INACTIVE",VLOOKUP(D3419,Data!$A$2:$C$223100,3,FALSE))</f>
        <v>Demand Letter</v>
      </c>
    </row>
    <row r="3420" spans="1:15" x14ac:dyDescent="0.25">
      <c r="A3420" t="s">
        <v>218</v>
      </c>
      <c r="B3420" t="s">
        <v>219</v>
      </c>
      <c r="C3420" t="s">
        <v>230</v>
      </c>
      <c r="D3420" t="s">
        <v>231</v>
      </c>
      <c r="E3420" t="s">
        <v>232</v>
      </c>
      <c r="F3420" t="s">
        <v>5</v>
      </c>
      <c r="G3420" t="s">
        <v>5</v>
      </c>
      <c r="H3420" t="s">
        <v>5</v>
      </c>
      <c r="I3420" t="s">
        <v>89</v>
      </c>
      <c r="J3420" t="s">
        <v>7</v>
      </c>
      <c r="K3420" s="3">
        <f t="shared" si="106"/>
        <v>0</v>
      </c>
      <c r="L3420" s="3">
        <f>IF(ISERROR(VLOOKUP(J3420,Lookups!$A$2:$A$16,1,FALSE)),1,0)</f>
        <v>1</v>
      </c>
      <c r="M3420" s="3">
        <f>IF(ISERROR(VLOOKUP(D3420,Data!$A$2:$D$223100,2,FALSE)),0,1)</f>
        <v>1</v>
      </c>
      <c r="N3420" s="3">
        <f t="shared" si="107"/>
        <v>1</v>
      </c>
      <c r="O3420" s="3" t="str">
        <f>IF(ISERROR(VLOOKUP(D3420,Data!$A$2:$C$223100,3,FALSE)),"INACTIVE",VLOOKUP(D3420,Data!$A$2:$C$223100,3,FALSE))</f>
        <v>Demand Letter</v>
      </c>
    </row>
    <row r="3421" spans="1:15" x14ac:dyDescent="0.25">
      <c r="A3421" t="s">
        <v>218</v>
      </c>
      <c r="B3421" t="s">
        <v>219</v>
      </c>
      <c r="C3421" t="s">
        <v>233</v>
      </c>
      <c r="D3421" t="s">
        <v>234</v>
      </c>
      <c r="E3421" t="s">
        <v>235</v>
      </c>
      <c r="F3421" t="s">
        <v>5</v>
      </c>
      <c r="G3421" t="s">
        <v>5</v>
      </c>
      <c r="H3421" t="s">
        <v>5</v>
      </c>
      <c r="I3421" t="s">
        <v>89</v>
      </c>
      <c r="J3421" t="s">
        <v>90</v>
      </c>
      <c r="K3421" s="3">
        <f t="shared" si="106"/>
        <v>0</v>
      </c>
      <c r="L3421" s="3">
        <f>IF(ISERROR(VLOOKUP(J3421,Lookups!$A$2:$A$16,1,FALSE)),1,0)</f>
        <v>0</v>
      </c>
      <c r="M3421" s="3">
        <f>IF(ISERROR(VLOOKUP(D3421,Data!$A$2:$D$223100,2,FALSE)),0,1)</f>
        <v>1</v>
      </c>
      <c r="N3421" s="3">
        <f t="shared" si="107"/>
        <v>0</v>
      </c>
      <c r="O3421" s="3" t="str">
        <f>IF(ISERROR(VLOOKUP(D3421,Data!$A$2:$C$223100,3,FALSE)),"INACTIVE",VLOOKUP(D3421,Data!$A$2:$C$223100,3,FALSE))</f>
        <v>FBA</v>
      </c>
    </row>
    <row r="3422" spans="1:15" x14ac:dyDescent="0.25">
      <c r="A3422" t="s">
        <v>218</v>
      </c>
      <c r="B3422" t="s">
        <v>219</v>
      </c>
      <c r="C3422" t="s">
        <v>236</v>
      </c>
      <c r="D3422" t="s">
        <v>237</v>
      </c>
      <c r="E3422" t="s">
        <v>238</v>
      </c>
      <c r="F3422" t="s">
        <v>5</v>
      </c>
      <c r="G3422" t="s">
        <v>5</v>
      </c>
      <c r="H3422" t="s">
        <v>5</v>
      </c>
      <c r="I3422" t="s">
        <v>89</v>
      </c>
      <c r="J3422" t="s">
        <v>7</v>
      </c>
      <c r="K3422" s="3">
        <f t="shared" si="106"/>
        <v>0</v>
      </c>
      <c r="L3422" s="3">
        <f>IF(ISERROR(VLOOKUP(J3422,Lookups!$A$2:$A$16,1,FALSE)),1,0)</f>
        <v>1</v>
      </c>
      <c r="M3422" s="3">
        <f>IF(ISERROR(VLOOKUP(D3422,Data!$A$2:$D$223100,2,FALSE)),0,1)</f>
        <v>1</v>
      </c>
      <c r="N3422" s="3">
        <f t="shared" si="107"/>
        <v>1</v>
      </c>
      <c r="O3422" s="3" t="str">
        <f>IF(ISERROR(VLOOKUP(D3422,Data!$A$2:$C$223100,3,FALSE)),"INACTIVE",VLOOKUP(D3422,Data!$A$2:$C$223100,3,FALSE))</f>
        <v>Demand Letter</v>
      </c>
    </row>
    <row r="3423" spans="1:15" x14ac:dyDescent="0.25">
      <c r="A3423" t="s">
        <v>218</v>
      </c>
      <c r="B3423" t="s">
        <v>219</v>
      </c>
      <c r="C3423" t="s">
        <v>239</v>
      </c>
      <c r="D3423" t="s">
        <v>240</v>
      </c>
      <c r="E3423" t="s">
        <v>241</v>
      </c>
      <c r="F3423" t="s">
        <v>5</v>
      </c>
      <c r="G3423" t="s">
        <v>5</v>
      </c>
      <c r="H3423" t="s">
        <v>5</v>
      </c>
      <c r="I3423" t="s">
        <v>89</v>
      </c>
      <c r="J3423" t="s">
        <v>7</v>
      </c>
      <c r="K3423" s="3">
        <f t="shared" si="106"/>
        <v>0</v>
      </c>
      <c r="L3423" s="3">
        <f>IF(ISERROR(VLOOKUP(J3423,Lookups!$A$2:$A$16,1,FALSE)),1,0)</f>
        <v>1</v>
      </c>
      <c r="M3423" s="3">
        <f>IF(ISERROR(VLOOKUP(D3423,Data!$A$2:$D$223100,2,FALSE)),0,1)</f>
        <v>1</v>
      </c>
      <c r="N3423" s="3">
        <f t="shared" si="107"/>
        <v>1</v>
      </c>
      <c r="O3423" s="3" t="str">
        <f>IF(ISERROR(VLOOKUP(D3423,Data!$A$2:$C$223100,3,FALSE)),"INACTIVE",VLOOKUP(D3423,Data!$A$2:$C$223100,3,FALSE))</f>
        <v>FBA</v>
      </c>
    </row>
    <row r="3424" spans="1:15" x14ac:dyDescent="0.25">
      <c r="A3424" t="s">
        <v>218</v>
      </c>
      <c r="B3424" t="s">
        <v>219</v>
      </c>
      <c r="C3424" t="s">
        <v>242</v>
      </c>
      <c r="D3424" t="s">
        <v>243</v>
      </c>
      <c r="E3424" t="s">
        <v>244</v>
      </c>
      <c r="F3424" t="s">
        <v>5</v>
      </c>
      <c r="G3424" t="s">
        <v>5</v>
      </c>
      <c r="H3424" t="s">
        <v>5</v>
      </c>
      <c r="I3424" t="s">
        <v>89</v>
      </c>
      <c r="J3424" t="s">
        <v>96</v>
      </c>
      <c r="K3424" s="3">
        <f t="shared" si="106"/>
        <v>0</v>
      </c>
      <c r="L3424" s="3">
        <f>IF(ISERROR(VLOOKUP(J3424,Lookups!$A$2:$A$16,1,FALSE)),1,0)</f>
        <v>0</v>
      </c>
      <c r="M3424" s="3">
        <f>IF(ISERROR(VLOOKUP(D3424,Data!$A$2:$D$223100,2,FALSE)),0,1)</f>
        <v>1</v>
      </c>
      <c r="N3424" s="3">
        <f t="shared" si="107"/>
        <v>0</v>
      </c>
      <c r="O3424" s="3" t="str">
        <f>IF(ISERROR(VLOOKUP(D3424,Data!$A$2:$C$223100,3,FALSE)),"INACTIVE",VLOOKUP(D3424,Data!$A$2:$C$223100,3,FALSE))</f>
        <v>BK13</v>
      </c>
    </row>
    <row r="3425" spans="1:15" x14ac:dyDescent="0.25">
      <c r="A3425" t="s">
        <v>218</v>
      </c>
      <c r="B3425" t="s">
        <v>219</v>
      </c>
      <c r="C3425" t="s">
        <v>242</v>
      </c>
      <c r="D3425" t="s">
        <v>243</v>
      </c>
      <c r="E3425" t="s">
        <v>245</v>
      </c>
      <c r="F3425" t="s">
        <v>5</v>
      </c>
      <c r="G3425" t="s">
        <v>5</v>
      </c>
      <c r="H3425" t="s">
        <v>5</v>
      </c>
      <c r="I3425" t="s">
        <v>89</v>
      </c>
      <c r="J3425" t="s">
        <v>96</v>
      </c>
      <c r="K3425" s="3">
        <f t="shared" si="106"/>
        <v>0</v>
      </c>
      <c r="L3425" s="3">
        <f>IF(ISERROR(VLOOKUP(J3425,Lookups!$A$2:$A$16,1,FALSE)),1,0)</f>
        <v>0</v>
      </c>
      <c r="M3425" s="3">
        <f>IF(ISERROR(VLOOKUP(D3425,Data!$A$2:$D$223100,2,FALSE)),0,1)</f>
        <v>1</v>
      </c>
      <c r="N3425" s="3">
        <f t="shared" si="107"/>
        <v>0</v>
      </c>
      <c r="O3425" s="3" t="str">
        <f>IF(ISERROR(VLOOKUP(D3425,Data!$A$2:$C$223100,3,FALSE)),"INACTIVE",VLOOKUP(D3425,Data!$A$2:$C$223100,3,FALSE))</f>
        <v>BK13</v>
      </c>
    </row>
    <row r="3426" spans="1:15" x14ac:dyDescent="0.25">
      <c r="A3426" t="s">
        <v>218</v>
      </c>
      <c r="B3426" t="s">
        <v>219</v>
      </c>
      <c r="C3426" t="s">
        <v>242</v>
      </c>
      <c r="D3426" t="s">
        <v>243</v>
      </c>
      <c r="E3426" t="s">
        <v>246</v>
      </c>
      <c r="F3426" t="s">
        <v>5</v>
      </c>
      <c r="G3426" t="s">
        <v>5</v>
      </c>
      <c r="H3426" t="s">
        <v>5</v>
      </c>
      <c r="I3426" t="s">
        <v>89</v>
      </c>
      <c r="J3426" t="s">
        <v>96</v>
      </c>
      <c r="K3426" s="3">
        <f t="shared" si="106"/>
        <v>0</v>
      </c>
      <c r="L3426" s="3">
        <f>IF(ISERROR(VLOOKUP(J3426,Lookups!$A$2:$A$16,1,FALSE)),1,0)</f>
        <v>0</v>
      </c>
      <c r="M3426" s="3">
        <f>IF(ISERROR(VLOOKUP(D3426,Data!$A$2:$D$223100,2,FALSE)),0,1)</f>
        <v>1</v>
      </c>
      <c r="N3426" s="3">
        <f t="shared" si="107"/>
        <v>0</v>
      </c>
      <c r="O3426" s="3" t="str">
        <f>IF(ISERROR(VLOOKUP(D3426,Data!$A$2:$C$223100,3,FALSE)),"INACTIVE",VLOOKUP(D3426,Data!$A$2:$C$223100,3,FALSE))</f>
        <v>BK13</v>
      </c>
    </row>
    <row r="3427" spans="1:15" x14ac:dyDescent="0.25">
      <c r="A3427" t="s">
        <v>218</v>
      </c>
      <c r="B3427" t="s">
        <v>219</v>
      </c>
      <c r="C3427" t="s">
        <v>242</v>
      </c>
      <c r="D3427" t="s">
        <v>243</v>
      </c>
      <c r="E3427" t="s">
        <v>247</v>
      </c>
      <c r="F3427" t="s">
        <v>5</v>
      </c>
      <c r="G3427" t="s">
        <v>5</v>
      </c>
      <c r="H3427" t="s">
        <v>5</v>
      </c>
      <c r="I3427" t="s">
        <v>89</v>
      </c>
      <c r="J3427" t="s">
        <v>96</v>
      </c>
      <c r="K3427" s="3">
        <f t="shared" si="106"/>
        <v>0</v>
      </c>
      <c r="L3427" s="3">
        <f>IF(ISERROR(VLOOKUP(J3427,Lookups!$A$2:$A$16,1,FALSE)),1,0)</f>
        <v>0</v>
      </c>
      <c r="M3427" s="3">
        <f>IF(ISERROR(VLOOKUP(D3427,Data!$A$2:$D$223100,2,FALSE)),0,1)</f>
        <v>1</v>
      </c>
      <c r="N3427" s="3">
        <f t="shared" si="107"/>
        <v>0</v>
      </c>
      <c r="O3427" s="3" t="str">
        <f>IF(ISERROR(VLOOKUP(D3427,Data!$A$2:$C$223100,3,FALSE)),"INACTIVE",VLOOKUP(D3427,Data!$A$2:$C$223100,3,FALSE))</f>
        <v>BK13</v>
      </c>
    </row>
    <row r="3428" spans="1:15" x14ac:dyDescent="0.25">
      <c r="A3428" t="s">
        <v>218</v>
      </c>
      <c r="B3428" t="s">
        <v>219</v>
      </c>
      <c r="C3428" t="s">
        <v>242</v>
      </c>
      <c r="D3428" t="s">
        <v>243</v>
      </c>
      <c r="E3428" t="s">
        <v>248</v>
      </c>
      <c r="F3428" t="s">
        <v>5</v>
      </c>
      <c r="G3428" t="s">
        <v>5</v>
      </c>
      <c r="H3428" t="s">
        <v>5</v>
      </c>
      <c r="I3428" t="s">
        <v>89</v>
      </c>
      <c r="J3428" t="s">
        <v>96</v>
      </c>
      <c r="K3428" s="3">
        <f t="shared" si="106"/>
        <v>0</v>
      </c>
      <c r="L3428" s="3">
        <f>IF(ISERROR(VLOOKUP(J3428,Lookups!$A$2:$A$16,1,FALSE)),1,0)</f>
        <v>0</v>
      </c>
      <c r="M3428" s="3">
        <f>IF(ISERROR(VLOOKUP(D3428,Data!$A$2:$D$223100,2,FALSE)),0,1)</f>
        <v>1</v>
      </c>
      <c r="N3428" s="3">
        <f t="shared" si="107"/>
        <v>0</v>
      </c>
      <c r="O3428" s="3" t="str">
        <f>IF(ISERROR(VLOOKUP(D3428,Data!$A$2:$C$223100,3,FALSE)),"INACTIVE",VLOOKUP(D3428,Data!$A$2:$C$223100,3,FALSE))</f>
        <v>BK13</v>
      </c>
    </row>
    <row r="3429" spans="1:15" x14ac:dyDescent="0.25">
      <c r="A3429" t="s">
        <v>218</v>
      </c>
      <c r="B3429" t="s">
        <v>219</v>
      </c>
      <c r="C3429" t="s">
        <v>242</v>
      </c>
      <c r="D3429" t="s">
        <v>243</v>
      </c>
      <c r="E3429" t="s">
        <v>249</v>
      </c>
      <c r="F3429" t="s">
        <v>5</v>
      </c>
      <c r="G3429" t="s">
        <v>5</v>
      </c>
      <c r="H3429" t="s">
        <v>5</v>
      </c>
      <c r="I3429" t="s">
        <v>89</v>
      </c>
      <c r="J3429" t="s">
        <v>96</v>
      </c>
      <c r="K3429" s="3">
        <f t="shared" si="106"/>
        <v>0</v>
      </c>
      <c r="L3429" s="3">
        <f>IF(ISERROR(VLOOKUP(J3429,Lookups!$A$2:$A$16,1,FALSE)),1,0)</f>
        <v>0</v>
      </c>
      <c r="M3429" s="3">
        <f>IF(ISERROR(VLOOKUP(D3429,Data!$A$2:$D$223100,2,FALSE)),0,1)</f>
        <v>1</v>
      </c>
      <c r="N3429" s="3">
        <f t="shared" si="107"/>
        <v>0</v>
      </c>
      <c r="O3429" s="3" t="str">
        <f>IF(ISERROR(VLOOKUP(D3429,Data!$A$2:$C$223100,3,FALSE)),"INACTIVE",VLOOKUP(D3429,Data!$A$2:$C$223100,3,FALSE))</f>
        <v>BK13</v>
      </c>
    </row>
    <row r="3430" spans="1:15" x14ac:dyDescent="0.25">
      <c r="A3430" t="s">
        <v>218</v>
      </c>
      <c r="B3430" t="s">
        <v>219</v>
      </c>
      <c r="C3430" t="s">
        <v>242</v>
      </c>
      <c r="D3430" t="s">
        <v>243</v>
      </c>
      <c r="E3430" t="s">
        <v>250</v>
      </c>
      <c r="F3430" t="s">
        <v>5</v>
      </c>
      <c r="G3430" t="s">
        <v>5</v>
      </c>
      <c r="H3430" t="s">
        <v>5</v>
      </c>
      <c r="I3430" t="s">
        <v>89</v>
      </c>
      <c r="J3430" t="s">
        <v>96</v>
      </c>
      <c r="K3430" s="3">
        <f t="shared" si="106"/>
        <v>0</v>
      </c>
      <c r="L3430" s="3">
        <f>IF(ISERROR(VLOOKUP(J3430,Lookups!$A$2:$A$16,1,FALSE)),1,0)</f>
        <v>0</v>
      </c>
      <c r="M3430" s="3">
        <f>IF(ISERROR(VLOOKUP(D3430,Data!$A$2:$D$223100,2,FALSE)),0,1)</f>
        <v>1</v>
      </c>
      <c r="N3430" s="3">
        <f t="shared" si="107"/>
        <v>0</v>
      </c>
      <c r="O3430" s="3" t="str">
        <f>IF(ISERROR(VLOOKUP(D3430,Data!$A$2:$C$223100,3,FALSE)),"INACTIVE",VLOOKUP(D3430,Data!$A$2:$C$223100,3,FALSE))</f>
        <v>BK13</v>
      </c>
    </row>
    <row r="3431" spans="1:15" x14ac:dyDescent="0.25">
      <c r="A3431" t="s">
        <v>218</v>
      </c>
      <c r="B3431" t="s">
        <v>219</v>
      </c>
      <c r="C3431" t="s">
        <v>251</v>
      </c>
      <c r="D3431" t="s">
        <v>252</v>
      </c>
      <c r="E3431" t="s">
        <v>253</v>
      </c>
      <c r="F3431" t="s">
        <v>5</v>
      </c>
      <c r="G3431" t="s">
        <v>5</v>
      </c>
      <c r="H3431" t="s">
        <v>5</v>
      </c>
      <c r="I3431" t="s">
        <v>89</v>
      </c>
      <c r="J3431" t="s">
        <v>90</v>
      </c>
      <c r="K3431" s="3">
        <f t="shared" si="106"/>
        <v>0</v>
      </c>
      <c r="L3431" s="3">
        <f>IF(ISERROR(VLOOKUP(J3431,Lookups!$A$2:$A$16,1,FALSE)),1,0)</f>
        <v>0</v>
      </c>
      <c r="M3431" s="3">
        <f>IF(ISERROR(VLOOKUP(D3431,Data!$A$2:$D$223100,2,FALSE)),0,1)</f>
        <v>1</v>
      </c>
      <c r="N3431" s="3">
        <f t="shared" si="107"/>
        <v>0</v>
      </c>
      <c r="O3431" s="3" t="str">
        <f>IF(ISERROR(VLOOKUP(D3431,Data!$A$2:$C$223100,3,FALSE)),"INACTIVE",VLOOKUP(D3431,Data!$A$2:$C$223100,3,FALSE))</f>
        <v>FC</v>
      </c>
    </row>
    <row r="3432" spans="1:15" x14ac:dyDescent="0.25">
      <c r="A3432" t="s">
        <v>218</v>
      </c>
      <c r="B3432" t="s">
        <v>219</v>
      </c>
      <c r="C3432" t="s">
        <v>251</v>
      </c>
      <c r="D3432" t="s">
        <v>252</v>
      </c>
      <c r="E3432" t="s">
        <v>254</v>
      </c>
      <c r="F3432" t="s">
        <v>5</v>
      </c>
      <c r="G3432" t="s">
        <v>5</v>
      </c>
      <c r="H3432" t="s">
        <v>5</v>
      </c>
      <c r="I3432" t="s">
        <v>89</v>
      </c>
      <c r="J3432" t="s">
        <v>90</v>
      </c>
      <c r="K3432" s="3">
        <f t="shared" si="106"/>
        <v>0</v>
      </c>
      <c r="L3432" s="3">
        <f>IF(ISERROR(VLOOKUP(J3432,Lookups!$A$2:$A$16,1,FALSE)),1,0)</f>
        <v>0</v>
      </c>
      <c r="M3432" s="3">
        <f>IF(ISERROR(VLOOKUP(D3432,Data!$A$2:$D$223100,2,FALSE)),0,1)</f>
        <v>1</v>
      </c>
      <c r="N3432" s="3">
        <f t="shared" si="107"/>
        <v>0</v>
      </c>
      <c r="O3432" s="3" t="str">
        <f>IF(ISERROR(VLOOKUP(D3432,Data!$A$2:$C$223100,3,FALSE)),"INACTIVE",VLOOKUP(D3432,Data!$A$2:$C$223100,3,FALSE))</f>
        <v>FC</v>
      </c>
    </row>
    <row r="3433" spans="1:15" x14ac:dyDescent="0.25">
      <c r="A3433" t="s">
        <v>218</v>
      </c>
      <c r="B3433" t="s">
        <v>219</v>
      </c>
      <c r="C3433" t="s">
        <v>255</v>
      </c>
      <c r="D3433" t="s">
        <v>256</v>
      </c>
      <c r="E3433" t="s">
        <v>257</v>
      </c>
      <c r="F3433" t="s">
        <v>5</v>
      </c>
      <c r="G3433" t="s">
        <v>5</v>
      </c>
      <c r="H3433" t="s">
        <v>5</v>
      </c>
      <c r="I3433" t="s">
        <v>89</v>
      </c>
      <c r="J3433" t="s">
        <v>7</v>
      </c>
      <c r="K3433" s="3">
        <f t="shared" si="106"/>
        <v>0</v>
      </c>
      <c r="L3433" s="3">
        <f>IF(ISERROR(VLOOKUP(J3433,Lookups!$A$2:$A$16,1,FALSE)),1,0)</f>
        <v>1</v>
      </c>
      <c r="M3433" s="3">
        <f>IF(ISERROR(VLOOKUP(D3433,Data!$A$2:$D$223100,2,FALSE)),0,1)</f>
        <v>1</v>
      </c>
      <c r="N3433" s="3">
        <f t="shared" si="107"/>
        <v>1</v>
      </c>
      <c r="O3433" s="3" t="str">
        <f>IF(ISERROR(VLOOKUP(D3433,Data!$A$2:$C$223100,3,FALSE)),"INACTIVE",VLOOKUP(D3433,Data!$A$2:$C$223100,3,FALSE))</f>
        <v>BK13</v>
      </c>
    </row>
    <row r="3434" spans="1:15" x14ac:dyDescent="0.25">
      <c r="A3434" t="s">
        <v>30</v>
      </c>
      <c r="B3434" t="s">
        <v>31</v>
      </c>
      <c r="C3434" t="s">
        <v>32</v>
      </c>
      <c r="D3434" t="s">
        <v>33</v>
      </c>
      <c r="E3434" t="s">
        <v>34</v>
      </c>
      <c r="F3434" t="s">
        <v>5</v>
      </c>
      <c r="G3434" t="s">
        <v>5</v>
      </c>
      <c r="H3434" t="s">
        <v>5</v>
      </c>
      <c r="I3434" t="s">
        <v>35</v>
      </c>
      <c r="J3434" t="s">
        <v>36</v>
      </c>
      <c r="K3434" s="3">
        <f t="shared" si="106"/>
        <v>0</v>
      </c>
      <c r="L3434" s="3">
        <f>IF(ISERROR(VLOOKUP(J3434,Lookups!$A$2:$A$16,1,FALSE)),1,0)</f>
        <v>1</v>
      </c>
      <c r="M3434" s="3">
        <f>IF(ISERROR(VLOOKUP(D3434,Data!$A$2:$D$223100,2,FALSE)),0,1)</f>
        <v>1</v>
      </c>
      <c r="N3434" s="3">
        <f t="shared" si="107"/>
        <v>1</v>
      </c>
      <c r="O3434" s="3" t="str">
        <f>IF(ISERROR(VLOOKUP(D3434,Data!$A$2:$C$223100,3,FALSE)),"INACTIVE",VLOOKUP(D3434,Data!$A$2:$C$223100,3,FALSE))</f>
        <v>BK13</v>
      </c>
    </row>
    <row r="3435" spans="1:15" x14ac:dyDescent="0.25">
      <c r="A3435" t="s">
        <v>30</v>
      </c>
      <c r="B3435" t="s">
        <v>31</v>
      </c>
      <c r="C3435" t="s">
        <v>37</v>
      </c>
      <c r="D3435" t="s">
        <v>38</v>
      </c>
      <c r="E3435" t="s">
        <v>39</v>
      </c>
      <c r="F3435" t="s">
        <v>39</v>
      </c>
      <c r="G3435" t="s">
        <v>5</v>
      </c>
      <c r="H3435" t="s">
        <v>5</v>
      </c>
      <c r="I3435" t="s">
        <v>35</v>
      </c>
      <c r="J3435" t="s">
        <v>40</v>
      </c>
      <c r="K3435" s="3">
        <f t="shared" si="106"/>
        <v>0</v>
      </c>
      <c r="L3435" s="3">
        <f>IF(ISERROR(VLOOKUP(J3435,Lookups!$A$2:$A$16,1,FALSE)),1,0)</f>
        <v>1</v>
      </c>
      <c r="M3435" s="3">
        <f>IF(ISERROR(VLOOKUP(D3435,Data!$A$2:$D$223100,2,FALSE)),0,1)</f>
        <v>0</v>
      </c>
      <c r="N3435" s="3">
        <f t="shared" si="107"/>
        <v>0</v>
      </c>
      <c r="O3435" s="3" t="str">
        <f>IF(ISERROR(VLOOKUP(D3435,Data!$A$2:$C$223100,3,FALSE)),"INACTIVE",VLOOKUP(D3435,Data!$A$2:$C$223100,3,FALSE))</f>
        <v>INACTIVE</v>
      </c>
    </row>
    <row r="3436" spans="1:15" x14ac:dyDescent="0.25">
      <c r="A3436" t="s">
        <v>30</v>
      </c>
      <c r="B3436" t="s">
        <v>31</v>
      </c>
      <c r="C3436" t="s">
        <v>41</v>
      </c>
      <c r="D3436" t="s">
        <v>42</v>
      </c>
      <c r="E3436" t="s">
        <v>43</v>
      </c>
      <c r="F3436" t="s">
        <v>43</v>
      </c>
      <c r="G3436" t="s">
        <v>5</v>
      </c>
      <c r="H3436" t="s">
        <v>5</v>
      </c>
      <c r="I3436" t="s">
        <v>35</v>
      </c>
      <c r="J3436" t="s">
        <v>40</v>
      </c>
      <c r="K3436" s="3">
        <f t="shared" si="106"/>
        <v>0</v>
      </c>
      <c r="L3436" s="3">
        <f>IF(ISERROR(VLOOKUP(J3436,Lookups!$A$2:$A$16,1,FALSE)),1,0)</f>
        <v>1</v>
      </c>
      <c r="M3436" s="3">
        <f>IF(ISERROR(VLOOKUP(D3436,Data!$A$2:$D$223100,2,FALSE)),0,1)</f>
        <v>1</v>
      </c>
      <c r="N3436" s="3">
        <f t="shared" si="107"/>
        <v>1</v>
      </c>
      <c r="O3436" s="3" t="str">
        <f>IF(ISERROR(VLOOKUP(D3436,Data!$A$2:$C$223100,3,FALSE)),"INACTIVE",VLOOKUP(D3436,Data!$A$2:$C$223100,3,FALSE))</f>
        <v>FBA</v>
      </c>
    </row>
    <row r="3437" spans="1:15" x14ac:dyDescent="0.25">
      <c r="A3437" t="s">
        <v>30</v>
      </c>
      <c r="B3437" t="s">
        <v>31</v>
      </c>
      <c r="C3437" t="s">
        <v>44</v>
      </c>
      <c r="D3437" t="s">
        <v>45</v>
      </c>
      <c r="E3437" t="s">
        <v>46</v>
      </c>
      <c r="F3437" t="s">
        <v>46</v>
      </c>
      <c r="G3437" t="s">
        <v>5</v>
      </c>
      <c r="H3437" t="s">
        <v>5</v>
      </c>
      <c r="I3437" t="s">
        <v>35</v>
      </c>
      <c r="J3437" t="s">
        <v>47</v>
      </c>
      <c r="K3437" s="3">
        <f t="shared" si="106"/>
        <v>0</v>
      </c>
      <c r="L3437" s="3">
        <f>IF(ISERROR(VLOOKUP(J3437,Lookups!$A$2:$A$16,1,FALSE)),1,0)</f>
        <v>1</v>
      </c>
      <c r="M3437" s="3">
        <f>IF(ISERROR(VLOOKUP(D3437,Data!$A$2:$D$223100,2,FALSE)),0,1)</f>
        <v>1</v>
      </c>
      <c r="N3437" s="3">
        <f t="shared" si="107"/>
        <v>1</v>
      </c>
      <c r="O3437" s="3" t="str">
        <f>IF(ISERROR(VLOOKUP(D3437,Data!$A$2:$C$223100,3,FALSE)),"INACTIVE",VLOOKUP(D3437,Data!$A$2:$C$223100,3,FALSE))</f>
        <v>FC</v>
      </c>
    </row>
    <row r="3438" spans="1:15" x14ac:dyDescent="0.25">
      <c r="A3438" t="s">
        <v>30</v>
      </c>
      <c r="B3438" t="s">
        <v>31</v>
      </c>
      <c r="C3438" t="s">
        <v>48</v>
      </c>
      <c r="D3438" t="s">
        <v>49</v>
      </c>
      <c r="E3438" t="s">
        <v>50</v>
      </c>
      <c r="F3438" t="s">
        <v>50</v>
      </c>
      <c r="G3438" t="s">
        <v>5</v>
      </c>
      <c r="H3438" t="s">
        <v>5</v>
      </c>
      <c r="I3438" t="s">
        <v>35</v>
      </c>
      <c r="J3438" t="s">
        <v>40</v>
      </c>
      <c r="K3438" s="3">
        <f t="shared" si="106"/>
        <v>0</v>
      </c>
      <c r="L3438" s="3">
        <f>IF(ISERROR(VLOOKUP(J3438,Lookups!$A$2:$A$16,1,FALSE)),1,0)</f>
        <v>1</v>
      </c>
      <c r="M3438" s="3">
        <f>IF(ISERROR(VLOOKUP(D3438,Data!$A$2:$D$223100,2,FALSE)),0,1)</f>
        <v>1</v>
      </c>
      <c r="N3438" s="3">
        <f t="shared" si="107"/>
        <v>1</v>
      </c>
      <c r="O3438" s="3" t="str">
        <f>IF(ISERROR(VLOOKUP(D3438,Data!$A$2:$C$223100,3,FALSE)),"INACTIVE",VLOOKUP(D3438,Data!$A$2:$C$223100,3,FALSE))</f>
        <v>30+</v>
      </c>
    </row>
    <row r="3439" spans="1:15" x14ac:dyDescent="0.25">
      <c r="A3439" t="s">
        <v>30</v>
      </c>
      <c r="B3439" t="s">
        <v>31</v>
      </c>
      <c r="C3439" t="s">
        <v>51</v>
      </c>
      <c r="D3439" t="s">
        <v>52</v>
      </c>
      <c r="E3439" t="s">
        <v>53</v>
      </c>
      <c r="F3439" t="s">
        <v>53</v>
      </c>
      <c r="G3439" t="s">
        <v>5</v>
      </c>
      <c r="H3439" t="s">
        <v>5</v>
      </c>
      <c r="I3439" t="s">
        <v>35</v>
      </c>
      <c r="J3439" t="s">
        <v>40</v>
      </c>
      <c r="K3439" s="3">
        <f t="shared" si="106"/>
        <v>0</v>
      </c>
      <c r="L3439" s="3">
        <f>IF(ISERROR(VLOOKUP(J3439,Lookups!$A$2:$A$16,1,FALSE)),1,0)</f>
        <v>1</v>
      </c>
      <c r="M3439" s="3">
        <f>IF(ISERROR(VLOOKUP(D3439,Data!$A$2:$D$223100,2,FALSE)),0,1)</f>
        <v>1</v>
      </c>
      <c r="N3439" s="3">
        <f t="shared" si="107"/>
        <v>1</v>
      </c>
      <c r="O3439" s="3" t="str">
        <f>IF(ISERROR(VLOOKUP(D3439,Data!$A$2:$C$223100,3,FALSE)),"INACTIVE",VLOOKUP(D3439,Data!$A$2:$C$223100,3,FALSE))</f>
        <v>60+</v>
      </c>
    </row>
    <row r="3440" spans="1:15" x14ac:dyDescent="0.25">
      <c r="A3440" t="s">
        <v>30</v>
      </c>
      <c r="B3440" t="s">
        <v>31</v>
      </c>
      <c r="C3440" t="s">
        <v>54</v>
      </c>
      <c r="D3440" t="s">
        <v>55</v>
      </c>
      <c r="E3440" t="s">
        <v>56</v>
      </c>
      <c r="F3440" t="s">
        <v>56</v>
      </c>
      <c r="G3440" t="s">
        <v>5</v>
      </c>
      <c r="H3440" t="s">
        <v>5</v>
      </c>
      <c r="I3440" t="s">
        <v>35</v>
      </c>
      <c r="J3440" t="s">
        <v>40</v>
      </c>
      <c r="K3440" s="3">
        <f t="shared" si="106"/>
        <v>0</v>
      </c>
      <c r="L3440" s="3">
        <f>IF(ISERROR(VLOOKUP(J3440,Lookups!$A$2:$A$16,1,FALSE)),1,0)</f>
        <v>1</v>
      </c>
      <c r="M3440" s="3">
        <f>IF(ISERROR(VLOOKUP(D3440,Data!$A$2:$D$223100,2,FALSE)),0,1)</f>
        <v>1</v>
      </c>
      <c r="N3440" s="3">
        <f t="shared" si="107"/>
        <v>1</v>
      </c>
      <c r="O3440" s="3" t="str">
        <f>IF(ISERROR(VLOOKUP(D3440,Data!$A$2:$C$223100,3,FALSE)),"INACTIVE",VLOOKUP(D3440,Data!$A$2:$C$223100,3,FALSE))</f>
        <v>Demand Letter</v>
      </c>
    </row>
    <row r="3441" spans="1:15" x14ac:dyDescent="0.25">
      <c r="A3441" t="s">
        <v>30</v>
      </c>
      <c r="B3441" t="s">
        <v>31</v>
      </c>
      <c r="C3441" t="s">
        <v>57</v>
      </c>
      <c r="D3441" t="s">
        <v>58</v>
      </c>
      <c r="E3441" t="s">
        <v>59</v>
      </c>
      <c r="F3441" t="s">
        <v>59</v>
      </c>
      <c r="G3441" t="s">
        <v>5</v>
      </c>
      <c r="H3441" t="s">
        <v>5</v>
      </c>
      <c r="I3441" t="s">
        <v>35</v>
      </c>
      <c r="J3441" t="s">
        <v>47</v>
      </c>
      <c r="K3441" s="3">
        <f t="shared" si="106"/>
        <v>0</v>
      </c>
      <c r="L3441" s="3">
        <f>IF(ISERROR(VLOOKUP(J3441,Lookups!$A$2:$A$16,1,FALSE)),1,0)</f>
        <v>1</v>
      </c>
      <c r="M3441" s="3">
        <f>IF(ISERROR(VLOOKUP(D3441,Data!$A$2:$D$223100,2,FALSE)),0,1)</f>
        <v>0</v>
      </c>
      <c r="N3441" s="3">
        <f t="shared" si="107"/>
        <v>0</v>
      </c>
      <c r="O3441" s="3" t="str">
        <f>IF(ISERROR(VLOOKUP(D3441,Data!$A$2:$C$223100,3,FALSE)),"INACTIVE",VLOOKUP(D3441,Data!$A$2:$C$223100,3,FALSE))</f>
        <v>INACTIVE</v>
      </c>
    </row>
    <row r="3442" spans="1:15" x14ac:dyDescent="0.25">
      <c r="A3442" t="s">
        <v>30</v>
      </c>
      <c r="B3442" t="s">
        <v>31</v>
      </c>
      <c r="C3442" t="s">
        <v>60</v>
      </c>
      <c r="D3442" t="s">
        <v>61</v>
      </c>
      <c r="E3442" t="s">
        <v>62</v>
      </c>
      <c r="F3442" t="s">
        <v>62</v>
      </c>
      <c r="G3442" t="s">
        <v>5</v>
      </c>
      <c r="H3442" t="s">
        <v>5</v>
      </c>
      <c r="I3442" t="s">
        <v>35</v>
      </c>
      <c r="J3442" t="s">
        <v>47</v>
      </c>
      <c r="K3442" s="3">
        <f t="shared" si="106"/>
        <v>0</v>
      </c>
      <c r="L3442" s="3">
        <f>IF(ISERROR(VLOOKUP(J3442,Lookups!$A$2:$A$16,1,FALSE)),1,0)</f>
        <v>1</v>
      </c>
      <c r="M3442" s="3">
        <f>IF(ISERROR(VLOOKUP(D3442,Data!$A$2:$D$223100,2,FALSE)),0,1)</f>
        <v>1</v>
      </c>
      <c r="N3442" s="3">
        <f t="shared" si="107"/>
        <v>1</v>
      </c>
      <c r="O3442" s="3" t="str">
        <f>IF(ISERROR(VLOOKUP(D3442,Data!$A$2:$C$223100,3,FALSE)),"INACTIVE",VLOOKUP(D3442,Data!$A$2:$C$223100,3,FALSE))</f>
        <v>FC</v>
      </c>
    </row>
    <row r="3443" spans="1:15" x14ac:dyDescent="0.25">
      <c r="A3443" t="s">
        <v>30</v>
      </c>
      <c r="B3443" t="s">
        <v>31</v>
      </c>
      <c r="C3443" t="s">
        <v>63</v>
      </c>
      <c r="D3443" t="s">
        <v>64</v>
      </c>
      <c r="E3443" t="s">
        <v>65</v>
      </c>
      <c r="F3443" t="s">
        <v>65</v>
      </c>
      <c r="G3443" t="s">
        <v>5</v>
      </c>
      <c r="H3443" t="s">
        <v>5</v>
      </c>
      <c r="I3443" t="s">
        <v>35</v>
      </c>
      <c r="J3443" t="s">
        <v>40</v>
      </c>
      <c r="K3443" s="3">
        <f t="shared" si="106"/>
        <v>0</v>
      </c>
      <c r="L3443" s="3">
        <f>IF(ISERROR(VLOOKUP(J3443,Lookups!$A$2:$A$16,1,FALSE)),1,0)</f>
        <v>1</v>
      </c>
      <c r="M3443" s="3">
        <f>IF(ISERROR(VLOOKUP(D3443,Data!$A$2:$D$223100,2,FALSE)),0,1)</f>
        <v>1</v>
      </c>
      <c r="N3443" s="3">
        <f t="shared" si="107"/>
        <v>1</v>
      </c>
      <c r="O3443" s="3" t="str">
        <f>IF(ISERROR(VLOOKUP(D3443,Data!$A$2:$C$223100,3,FALSE)),"INACTIVE",VLOOKUP(D3443,Data!$A$2:$C$223100,3,FALSE))</f>
        <v>PP</v>
      </c>
    </row>
    <row r="3444" spans="1:15" x14ac:dyDescent="0.25">
      <c r="A3444" t="s">
        <v>30</v>
      </c>
      <c r="B3444" t="s">
        <v>31</v>
      </c>
      <c r="C3444" t="s">
        <v>66</v>
      </c>
      <c r="D3444" t="s">
        <v>67</v>
      </c>
      <c r="E3444" t="s">
        <v>68</v>
      </c>
      <c r="F3444" t="s">
        <v>68</v>
      </c>
      <c r="G3444" t="s">
        <v>5</v>
      </c>
      <c r="H3444" t="s">
        <v>5</v>
      </c>
      <c r="I3444" t="s">
        <v>35</v>
      </c>
      <c r="J3444" t="s">
        <v>40</v>
      </c>
      <c r="K3444" s="3">
        <f t="shared" si="106"/>
        <v>0</v>
      </c>
      <c r="L3444" s="3">
        <f>IF(ISERROR(VLOOKUP(J3444,Lookups!$A$2:$A$16,1,FALSE)),1,0)</f>
        <v>1</v>
      </c>
      <c r="M3444" s="3">
        <f>IF(ISERROR(VLOOKUP(D3444,Data!$A$2:$D$223100,2,FALSE)),0,1)</f>
        <v>1</v>
      </c>
      <c r="N3444" s="3">
        <f t="shared" si="107"/>
        <v>1</v>
      </c>
      <c r="O3444" s="3" t="str">
        <f>IF(ISERROR(VLOOKUP(D3444,Data!$A$2:$C$223100,3,FALSE)),"INACTIVE",VLOOKUP(D3444,Data!$A$2:$C$223100,3,FALSE))</f>
        <v>Current</v>
      </c>
    </row>
    <row r="3445" spans="1:15" x14ac:dyDescent="0.25">
      <c r="A3445" t="s">
        <v>30</v>
      </c>
      <c r="B3445" t="s">
        <v>31</v>
      </c>
      <c r="C3445" t="s">
        <v>69</v>
      </c>
      <c r="D3445" t="s">
        <v>70</v>
      </c>
      <c r="E3445" t="s">
        <v>71</v>
      </c>
      <c r="F3445" t="s">
        <v>71</v>
      </c>
      <c r="G3445" t="s">
        <v>5</v>
      </c>
      <c r="H3445" t="s">
        <v>5</v>
      </c>
      <c r="I3445" t="s">
        <v>35</v>
      </c>
      <c r="J3445" t="s">
        <v>40</v>
      </c>
      <c r="K3445" s="3">
        <f t="shared" si="106"/>
        <v>0</v>
      </c>
      <c r="L3445" s="3">
        <f>IF(ISERROR(VLOOKUP(J3445,Lookups!$A$2:$A$16,1,FALSE)),1,0)</f>
        <v>1</v>
      </c>
      <c r="M3445" s="3">
        <f>IF(ISERROR(VLOOKUP(D3445,Data!$A$2:$D$223100,2,FALSE)),0,1)</f>
        <v>1</v>
      </c>
      <c r="N3445" s="3">
        <f t="shared" si="107"/>
        <v>1</v>
      </c>
      <c r="O3445" s="3" t="str">
        <f>IF(ISERROR(VLOOKUP(D3445,Data!$A$2:$C$223100,3,FALSE)),"INACTIVE",VLOOKUP(D3445,Data!$A$2:$C$223100,3,FALSE))</f>
        <v>60+</v>
      </c>
    </row>
    <row r="3446" spans="1:15" x14ac:dyDescent="0.25">
      <c r="A3446" t="s">
        <v>30</v>
      </c>
      <c r="B3446" t="s">
        <v>31</v>
      </c>
      <c r="C3446" t="s">
        <v>72</v>
      </c>
      <c r="D3446" t="s">
        <v>73</v>
      </c>
      <c r="E3446" t="s">
        <v>74</v>
      </c>
      <c r="F3446" t="s">
        <v>74</v>
      </c>
      <c r="G3446" t="s">
        <v>5</v>
      </c>
      <c r="H3446" t="s">
        <v>5</v>
      </c>
      <c r="I3446" t="s">
        <v>35</v>
      </c>
      <c r="J3446" t="s">
        <v>40</v>
      </c>
      <c r="K3446" s="3">
        <f t="shared" si="106"/>
        <v>0</v>
      </c>
      <c r="L3446" s="3">
        <f>IF(ISERROR(VLOOKUP(J3446,Lookups!$A$2:$A$16,1,FALSE)),1,0)</f>
        <v>1</v>
      </c>
      <c r="M3446" s="3">
        <f>IF(ISERROR(VLOOKUP(D3446,Data!$A$2:$D$223100,2,FALSE)),0,1)</f>
        <v>1</v>
      </c>
      <c r="N3446" s="3">
        <f t="shared" si="107"/>
        <v>1</v>
      </c>
      <c r="O3446" s="3" t="str">
        <f>IF(ISERROR(VLOOKUP(D3446,Data!$A$2:$C$223100,3,FALSE)),"INACTIVE",VLOOKUP(D3446,Data!$A$2:$C$223100,3,FALSE))</f>
        <v>60+</v>
      </c>
    </row>
    <row r="3447" spans="1:15" x14ac:dyDescent="0.25">
      <c r="A3447" t="s">
        <v>30</v>
      </c>
      <c r="B3447" t="s">
        <v>31</v>
      </c>
      <c r="C3447" t="s">
        <v>75</v>
      </c>
      <c r="D3447" t="s">
        <v>76</v>
      </c>
      <c r="E3447" t="s">
        <v>77</v>
      </c>
      <c r="F3447" t="s">
        <v>77</v>
      </c>
      <c r="G3447" t="s">
        <v>5</v>
      </c>
      <c r="H3447" t="s">
        <v>5</v>
      </c>
      <c r="I3447" t="s">
        <v>35</v>
      </c>
      <c r="J3447" t="s">
        <v>40</v>
      </c>
      <c r="K3447" s="3">
        <f t="shared" si="106"/>
        <v>0</v>
      </c>
      <c r="L3447" s="3">
        <f>IF(ISERROR(VLOOKUP(J3447,Lookups!$A$2:$A$16,1,FALSE)),1,0)</f>
        <v>1</v>
      </c>
      <c r="M3447" s="3">
        <f>IF(ISERROR(VLOOKUP(D3447,Data!$A$2:$D$223100,2,FALSE)),0,1)</f>
        <v>1</v>
      </c>
      <c r="N3447" s="3">
        <f t="shared" si="107"/>
        <v>1</v>
      </c>
      <c r="O3447" s="3" t="str">
        <f>IF(ISERROR(VLOOKUP(D3447,Data!$A$2:$C$223100,3,FALSE)),"INACTIVE",VLOOKUP(D3447,Data!$A$2:$C$223100,3,FALSE))</f>
        <v>60+</v>
      </c>
    </row>
    <row r="3448" spans="1:15" x14ac:dyDescent="0.25">
      <c r="A3448" t="s">
        <v>30</v>
      </c>
      <c r="B3448" t="s">
        <v>31</v>
      </c>
      <c r="C3448" t="s">
        <v>78</v>
      </c>
      <c r="D3448" t="s">
        <v>79</v>
      </c>
      <c r="E3448" t="s">
        <v>80</v>
      </c>
      <c r="F3448" t="s">
        <v>80</v>
      </c>
      <c r="G3448" t="s">
        <v>5</v>
      </c>
      <c r="H3448" t="s">
        <v>5</v>
      </c>
      <c r="I3448" t="s">
        <v>35</v>
      </c>
      <c r="J3448" t="s">
        <v>40</v>
      </c>
      <c r="K3448" s="3">
        <f t="shared" si="106"/>
        <v>0</v>
      </c>
      <c r="L3448" s="3">
        <f>IF(ISERROR(VLOOKUP(J3448,Lookups!$A$2:$A$16,1,FALSE)),1,0)</f>
        <v>1</v>
      </c>
      <c r="M3448" s="3">
        <f>IF(ISERROR(VLOOKUP(D3448,Data!$A$2:$D$223100,2,FALSE)),0,1)</f>
        <v>1</v>
      </c>
      <c r="N3448" s="3">
        <f t="shared" si="107"/>
        <v>1</v>
      </c>
      <c r="O3448" s="3" t="str">
        <f>IF(ISERROR(VLOOKUP(D3448,Data!$A$2:$C$223100,3,FALSE)),"INACTIVE",VLOOKUP(D3448,Data!$A$2:$C$223100,3,FALSE))</f>
        <v>FC</v>
      </c>
    </row>
    <row r="3449" spans="1:15" x14ac:dyDescent="0.25">
      <c r="A3449" t="s">
        <v>30</v>
      </c>
      <c r="B3449" t="s">
        <v>31</v>
      </c>
      <c r="C3449" t="s">
        <v>81</v>
      </c>
      <c r="D3449" t="s">
        <v>82</v>
      </c>
      <c r="E3449" t="s">
        <v>83</v>
      </c>
      <c r="F3449" t="s">
        <v>83</v>
      </c>
      <c r="G3449" t="s">
        <v>5</v>
      </c>
      <c r="H3449" t="s">
        <v>5</v>
      </c>
      <c r="I3449" t="s">
        <v>35</v>
      </c>
      <c r="J3449" t="s">
        <v>40</v>
      </c>
      <c r="K3449" s="3">
        <f t="shared" si="106"/>
        <v>0</v>
      </c>
      <c r="L3449" s="3">
        <f>IF(ISERROR(VLOOKUP(J3449,Lookups!$A$2:$A$16,1,FALSE)),1,0)</f>
        <v>1</v>
      </c>
      <c r="M3449" s="3">
        <f>IF(ISERROR(VLOOKUP(D3449,Data!$A$2:$D$223100,2,FALSE)),0,1)</f>
        <v>1</v>
      </c>
      <c r="N3449" s="3">
        <f t="shared" si="107"/>
        <v>1</v>
      </c>
      <c r="O3449" s="3" t="str">
        <f>IF(ISERROR(VLOOKUP(D3449,Data!$A$2:$C$223100,3,FALSE)),"INACTIVE",VLOOKUP(D3449,Data!$A$2:$C$223100,3,FALSE))</f>
        <v>Demand Letter</v>
      </c>
    </row>
    <row r="3450" spans="1:15" x14ac:dyDescent="0.25">
      <c r="A3450" t="s">
        <v>133</v>
      </c>
      <c r="B3450" t="s">
        <v>134</v>
      </c>
      <c r="C3450" t="s">
        <v>135</v>
      </c>
      <c r="D3450" t="s">
        <v>136</v>
      </c>
      <c r="E3450" t="s">
        <v>137</v>
      </c>
      <c r="F3450" t="s">
        <v>5</v>
      </c>
      <c r="G3450" t="s">
        <v>5</v>
      </c>
      <c r="H3450" t="s">
        <v>5</v>
      </c>
      <c r="I3450" t="s">
        <v>138</v>
      </c>
      <c r="J3450" t="s">
        <v>7</v>
      </c>
      <c r="K3450" s="3">
        <f t="shared" si="106"/>
        <v>0</v>
      </c>
      <c r="L3450" s="3">
        <f>IF(ISERROR(VLOOKUP(J3450,Lookups!$A$2:$A$16,1,FALSE)),1,0)</f>
        <v>1</v>
      </c>
      <c r="M3450" s="3">
        <f>IF(ISERROR(VLOOKUP(D3450,Data!$A$2:$D$223100,2,FALSE)),0,1)</f>
        <v>1</v>
      </c>
      <c r="N3450" s="3">
        <f t="shared" si="107"/>
        <v>1</v>
      </c>
      <c r="O3450" s="3" t="str">
        <f>IF(ISERROR(VLOOKUP(D3450,Data!$A$2:$C$223100,3,FALSE)),"INACTIVE",VLOOKUP(D3450,Data!$A$2:$C$223100,3,FALSE))</f>
        <v>FC</v>
      </c>
    </row>
    <row r="3451" spans="1:15" x14ac:dyDescent="0.25">
      <c r="A3451" t="s">
        <v>327</v>
      </c>
      <c r="B3451" t="s">
        <v>328</v>
      </c>
      <c r="C3451" t="s">
        <v>329</v>
      </c>
      <c r="D3451" t="s">
        <v>330</v>
      </c>
      <c r="E3451" t="s">
        <v>331</v>
      </c>
      <c r="F3451" t="s">
        <v>5</v>
      </c>
      <c r="G3451" t="s">
        <v>5</v>
      </c>
      <c r="H3451" t="s">
        <v>5</v>
      </c>
      <c r="I3451" t="s">
        <v>138</v>
      </c>
      <c r="J3451" t="s">
        <v>7</v>
      </c>
      <c r="K3451" s="3">
        <f t="shared" si="106"/>
        <v>0</v>
      </c>
      <c r="L3451" s="3">
        <f>IF(ISERROR(VLOOKUP(J3451,Lookups!$A$2:$A$16,1,FALSE)),1,0)</f>
        <v>1</v>
      </c>
      <c r="M3451" s="3">
        <f>IF(ISERROR(VLOOKUP(D3451,Data!$A$2:$D$223100,2,FALSE)),0,1)</f>
        <v>1</v>
      </c>
      <c r="N3451" s="3">
        <f t="shared" si="107"/>
        <v>1</v>
      </c>
      <c r="O3451" s="3" t="str">
        <f>IF(ISERROR(VLOOKUP(D3451,Data!$A$2:$C$223100,3,FALSE)),"INACTIVE",VLOOKUP(D3451,Data!$A$2:$C$223100,3,FALSE))</f>
        <v>BK13</v>
      </c>
    </row>
    <row r="3452" spans="1:15" x14ac:dyDescent="0.25">
      <c r="A3452" t="s">
        <v>109</v>
      </c>
      <c r="B3452" t="s">
        <v>110</v>
      </c>
      <c r="C3452" t="s">
        <v>111</v>
      </c>
      <c r="D3452" t="s">
        <v>112</v>
      </c>
      <c r="E3452" t="s">
        <v>113</v>
      </c>
      <c r="F3452" t="s">
        <v>5</v>
      </c>
      <c r="G3452" t="s">
        <v>5</v>
      </c>
      <c r="H3452" t="s">
        <v>5</v>
      </c>
      <c r="I3452" t="s">
        <v>114</v>
      </c>
      <c r="J3452" t="s">
        <v>90</v>
      </c>
      <c r="K3452" s="3">
        <f t="shared" si="106"/>
        <v>0</v>
      </c>
      <c r="L3452" s="3">
        <f>IF(ISERROR(VLOOKUP(J3452,Lookups!$A$2:$A$16,1,FALSE)),1,0)</f>
        <v>0</v>
      </c>
      <c r="M3452" s="3">
        <f>IF(ISERROR(VLOOKUP(D3452,Data!$A$2:$D$223100,2,FALSE)),0,1)</f>
        <v>1</v>
      </c>
      <c r="N3452" s="3">
        <f t="shared" si="107"/>
        <v>0</v>
      </c>
      <c r="O3452" s="3" t="str">
        <f>IF(ISERROR(VLOOKUP(D3452,Data!$A$2:$C$223100,3,FALSE)),"INACTIVE",VLOOKUP(D3452,Data!$A$2:$C$223100,3,FALSE))</f>
        <v>BK13</v>
      </c>
    </row>
    <row r="3453" spans="1:15" x14ac:dyDescent="0.25">
      <c r="A3453" t="s">
        <v>109</v>
      </c>
      <c r="B3453" t="s">
        <v>110</v>
      </c>
      <c r="C3453" t="s">
        <v>115</v>
      </c>
      <c r="D3453" t="s">
        <v>116</v>
      </c>
      <c r="E3453" t="s">
        <v>117</v>
      </c>
      <c r="F3453" t="s">
        <v>5</v>
      </c>
      <c r="G3453" t="s">
        <v>5</v>
      </c>
      <c r="H3453" t="s">
        <v>5</v>
      </c>
      <c r="I3453" t="s">
        <v>114</v>
      </c>
      <c r="J3453" t="s">
        <v>96</v>
      </c>
      <c r="K3453" s="3">
        <f t="shared" si="106"/>
        <v>0</v>
      </c>
      <c r="L3453" s="3">
        <f>IF(ISERROR(VLOOKUP(J3453,Lookups!$A$2:$A$16,1,FALSE)),1,0)</f>
        <v>0</v>
      </c>
      <c r="M3453" s="3">
        <f>IF(ISERROR(VLOOKUP(D3453,Data!$A$2:$D$223100,2,FALSE)),0,1)</f>
        <v>1</v>
      </c>
      <c r="N3453" s="3">
        <f t="shared" si="107"/>
        <v>0</v>
      </c>
      <c r="O3453" s="3" t="str">
        <f>IF(ISERROR(VLOOKUP(D3453,Data!$A$2:$C$223100,3,FALSE)),"INACTIVE",VLOOKUP(D3453,Data!$A$2:$C$223100,3,FALSE))</f>
        <v>BK13</v>
      </c>
    </row>
    <row r="3454" spans="1:15" x14ac:dyDescent="0.25">
      <c r="A3454" t="s">
        <v>109</v>
      </c>
      <c r="B3454" t="s">
        <v>110</v>
      </c>
      <c r="C3454" t="s">
        <v>115</v>
      </c>
      <c r="D3454" t="s">
        <v>116</v>
      </c>
      <c r="E3454" t="s">
        <v>118</v>
      </c>
      <c r="F3454" t="s">
        <v>5</v>
      </c>
      <c r="G3454" t="s">
        <v>5</v>
      </c>
      <c r="H3454" t="s">
        <v>5</v>
      </c>
      <c r="I3454" t="s">
        <v>114</v>
      </c>
      <c r="J3454" t="s">
        <v>96</v>
      </c>
      <c r="K3454" s="3">
        <f t="shared" si="106"/>
        <v>0</v>
      </c>
      <c r="L3454" s="3">
        <f>IF(ISERROR(VLOOKUP(J3454,Lookups!$A$2:$A$16,1,FALSE)),1,0)</f>
        <v>0</v>
      </c>
      <c r="M3454" s="3">
        <f>IF(ISERROR(VLOOKUP(D3454,Data!$A$2:$D$223100,2,FALSE)),0,1)</f>
        <v>1</v>
      </c>
      <c r="N3454" s="3">
        <f t="shared" si="107"/>
        <v>0</v>
      </c>
      <c r="O3454" s="3" t="str">
        <f>IF(ISERROR(VLOOKUP(D3454,Data!$A$2:$C$223100,3,FALSE)),"INACTIVE",VLOOKUP(D3454,Data!$A$2:$C$223100,3,FALSE))</f>
        <v>BK13</v>
      </c>
    </row>
    <row r="3455" spans="1:15" x14ac:dyDescent="0.25">
      <c r="A3455" t="s">
        <v>109</v>
      </c>
      <c r="B3455" t="s">
        <v>110</v>
      </c>
      <c r="C3455" t="s">
        <v>119</v>
      </c>
      <c r="D3455" t="s">
        <v>120</v>
      </c>
      <c r="E3455" t="s">
        <v>121</v>
      </c>
      <c r="F3455" t="s">
        <v>5</v>
      </c>
      <c r="G3455" t="s">
        <v>5</v>
      </c>
      <c r="H3455" t="s">
        <v>5</v>
      </c>
      <c r="I3455" t="s">
        <v>114</v>
      </c>
      <c r="J3455" t="s">
        <v>90</v>
      </c>
      <c r="K3455" s="3">
        <f t="shared" si="106"/>
        <v>0</v>
      </c>
      <c r="L3455" s="3">
        <f>IF(ISERROR(VLOOKUP(J3455,Lookups!$A$2:$A$16,1,FALSE)),1,0)</f>
        <v>0</v>
      </c>
      <c r="M3455" s="3">
        <f>IF(ISERROR(VLOOKUP(D3455,Data!$A$2:$D$223100,2,FALSE)),0,1)</f>
        <v>1</v>
      </c>
      <c r="N3455" s="3">
        <f t="shared" si="107"/>
        <v>0</v>
      </c>
      <c r="O3455" s="3" t="str">
        <f>IF(ISERROR(VLOOKUP(D3455,Data!$A$2:$C$223100,3,FALSE)),"INACTIVE",VLOOKUP(D3455,Data!$A$2:$C$223100,3,FALSE))</f>
        <v>180+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D945-A46D-40FA-BC3D-9BD2C1F8C4A2}">
  <dimension ref="A1:D2231"/>
  <sheetViews>
    <sheetView workbookViewId="0">
      <pane ySplit="1" topLeftCell="A2211" activePane="bottomLeft" state="frozen"/>
      <selection pane="bottomLeft" activeCell="A2" sqref="A2"/>
    </sheetView>
  </sheetViews>
  <sheetFormatPr defaultRowHeight="15" x14ac:dyDescent="0.25"/>
  <cols>
    <col min="1" max="1" width="10.7109375" bestFit="1" customWidth="1"/>
    <col min="2" max="2" width="7.7109375" bestFit="1" customWidth="1"/>
    <col min="3" max="3" width="14.28515625" bestFit="1" customWidth="1"/>
    <col min="4" max="4" width="14.140625" bestFit="1" customWidth="1"/>
  </cols>
  <sheetData>
    <row r="1" spans="1:4" x14ac:dyDescent="0.25">
      <c r="A1" t="s">
        <v>10329</v>
      </c>
      <c r="B1" t="s">
        <v>10330</v>
      </c>
      <c r="C1" t="s">
        <v>10331</v>
      </c>
      <c r="D1" t="s">
        <v>10332</v>
      </c>
    </row>
    <row r="2" spans="1:4" x14ac:dyDescent="0.25">
      <c r="A2" t="s">
        <v>4244</v>
      </c>
      <c r="B2">
        <v>-1</v>
      </c>
      <c r="C2" t="s">
        <v>10333</v>
      </c>
      <c r="D2" s="5">
        <v>-626.39</v>
      </c>
    </row>
    <row r="3" spans="1:4" x14ac:dyDescent="0.25">
      <c r="A3" t="s">
        <v>4069</v>
      </c>
      <c r="B3">
        <v>-1</v>
      </c>
      <c r="C3" t="s">
        <v>10333</v>
      </c>
      <c r="D3" s="5">
        <v>-6917.48</v>
      </c>
    </row>
    <row r="4" spans="1:4" x14ac:dyDescent="0.25">
      <c r="A4" t="s">
        <v>4054</v>
      </c>
      <c r="B4">
        <v>-1</v>
      </c>
      <c r="C4" t="s">
        <v>10333</v>
      </c>
      <c r="D4" s="5">
        <v>-11017.45</v>
      </c>
    </row>
    <row r="5" spans="1:4" x14ac:dyDescent="0.25">
      <c r="A5" t="s">
        <v>5293</v>
      </c>
      <c r="B5">
        <v>-1</v>
      </c>
      <c r="C5" t="s">
        <v>10334</v>
      </c>
      <c r="D5" s="5">
        <v>6288.56</v>
      </c>
    </row>
    <row r="6" spans="1:4" x14ac:dyDescent="0.25">
      <c r="A6" t="s">
        <v>9814</v>
      </c>
      <c r="B6">
        <v>-1</v>
      </c>
      <c r="C6" t="s">
        <v>10335</v>
      </c>
      <c r="D6" s="5">
        <v>0</v>
      </c>
    </row>
    <row r="7" spans="1:4" x14ac:dyDescent="0.25">
      <c r="A7" t="s">
        <v>3608</v>
      </c>
      <c r="B7">
        <v>-1</v>
      </c>
      <c r="C7" t="s">
        <v>10336</v>
      </c>
      <c r="D7" s="5">
        <v>1253.08</v>
      </c>
    </row>
    <row r="8" spans="1:4" x14ac:dyDescent="0.25">
      <c r="A8" t="s">
        <v>4220</v>
      </c>
      <c r="B8">
        <v>-1</v>
      </c>
      <c r="C8" t="s">
        <v>10337</v>
      </c>
      <c r="D8" s="5">
        <v>-1474.38</v>
      </c>
    </row>
    <row r="9" spans="1:4" x14ac:dyDescent="0.25">
      <c r="A9" t="s">
        <v>8222</v>
      </c>
      <c r="B9">
        <v>-1</v>
      </c>
      <c r="C9" t="s">
        <v>10335</v>
      </c>
      <c r="D9" s="5">
        <v>2238.5500000000002</v>
      </c>
    </row>
    <row r="10" spans="1:4" x14ac:dyDescent="0.25">
      <c r="A10" t="s">
        <v>3950</v>
      </c>
      <c r="B10">
        <v>-1</v>
      </c>
      <c r="C10" t="s">
        <v>10334</v>
      </c>
      <c r="D10" s="5">
        <v>1152.58</v>
      </c>
    </row>
    <row r="11" spans="1:4" x14ac:dyDescent="0.25">
      <c r="A11" t="s">
        <v>1691</v>
      </c>
      <c r="B11">
        <v>-1</v>
      </c>
      <c r="C11" t="s">
        <v>10333</v>
      </c>
      <c r="D11" s="5">
        <v>-7843.58</v>
      </c>
    </row>
    <row r="12" spans="1:4" x14ac:dyDescent="0.25">
      <c r="A12" t="s">
        <v>6738</v>
      </c>
      <c r="B12">
        <v>-1</v>
      </c>
      <c r="C12" t="s">
        <v>10336</v>
      </c>
      <c r="D12" s="5">
        <v>-4807.62</v>
      </c>
    </row>
    <row r="13" spans="1:4" x14ac:dyDescent="0.25">
      <c r="A13" t="s">
        <v>8458</v>
      </c>
      <c r="B13">
        <v>-1</v>
      </c>
      <c r="C13" t="s">
        <v>10336</v>
      </c>
      <c r="D13" s="5">
        <v>-23777.34</v>
      </c>
    </row>
    <row r="14" spans="1:4" x14ac:dyDescent="0.25">
      <c r="A14" t="s">
        <v>3579</v>
      </c>
      <c r="B14">
        <v>-1</v>
      </c>
      <c r="C14" t="s">
        <v>10335</v>
      </c>
      <c r="D14" s="5">
        <v>1819.82</v>
      </c>
    </row>
    <row r="15" spans="1:4" x14ac:dyDescent="0.25">
      <c r="A15" t="s">
        <v>8597</v>
      </c>
      <c r="B15">
        <v>-1</v>
      </c>
      <c r="C15" t="s">
        <v>10338</v>
      </c>
      <c r="D15" s="5">
        <v>-24.01</v>
      </c>
    </row>
    <row r="16" spans="1:4" x14ac:dyDescent="0.25">
      <c r="A16" t="s">
        <v>4465</v>
      </c>
      <c r="B16">
        <v>-1</v>
      </c>
      <c r="C16" t="s">
        <v>10337</v>
      </c>
      <c r="D16" s="5">
        <v>2703.4</v>
      </c>
    </row>
    <row r="17" spans="1:4" x14ac:dyDescent="0.25">
      <c r="A17" t="s">
        <v>5248</v>
      </c>
      <c r="B17">
        <v>-1</v>
      </c>
      <c r="C17" t="s">
        <v>10336</v>
      </c>
      <c r="D17" s="5">
        <v>-1508.27</v>
      </c>
    </row>
    <row r="18" spans="1:4" x14ac:dyDescent="0.25">
      <c r="A18" t="s">
        <v>8969</v>
      </c>
      <c r="B18">
        <v>-1</v>
      </c>
      <c r="C18" t="s">
        <v>10333</v>
      </c>
      <c r="D18" s="5">
        <v>-768.27</v>
      </c>
    </row>
    <row r="19" spans="1:4" x14ac:dyDescent="0.25">
      <c r="A19" t="s">
        <v>10204</v>
      </c>
      <c r="B19">
        <v>-1</v>
      </c>
      <c r="C19" t="s">
        <v>10339</v>
      </c>
      <c r="D19" s="5">
        <v>2197.0100000000002</v>
      </c>
    </row>
    <row r="20" spans="1:4" x14ac:dyDescent="0.25">
      <c r="A20" t="s">
        <v>8591</v>
      </c>
      <c r="B20">
        <v>-1</v>
      </c>
      <c r="C20" t="s">
        <v>10337</v>
      </c>
      <c r="D20" s="5">
        <v>-2381.44</v>
      </c>
    </row>
    <row r="21" spans="1:4" x14ac:dyDescent="0.25">
      <c r="A21" t="s">
        <v>4104</v>
      </c>
      <c r="B21">
        <v>-1</v>
      </c>
      <c r="C21" t="s">
        <v>10340</v>
      </c>
      <c r="D21" s="5">
        <v>-479.4</v>
      </c>
    </row>
    <row r="22" spans="1:4" x14ac:dyDescent="0.25">
      <c r="A22" t="s">
        <v>8323</v>
      </c>
      <c r="B22">
        <v>-1</v>
      </c>
      <c r="C22" t="s">
        <v>10333</v>
      </c>
      <c r="D22" s="5">
        <v>-7105.55</v>
      </c>
    </row>
    <row r="23" spans="1:4" x14ac:dyDescent="0.25">
      <c r="A23" t="s">
        <v>6030</v>
      </c>
      <c r="B23">
        <v>-1</v>
      </c>
      <c r="C23" t="s">
        <v>10335</v>
      </c>
      <c r="D23" s="5">
        <v>5938.98</v>
      </c>
    </row>
    <row r="24" spans="1:4" x14ac:dyDescent="0.25">
      <c r="A24" t="s">
        <v>5935</v>
      </c>
      <c r="B24">
        <v>-1</v>
      </c>
      <c r="C24" t="s">
        <v>10333</v>
      </c>
      <c r="D24" s="5">
        <v>-9318.9</v>
      </c>
    </row>
    <row r="25" spans="1:4" x14ac:dyDescent="0.25">
      <c r="A25" t="s">
        <v>165</v>
      </c>
      <c r="B25">
        <v>-1</v>
      </c>
      <c r="C25" t="s">
        <v>10341</v>
      </c>
      <c r="D25" s="5">
        <v>-2236.69</v>
      </c>
    </row>
    <row r="26" spans="1:4" x14ac:dyDescent="0.25">
      <c r="A26" t="s">
        <v>3953</v>
      </c>
      <c r="B26">
        <v>-1</v>
      </c>
      <c r="C26" t="s">
        <v>10338</v>
      </c>
      <c r="D26" s="5">
        <v>339.38</v>
      </c>
    </row>
    <row r="27" spans="1:4" x14ac:dyDescent="0.25">
      <c r="A27" t="s">
        <v>6106</v>
      </c>
      <c r="B27">
        <v>-1</v>
      </c>
      <c r="C27" t="s">
        <v>10342</v>
      </c>
      <c r="D27" s="5">
        <v>485.74</v>
      </c>
    </row>
    <row r="28" spans="1:4" x14ac:dyDescent="0.25">
      <c r="A28" t="s">
        <v>9166</v>
      </c>
      <c r="B28">
        <v>-1</v>
      </c>
      <c r="C28" t="s">
        <v>10334</v>
      </c>
      <c r="D28" s="5">
        <v>304.27999999999997</v>
      </c>
    </row>
    <row r="29" spans="1:4" x14ac:dyDescent="0.25">
      <c r="A29" t="s">
        <v>3832</v>
      </c>
      <c r="B29">
        <v>-1</v>
      </c>
      <c r="C29" t="s">
        <v>10335</v>
      </c>
      <c r="D29" s="5">
        <v>3041.86</v>
      </c>
    </row>
    <row r="30" spans="1:4" x14ac:dyDescent="0.25">
      <c r="A30" t="s">
        <v>6017</v>
      </c>
      <c r="B30">
        <v>-1</v>
      </c>
      <c r="C30" t="s">
        <v>10333</v>
      </c>
      <c r="D30" s="5">
        <v>-5616.32</v>
      </c>
    </row>
    <row r="31" spans="1:4" x14ac:dyDescent="0.25">
      <c r="A31" t="s">
        <v>5014</v>
      </c>
      <c r="B31">
        <v>-1</v>
      </c>
      <c r="C31" t="s">
        <v>10333</v>
      </c>
      <c r="D31" s="5">
        <v>-581.67999999999995</v>
      </c>
    </row>
    <row r="32" spans="1:4" x14ac:dyDescent="0.25">
      <c r="A32" t="s">
        <v>980</v>
      </c>
      <c r="B32">
        <v>-1</v>
      </c>
      <c r="C32" t="s">
        <v>10336</v>
      </c>
      <c r="D32" s="5">
        <v>4945.5200000000004</v>
      </c>
    </row>
    <row r="33" spans="1:4" x14ac:dyDescent="0.25">
      <c r="A33" t="s">
        <v>988</v>
      </c>
      <c r="B33">
        <v>-1</v>
      </c>
      <c r="C33" t="s">
        <v>10335</v>
      </c>
      <c r="D33" s="5">
        <v>1499.32</v>
      </c>
    </row>
    <row r="34" spans="1:4" x14ac:dyDescent="0.25">
      <c r="A34" t="s">
        <v>131</v>
      </c>
      <c r="B34">
        <v>-1</v>
      </c>
      <c r="C34" t="s">
        <v>10333</v>
      </c>
      <c r="D34" s="5">
        <v>379.79</v>
      </c>
    </row>
    <row r="35" spans="1:4" x14ac:dyDescent="0.25">
      <c r="A35" t="s">
        <v>5300</v>
      </c>
      <c r="B35">
        <v>-1</v>
      </c>
      <c r="C35" t="s">
        <v>10335</v>
      </c>
      <c r="D35" s="5">
        <v>247.76</v>
      </c>
    </row>
    <row r="36" spans="1:4" x14ac:dyDescent="0.25">
      <c r="A36" t="s">
        <v>5510</v>
      </c>
      <c r="B36">
        <v>-1</v>
      </c>
      <c r="C36" t="s">
        <v>10338</v>
      </c>
      <c r="D36" s="5">
        <v>3244.25</v>
      </c>
    </row>
    <row r="37" spans="1:4" x14ac:dyDescent="0.25">
      <c r="A37" t="s">
        <v>9172</v>
      </c>
      <c r="B37">
        <v>-1</v>
      </c>
      <c r="C37" t="s">
        <v>10338</v>
      </c>
      <c r="D37" s="5">
        <v>3051.21</v>
      </c>
    </row>
    <row r="38" spans="1:4" x14ac:dyDescent="0.25">
      <c r="A38" t="s">
        <v>94</v>
      </c>
      <c r="B38">
        <v>-1</v>
      </c>
      <c r="C38" t="s">
        <v>10336</v>
      </c>
      <c r="D38" s="5">
        <v>2945.35</v>
      </c>
    </row>
    <row r="39" spans="1:4" x14ac:dyDescent="0.25">
      <c r="A39" t="s">
        <v>9118</v>
      </c>
      <c r="B39">
        <v>-1</v>
      </c>
      <c r="C39" t="s">
        <v>10339</v>
      </c>
      <c r="D39" s="5">
        <v>784.47</v>
      </c>
    </row>
    <row r="40" spans="1:4" x14ac:dyDescent="0.25">
      <c r="A40" t="s">
        <v>5392</v>
      </c>
      <c r="B40">
        <v>-1</v>
      </c>
      <c r="C40" t="s">
        <v>10338</v>
      </c>
      <c r="D40" s="5">
        <v>651.47</v>
      </c>
    </row>
    <row r="41" spans="1:4" x14ac:dyDescent="0.25">
      <c r="A41" t="s">
        <v>8936</v>
      </c>
      <c r="B41">
        <v>-1</v>
      </c>
      <c r="C41" t="s">
        <v>10336</v>
      </c>
      <c r="D41" s="5">
        <v>-1181.3</v>
      </c>
    </row>
    <row r="42" spans="1:4" x14ac:dyDescent="0.25">
      <c r="A42" t="s">
        <v>877</v>
      </c>
      <c r="B42">
        <v>-1</v>
      </c>
      <c r="C42" t="s">
        <v>10336</v>
      </c>
      <c r="D42" s="5">
        <v>2929.94</v>
      </c>
    </row>
    <row r="43" spans="1:4" x14ac:dyDescent="0.25">
      <c r="A43" t="s">
        <v>1069</v>
      </c>
      <c r="B43">
        <v>-1</v>
      </c>
      <c r="C43" t="s">
        <v>10334</v>
      </c>
      <c r="D43" s="5">
        <v>60.75</v>
      </c>
    </row>
    <row r="44" spans="1:4" x14ac:dyDescent="0.25">
      <c r="A44" t="s">
        <v>8737</v>
      </c>
      <c r="B44">
        <v>-1</v>
      </c>
      <c r="C44" t="s">
        <v>10333</v>
      </c>
      <c r="D44" s="5">
        <v>-40779.83</v>
      </c>
    </row>
    <row r="45" spans="1:4" x14ac:dyDescent="0.25">
      <c r="A45" t="s">
        <v>4619</v>
      </c>
      <c r="B45">
        <v>-1</v>
      </c>
      <c r="C45" t="s">
        <v>10338</v>
      </c>
      <c r="D45" s="5">
        <v>0</v>
      </c>
    </row>
    <row r="46" spans="1:4" x14ac:dyDescent="0.25">
      <c r="A46" t="s">
        <v>8890</v>
      </c>
      <c r="B46">
        <v>-1</v>
      </c>
      <c r="C46" t="s">
        <v>10334</v>
      </c>
      <c r="D46" s="5">
        <v>583.44000000000005</v>
      </c>
    </row>
    <row r="47" spans="1:4" x14ac:dyDescent="0.25">
      <c r="A47" t="s">
        <v>5518</v>
      </c>
      <c r="B47">
        <v>-1</v>
      </c>
      <c r="C47" t="s">
        <v>10338</v>
      </c>
      <c r="D47" s="5">
        <v>2436.25</v>
      </c>
    </row>
    <row r="48" spans="1:4" x14ac:dyDescent="0.25">
      <c r="A48" t="s">
        <v>8239</v>
      </c>
      <c r="B48">
        <v>-1</v>
      </c>
      <c r="C48" t="s">
        <v>10337</v>
      </c>
      <c r="D48" s="5">
        <v>466.05</v>
      </c>
    </row>
    <row r="49" spans="1:4" x14ac:dyDescent="0.25">
      <c r="A49" t="s">
        <v>6338</v>
      </c>
      <c r="B49">
        <v>-1</v>
      </c>
      <c r="C49" t="s">
        <v>10333</v>
      </c>
      <c r="D49" s="5">
        <v>-12042.29</v>
      </c>
    </row>
    <row r="50" spans="1:4" x14ac:dyDescent="0.25">
      <c r="A50" t="s">
        <v>4267</v>
      </c>
      <c r="B50">
        <v>-1</v>
      </c>
      <c r="C50" t="s">
        <v>10336</v>
      </c>
      <c r="D50" s="5">
        <v>-3358.85</v>
      </c>
    </row>
    <row r="51" spans="1:4" x14ac:dyDescent="0.25">
      <c r="A51" t="s">
        <v>412</v>
      </c>
      <c r="B51">
        <v>-1</v>
      </c>
      <c r="C51" t="s">
        <v>10342</v>
      </c>
      <c r="D51" s="5">
        <v>1523.9</v>
      </c>
    </row>
    <row r="52" spans="1:4" x14ac:dyDescent="0.25">
      <c r="A52" t="s">
        <v>7039</v>
      </c>
      <c r="B52">
        <v>-1</v>
      </c>
      <c r="C52" t="s">
        <v>10335</v>
      </c>
      <c r="D52" s="5">
        <v>1800.2</v>
      </c>
    </row>
    <row r="53" spans="1:4" x14ac:dyDescent="0.25">
      <c r="A53" t="s">
        <v>5487</v>
      </c>
      <c r="B53">
        <v>-1</v>
      </c>
      <c r="C53" t="s">
        <v>10337</v>
      </c>
      <c r="D53" s="5">
        <v>1260.6099999999999</v>
      </c>
    </row>
    <row r="54" spans="1:4" x14ac:dyDescent="0.25">
      <c r="A54" t="s">
        <v>5826</v>
      </c>
      <c r="B54">
        <v>-1</v>
      </c>
      <c r="C54" t="s">
        <v>10343</v>
      </c>
      <c r="D54" s="5">
        <v>1415.16</v>
      </c>
    </row>
    <row r="55" spans="1:4" x14ac:dyDescent="0.25">
      <c r="A55" t="s">
        <v>1152</v>
      </c>
      <c r="B55">
        <v>-1</v>
      </c>
      <c r="C55" t="s">
        <v>10341</v>
      </c>
      <c r="D55" s="5">
        <v>1470.71</v>
      </c>
    </row>
    <row r="56" spans="1:4" x14ac:dyDescent="0.25">
      <c r="A56" t="s">
        <v>5213</v>
      </c>
      <c r="B56">
        <v>-1</v>
      </c>
      <c r="C56" t="s">
        <v>10336</v>
      </c>
      <c r="D56" s="5">
        <v>1046.18</v>
      </c>
    </row>
    <row r="57" spans="1:4" x14ac:dyDescent="0.25">
      <c r="A57" t="s">
        <v>4613</v>
      </c>
      <c r="B57">
        <v>-1</v>
      </c>
      <c r="C57" t="s">
        <v>10334</v>
      </c>
      <c r="D57" s="5">
        <v>-455.14</v>
      </c>
    </row>
    <row r="58" spans="1:4" x14ac:dyDescent="0.25">
      <c r="A58" t="s">
        <v>8493</v>
      </c>
      <c r="B58">
        <v>-1</v>
      </c>
      <c r="C58" t="s">
        <v>10335</v>
      </c>
      <c r="D58" s="5">
        <v>-415.9</v>
      </c>
    </row>
    <row r="59" spans="1:4" x14ac:dyDescent="0.25">
      <c r="A59" t="s">
        <v>9736</v>
      </c>
      <c r="B59">
        <v>-1</v>
      </c>
      <c r="C59" t="s">
        <v>10341</v>
      </c>
      <c r="D59" s="5">
        <v>966.69</v>
      </c>
    </row>
    <row r="60" spans="1:4" x14ac:dyDescent="0.25">
      <c r="A60" t="s">
        <v>4232</v>
      </c>
      <c r="B60">
        <v>-1</v>
      </c>
      <c r="C60" t="s">
        <v>10336</v>
      </c>
      <c r="D60" s="5">
        <v>2301.92</v>
      </c>
    </row>
    <row r="61" spans="1:4" x14ac:dyDescent="0.25">
      <c r="A61" t="s">
        <v>6693</v>
      </c>
      <c r="B61">
        <v>-1</v>
      </c>
      <c r="C61" t="s">
        <v>10336</v>
      </c>
      <c r="D61" s="5">
        <v>-1725.78</v>
      </c>
    </row>
    <row r="62" spans="1:4" x14ac:dyDescent="0.25">
      <c r="A62" t="s">
        <v>5386</v>
      </c>
      <c r="B62">
        <v>-1</v>
      </c>
      <c r="C62" t="s">
        <v>10338</v>
      </c>
      <c r="D62" s="5">
        <v>1598.35</v>
      </c>
    </row>
    <row r="63" spans="1:4" x14ac:dyDescent="0.25">
      <c r="A63" t="s">
        <v>4406</v>
      </c>
      <c r="B63">
        <v>-1</v>
      </c>
      <c r="C63" t="s">
        <v>10338</v>
      </c>
      <c r="D63" s="5">
        <v>1252.82</v>
      </c>
    </row>
    <row r="64" spans="1:4" x14ac:dyDescent="0.25">
      <c r="A64" t="s">
        <v>7262</v>
      </c>
      <c r="B64">
        <v>-1</v>
      </c>
      <c r="C64" t="s">
        <v>10344</v>
      </c>
      <c r="D64" s="5">
        <v>2724.32</v>
      </c>
    </row>
    <row r="65" spans="1:4" x14ac:dyDescent="0.25">
      <c r="A65" t="s">
        <v>5348</v>
      </c>
      <c r="B65">
        <v>-1</v>
      </c>
      <c r="C65" t="s">
        <v>10344</v>
      </c>
      <c r="D65" s="5">
        <v>1525.06</v>
      </c>
    </row>
    <row r="66" spans="1:4" x14ac:dyDescent="0.25">
      <c r="A66" t="s">
        <v>3694</v>
      </c>
      <c r="B66">
        <v>-1</v>
      </c>
      <c r="C66" t="s">
        <v>10335</v>
      </c>
      <c r="D66" s="5">
        <v>567.96</v>
      </c>
    </row>
    <row r="67" spans="1:4" x14ac:dyDescent="0.25">
      <c r="A67" t="s">
        <v>6930</v>
      </c>
      <c r="B67">
        <v>-1</v>
      </c>
      <c r="C67" t="s">
        <v>10338</v>
      </c>
      <c r="D67" s="5">
        <v>1489.82</v>
      </c>
    </row>
    <row r="68" spans="1:4" x14ac:dyDescent="0.25">
      <c r="A68" t="s">
        <v>3700</v>
      </c>
      <c r="B68">
        <v>-1</v>
      </c>
      <c r="C68" t="s">
        <v>10335</v>
      </c>
      <c r="D68" s="5">
        <v>563.39</v>
      </c>
    </row>
    <row r="69" spans="1:4" x14ac:dyDescent="0.25">
      <c r="A69" t="s">
        <v>9000</v>
      </c>
      <c r="B69">
        <v>-1</v>
      </c>
      <c r="C69" t="s">
        <v>10336</v>
      </c>
      <c r="D69" s="5">
        <v>-608.41999999999996</v>
      </c>
    </row>
    <row r="70" spans="1:4" x14ac:dyDescent="0.25">
      <c r="A70" t="s">
        <v>3612</v>
      </c>
      <c r="B70">
        <v>-1</v>
      </c>
      <c r="C70" t="s">
        <v>10334</v>
      </c>
      <c r="D70" s="5">
        <v>-1203.76</v>
      </c>
    </row>
    <row r="71" spans="1:4" x14ac:dyDescent="0.25">
      <c r="A71" t="s">
        <v>6100</v>
      </c>
      <c r="B71">
        <v>-1</v>
      </c>
      <c r="C71" t="s">
        <v>10337</v>
      </c>
      <c r="D71" s="5">
        <v>1927.55</v>
      </c>
    </row>
    <row r="72" spans="1:4" x14ac:dyDescent="0.25">
      <c r="A72" t="s">
        <v>1564</v>
      </c>
      <c r="B72">
        <v>-1</v>
      </c>
      <c r="C72" t="s">
        <v>10334</v>
      </c>
      <c r="D72" s="5">
        <v>-2493.1799999999998</v>
      </c>
    </row>
    <row r="73" spans="1:4" x14ac:dyDescent="0.25">
      <c r="A73" t="s">
        <v>5447</v>
      </c>
      <c r="B73">
        <v>-1</v>
      </c>
      <c r="C73" t="s">
        <v>10338</v>
      </c>
      <c r="D73" s="5">
        <v>0</v>
      </c>
    </row>
    <row r="74" spans="1:4" x14ac:dyDescent="0.25">
      <c r="A74" t="s">
        <v>998</v>
      </c>
      <c r="B74">
        <v>-1</v>
      </c>
      <c r="C74" t="s">
        <v>10336</v>
      </c>
      <c r="D74" s="5">
        <v>-279.49</v>
      </c>
    </row>
    <row r="75" spans="1:4" x14ac:dyDescent="0.25">
      <c r="A75" t="s">
        <v>5401</v>
      </c>
      <c r="B75">
        <v>-1</v>
      </c>
      <c r="C75" t="s">
        <v>10334</v>
      </c>
      <c r="D75" s="5">
        <v>-739.77</v>
      </c>
    </row>
    <row r="76" spans="1:4" x14ac:dyDescent="0.25">
      <c r="A76" t="s">
        <v>6390</v>
      </c>
      <c r="B76">
        <v>-1</v>
      </c>
      <c r="C76" t="s">
        <v>10338</v>
      </c>
    </row>
    <row r="77" spans="1:4" x14ac:dyDescent="0.25">
      <c r="A77" t="s">
        <v>6209</v>
      </c>
      <c r="B77">
        <v>-1</v>
      </c>
      <c r="C77" t="s">
        <v>10334</v>
      </c>
      <c r="D77" s="5">
        <v>-20.5</v>
      </c>
    </row>
    <row r="78" spans="1:4" x14ac:dyDescent="0.25">
      <c r="A78" t="s">
        <v>861</v>
      </c>
      <c r="B78">
        <v>-1</v>
      </c>
      <c r="C78" t="s">
        <v>10334</v>
      </c>
      <c r="D78" s="5">
        <v>-113.63</v>
      </c>
    </row>
    <row r="79" spans="1:4" x14ac:dyDescent="0.25">
      <c r="A79" t="s">
        <v>8927</v>
      </c>
      <c r="B79">
        <v>-1</v>
      </c>
      <c r="C79" t="s">
        <v>10336</v>
      </c>
      <c r="D79" s="5">
        <v>3540.71</v>
      </c>
    </row>
    <row r="80" spans="1:4" x14ac:dyDescent="0.25">
      <c r="A80" t="s">
        <v>5987</v>
      </c>
      <c r="B80">
        <v>-1</v>
      </c>
      <c r="C80" t="s">
        <v>10338</v>
      </c>
      <c r="D80" s="5">
        <v>0</v>
      </c>
    </row>
    <row r="81" spans="1:4" x14ac:dyDescent="0.25">
      <c r="A81" t="s">
        <v>7892</v>
      </c>
      <c r="B81">
        <v>-1</v>
      </c>
      <c r="C81" t="s">
        <v>10338</v>
      </c>
      <c r="D81" s="5">
        <v>-233.72</v>
      </c>
    </row>
    <row r="82" spans="1:4" x14ac:dyDescent="0.25">
      <c r="A82" t="s">
        <v>444</v>
      </c>
      <c r="B82">
        <v>-1</v>
      </c>
      <c r="C82" t="s">
        <v>10338</v>
      </c>
      <c r="D82" s="5">
        <v>0</v>
      </c>
    </row>
    <row r="83" spans="1:4" x14ac:dyDescent="0.25">
      <c r="A83" t="s">
        <v>3878</v>
      </c>
      <c r="B83">
        <v>-1</v>
      </c>
      <c r="C83" t="s">
        <v>10343</v>
      </c>
      <c r="D83" s="5">
        <v>181.74</v>
      </c>
    </row>
    <row r="84" spans="1:4" x14ac:dyDescent="0.25">
      <c r="A84" t="s">
        <v>208</v>
      </c>
      <c r="B84">
        <v>-1</v>
      </c>
      <c r="C84" t="s">
        <v>10336</v>
      </c>
      <c r="D84" s="5">
        <v>-621.91999999999996</v>
      </c>
    </row>
    <row r="85" spans="1:4" x14ac:dyDescent="0.25">
      <c r="A85" t="s">
        <v>6940</v>
      </c>
      <c r="B85">
        <v>-1</v>
      </c>
      <c r="C85" t="s">
        <v>10338</v>
      </c>
      <c r="D85" s="5">
        <v>0</v>
      </c>
    </row>
    <row r="86" spans="1:4" x14ac:dyDescent="0.25">
      <c r="A86" t="s">
        <v>6804</v>
      </c>
      <c r="B86">
        <v>-1</v>
      </c>
      <c r="C86" t="s">
        <v>10341</v>
      </c>
    </row>
    <row r="87" spans="1:4" x14ac:dyDescent="0.25">
      <c r="A87" t="s">
        <v>8627</v>
      </c>
      <c r="B87">
        <v>-1</v>
      </c>
      <c r="C87" t="s">
        <v>10335</v>
      </c>
      <c r="D87" s="5">
        <v>295.06</v>
      </c>
    </row>
    <row r="88" spans="1:4" x14ac:dyDescent="0.25">
      <c r="A88" t="s">
        <v>9135</v>
      </c>
      <c r="B88">
        <v>-1</v>
      </c>
      <c r="C88" t="s">
        <v>10333</v>
      </c>
      <c r="D88" s="5">
        <v>-19772.310000000001</v>
      </c>
    </row>
    <row r="89" spans="1:4" x14ac:dyDescent="0.25">
      <c r="A89" t="s">
        <v>431</v>
      </c>
      <c r="B89">
        <v>-1</v>
      </c>
      <c r="C89" t="s">
        <v>10336</v>
      </c>
      <c r="D89" s="5">
        <v>4178.7299999999996</v>
      </c>
    </row>
    <row r="90" spans="1:4" x14ac:dyDescent="0.25">
      <c r="A90" t="s">
        <v>5813</v>
      </c>
      <c r="B90">
        <v>-1</v>
      </c>
      <c r="C90" t="s">
        <v>10334</v>
      </c>
      <c r="D90" s="5">
        <v>-14420.17</v>
      </c>
    </row>
    <row r="91" spans="1:4" x14ac:dyDescent="0.25">
      <c r="A91" t="s">
        <v>1736</v>
      </c>
      <c r="B91">
        <v>-1</v>
      </c>
      <c r="C91" t="s">
        <v>10338</v>
      </c>
      <c r="D91" s="5">
        <v>1469.8</v>
      </c>
    </row>
    <row r="92" spans="1:4" x14ac:dyDescent="0.25">
      <c r="A92" t="s">
        <v>4784</v>
      </c>
      <c r="B92">
        <v>-1</v>
      </c>
      <c r="C92" t="s">
        <v>10338</v>
      </c>
    </row>
    <row r="93" spans="1:4" x14ac:dyDescent="0.25">
      <c r="A93" t="s">
        <v>9448</v>
      </c>
      <c r="B93">
        <v>-1</v>
      </c>
      <c r="C93" t="s">
        <v>10338</v>
      </c>
      <c r="D93" s="5">
        <v>1327.68</v>
      </c>
    </row>
    <row r="94" spans="1:4" x14ac:dyDescent="0.25">
      <c r="A94" t="s">
        <v>1419</v>
      </c>
      <c r="B94">
        <v>-1</v>
      </c>
      <c r="C94" t="s">
        <v>10338</v>
      </c>
      <c r="D94" s="5">
        <v>-33.799999999999997</v>
      </c>
    </row>
    <row r="95" spans="1:4" x14ac:dyDescent="0.25">
      <c r="A95" t="s">
        <v>7011</v>
      </c>
      <c r="B95">
        <v>-1</v>
      </c>
      <c r="C95" t="s">
        <v>10333</v>
      </c>
      <c r="D95" s="5">
        <v>-25418.639999999999</v>
      </c>
    </row>
    <row r="96" spans="1:4" x14ac:dyDescent="0.25">
      <c r="A96" t="s">
        <v>479</v>
      </c>
      <c r="B96">
        <v>-1</v>
      </c>
      <c r="C96" t="s">
        <v>10333</v>
      </c>
      <c r="D96" s="5">
        <v>-11388.39</v>
      </c>
    </row>
    <row r="97" spans="1:4" x14ac:dyDescent="0.25">
      <c r="A97" t="s">
        <v>1157</v>
      </c>
      <c r="B97">
        <v>-1</v>
      </c>
      <c r="C97" t="s">
        <v>10333</v>
      </c>
      <c r="D97" s="5">
        <v>-1997.31</v>
      </c>
    </row>
    <row r="98" spans="1:4" x14ac:dyDescent="0.25">
      <c r="A98" t="s">
        <v>7793</v>
      </c>
      <c r="B98">
        <v>-1</v>
      </c>
      <c r="C98" t="s">
        <v>10336</v>
      </c>
      <c r="D98" s="5">
        <v>-30</v>
      </c>
    </row>
    <row r="99" spans="1:4" x14ac:dyDescent="0.25">
      <c r="A99" t="s">
        <v>8233</v>
      </c>
      <c r="B99">
        <v>-1</v>
      </c>
      <c r="C99" t="s">
        <v>10337</v>
      </c>
      <c r="D99" s="5">
        <v>122.63</v>
      </c>
    </row>
    <row r="100" spans="1:4" x14ac:dyDescent="0.25">
      <c r="A100" t="s">
        <v>6308</v>
      </c>
      <c r="B100">
        <v>-1</v>
      </c>
      <c r="C100" t="s">
        <v>10335</v>
      </c>
      <c r="D100" s="5">
        <v>-102.11</v>
      </c>
    </row>
    <row r="101" spans="1:4" x14ac:dyDescent="0.25">
      <c r="A101" t="s">
        <v>8582</v>
      </c>
      <c r="B101">
        <v>-1</v>
      </c>
      <c r="C101" t="s">
        <v>10338</v>
      </c>
      <c r="D101" s="5">
        <v>785.97</v>
      </c>
    </row>
    <row r="102" spans="1:4" x14ac:dyDescent="0.25">
      <c r="A102" t="s">
        <v>510</v>
      </c>
      <c r="B102">
        <v>-1</v>
      </c>
      <c r="C102" t="s">
        <v>10340</v>
      </c>
      <c r="D102" s="5">
        <v>76.010000000000005</v>
      </c>
    </row>
    <row r="103" spans="1:4" x14ac:dyDescent="0.25">
      <c r="A103" t="s">
        <v>6408</v>
      </c>
      <c r="B103">
        <v>-1</v>
      </c>
      <c r="C103" t="s">
        <v>10338</v>
      </c>
      <c r="D103" s="5">
        <v>1697.85</v>
      </c>
    </row>
    <row r="104" spans="1:4" x14ac:dyDescent="0.25">
      <c r="A104" t="s">
        <v>5477</v>
      </c>
      <c r="B104">
        <v>-1</v>
      </c>
      <c r="C104" t="s">
        <v>10338</v>
      </c>
      <c r="D104" s="5">
        <v>265.26</v>
      </c>
    </row>
    <row r="105" spans="1:4" x14ac:dyDescent="0.25">
      <c r="A105" t="s">
        <v>8448</v>
      </c>
      <c r="B105">
        <v>-1</v>
      </c>
      <c r="C105" t="s">
        <v>10336</v>
      </c>
      <c r="D105" s="5">
        <v>-30703.95</v>
      </c>
    </row>
    <row r="106" spans="1:4" x14ac:dyDescent="0.25">
      <c r="A106" t="s">
        <v>6124</v>
      </c>
      <c r="B106">
        <v>-1</v>
      </c>
      <c r="C106" t="s">
        <v>10333</v>
      </c>
      <c r="D106" s="5">
        <v>-91537.26</v>
      </c>
    </row>
    <row r="107" spans="1:4" x14ac:dyDescent="0.25">
      <c r="A107" t="s">
        <v>1537</v>
      </c>
      <c r="B107">
        <v>-1</v>
      </c>
      <c r="C107" t="s">
        <v>10333</v>
      </c>
      <c r="D107" s="5">
        <v>-34383.379999999997</v>
      </c>
    </row>
    <row r="108" spans="1:4" x14ac:dyDescent="0.25">
      <c r="A108" t="s">
        <v>10191</v>
      </c>
      <c r="B108">
        <v>-1</v>
      </c>
      <c r="C108" t="s">
        <v>10342</v>
      </c>
      <c r="D108" s="5">
        <v>-4237.72</v>
      </c>
    </row>
    <row r="109" spans="1:4" x14ac:dyDescent="0.25">
      <c r="A109" t="s">
        <v>965</v>
      </c>
      <c r="B109">
        <v>-1</v>
      </c>
      <c r="C109" t="s">
        <v>10338</v>
      </c>
      <c r="D109" s="5">
        <v>0</v>
      </c>
    </row>
    <row r="110" spans="1:4" x14ac:dyDescent="0.25">
      <c r="A110" t="s">
        <v>5711</v>
      </c>
      <c r="B110">
        <v>-1</v>
      </c>
      <c r="C110" t="s">
        <v>10344</v>
      </c>
      <c r="D110" s="5">
        <v>0</v>
      </c>
    </row>
    <row r="111" spans="1:4" x14ac:dyDescent="0.25">
      <c r="A111" t="s">
        <v>5708</v>
      </c>
      <c r="B111">
        <v>-1</v>
      </c>
      <c r="C111" t="s">
        <v>10338</v>
      </c>
      <c r="D111" s="5">
        <v>0</v>
      </c>
    </row>
    <row r="112" spans="1:4" x14ac:dyDescent="0.25">
      <c r="A112" t="s">
        <v>5819</v>
      </c>
      <c r="B112">
        <v>-1</v>
      </c>
      <c r="C112" t="s">
        <v>10339</v>
      </c>
      <c r="D112" s="5">
        <v>-3.84</v>
      </c>
    </row>
    <row r="113" spans="1:4" x14ac:dyDescent="0.25">
      <c r="A113" t="s">
        <v>5035</v>
      </c>
      <c r="B113">
        <v>-1</v>
      </c>
      <c r="C113" t="s">
        <v>10338</v>
      </c>
      <c r="D113" s="5">
        <v>-6874.38</v>
      </c>
    </row>
    <row r="114" spans="1:4" x14ac:dyDescent="0.25">
      <c r="A114" t="s">
        <v>553</v>
      </c>
      <c r="B114">
        <v>-1</v>
      </c>
      <c r="C114" t="s">
        <v>10337</v>
      </c>
      <c r="D114" s="5">
        <v>4134.74</v>
      </c>
    </row>
    <row r="115" spans="1:4" x14ac:dyDescent="0.25">
      <c r="A115" t="s">
        <v>7480</v>
      </c>
      <c r="B115">
        <v>-1</v>
      </c>
      <c r="C115" t="s">
        <v>10336</v>
      </c>
      <c r="D115" s="5">
        <v>-1053.99</v>
      </c>
    </row>
    <row r="116" spans="1:4" x14ac:dyDescent="0.25">
      <c r="A116" t="s">
        <v>5724</v>
      </c>
      <c r="B116">
        <v>-1</v>
      </c>
      <c r="C116" t="s">
        <v>10336</v>
      </c>
      <c r="D116" s="5">
        <v>-3570.59</v>
      </c>
    </row>
    <row r="117" spans="1:4" x14ac:dyDescent="0.25">
      <c r="A117" t="s">
        <v>7830</v>
      </c>
      <c r="B117">
        <v>-1</v>
      </c>
      <c r="C117" t="s">
        <v>10339</v>
      </c>
      <c r="D117" s="5">
        <v>910.7</v>
      </c>
    </row>
    <row r="118" spans="1:4" x14ac:dyDescent="0.25">
      <c r="A118" t="s">
        <v>7909</v>
      </c>
      <c r="B118">
        <v>-1</v>
      </c>
      <c r="C118" t="s">
        <v>10338</v>
      </c>
      <c r="D118" s="5">
        <v>2429.1799999999998</v>
      </c>
    </row>
    <row r="119" spans="1:4" x14ac:dyDescent="0.25">
      <c r="A119" t="s">
        <v>5771</v>
      </c>
      <c r="B119">
        <v>-1</v>
      </c>
      <c r="C119" t="s">
        <v>10344</v>
      </c>
      <c r="D119" s="5">
        <v>-3765.73</v>
      </c>
    </row>
    <row r="120" spans="1:4" x14ac:dyDescent="0.25">
      <c r="A120" t="s">
        <v>8573</v>
      </c>
      <c r="B120">
        <v>-1</v>
      </c>
      <c r="C120" t="s">
        <v>10337</v>
      </c>
      <c r="D120" s="5">
        <v>-219.29</v>
      </c>
    </row>
    <row r="121" spans="1:4" x14ac:dyDescent="0.25">
      <c r="A121" t="s">
        <v>8624</v>
      </c>
      <c r="B121">
        <v>-1</v>
      </c>
      <c r="C121" t="s">
        <v>10335</v>
      </c>
      <c r="D121" s="5">
        <v>-575.32000000000005</v>
      </c>
    </row>
    <row r="122" spans="1:4" x14ac:dyDescent="0.25">
      <c r="A122" t="s">
        <v>8704</v>
      </c>
      <c r="B122">
        <v>-1</v>
      </c>
      <c r="C122" t="s">
        <v>10338</v>
      </c>
    </row>
    <row r="123" spans="1:4" x14ac:dyDescent="0.25">
      <c r="A123" t="s">
        <v>8002</v>
      </c>
      <c r="B123">
        <v>-1</v>
      </c>
      <c r="C123" t="s">
        <v>10333</v>
      </c>
      <c r="D123" s="5">
        <v>94.6</v>
      </c>
    </row>
    <row r="124" spans="1:4" x14ac:dyDescent="0.25">
      <c r="A124" t="s">
        <v>6971</v>
      </c>
      <c r="B124">
        <v>-1</v>
      </c>
      <c r="C124" t="s">
        <v>10333</v>
      </c>
      <c r="D124" s="5">
        <v>-6874.98</v>
      </c>
    </row>
    <row r="125" spans="1:4" x14ac:dyDescent="0.25">
      <c r="A125" t="s">
        <v>4941</v>
      </c>
      <c r="B125">
        <v>-1</v>
      </c>
      <c r="C125" t="s">
        <v>10335</v>
      </c>
      <c r="D125" s="5">
        <v>-1289.33</v>
      </c>
    </row>
    <row r="126" spans="1:4" x14ac:dyDescent="0.25">
      <c r="A126" t="s">
        <v>5695</v>
      </c>
      <c r="B126">
        <v>-1</v>
      </c>
      <c r="C126" t="s">
        <v>10337</v>
      </c>
    </row>
    <row r="127" spans="1:4" x14ac:dyDescent="0.25">
      <c r="A127" t="s">
        <v>5472</v>
      </c>
      <c r="B127">
        <v>-1</v>
      </c>
      <c r="C127" t="s">
        <v>10338</v>
      </c>
      <c r="D127" s="5">
        <v>280.05</v>
      </c>
    </row>
    <row r="128" spans="1:4" x14ac:dyDescent="0.25">
      <c r="A128" t="s">
        <v>6681</v>
      </c>
      <c r="B128">
        <v>-1</v>
      </c>
      <c r="C128" t="s">
        <v>10336</v>
      </c>
      <c r="D128" s="5">
        <v>0</v>
      </c>
    </row>
    <row r="129" spans="1:4" x14ac:dyDescent="0.25">
      <c r="A129" t="s">
        <v>4120</v>
      </c>
      <c r="B129">
        <v>-1</v>
      </c>
      <c r="C129" t="s">
        <v>10333</v>
      </c>
      <c r="D129" s="5">
        <v>-11279.47</v>
      </c>
    </row>
    <row r="130" spans="1:4" x14ac:dyDescent="0.25">
      <c r="A130" t="s">
        <v>9424</v>
      </c>
      <c r="B130">
        <v>-1</v>
      </c>
      <c r="C130" t="s">
        <v>10339</v>
      </c>
      <c r="D130" s="5">
        <v>746.84</v>
      </c>
    </row>
    <row r="131" spans="1:4" x14ac:dyDescent="0.25">
      <c r="A131" t="s">
        <v>6225</v>
      </c>
      <c r="B131">
        <v>-1</v>
      </c>
      <c r="C131" t="s">
        <v>10335</v>
      </c>
      <c r="D131" s="5">
        <v>0</v>
      </c>
    </row>
    <row r="132" spans="1:4" x14ac:dyDescent="0.25">
      <c r="A132" t="s">
        <v>3942</v>
      </c>
      <c r="B132">
        <v>-1</v>
      </c>
      <c r="C132" t="s">
        <v>10336</v>
      </c>
      <c r="D132" s="5">
        <v>-3800.33</v>
      </c>
    </row>
    <row r="133" spans="1:4" x14ac:dyDescent="0.25">
      <c r="A133" t="s">
        <v>3649</v>
      </c>
      <c r="B133">
        <v>-1</v>
      </c>
      <c r="C133" t="s">
        <v>10336</v>
      </c>
      <c r="D133" s="5">
        <v>0</v>
      </c>
    </row>
    <row r="134" spans="1:4" x14ac:dyDescent="0.25">
      <c r="A134" t="s">
        <v>5769</v>
      </c>
      <c r="B134">
        <v>-1</v>
      </c>
      <c r="C134" t="s">
        <v>10333</v>
      </c>
      <c r="D134" s="5">
        <v>-27779.5</v>
      </c>
    </row>
    <row r="135" spans="1:4" x14ac:dyDescent="0.25">
      <c r="A135" t="s">
        <v>5751</v>
      </c>
      <c r="B135">
        <v>-1</v>
      </c>
      <c r="C135" t="s">
        <v>10333</v>
      </c>
      <c r="D135" s="5">
        <v>-10806.04</v>
      </c>
    </row>
    <row r="136" spans="1:4" x14ac:dyDescent="0.25">
      <c r="A136" t="s">
        <v>7939</v>
      </c>
      <c r="B136">
        <v>-1</v>
      </c>
      <c r="C136" t="s">
        <v>10335</v>
      </c>
      <c r="D136" s="5">
        <v>-2318.9</v>
      </c>
    </row>
    <row r="137" spans="1:4" x14ac:dyDescent="0.25">
      <c r="A137" t="s">
        <v>7527</v>
      </c>
      <c r="B137">
        <v>-1</v>
      </c>
      <c r="C137" t="s">
        <v>10339</v>
      </c>
      <c r="D137" s="5">
        <v>49.5</v>
      </c>
    </row>
    <row r="138" spans="1:4" x14ac:dyDescent="0.25">
      <c r="A138" t="s">
        <v>6260</v>
      </c>
      <c r="B138">
        <v>-1</v>
      </c>
      <c r="C138" t="s">
        <v>10341</v>
      </c>
      <c r="D138" s="5">
        <v>2771.38</v>
      </c>
    </row>
    <row r="139" spans="1:4" x14ac:dyDescent="0.25">
      <c r="A139" t="s">
        <v>350</v>
      </c>
      <c r="B139">
        <v>-1</v>
      </c>
      <c r="C139" t="s">
        <v>10333</v>
      </c>
      <c r="D139" s="5">
        <v>-4486.3500000000004</v>
      </c>
    </row>
    <row r="140" spans="1:4" x14ac:dyDescent="0.25">
      <c r="A140" t="s">
        <v>4357</v>
      </c>
      <c r="B140">
        <v>-1</v>
      </c>
      <c r="C140" t="s">
        <v>10333</v>
      </c>
      <c r="D140" s="5">
        <v>-2635.92</v>
      </c>
    </row>
    <row r="141" spans="1:4" x14ac:dyDescent="0.25">
      <c r="A141" t="s">
        <v>2464</v>
      </c>
      <c r="B141">
        <v>-1</v>
      </c>
      <c r="C141" t="s">
        <v>10340</v>
      </c>
      <c r="D141" s="5">
        <v>2550.61</v>
      </c>
    </row>
    <row r="142" spans="1:4" x14ac:dyDescent="0.25">
      <c r="A142" t="s">
        <v>8940</v>
      </c>
      <c r="B142">
        <v>-1</v>
      </c>
      <c r="C142" t="s">
        <v>10344</v>
      </c>
      <c r="D142" s="5">
        <v>89.67</v>
      </c>
    </row>
    <row r="143" spans="1:4" x14ac:dyDescent="0.25">
      <c r="A143" t="s">
        <v>6645</v>
      </c>
      <c r="B143">
        <v>-1</v>
      </c>
      <c r="C143" t="s">
        <v>10338</v>
      </c>
      <c r="D143" s="5">
        <v>2752.52</v>
      </c>
    </row>
    <row r="144" spans="1:4" x14ac:dyDescent="0.25">
      <c r="A144" t="s">
        <v>5541</v>
      </c>
      <c r="B144">
        <v>-1</v>
      </c>
      <c r="C144" t="s">
        <v>10333</v>
      </c>
      <c r="D144" s="5">
        <v>-84375.47</v>
      </c>
    </row>
    <row r="145" spans="1:4" x14ac:dyDescent="0.25">
      <c r="A145" t="s">
        <v>8764</v>
      </c>
      <c r="B145">
        <v>-1</v>
      </c>
      <c r="C145" t="s">
        <v>10333</v>
      </c>
      <c r="D145" s="5">
        <v>-48718.27</v>
      </c>
    </row>
    <row r="146" spans="1:4" x14ac:dyDescent="0.25">
      <c r="A146" t="s">
        <v>8787</v>
      </c>
      <c r="B146">
        <v>-1</v>
      </c>
      <c r="C146" t="s">
        <v>10333</v>
      </c>
      <c r="D146" s="5">
        <v>-154482.28</v>
      </c>
    </row>
    <row r="147" spans="1:4" x14ac:dyDescent="0.25">
      <c r="A147" t="s">
        <v>8171</v>
      </c>
      <c r="B147">
        <v>-1</v>
      </c>
      <c r="C147" t="s">
        <v>10336</v>
      </c>
      <c r="D147" s="5">
        <v>0</v>
      </c>
    </row>
    <row r="148" spans="1:4" x14ac:dyDescent="0.25">
      <c r="A148" t="s">
        <v>1411</v>
      </c>
      <c r="B148">
        <v>-1</v>
      </c>
      <c r="C148" t="s">
        <v>10333</v>
      </c>
      <c r="D148" s="5">
        <v>-47890.03</v>
      </c>
    </row>
    <row r="149" spans="1:4" x14ac:dyDescent="0.25">
      <c r="A149" t="s">
        <v>4191</v>
      </c>
      <c r="B149">
        <v>-1</v>
      </c>
      <c r="C149" t="s">
        <v>10333</v>
      </c>
      <c r="D149" s="5">
        <v>-29816.799999999999</v>
      </c>
    </row>
    <row r="150" spans="1:4" x14ac:dyDescent="0.25">
      <c r="A150" t="s">
        <v>4229</v>
      </c>
      <c r="B150">
        <v>-1</v>
      </c>
      <c r="C150" t="s">
        <v>10333</v>
      </c>
      <c r="D150" s="5">
        <v>-43945.89</v>
      </c>
    </row>
    <row r="151" spans="1:4" x14ac:dyDescent="0.25">
      <c r="A151" t="s">
        <v>4154</v>
      </c>
      <c r="B151">
        <v>-1</v>
      </c>
      <c r="C151" t="s">
        <v>10333</v>
      </c>
      <c r="D151" s="5">
        <v>-203427.34</v>
      </c>
    </row>
    <row r="152" spans="1:4" x14ac:dyDescent="0.25">
      <c r="A152" t="s">
        <v>3990</v>
      </c>
      <c r="B152">
        <v>-1</v>
      </c>
      <c r="C152" t="s">
        <v>10333</v>
      </c>
      <c r="D152" s="5">
        <v>-46566.54</v>
      </c>
    </row>
    <row r="153" spans="1:4" x14ac:dyDescent="0.25">
      <c r="A153" t="s">
        <v>3995</v>
      </c>
      <c r="B153">
        <v>-1</v>
      </c>
      <c r="C153" t="s">
        <v>10333</v>
      </c>
      <c r="D153" s="5">
        <v>-42022.559999999998</v>
      </c>
    </row>
    <row r="154" spans="1:4" x14ac:dyDescent="0.25">
      <c r="A154" t="s">
        <v>4030</v>
      </c>
      <c r="B154">
        <v>-1</v>
      </c>
      <c r="C154" t="s">
        <v>10333</v>
      </c>
      <c r="D154" s="5">
        <v>-121756.04</v>
      </c>
    </row>
    <row r="155" spans="1:4" x14ac:dyDescent="0.25">
      <c r="A155" t="s">
        <v>4003</v>
      </c>
      <c r="B155">
        <v>-1</v>
      </c>
      <c r="C155" t="s">
        <v>10333</v>
      </c>
      <c r="D155" s="5">
        <v>-67757.02</v>
      </c>
    </row>
    <row r="156" spans="1:4" x14ac:dyDescent="0.25">
      <c r="A156" t="s">
        <v>3790</v>
      </c>
      <c r="B156">
        <v>-1</v>
      </c>
      <c r="C156" t="s">
        <v>10333</v>
      </c>
      <c r="D156" s="5">
        <v>-366396.91</v>
      </c>
    </row>
    <row r="157" spans="1:4" x14ac:dyDescent="0.25">
      <c r="A157" t="s">
        <v>6348</v>
      </c>
      <c r="B157">
        <v>-1</v>
      </c>
      <c r="C157" t="s">
        <v>10336</v>
      </c>
      <c r="D157" s="5">
        <v>-2054.88</v>
      </c>
    </row>
    <row r="158" spans="1:4" x14ac:dyDescent="0.25">
      <c r="A158" t="s">
        <v>3365</v>
      </c>
      <c r="B158">
        <v>-1</v>
      </c>
      <c r="C158" t="s">
        <v>10338</v>
      </c>
      <c r="D158" s="5">
        <v>-169.06</v>
      </c>
    </row>
    <row r="159" spans="1:4" x14ac:dyDescent="0.25">
      <c r="A159" t="s">
        <v>7017</v>
      </c>
      <c r="B159">
        <v>-1</v>
      </c>
      <c r="C159" t="s">
        <v>10336</v>
      </c>
      <c r="D159" s="5">
        <v>1851.23</v>
      </c>
    </row>
    <row r="160" spans="1:4" x14ac:dyDescent="0.25">
      <c r="A160" t="s">
        <v>5701</v>
      </c>
      <c r="B160">
        <v>-1</v>
      </c>
      <c r="C160" t="s">
        <v>10338</v>
      </c>
      <c r="D160" s="5">
        <v>3626.96</v>
      </c>
    </row>
    <row r="161" spans="1:4" x14ac:dyDescent="0.25">
      <c r="A161" t="s">
        <v>4567</v>
      </c>
      <c r="B161">
        <v>-1</v>
      </c>
      <c r="C161" t="s">
        <v>10338</v>
      </c>
      <c r="D161" s="5">
        <v>274.24</v>
      </c>
    </row>
    <row r="162" spans="1:4" x14ac:dyDescent="0.25">
      <c r="A162" t="s">
        <v>6522</v>
      </c>
      <c r="B162">
        <v>-1</v>
      </c>
      <c r="C162" t="s">
        <v>10337</v>
      </c>
      <c r="D162" s="5">
        <v>2256.88</v>
      </c>
    </row>
    <row r="163" spans="1:4" x14ac:dyDescent="0.25">
      <c r="A163" t="s">
        <v>4199</v>
      </c>
      <c r="B163">
        <v>-1</v>
      </c>
      <c r="C163" t="s">
        <v>10336</v>
      </c>
      <c r="D163" s="5">
        <v>-9103.48</v>
      </c>
    </row>
    <row r="164" spans="1:4" x14ac:dyDescent="0.25">
      <c r="A164" t="s">
        <v>7169</v>
      </c>
      <c r="B164">
        <v>-1</v>
      </c>
      <c r="C164" t="s">
        <v>10333</v>
      </c>
      <c r="D164" s="5">
        <v>-21561.54</v>
      </c>
    </row>
    <row r="165" spans="1:4" x14ac:dyDescent="0.25">
      <c r="A165" t="s">
        <v>3290</v>
      </c>
      <c r="B165">
        <v>-1</v>
      </c>
      <c r="C165" t="s">
        <v>10344</v>
      </c>
      <c r="D165" s="5">
        <v>24.67</v>
      </c>
    </row>
    <row r="166" spans="1:4" x14ac:dyDescent="0.25">
      <c r="A166" t="s">
        <v>3855</v>
      </c>
      <c r="B166">
        <v>-1</v>
      </c>
      <c r="C166" t="s">
        <v>10338</v>
      </c>
      <c r="D166" s="5">
        <v>0</v>
      </c>
    </row>
    <row r="167" spans="1:4" x14ac:dyDescent="0.25">
      <c r="A167" t="s">
        <v>6809</v>
      </c>
      <c r="B167">
        <v>-1</v>
      </c>
      <c r="C167" t="s">
        <v>10337</v>
      </c>
      <c r="D167" s="5">
        <v>0</v>
      </c>
    </row>
    <row r="168" spans="1:4" x14ac:dyDescent="0.25">
      <c r="A168" t="s">
        <v>9682</v>
      </c>
      <c r="B168">
        <v>-1</v>
      </c>
      <c r="C168" t="s">
        <v>10336</v>
      </c>
      <c r="D168" s="5">
        <v>60.91</v>
      </c>
    </row>
    <row r="169" spans="1:4" x14ac:dyDescent="0.25">
      <c r="A169" t="s">
        <v>9525</v>
      </c>
      <c r="B169">
        <v>-1</v>
      </c>
      <c r="C169" t="s">
        <v>10337</v>
      </c>
      <c r="D169" s="5">
        <v>-205.96</v>
      </c>
    </row>
    <row r="170" spans="1:4" x14ac:dyDescent="0.25">
      <c r="A170" t="s">
        <v>2901</v>
      </c>
      <c r="B170">
        <v>-1</v>
      </c>
      <c r="C170" t="s">
        <v>10340</v>
      </c>
      <c r="D170" s="5">
        <v>-1125.98</v>
      </c>
    </row>
    <row r="171" spans="1:4" x14ac:dyDescent="0.25">
      <c r="A171" t="s">
        <v>2133</v>
      </c>
      <c r="B171">
        <v>-1</v>
      </c>
      <c r="C171" t="s">
        <v>10336</v>
      </c>
      <c r="D171" s="5">
        <v>-561.87</v>
      </c>
    </row>
    <row r="172" spans="1:4" x14ac:dyDescent="0.25">
      <c r="A172" t="s">
        <v>5136</v>
      </c>
      <c r="B172">
        <v>-1</v>
      </c>
      <c r="C172" t="s">
        <v>10333</v>
      </c>
      <c r="D172" s="5">
        <v>-12037.65</v>
      </c>
    </row>
    <row r="173" spans="1:4" x14ac:dyDescent="0.25">
      <c r="A173" t="s">
        <v>285</v>
      </c>
      <c r="B173">
        <v>-1</v>
      </c>
      <c r="C173" t="s">
        <v>10333</v>
      </c>
      <c r="D173" s="5">
        <v>-4616.58</v>
      </c>
    </row>
    <row r="174" spans="1:4" x14ac:dyDescent="0.25">
      <c r="A174" t="s">
        <v>490</v>
      </c>
      <c r="B174">
        <v>-1</v>
      </c>
      <c r="C174" t="s">
        <v>10344</v>
      </c>
      <c r="D174" s="5">
        <v>371.86</v>
      </c>
    </row>
    <row r="175" spans="1:4" x14ac:dyDescent="0.25">
      <c r="A175" t="s">
        <v>10050</v>
      </c>
      <c r="B175">
        <v>-1</v>
      </c>
      <c r="C175" t="s">
        <v>10341</v>
      </c>
    </row>
    <row r="176" spans="1:4" x14ac:dyDescent="0.25">
      <c r="A176" t="s">
        <v>6248</v>
      </c>
      <c r="B176">
        <v>-1</v>
      </c>
      <c r="C176" t="s">
        <v>10337</v>
      </c>
      <c r="D176" s="5">
        <v>726.56</v>
      </c>
    </row>
    <row r="177" spans="1:4" x14ac:dyDescent="0.25">
      <c r="A177" t="s">
        <v>5753</v>
      </c>
      <c r="B177">
        <v>-1</v>
      </c>
      <c r="C177" t="s">
        <v>10333</v>
      </c>
      <c r="D177" s="5">
        <v>-70136.73</v>
      </c>
    </row>
    <row r="178" spans="1:4" x14ac:dyDescent="0.25">
      <c r="A178" t="s">
        <v>2153</v>
      </c>
      <c r="B178">
        <v>-1</v>
      </c>
      <c r="C178" t="s">
        <v>10333</v>
      </c>
      <c r="D178" s="5">
        <v>-40768.15</v>
      </c>
    </row>
    <row r="179" spans="1:4" x14ac:dyDescent="0.25">
      <c r="A179" t="s">
        <v>7986</v>
      </c>
      <c r="B179">
        <v>-1</v>
      </c>
      <c r="C179" t="s">
        <v>10338</v>
      </c>
      <c r="D179" s="5">
        <v>4227.42</v>
      </c>
    </row>
    <row r="180" spans="1:4" x14ac:dyDescent="0.25">
      <c r="A180" t="s">
        <v>7147</v>
      </c>
      <c r="B180">
        <v>-1</v>
      </c>
      <c r="C180" t="s">
        <v>10333</v>
      </c>
      <c r="D180" s="5">
        <v>113.18</v>
      </c>
    </row>
    <row r="181" spans="1:4" x14ac:dyDescent="0.25">
      <c r="A181" t="s">
        <v>9858</v>
      </c>
      <c r="B181">
        <v>-1</v>
      </c>
      <c r="C181" t="s">
        <v>10336</v>
      </c>
      <c r="D181" s="5">
        <v>67.83</v>
      </c>
    </row>
    <row r="182" spans="1:4" x14ac:dyDescent="0.25">
      <c r="A182" t="s">
        <v>8251</v>
      </c>
      <c r="B182">
        <v>-1</v>
      </c>
      <c r="C182" t="s">
        <v>10338</v>
      </c>
      <c r="D182" s="5">
        <v>485.16</v>
      </c>
    </row>
    <row r="183" spans="1:4" x14ac:dyDescent="0.25">
      <c r="A183" t="s">
        <v>7380</v>
      </c>
      <c r="B183">
        <v>-1</v>
      </c>
      <c r="C183" t="s">
        <v>10333</v>
      </c>
      <c r="D183" s="5">
        <v>-2083.66</v>
      </c>
    </row>
    <row r="184" spans="1:4" x14ac:dyDescent="0.25">
      <c r="A184" t="s">
        <v>7173</v>
      </c>
      <c r="B184">
        <v>-1</v>
      </c>
      <c r="C184" t="s">
        <v>10338</v>
      </c>
      <c r="D184" s="5">
        <v>0</v>
      </c>
    </row>
    <row r="185" spans="1:4" x14ac:dyDescent="0.25">
      <c r="A185" t="s">
        <v>3798</v>
      </c>
      <c r="B185">
        <v>-1</v>
      </c>
      <c r="C185" t="s">
        <v>10338</v>
      </c>
      <c r="D185" s="5">
        <v>442.84</v>
      </c>
    </row>
    <row r="186" spans="1:4" x14ac:dyDescent="0.25">
      <c r="A186" t="s">
        <v>8920</v>
      </c>
      <c r="B186">
        <v>-1</v>
      </c>
      <c r="C186" t="s">
        <v>10338</v>
      </c>
      <c r="D186" s="5">
        <v>-1272.96</v>
      </c>
    </row>
    <row r="187" spans="1:4" x14ac:dyDescent="0.25">
      <c r="A187" t="s">
        <v>836</v>
      </c>
      <c r="B187">
        <v>-1</v>
      </c>
      <c r="C187" t="s">
        <v>10338</v>
      </c>
      <c r="D187" s="5">
        <v>-24.69</v>
      </c>
    </row>
    <row r="188" spans="1:4" x14ac:dyDescent="0.25">
      <c r="A188" t="s">
        <v>4151</v>
      </c>
      <c r="B188">
        <v>-1</v>
      </c>
      <c r="C188" t="s">
        <v>10333</v>
      </c>
      <c r="D188" s="5">
        <v>615.53</v>
      </c>
    </row>
    <row r="189" spans="1:4" x14ac:dyDescent="0.25">
      <c r="A189" t="s">
        <v>7997</v>
      </c>
      <c r="B189">
        <v>-1</v>
      </c>
      <c r="C189" t="s">
        <v>10335</v>
      </c>
      <c r="D189" s="5">
        <v>-7869.54</v>
      </c>
    </row>
    <row r="190" spans="1:4" x14ac:dyDescent="0.25">
      <c r="A190" t="s">
        <v>7814</v>
      </c>
      <c r="B190">
        <v>-1</v>
      </c>
      <c r="C190" t="s">
        <v>10334</v>
      </c>
      <c r="D190" s="5">
        <v>-139.01</v>
      </c>
    </row>
    <row r="191" spans="1:4" x14ac:dyDescent="0.25">
      <c r="A191" t="s">
        <v>2375</v>
      </c>
      <c r="B191">
        <v>-1</v>
      </c>
      <c r="C191" t="s">
        <v>10344</v>
      </c>
      <c r="D191" s="5">
        <v>327.66000000000003</v>
      </c>
    </row>
    <row r="192" spans="1:4" x14ac:dyDescent="0.25">
      <c r="A192" t="s">
        <v>4775</v>
      </c>
      <c r="B192">
        <v>-1</v>
      </c>
      <c r="C192" t="s">
        <v>10344</v>
      </c>
      <c r="D192" s="5">
        <v>0</v>
      </c>
    </row>
    <row r="193" spans="1:4" x14ac:dyDescent="0.25">
      <c r="A193" t="s">
        <v>3805</v>
      </c>
      <c r="B193">
        <v>-1</v>
      </c>
      <c r="C193" t="s">
        <v>10339</v>
      </c>
      <c r="D193" s="5">
        <v>126.13</v>
      </c>
    </row>
    <row r="194" spans="1:4" x14ac:dyDescent="0.25">
      <c r="A194" t="s">
        <v>3775</v>
      </c>
      <c r="B194">
        <v>-1</v>
      </c>
      <c r="C194" t="s">
        <v>10338</v>
      </c>
      <c r="D194" s="5">
        <v>86.93</v>
      </c>
    </row>
    <row r="195" spans="1:4" x14ac:dyDescent="0.25">
      <c r="A195" t="s">
        <v>3782</v>
      </c>
      <c r="B195">
        <v>-1</v>
      </c>
      <c r="C195" t="s">
        <v>10338</v>
      </c>
    </row>
    <row r="196" spans="1:4" x14ac:dyDescent="0.25">
      <c r="A196" t="s">
        <v>3808</v>
      </c>
      <c r="B196">
        <v>-1</v>
      </c>
      <c r="C196" t="s">
        <v>10333</v>
      </c>
      <c r="D196" s="5">
        <v>-4002.96</v>
      </c>
    </row>
    <row r="197" spans="1:4" x14ac:dyDescent="0.25">
      <c r="A197" t="s">
        <v>9664</v>
      </c>
      <c r="B197">
        <v>-1</v>
      </c>
      <c r="C197" t="s">
        <v>10340</v>
      </c>
      <c r="D197" s="5">
        <v>-4421.6499999999996</v>
      </c>
    </row>
    <row r="198" spans="1:4" x14ac:dyDescent="0.25">
      <c r="A198" t="s">
        <v>7268</v>
      </c>
      <c r="B198">
        <v>-1</v>
      </c>
      <c r="C198" t="s">
        <v>10344</v>
      </c>
      <c r="D198" s="5">
        <v>1259.3399999999999</v>
      </c>
    </row>
    <row r="199" spans="1:4" x14ac:dyDescent="0.25">
      <c r="A199" t="s">
        <v>5803</v>
      </c>
      <c r="B199">
        <v>-1</v>
      </c>
      <c r="C199" t="s">
        <v>10338</v>
      </c>
      <c r="D199" s="5">
        <v>163.52000000000001</v>
      </c>
    </row>
    <row r="200" spans="1:4" x14ac:dyDescent="0.25">
      <c r="A200" t="s">
        <v>3583</v>
      </c>
      <c r="B200">
        <v>-1</v>
      </c>
      <c r="C200" t="s">
        <v>10344</v>
      </c>
      <c r="D200" s="5">
        <v>17007.599999999999</v>
      </c>
    </row>
    <row r="201" spans="1:4" x14ac:dyDescent="0.25">
      <c r="A201" t="s">
        <v>8588</v>
      </c>
      <c r="B201">
        <v>-1</v>
      </c>
      <c r="C201" t="s">
        <v>10341</v>
      </c>
      <c r="D201" s="5">
        <v>-178.59</v>
      </c>
    </row>
    <row r="202" spans="1:4" x14ac:dyDescent="0.25">
      <c r="A202" t="s">
        <v>6979</v>
      </c>
      <c r="B202">
        <v>-1</v>
      </c>
      <c r="C202" t="s">
        <v>10340</v>
      </c>
      <c r="D202" s="5">
        <v>-3279.47</v>
      </c>
    </row>
    <row r="203" spans="1:4" x14ac:dyDescent="0.25">
      <c r="A203" t="s">
        <v>6698</v>
      </c>
      <c r="B203">
        <v>-1</v>
      </c>
      <c r="C203" t="s">
        <v>10334</v>
      </c>
      <c r="D203" s="5">
        <v>29.65</v>
      </c>
    </row>
    <row r="204" spans="1:4" x14ac:dyDescent="0.25">
      <c r="A204" t="s">
        <v>8351</v>
      </c>
      <c r="B204">
        <v>-1</v>
      </c>
      <c r="C204" t="s">
        <v>10337</v>
      </c>
    </row>
    <row r="205" spans="1:4" x14ac:dyDescent="0.25">
      <c r="A205" t="s">
        <v>7514</v>
      </c>
      <c r="B205">
        <v>-1</v>
      </c>
      <c r="C205" t="s">
        <v>10338</v>
      </c>
      <c r="D205" s="5">
        <v>0</v>
      </c>
    </row>
    <row r="206" spans="1:4" x14ac:dyDescent="0.25">
      <c r="A206" t="s">
        <v>6287</v>
      </c>
      <c r="B206">
        <v>-1</v>
      </c>
      <c r="C206" t="s">
        <v>10333</v>
      </c>
      <c r="D206" s="5">
        <v>-1881.66</v>
      </c>
    </row>
    <row r="207" spans="1:4" x14ac:dyDescent="0.25">
      <c r="A207" t="s">
        <v>8031</v>
      </c>
      <c r="B207">
        <v>-1</v>
      </c>
      <c r="C207" t="s">
        <v>10333</v>
      </c>
      <c r="D207" s="5">
        <v>-18316.38</v>
      </c>
    </row>
    <row r="208" spans="1:4" x14ac:dyDescent="0.25">
      <c r="A208" t="s">
        <v>6961</v>
      </c>
      <c r="B208">
        <v>-1</v>
      </c>
      <c r="C208" t="s">
        <v>10333</v>
      </c>
      <c r="D208" s="5">
        <v>-19084.57</v>
      </c>
    </row>
    <row r="209" spans="1:4" x14ac:dyDescent="0.25">
      <c r="A209" t="s">
        <v>9773</v>
      </c>
      <c r="B209">
        <v>-1</v>
      </c>
      <c r="C209" t="s">
        <v>10336</v>
      </c>
      <c r="D209" s="5">
        <v>-1180.51</v>
      </c>
    </row>
    <row r="210" spans="1:4" x14ac:dyDescent="0.25">
      <c r="A210" t="s">
        <v>558</v>
      </c>
      <c r="B210">
        <v>-1</v>
      </c>
      <c r="C210" t="s">
        <v>10338</v>
      </c>
      <c r="D210" s="5">
        <v>3084.73</v>
      </c>
    </row>
    <row r="211" spans="1:4" x14ac:dyDescent="0.25">
      <c r="A211" t="s">
        <v>7763</v>
      </c>
      <c r="B211">
        <v>-1</v>
      </c>
      <c r="C211" t="s">
        <v>10340</v>
      </c>
      <c r="D211" s="5">
        <v>-2108</v>
      </c>
    </row>
    <row r="212" spans="1:4" x14ac:dyDescent="0.25">
      <c r="A212" t="s">
        <v>6196</v>
      </c>
      <c r="B212">
        <v>-1</v>
      </c>
      <c r="C212" t="s">
        <v>10338</v>
      </c>
      <c r="D212" s="5">
        <v>27.73</v>
      </c>
    </row>
    <row r="213" spans="1:4" x14ac:dyDescent="0.25">
      <c r="A213" t="s">
        <v>3863</v>
      </c>
      <c r="B213">
        <v>-1</v>
      </c>
      <c r="C213" t="s">
        <v>10335</v>
      </c>
      <c r="D213" s="5">
        <v>-577.48</v>
      </c>
    </row>
    <row r="214" spans="1:4" x14ac:dyDescent="0.25">
      <c r="A214" t="s">
        <v>9090</v>
      </c>
      <c r="B214">
        <v>-1</v>
      </c>
      <c r="C214" t="s">
        <v>10344</v>
      </c>
      <c r="D214" s="5">
        <v>22.51</v>
      </c>
    </row>
    <row r="215" spans="1:4" x14ac:dyDescent="0.25">
      <c r="A215" t="s">
        <v>7649</v>
      </c>
      <c r="B215">
        <v>-1</v>
      </c>
      <c r="C215" t="s">
        <v>10336</v>
      </c>
      <c r="D215" s="5">
        <v>-19638.3</v>
      </c>
    </row>
    <row r="216" spans="1:4" x14ac:dyDescent="0.25">
      <c r="A216" t="s">
        <v>8077</v>
      </c>
      <c r="B216">
        <v>-1</v>
      </c>
      <c r="C216" t="s">
        <v>10335</v>
      </c>
      <c r="D216" s="5">
        <v>-59879.93</v>
      </c>
    </row>
    <row r="217" spans="1:4" x14ac:dyDescent="0.25">
      <c r="A217" t="s">
        <v>8176</v>
      </c>
      <c r="B217">
        <v>-1</v>
      </c>
      <c r="C217" t="s">
        <v>10333</v>
      </c>
      <c r="D217" s="5">
        <v>0</v>
      </c>
    </row>
    <row r="218" spans="1:4" x14ac:dyDescent="0.25">
      <c r="A218" t="s">
        <v>7427</v>
      </c>
      <c r="B218">
        <v>-1</v>
      </c>
      <c r="C218" t="s">
        <v>10340</v>
      </c>
      <c r="D218" s="5">
        <v>-4097.3999999999996</v>
      </c>
    </row>
    <row r="219" spans="1:4" x14ac:dyDescent="0.25">
      <c r="A219" t="s">
        <v>8579</v>
      </c>
      <c r="B219">
        <v>-1</v>
      </c>
      <c r="C219" t="s">
        <v>10338</v>
      </c>
      <c r="D219" s="5">
        <v>1337.88</v>
      </c>
    </row>
    <row r="220" spans="1:4" x14ac:dyDescent="0.25">
      <c r="A220" t="s">
        <v>1809</v>
      </c>
      <c r="B220">
        <v>-1</v>
      </c>
      <c r="C220" t="s">
        <v>10337</v>
      </c>
      <c r="D220" s="5">
        <v>2135.4699999999998</v>
      </c>
    </row>
    <row r="221" spans="1:4" x14ac:dyDescent="0.25">
      <c r="A221" t="s">
        <v>9550</v>
      </c>
      <c r="B221">
        <v>-1</v>
      </c>
      <c r="C221" t="s">
        <v>10333</v>
      </c>
      <c r="D221" s="5">
        <v>-17371.509999999998</v>
      </c>
    </row>
    <row r="222" spans="1:4" x14ac:dyDescent="0.25">
      <c r="A222" t="s">
        <v>7975</v>
      </c>
      <c r="B222">
        <v>-1</v>
      </c>
      <c r="C222" t="s">
        <v>10338</v>
      </c>
      <c r="D222" s="5">
        <v>239.38</v>
      </c>
    </row>
    <row r="223" spans="1:4" x14ac:dyDescent="0.25">
      <c r="A223" t="s">
        <v>5673</v>
      </c>
      <c r="B223">
        <v>-1</v>
      </c>
      <c r="C223" t="s">
        <v>10338</v>
      </c>
      <c r="D223" s="5">
        <v>0</v>
      </c>
    </row>
    <row r="224" spans="1:4" x14ac:dyDescent="0.25">
      <c r="A224" t="s">
        <v>396</v>
      </c>
      <c r="B224">
        <v>-1</v>
      </c>
      <c r="C224" t="s">
        <v>10337</v>
      </c>
      <c r="D224" s="5">
        <v>934.53</v>
      </c>
    </row>
    <row r="225" spans="1:4" x14ac:dyDescent="0.25">
      <c r="A225" t="s">
        <v>7592</v>
      </c>
      <c r="B225">
        <v>-1</v>
      </c>
      <c r="C225" t="s">
        <v>10337</v>
      </c>
      <c r="D225" s="5">
        <v>2522.62</v>
      </c>
    </row>
    <row r="226" spans="1:4" x14ac:dyDescent="0.25">
      <c r="A226" t="s">
        <v>1769</v>
      </c>
      <c r="B226">
        <v>-1</v>
      </c>
      <c r="C226" t="s">
        <v>10336</v>
      </c>
      <c r="D226" s="5">
        <v>-320.79000000000002</v>
      </c>
    </row>
    <row r="227" spans="1:4" x14ac:dyDescent="0.25">
      <c r="A227" t="s">
        <v>7438</v>
      </c>
      <c r="B227">
        <v>-1</v>
      </c>
      <c r="C227" t="s">
        <v>10334</v>
      </c>
      <c r="D227" s="5">
        <v>0</v>
      </c>
    </row>
    <row r="228" spans="1:4" x14ac:dyDescent="0.25">
      <c r="A228" t="s">
        <v>5729</v>
      </c>
      <c r="B228">
        <v>-1</v>
      </c>
      <c r="C228" t="s">
        <v>10338</v>
      </c>
      <c r="D228" s="5">
        <v>10665.99</v>
      </c>
    </row>
    <row r="229" spans="1:4" x14ac:dyDescent="0.25">
      <c r="A229" t="s">
        <v>8502</v>
      </c>
      <c r="B229">
        <v>-1</v>
      </c>
      <c r="C229" t="s">
        <v>10333</v>
      </c>
      <c r="D229" s="5">
        <v>-4501.74</v>
      </c>
    </row>
    <row r="230" spans="1:4" x14ac:dyDescent="0.25">
      <c r="A230" t="s">
        <v>8613</v>
      </c>
      <c r="B230">
        <v>-1</v>
      </c>
      <c r="C230" t="s">
        <v>10337</v>
      </c>
      <c r="D230" s="5">
        <v>36.82</v>
      </c>
    </row>
    <row r="231" spans="1:4" x14ac:dyDescent="0.25">
      <c r="A231" t="s">
        <v>8061</v>
      </c>
      <c r="B231">
        <v>-1</v>
      </c>
      <c r="C231" t="s">
        <v>10345</v>
      </c>
      <c r="D231" s="5">
        <v>-16215.45</v>
      </c>
    </row>
    <row r="232" spans="1:4" x14ac:dyDescent="0.25">
      <c r="A232" t="s">
        <v>8879</v>
      </c>
      <c r="B232">
        <v>-1</v>
      </c>
      <c r="C232" t="s">
        <v>10334</v>
      </c>
      <c r="D232" s="5">
        <v>-2031.62</v>
      </c>
    </row>
    <row r="233" spans="1:4" x14ac:dyDescent="0.25">
      <c r="A233" t="s">
        <v>1142</v>
      </c>
      <c r="B233">
        <v>-1</v>
      </c>
      <c r="C233" t="s">
        <v>10339</v>
      </c>
      <c r="D233" s="5">
        <v>2263.8200000000002</v>
      </c>
    </row>
    <row r="234" spans="1:4" x14ac:dyDescent="0.25">
      <c r="A234" t="s">
        <v>2498</v>
      </c>
      <c r="B234">
        <v>-1</v>
      </c>
      <c r="C234" t="s">
        <v>10340</v>
      </c>
      <c r="D234" s="5">
        <v>1380.2</v>
      </c>
    </row>
    <row r="235" spans="1:4" x14ac:dyDescent="0.25">
      <c r="A235" t="s">
        <v>543</v>
      </c>
      <c r="B235">
        <v>-1</v>
      </c>
      <c r="C235" t="s">
        <v>10333</v>
      </c>
      <c r="D235" s="5">
        <v>-2326.39</v>
      </c>
    </row>
    <row r="236" spans="1:4" x14ac:dyDescent="0.25">
      <c r="A236" t="s">
        <v>10187</v>
      </c>
      <c r="B236">
        <v>-1</v>
      </c>
      <c r="C236" t="s">
        <v>10344</v>
      </c>
      <c r="D236" s="5">
        <v>-19221.8</v>
      </c>
    </row>
    <row r="237" spans="1:4" x14ac:dyDescent="0.25">
      <c r="A237" t="s">
        <v>9695</v>
      </c>
      <c r="B237">
        <v>-1</v>
      </c>
      <c r="C237" t="s">
        <v>10340</v>
      </c>
      <c r="D237" s="5">
        <v>-483.78</v>
      </c>
    </row>
    <row r="238" spans="1:4" x14ac:dyDescent="0.25">
      <c r="A238" t="s">
        <v>5278</v>
      </c>
      <c r="B238">
        <v>-1</v>
      </c>
      <c r="C238" t="s">
        <v>10342</v>
      </c>
      <c r="D238" s="5">
        <v>-244.46</v>
      </c>
    </row>
    <row r="239" spans="1:4" x14ac:dyDescent="0.25">
      <c r="A239" t="s">
        <v>9513</v>
      </c>
      <c r="B239">
        <v>-1</v>
      </c>
      <c r="C239" t="s">
        <v>10333</v>
      </c>
      <c r="D239" s="5">
        <v>-408.54</v>
      </c>
    </row>
    <row r="240" spans="1:4" x14ac:dyDescent="0.25">
      <c r="A240" t="s">
        <v>9848</v>
      </c>
      <c r="B240">
        <v>-1</v>
      </c>
      <c r="C240" t="s">
        <v>10336</v>
      </c>
      <c r="D240" s="5">
        <v>-105.08</v>
      </c>
    </row>
    <row r="241" spans="1:4" x14ac:dyDescent="0.25">
      <c r="A241" t="s">
        <v>9988</v>
      </c>
      <c r="B241">
        <v>-1</v>
      </c>
      <c r="C241" t="s">
        <v>10338</v>
      </c>
    </row>
    <row r="242" spans="1:4" x14ac:dyDescent="0.25">
      <c r="A242" t="s">
        <v>6359</v>
      </c>
      <c r="B242">
        <v>-1</v>
      </c>
      <c r="C242" t="s">
        <v>10337</v>
      </c>
      <c r="D242" s="5">
        <v>0</v>
      </c>
    </row>
    <row r="243" spans="1:4" x14ac:dyDescent="0.25">
      <c r="A243" t="s">
        <v>1745</v>
      </c>
      <c r="B243">
        <v>-1</v>
      </c>
      <c r="C243" t="s">
        <v>10338</v>
      </c>
      <c r="D243" s="5">
        <v>5231.12</v>
      </c>
    </row>
    <row r="244" spans="1:4" x14ac:dyDescent="0.25">
      <c r="A244" t="s">
        <v>3108</v>
      </c>
      <c r="B244">
        <v>-1</v>
      </c>
      <c r="C244" t="s">
        <v>10337</v>
      </c>
      <c r="D244" s="5">
        <v>0</v>
      </c>
    </row>
    <row r="245" spans="1:4" x14ac:dyDescent="0.25">
      <c r="A245" t="s">
        <v>3671</v>
      </c>
      <c r="B245">
        <v>-1</v>
      </c>
      <c r="C245" t="s">
        <v>10344</v>
      </c>
      <c r="D245" s="5">
        <v>-26.45</v>
      </c>
    </row>
    <row r="246" spans="1:4" x14ac:dyDescent="0.25">
      <c r="A246" t="s">
        <v>1729</v>
      </c>
      <c r="B246">
        <v>-1</v>
      </c>
      <c r="C246" t="s">
        <v>10338</v>
      </c>
    </row>
    <row r="247" spans="1:4" x14ac:dyDescent="0.25">
      <c r="A247" t="s">
        <v>4170</v>
      </c>
      <c r="B247">
        <v>-1</v>
      </c>
      <c r="C247" t="s">
        <v>10333</v>
      </c>
      <c r="D247" s="5">
        <v>599.17999999999995</v>
      </c>
    </row>
    <row r="248" spans="1:4" x14ac:dyDescent="0.25">
      <c r="A248" t="s">
        <v>6136</v>
      </c>
      <c r="B248">
        <v>-1</v>
      </c>
      <c r="C248" t="s">
        <v>10336</v>
      </c>
      <c r="D248" s="5">
        <v>-69064.22</v>
      </c>
    </row>
    <row r="249" spans="1:4" x14ac:dyDescent="0.25">
      <c r="A249" t="s">
        <v>750</v>
      </c>
      <c r="B249">
        <v>-1</v>
      </c>
      <c r="C249" t="s">
        <v>10340</v>
      </c>
      <c r="D249" s="5">
        <v>677.26</v>
      </c>
    </row>
    <row r="250" spans="1:4" x14ac:dyDescent="0.25">
      <c r="A250" t="s">
        <v>6293</v>
      </c>
      <c r="B250">
        <v>-1</v>
      </c>
      <c r="C250" t="s">
        <v>10342</v>
      </c>
      <c r="D250" s="5">
        <v>304.67</v>
      </c>
    </row>
    <row r="251" spans="1:4" x14ac:dyDescent="0.25">
      <c r="A251" t="s">
        <v>6121</v>
      </c>
      <c r="B251">
        <v>-1</v>
      </c>
      <c r="C251" t="s">
        <v>10336</v>
      </c>
      <c r="D251" s="5">
        <v>-47122.18</v>
      </c>
    </row>
    <row r="252" spans="1:4" x14ac:dyDescent="0.25">
      <c r="A252" t="s">
        <v>8476</v>
      </c>
      <c r="B252">
        <v>-1</v>
      </c>
      <c r="C252" t="s">
        <v>10338</v>
      </c>
      <c r="D252" s="5">
        <v>269.86</v>
      </c>
    </row>
    <row r="253" spans="1:4" x14ac:dyDescent="0.25">
      <c r="A253" t="s">
        <v>2843</v>
      </c>
      <c r="B253">
        <v>-1</v>
      </c>
      <c r="C253" t="s">
        <v>10338</v>
      </c>
      <c r="D253" s="5">
        <v>126.76</v>
      </c>
    </row>
    <row r="254" spans="1:4" x14ac:dyDescent="0.25">
      <c r="A254" t="s">
        <v>4263</v>
      </c>
      <c r="B254">
        <v>-1</v>
      </c>
      <c r="C254" t="s">
        <v>10335</v>
      </c>
      <c r="D254" s="5">
        <v>0</v>
      </c>
    </row>
    <row r="255" spans="1:4" x14ac:dyDescent="0.25">
      <c r="A255" t="s">
        <v>5874</v>
      </c>
      <c r="B255">
        <v>-1</v>
      </c>
      <c r="C255" t="s">
        <v>10341</v>
      </c>
      <c r="D255" s="5">
        <v>779.17</v>
      </c>
    </row>
    <row r="256" spans="1:4" x14ac:dyDescent="0.25">
      <c r="A256" t="s">
        <v>399</v>
      </c>
      <c r="B256">
        <v>-1</v>
      </c>
      <c r="C256" t="s">
        <v>10336</v>
      </c>
      <c r="D256" s="5">
        <v>-948.2</v>
      </c>
    </row>
    <row r="257" spans="1:4" x14ac:dyDescent="0.25">
      <c r="A257" t="s">
        <v>7444</v>
      </c>
      <c r="B257">
        <v>-1</v>
      </c>
      <c r="C257" t="s">
        <v>10335</v>
      </c>
      <c r="D257" s="5">
        <v>-6960.47</v>
      </c>
    </row>
    <row r="258" spans="1:4" x14ac:dyDescent="0.25">
      <c r="A258" t="s">
        <v>9545</v>
      </c>
      <c r="B258">
        <v>-1</v>
      </c>
      <c r="C258" t="s">
        <v>10334</v>
      </c>
      <c r="D258" s="5">
        <v>76.260000000000005</v>
      </c>
    </row>
    <row r="259" spans="1:4" x14ac:dyDescent="0.25">
      <c r="A259" t="s">
        <v>3815</v>
      </c>
      <c r="B259">
        <v>-1</v>
      </c>
      <c r="C259" t="s">
        <v>10333</v>
      </c>
      <c r="D259" s="5">
        <v>-8746.52</v>
      </c>
    </row>
    <row r="260" spans="1:4" x14ac:dyDescent="0.25">
      <c r="A260" t="s">
        <v>8242</v>
      </c>
      <c r="B260">
        <v>-1</v>
      </c>
      <c r="C260" t="s">
        <v>10336</v>
      </c>
      <c r="D260" s="5">
        <v>3021.59</v>
      </c>
    </row>
    <row r="261" spans="1:4" x14ac:dyDescent="0.25">
      <c r="A261" t="s">
        <v>10105</v>
      </c>
      <c r="B261">
        <v>-1</v>
      </c>
      <c r="C261" t="s">
        <v>10333</v>
      </c>
      <c r="D261" s="5">
        <v>-43493.4</v>
      </c>
    </row>
    <row r="262" spans="1:4" x14ac:dyDescent="0.25">
      <c r="A262" t="s">
        <v>504</v>
      </c>
      <c r="B262">
        <v>-1</v>
      </c>
      <c r="C262" t="s">
        <v>10338</v>
      </c>
      <c r="D262" s="5">
        <v>1808.84</v>
      </c>
    </row>
    <row r="263" spans="1:4" x14ac:dyDescent="0.25">
      <c r="A263" t="s">
        <v>6411</v>
      </c>
      <c r="B263">
        <v>-1</v>
      </c>
      <c r="C263" t="s">
        <v>10338</v>
      </c>
      <c r="D263" s="5">
        <v>843.41</v>
      </c>
    </row>
    <row r="264" spans="1:4" x14ac:dyDescent="0.25">
      <c r="A264" t="s">
        <v>6426</v>
      </c>
      <c r="B264">
        <v>-1</v>
      </c>
      <c r="C264" t="s">
        <v>10338</v>
      </c>
      <c r="D264" s="5">
        <v>483.12</v>
      </c>
    </row>
    <row r="265" spans="1:4" x14ac:dyDescent="0.25">
      <c r="A265" t="s">
        <v>2196</v>
      </c>
      <c r="B265">
        <v>-1</v>
      </c>
      <c r="C265" t="s">
        <v>10338</v>
      </c>
      <c r="D265" s="5">
        <v>2605.08</v>
      </c>
    </row>
    <row r="266" spans="1:4" x14ac:dyDescent="0.25">
      <c r="A266" t="s">
        <v>33</v>
      </c>
      <c r="B266">
        <v>-1</v>
      </c>
      <c r="C266" t="s">
        <v>10336</v>
      </c>
      <c r="D266" s="5">
        <v>-271.29000000000002</v>
      </c>
    </row>
    <row r="267" spans="1:4" x14ac:dyDescent="0.25">
      <c r="A267" t="s">
        <v>8156</v>
      </c>
      <c r="B267">
        <v>-1</v>
      </c>
      <c r="C267" t="s">
        <v>10339</v>
      </c>
      <c r="D267" s="5">
        <v>-169.08</v>
      </c>
    </row>
    <row r="268" spans="1:4" x14ac:dyDescent="0.25">
      <c r="A268" t="s">
        <v>6772</v>
      </c>
      <c r="B268">
        <v>-1</v>
      </c>
      <c r="C268" t="s">
        <v>10340</v>
      </c>
      <c r="D268" s="5">
        <v>630.99</v>
      </c>
    </row>
    <row r="269" spans="1:4" x14ac:dyDescent="0.25">
      <c r="A269" t="s">
        <v>3205</v>
      </c>
      <c r="B269">
        <v>-1</v>
      </c>
      <c r="C269" t="s">
        <v>10340</v>
      </c>
      <c r="D269" s="5">
        <v>1395.59</v>
      </c>
    </row>
    <row r="270" spans="1:4" x14ac:dyDescent="0.25">
      <c r="A270" t="s">
        <v>6630</v>
      </c>
      <c r="B270">
        <v>-1</v>
      </c>
      <c r="C270" t="s">
        <v>10338</v>
      </c>
      <c r="D270" s="5">
        <v>957.8</v>
      </c>
    </row>
    <row r="271" spans="1:4" x14ac:dyDescent="0.25">
      <c r="A271" t="s">
        <v>2173</v>
      </c>
      <c r="B271">
        <v>-1</v>
      </c>
      <c r="C271" t="s">
        <v>10338</v>
      </c>
      <c r="D271" s="5">
        <v>0</v>
      </c>
    </row>
    <row r="272" spans="1:4" x14ac:dyDescent="0.25">
      <c r="A272" t="s">
        <v>6386</v>
      </c>
      <c r="B272">
        <v>-1</v>
      </c>
      <c r="C272" t="s">
        <v>10337</v>
      </c>
      <c r="D272" s="5">
        <v>401.46</v>
      </c>
    </row>
    <row r="273" spans="1:4" x14ac:dyDescent="0.25">
      <c r="A273" t="s">
        <v>10148</v>
      </c>
      <c r="B273">
        <v>-1</v>
      </c>
      <c r="C273" t="s">
        <v>10335</v>
      </c>
      <c r="D273" s="5">
        <v>-306.45</v>
      </c>
    </row>
    <row r="274" spans="1:4" x14ac:dyDescent="0.25">
      <c r="A274" t="s">
        <v>2624</v>
      </c>
      <c r="B274">
        <v>-1</v>
      </c>
      <c r="C274" t="s">
        <v>10340</v>
      </c>
      <c r="D274" s="5">
        <v>-463.87</v>
      </c>
    </row>
    <row r="275" spans="1:4" x14ac:dyDescent="0.25">
      <c r="A275" t="s">
        <v>1854</v>
      </c>
      <c r="B275">
        <v>-1</v>
      </c>
      <c r="C275" t="s">
        <v>10338</v>
      </c>
      <c r="D275" s="5">
        <v>0</v>
      </c>
    </row>
    <row r="276" spans="1:4" x14ac:dyDescent="0.25">
      <c r="A276" t="s">
        <v>10017</v>
      </c>
      <c r="B276">
        <v>-1</v>
      </c>
      <c r="C276" t="s">
        <v>10344</v>
      </c>
      <c r="D276" s="5">
        <v>-209.4</v>
      </c>
    </row>
    <row r="277" spans="1:4" x14ac:dyDescent="0.25">
      <c r="A277" t="s">
        <v>8023</v>
      </c>
      <c r="B277">
        <v>-1</v>
      </c>
      <c r="C277" t="s">
        <v>10333</v>
      </c>
      <c r="D277" s="5">
        <v>1163.97</v>
      </c>
    </row>
    <row r="278" spans="1:4" x14ac:dyDescent="0.25">
      <c r="A278" t="s">
        <v>8041</v>
      </c>
      <c r="B278">
        <v>-1</v>
      </c>
      <c r="C278" t="s">
        <v>10337</v>
      </c>
      <c r="D278" s="5">
        <v>324.14</v>
      </c>
    </row>
    <row r="279" spans="1:4" x14ac:dyDescent="0.25">
      <c r="A279" t="s">
        <v>9037</v>
      </c>
      <c r="B279">
        <v>-1</v>
      </c>
      <c r="C279" t="s">
        <v>10335</v>
      </c>
      <c r="D279" s="5">
        <v>3093.91</v>
      </c>
    </row>
    <row r="280" spans="1:4" x14ac:dyDescent="0.25">
      <c r="A280" t="s">
        <v>4073</v>
      </c>
      <c r="B280">
        <v>-1</v>
      </c>
      <c r="C280" t="s">
        <v>10339</v>
      </c>
      <c r="D280" s="5">
        <v>4362.74</v>
      </c>
    </row>
    <row r="281" spans="1:4" x14ac:dyDescent="0.25">
      <c r="A281" t="s">
        <v>4014</v>
      </c>
      <c r="B281">
        <v>-1</v>
      </c>
      <c r="C281" t="s">
        <v>10338</v>
      </c>
      <c r="D281" s="5">
        <v>38.25</v>
      </c>
    </row>
    <row r="282" spans="1:4" x14ac:dyDescent="0.25">
      <c r="A282" t="s">
        <v>8276</v>
      </c>
      <c r="B282">
        <v>-1</v>
      </c>
      <c r="C282" t="s">
        <v>10340</v>
      </c>
      <c r="D282" s="5">
        <v>-403.25</v>
      </c>
    </row>
    <row r="283" spans="1:4" x14ac:dyDescent="0.25">
      <c r="A283" t="s">
        <v>5431</v>
      </c>
      <c r="B283">
        <v>-1</v>
      </c>
      <c r="C283" t="s">
        <v>10338</v>
      </c>
      <c r="D283" s="5">
        <v>0</v>
      </c>
    </row>
    <row r="284" spans="1:4" x14ac:dyDescent="0.25">
      <c r="A284" t="s">
        <v>4751</v>
      </c>
      <c r="B284">
        <v>-1</v>
      </c>
      <c r="C284" t="s">
        <v>10335</v>
      </c>
      <c r="D284" s="5">
        <v>0</v>
      </c>
    </row>
    <row r="285" spans="1:4" x14ac:dyDescent="0.25">
      <c r="A285" t="s">
        <v>5864</v>
      </c>
      <c r="B285">
        <v>-1</v>
      </c>
      <c r="C285" t="s">
        <v>10338</v>
      </c>
      <c r="D285" s="5">
        <v>0</v>
      </c>
    </row>
    <row r="286" spans="1:4" x14ac:dyDescent="0.25">
      <c r="A286" t="s">
        <v>2281</v>
      </c>
      <c r="B286">
        <v>-1</v>
      </c>
      <c r="C286" t="s">
        <v>10344</v>
      </c>
      <c r="D286" s="5">
        <v>2611.91</v>
      </c>
    </row>
    <row r="287" spans="1:4" x14ac:dyDescent="0.25">
      <c r="A287" t="s">
        <v>1264</v>
      </c>
      <c r="B287">
        <v>-1</v>
      </c>
      <c r="C287" t="s">
        <v>10335</v>
      </c>
      <c r="D287" s="5">
        <v>3698.26</v>
      </c>
    </row>
    <row r="288" spans="1:4" x14ac:dyDescent="0.25">
      <c r="A288" t="s">
        <v>9767</v>
      </c>
      <c r="B288">
        <v>-1</v>
      </c>
      <c r="C288" t="s">
        <v>10333</v>
      </c>
      <c r="D288" s="5">
        <v>783.15</v>
      </c>
    </row>
    <row r="289" spans="1:4" x14ac:dyDescent="0.25">
      <c r="A289" t="s">
        <v>7223</v>
      </c>
      <c r="B289">
        <v>-1</v>
      </c>
      <c r="C289" t="s">
        <v>10338</v>
      </c>
      <c r="D289" s="5">
        <v>2760.63</v>
      </c>
    </row>
    <row r="290" spans="1:4" x14ac:dyDescent="0.25">
      <c r="A290" t="s">
        <v>8576</v>
      </c>
      <c r="B290">
        <v>-1</v>
      </c>
      <c r="C290" t="s">
        <v>10333</v>
      </c>
      <c r="D290" s="5">
        <v>-719.27</v>
      </c>
    </row>
    <row r="291" spans="1:4" x14ac:dyDescent="0.25">
      <c r="A291" t="s">
        <v>6496</v>
      </c>
      <c r="B291">
        <v>-1</v>
      </c>
      <c r="C291" t="s">
        <v>10338</v>
      </c>
      <c r="D291" s="5">
        <v>6080.14</v>
      </c>
    </row>
    <row r="292" spans="1:4" x14ac:dyDescent="0.25">
      <c r="A292" t="s">
        <v>1628</v>
      </c>
      <c r="B292">
        <v>-1</v>
      </c>
      <c r="C292" t="s">
        <v>10340</v>
      </c>
      <c r="D292" s="5">
        <v>-295.72000000000003</v>
      </c>
    </row>
    <row r="293" spans="1:4" x14ac:dyDescent="0.25">
      <c r="A293" t="s">
        <v>1336</v>
      </c>
      <c r="B293">
        <v>-1</v>
      </c>
      <c r="C293" t="s">
        <v>10340</v>
      </c>
      <c r="D293" s="5">
        <v>-2278.84</v>
      </c>
    </row>
    <row r="294" spans="1:4" x14ac:dyDescent="0.25">
      <c r="A294" t="s">
        <v>9305</v>
      </c>
      <c r="B294">
        <v>-1</v>
      </c>
      <c r="C294" t="s">
        <v>10337</v>
      </c>
      <c r="D294" s="5">
        <v>755.24</v>
      </c>
    </row>
    <row r="295" spans="1:4" x14ac:dyDescent="0.25">
      <c r="A295" t="s">
        <v>10069</v>
      </c>
      <c r="B295">
        <v>-1</v>
      </c>
      <c r="C295" t="s">
        <v>10338</v>
      </c>
      <c r="D295" s="5">
        <v>2832.14</v>
      </c>
    </row>
    <row r="296" spans="1:4" x14ac:dyDescent="0.25">
      <c r="A296" t="s">
        <v>2972</v>
      </c>
      <c r="B296">
        <v>-1</v>
      </c>
      <c r="C296" t="s">
        <v>10335</v>
      </c>
      <c r="D296" s="5">
        <v>624.82000000000005</v>
      </c>
    </row>
    <row r="297" spans="1:4" x14ac:dyDescent="0.25">
      <c r="A297" t="s">
        <v>5507</v>
      </c>
      <c r="B297">
        <v>-1</v>
      </c>
      <c r="C297" t="s">
        <v>10337</v>
      </c>
      <c r="D297" s="5">
        <v>1339.05</v>
      </c>
    </row>
    <row r="298" spans="1:4" x14ac:dyDescent="0.25">
      <c r="A298" t="s">
        <v>441</v>
      </c>
      <c r="B298">
        <v>-1</v>
      </c>
      <c r="C298" t="s">
        <v>10342</v>
      </c>
      <c r="D298" s="5">
        <v>1785.09</v>
      </c>
    </row>
    <row r="299" spans="1:4" x14ac:dyDescent="0.25">
      <c r="A299" t="s">
        <v>330</v>
      </c>
      <c r="B299">
        <v>-1</v>
      </c>
      <c r="C299" t="s">
        <v>10336</v>
      </c>
    </row>
    <row r="300" spans="1:4" x14ac:dyDescent="0.25">
      <c r="A300" t="s">
        <v>8367</v>
      </c>
      <c r="B300">
        <v>-1</v>
      </c>
      <c r="C300" t="s">
        <v>10338</v>
      </c>
    </row>
    <row r="301" spans="1:4" x14ac:dyDescent="0.25">
      <c r="A301" t="s">
        <v>5209</v>
      </c>
      <c r="B301">
        <v>-1</v>
      </c>
      <c r="C301" t="s">
        <v>10336</v>
      </c>
      <c r="D301" s="5">
        <v>0</v>
      </c>
    </row>
    <row r="302" spans="1:4" x14ac:dyDescent="0.25">
      <c r="A302" t="s">
        <v>1520</v>
      </c>
      <c r="B302">
        <v>-1</v>
      </c>
      <c r="C302" t="s">
        <v>10337</v>
      </c>
      <c r="D302" s="5">
        <v>-795.96</v>
      </c>
    </row>
    <row r="303" spans="1:4" x14ac:dyDescent="0.25">
      <c r="A303" t="s">
        <v>1162</v>
      </c>
      <c r="B303">
        <v>-1</v>
      </c>
      <c r="C303" t="s">
        <v>10339</v>
      </c>
      <c r="D303" s="5">
        <v>887.5</v>
      </c>
    </row>
    <row r="304" spans="1:4" x14ac:dyDescent="0.25">
      <c r="A304" t="s">
        <v>6216</v>
      </c>
      <c r="B304">
        <v>-1</v>
      </c>
      <c r="C304" t="s">
        <v>10338</v>
      </c>
      <c r="D304" s="5">
        <v>-416.96</v>
      </c>
    </row>
    <row r="305" spans="1:4" x14ac:dyDescent="0.25">
      <c r="A305" t="s">
        <v>5833</v>
      </c>
      <c r="B305">
        <v>-1</v>
      </c>
      <c r="C305" t="s">
        <v>10338</v>
      </c>
      <c r="D305" s="5">
        <v>-60.21</v>
      </c>
    </row>
    <row r="306" spans="1:4" x14ac:dyDescent="0.25">
      <c r="A306" t="s">
        <v>8516</v>
      </c>
      <c r="B306">
        <v>-1</v>
      </c>
      <c r="C306" t="s">
        <v>10338</v>
      </c>
      <c r="D306" s="5">
        <v>350.46</v>
      </c>
    </row>
    <row r="307" spans="1:4" x14ac:dyDescent="0.25">
      <c r="A307" t="s">
        <v>4368</v>
      </c>
      <c r="B307">
        <v>-1</v>
      </c>
      <c r="C307" t="s">
        <v>10338</v>
      </c>
      <c r="D307" s="5">
        <v>3000.15</v>
      </c>
    </row>
    <row r="308" spans="1:4" x14ac:dyDescent="0.25">
      <c r="A308" t="s">
        <v>8283</v>
      </c>
      <c r="B308">
        <v>-1</v>
      </c>
      <c r="C308" t="s">
        <v>10333</v>
      </c>
      <c r="D308" s="5">
        <v>-9751.02</v>
      </c>
    </row>
    <row r="309" spans="1:4" x14ac:dyDescent="0.25">
      <c r="A309" t="s">
        <v>5732</v>
      </c>
      <c r="B309">
        <v>-1</v>
      </c>
      <c r="C309" t="s">
        <v>10337</v>
      </c>
      <c r="D309" s="5">
        <v>1166.98</v>
      </c>
    </row>
    <row r="310" spans="1:4" x14ac:dyDescent="0.25">
      <c r="A310" t="s">
        <v>7466</v>
      </c>
      <c r="B310">
        <v>-1</v>
      </c>
      <c r="C310" t="s">
        <v>10340</v>
      </c>
      <c r="D310" s="5">
        <v>1175.58</v>
      </c>
    </row>
    <row r="311" spans="1:4" x14ac:dyDescent="0.25">
      <c r="A311" t="s">
        <v>4920</v>
      </c>
      <c r="B311">
        <v>-1</v>
      </c>
      <c r="C311" t="s">
        <v>10335</v>
      </c>
      <c r="D311" s="5">
        <v>1539.03</v>
      </c>
    </row>
    <row r="312" spans="1:4" x14ac:dyDescent="0.25">
      <c r="A312" t="s">
        <v>2505</v>
      </c>
      <c r="B312">
        <v>-1</v>
      </c>
      <c r="C312" t="s">
        <v>10338</v>
      </c>
      <c r="D312" s="5">
        <v>6426.16</v>
      </c>
    </row>
    <row r="313" spans="1:4" x14ac:dyDescent="0.25">
      <c r="A313" t="s">
        <v>2159</v>
      </c>
      <c r="B313">
        <v>-1</v>
      </c>
      <c r="C313" t="s">
        <v>10336</v>
      </c>
      <c r="D313" s="5">
        <v>0</v>
      </c>
    </row>
    <row r="314" spans="1:4" x14ac:dyDescent="0.25">
      <c r="A314" t="s">
        <v>2700</v>
      </c>
      <c r="B314">
        <v>-1</v>
      </c>
      <c r="C314" t="s">
        <v>10338</v>
      </c>
      <c r="D314" s="5">
        <v>1573.97</v>
      </c>
    </row>
    <row r="315" spans="1:4" x14ac:dyDescent="0.25">
      <c r="A315" t="s">
        <v>3151</v>
      </c>
      <c r="B315">
        <v>-1</v>
      </c>
      <c r="C315" t="s">
        <v>10338</v>
      </c>
      <c r="D315" s="5">
        <v>0</v>
      </c>
    </row>
    <row r="316" spans="1:4" x14ac:dyDescent="0.25">
      <c r="A316" t="s">
        <v>3124</v>
      </c>
      <c r="B316">
        <v>-1</v>
      </c>
      <c r="C316" t="s">
        <v>10334</v>
      </c>
      <c r="D316" s="5">
        <v>992.77</v>
      </c>
    </row>
    <row r="317" spans="1:4" x14ac:dyDescent="0.25">
      <c r="A317" t="s">
        <v>3120</v>
      </c>
      <c r="B317">
        <v>-1</v>
      </c>
      <c r="C317" t="s">
        <v>10340</v>
      </c>
      <c r="D317" s="5">
        <v>7450.31</v>
      </c>
    </row>
    <row r="318" spans="1:4" x14ac:dyDescent="0.25">
      <c r="A318" t="s">
        <v>9354</v>
      </c>
      <c r="B318">
        <v>-1</v>
      </c>
      <c r="C318" t="s">
        <v>10335</v>
      </c>
      <c r="D318" s="5">
        <v>-2103.61</v>
      </c>
    </row>
    <row r="319" spans="1:4" x14ac:dyDescent="0.25">
      <c r="A319" t="s">
        <v>3356</v>
      </c>
      <c r="B319">
        <v>-1</v>
      </c>
      <c r="C319" t="s">
        <v>10338</v>
      </c>
      <c r="D319" s="5">
        <v>1970.12</v>
      </c>
    </row>
    <row r="320" spans="1:4" x14ac:dyDescent="0.25">
      <c r="A320" t="s">
        <v>6867</v>
      </c>
      <c r="B320">
        <v>-1</v>
      </c>
      <c r="C320" t="s">
        <v>10338</v>
      </c>
      <c r="D320" s="5">
        <v>4169.8100000000004</v>
      </c>
    </row>
    <row r="321" spans="1:4" x14ac:dyDescent="0.25">
      <c r="A321" t="s">
        <v>7189</v>
      </c>
      <c r="B321">
        <v>-1</v>
      </c>
      <c r="C321" t="s">
        <v>10340</v>
      </c>
    </row>
    <row r="322" spans="1:4" x14ac:dyDescent="0.25">
      <c r="A322" t="s">
        <v>9379</v>
      </c>
      <c r="B322">
        <v>-1</v>
      </c>
      <c r="C322" t="s">
        <v>10338</v>
      </c>
      <c r="D322" s="5">
        <v>1903.66</v>
      </c>
    </row>
    <row r="323" spans="1:4" x14ac:dyDescent="0.25">
      <c r="A323" t="s">
        <v>8050</v>
      </c>
      <c r="B323">
        <v>-1</v>
      </c>
      <c r="C323" t="s">
        <v>10333</v>
      </c>
      <c r="D323" s="5">
        <v>-9468.7099999999991</v>
      </c>
    </row>
    <row r="324" spans="1:4" x14ac:dyDescent="0.25">
      <c r="A324" t="s">
        <v>527</v>
      </c>
      <c r="B324">
        <v>-1</v>
      </c>
      <c r="C324" t="s">
        <v>10340</v>
      </c>
      <c r="D324" s="5">
        <v>1003.88</v>
      </c>
    </row>
    <row r="325" spans="1:4" x14ac:dyDescent="0.25">
      <c r="A325" t="s">
        <v>7901</v>
      </c>
      <c r="B325">
        <v>-1</v>
      </c>
      <c r="C325" t="s">
        <v>10338</v>
      </c>
      <c r="D325" s="5">
        <v>2538.12</v>
      </c>
    </row>
    <row r="326" spans="1:4" x14ac:dyDescent="0.25">
      <c r="A326" t="s">
        <v>7328</v>
      </c>
      <c r="B326">
        <v>-1</v>
      </c>
      <c r="C326" t="s">
        <v>10333</v>
      </c>
      <c r="D326" s="5">
        <v>-3924.74</v>
      </c>
    </row>
    <row r="327" spans="1:4" x14ac:dyDescent="0.25">
      <c r="A327" t="s">
        <v>6651</v>
      </c>
      <c r="B327">
        <v>-1</v>
      </c>
      <c r="C327" t="s">
        <v>10338</v>
      </c>
      <c r="D327" s="5">
        <v>0</v>
      </c>
    </row>
    <row r="328" spans="1:4" x14ac:dyDescent="0.25">
      <c r="A328" t="s">
        <v>9577</v>
      </c>
      <c r="B328">
        <v>-1</v>
      </c>
      <c r="C328" t="s">
        <v>10338</v>
      </c>
      <c r="D328" s="5">
        <v>646.16999999999996</v>
      </c>
    </row>
    <row r="329" spans="1:4" x14ac:dyDescent="0.25">
      <c r="A329" t="s">
        <v>9917</v>
      </c>
      <c r="B329">
        <v>-1</v>
      </c>
      <c r="C329" t="s">
        <v>10338</v>
      </c>
      <c r="D329" s="5">
        <v>833.03</v>
      </c>
    </row>
    <row r="330" spans="1:4" x14ac:dyDescent="0.25">
      <c r="A330" t="s">
        <v>5380</v>
      </c>
      <c r="B330">
        <v>-1</v>
      </c>
      <c r="C330" t="s">
        <v>10337</v>
      </c>
      <c r="D330" s="5">
        <v>228.98</v>
      </c>
    </row>
    <row r="331" spans="1:4" x14ac:dyDescent="0.25">
      <c r="A331" t="s">
        <v>8361</v>
      </c>
      <c r="B331">
        <v>-1</v>
      </c>
      <c r="C331" t="s">
        <v>10337</v>
      </c>
      <c r="D331" s="5">
        <v>53.41</v>
      </c>
    </row>
    <row r="332" spans="1:4" x14ac:dyDescent="0.25">
      <c r="A332" t="s">
        <v>6375</v>
      </c>
      <c r="B332">
        <v>-1</v>
      </c>
      <c r="C332" t="s">
        <v>10344</v>
      </c>
      <c r="D332" s="5">
        <v>0</v>
      </c>
    </row>
    <row r="333" spans="1:4" x14ac:dyDescent="0.25">
      <c r="A333" t="s">
        <v>5374</v>
      </c>
      <c r="B333">
        <v>-1</v>
      </c>
      <c r="C333" t="s">
        <v>10337</v>
      </c>
      <c r="D333" s="5">
        <v>384.35</v>
      </c>
    </row>
    <row r="334" spans="1:4" x14ac:dyDescent="0.25">
      <c r="A334" t="s">
        <v>9015</v>
      </c>
      <c r="B334">
        <v>-1</v>
      </c>
      <c r="C334" t="s">
        <v>10341</v>
      </c>
      <c r="D334" s="5">
        <v>331.01</v>
      </c>
    </row>
    <row r="335" spans="1:4" x14ac:dyDescent="0.25">
      <c r="A335" t="s">
        <v>6201</v>
      </c>
      <c r="B335">
        <v>-1</v>
      </c>
      <c r="C335" t="s">
        <v>10337</v>
      </c>
    </row>
    <row r="336" spans="1:4" x14ac:dyDescent="0.25">
      <c r="A336" t="s">
        <v>8166</v>
      </c>
      <c r="B336">
        <v>-1</v>
      </c>
      <c r="C336" t="s">
        <v>10340</v>
      </c>
      <c r="D336" s="5">
        <v>520.13</v>
      </c>
    </row>
    <row r="337" spans="1:4" x14ac:dyDescent="0.25">
      <c r="A337" t="s">
        <v>5755</v>
      </c>
      <c r="B337">
        <v>-1</v>
      </c>
      <c r="C337" t="s">
        <v>10333</v>
      </c>
      <c r="D337" s="5">
        <v>-28111.72</v>
      </c>
    </row>
    <row r="338" spans="1:4" x14ac:dyDescent="0.25">
      <c r="A338" t="s">
        <v>4650</v>
      </c>
      <c r="B338">
        <v>-1</v>
      </c>
      <c r="C338" t="s">
        <v>10339</v>
      </c>
      <c r="D338" s="5">
        <v>405.69</v>
      </c>
    </row>
    <row r="339" spans="1:4" x14ac:dyDescent="0.25">
      <c r="A339" t="s">
        <v>8893</v>
      </c>
      <c r="B339">
        <v>-1</v>
      </c>
      <c r="C339" t="s">
        <v>10338</v>
      </c>
      <c r="D339" s="5">
        <v>160.35</v>
      </c>
    </row>
    <row r="340" spans="1:4" x14ac:dyDescent="0.25">
      <c r="A340" t="s">
        <v>157</v>
      </c>
      <c r="B340">
        <v>-1</v>
      </c>
      <c r="C340" t="s">
        <v>10337</v>
      </c>
      <c r="D340" s="5">
        <v>866.77</v>
      </c>
    </row>
    <row r="341" spans="1:4" x14ac:dyDescent="0.25">
      <c r="A341" t="s">
        <v>7356</v>
      </c>
      <c r="B341">
        <v>-1</v>
      </c>
      <c r="C341" t="s">
        <v>10339</v>
      </c>
      <c r="D341" s="5">
        <v>-1723.1</v>
      </c>
    </row>
    <row r="342" spans="1:4" x14ac:dyDescent="0.25">
      <c r="A342" t="s">
        <v>8016</v>
      </c>
      <c r="B342">
        <v>-1</v>
      </c>
      <c r="C342" t="s">
        <v>10333</v>
      </c>
      <c r="D342" s="5">
        <v>-6124.82</v>
      </c>
    </row>
    <row r="343" spans="1:4" x14ac:dyDescent="0.25">
      <c r="A343" t="s">
        <v>9124</v>
      </c>
      <c r="B343">
        <v>-1</v>
      </c>
      <c r="C343" t="s">
        <v>10334</v>
      </c>
      <c r="D343" s="5">
        <v>1085.1500000000001</v>
      </c>
    </row>
    <row r="344" spans="1:4" x14ac:dyDescent="0.25">
      <c r="A344" t="s">
        <v>1763</v>
      </c>
      <c r="B344">
        <v>-1</v>
      </c>
      <c r="C344" t="s">
        <v>10339</v>
      </c>
      <c r="D344" s="5">
        <v>1275.52</v>
      </c>
    </row>
    <row r="345" spans="1:4" x14ac:dyDescent="0.25">
      <c r="A345" t="s">
        <v>8236</v>
      </c>
      <c r="B345">
        <v>-1</v>
      </c>
      <c r="C345" t="s">
        <v>10338</v>
      </c>
      <c r="D345" s="5">
        <v>78.8</v>
      </c>
    </row>
    <row r="346" spans="1:4" x14ac:dyDescent="0.25">
      <c r="A346" t="s">
        <v>9055</v>
      </c>
      <c r="B346">
        <v>-1</v>
      </c>
      <c r="C346" t="s">
        <v>10340</v>
      </c>
      <c r="D346" s="5">
        <v>101.53</v>
      </c>
    </row>
    <row r="347" spans="1:4" x14ac:dyDescent="0.25">
      <c r="A347" t="s">
        <v>8932</v>
      </c>
      <c r="B347">
        <v>-1</v>
      </c>
      <c r="C347" t="s">
        <v>10333</v>
      </c>
      <c r="D347" s="5">
        <v>-315.12</v>
      </c>
    </row>
    <row r="348" spans="1:4" x14ac:dyDescent="0.25">
      <c r="A348" t="s">
        <v>5789</v>
      </c>
      <c r="B348">
        <v>-1</v>
      </c>
      <c r="C348" t="s">
        <v>10340</v>
      </c>
      <c r="D348" s="5">
        <v>-4010.5</v>
      </c>
    </row>
    <row r="349" spans="1:4" x14ac:dyDescent="0.25">
      <c r="A349" t="s">
        <v>8344</v>
      </c>
      <c r="B349">
        <v>-1</v>
      </c>
      <c r="C349" t="s">
        <v>10333</v>
      </c>
      <c r="D349" s="5">
        <v>-3306.65</v>
      </c>
    </row>
    <row r="350" spans="1:4" x14ac:dyDescent="0.25">
      <c r="A350" t="s">
        <v>1709</v>
      </c>
      <c r="B350">
        <v>-1</v>
      </c>
      <c r="C350" t="s">
        <v>10340</v>
      </c>
      <c r="D350" s="5">
        <v>-637.41</v>
      </c>
    </row>
    <row r="351" spans="1:4" x14ac:dyDescent="0.25">
      <c r="A351" t="s">
        <v>4295</v>
      </c>
      <c r="B351">
        <v>-1</v>
      </c>
      <c r="C351" t="s">
        <v>10337</v>
      </c>
      <c r="D351" s="5">
        <v>0</v>
      </c>
    </row>
    <row r="352" spans="1:4" x14ac:dyDescent="0.25">
      <c r="A352" t="s">
        <v>9012</v>
      </c>
      <c r="B352">
        <v>-1</v>
      </c>
      <c r="C352" t="s">
        <v>10336</v>
      </c>
      <c r="D352" s="5">
        <v>420.87</v>
      </c>
    </row>
    <row r="353" spans="1:4" x14ac:dyDescent="0.25">
      <c r="A353" t="s">
        <v>2183</v>
      </c>
      <c r="B353">
        <v>-1</v>
      </c>
      <c r="C353" t="s">
        <v>10338</v>
      </c>
      <c r="D353" s="5">
        <v>91.69</v>
      </c>
    </row>
    <row r="354" spans="1:4" x14ac:dyDescent="0.25">
      <c r="A354" t="s">
        <v>9102</v>
      </c>
      <c r="B354">
        <v>-1</v>
      </c>
      <c r="C354" t="s">
        <v>10335</v>
      </c>
      <c r="D354" s="5">
        <v>-5846.24</v>
      </c>
    </row>
    <row r="355" spans="1:4" x14ac:dyDescent="0.25">
      <c r="A355" t="s">
        <v>7750</v>
      </c>
      <c r="B355">
        <v>-1</v>
      </c>
      <c r="C355" t="s">
        <v>10333</v>
      </c>
      <c r="D355" s="5">
        <v>-71223.039999999994</v>
      </c>
    </row>
    <row r="356" spans="1:4" x14ac:dyDescent="0.25">
      <c r="A356" t="s">
        <v>5976</v>
      </c>
      <c r="B356">
        <v>-1</v>
      </c>
      <c r="C356" t="s">
        <v>10340</v>
      </c>
      <c r="D356" s="5">
        <v>1165.56</v>
      </c>
    </row>
    <row r="357" spans="1:4" x14ac:dyDescent="0.25">
      <c r="A357" t="s">
        <v>4905</v>
      </c>
      <c r="B357">
        <v>-1</v>
      </c>
      <c r="C357" t="s">
        <v>10338</v>
      </c>
      <c r="D357" s="5">
        <v>1252.43</v>
      </c>
    </row>
    <row r="358" spans="1:4" x14ac:dyDescent="0.25">
      <c r="A358" t="s">
        <v>4964</v>
      </c>
      <c r="B358">
        <v>-1</v>
      </c>
      <c r="C358" t="s">
        <v>10338</v>
      </c>
      <c r="D358" s="5">
        <v>2497.88</v>
      </c>
    </row>
    <row r="359" spans="1:4" x14ac:dyDescent="0.25">
      <c r="A359" t="s">
        <v>6091</v>
      </c>
      <c r="B359">
        <v>-1</v>
      </c>
      <c r="C359" t="s">
        <v>10338</v>
      </c>
      <c r="D359" s="5">
        <v>3616.89</v>
      </c>
    </row>
    <row r="360" spans="1:4" x14ac:dyDescent="0.25">
      <c r="A360" t="s">
        <v>9266</v>
      </c>
      <c r="B360">
        <v>-1</v>
      </c>
      <c r="C360" t="s">
        <v>10341</v>
      </c>
      <c r="D360" s="5">
        <v>-825.66</v>
      </c>
    </row>
    <row r="361" spans="1:4" x14ac:dyDescent="0.25">
      <c r="A361" t="s">
        <v>9198</v>
      </c>
      <c r="B361">
        <v>-1</v>
      </c>
      <c r="C361" t="s">
        <v>10338</v>
      </c>
      <c r="D361" s="5">
        <v>2260.9</v>
      </c>
    </row>
    <row r="362" spans="1:4" x14ac:dyDescent="0.25">
      <c r="A362" t="s">
        <v>1257</v>
      </c>
      <c r="B362">
        <v>-1</v>
      </c>
      <c r="C362" t="s">
        <v>10336</v>
      </c>
      <c r="D362" s="5">
        <v>9897.84</v>
      </c>
    </row>
    <row r="363" spans="1:4" x14ac:dyDescent="0.25">
      <c r="A363" t="s">
        <v>4596</v>
      </c>
      <c r="B363">
        <v>-1</v>
      </c>
      <c r="C363" t="s">
        <v>10338</v>
      </c>
      <c r="D363" s="5">
        <v>2061.98</v>
      </c>
    </row>
    <row r="364" spans="1:4" x14ac:dyDescent="0.25">
      <c r="A364" t="s">
        <v>9361</v>
      </c>
      <c r="B364">
        <v>-1</v>
      </c>
      <c r="C364" t="s">
        <v>10338</v>
      </c>
      <c r="D364" s="5">
        <v>857.08</v>
      </c>
    </row>
    <row r="365" spans="1:4" x14ac:dyDescent="0.25">
      <c r="A365" t="s">
        <v>3543</v>
      </c>
      <c r="B365">
        <v>-1</v>
      </c>
      <c r="C365" t="s">
        <v>10340</v>
      </c>
      <c r="D365" s="5">
        <v>490.98</v>
      </c>
    </row>
    <row r="366" spans="1:4" x14ac:dyDescent="0.25">
      <c r="A366" t="s">
        <v>4214</v>
      </c>
      <c r="B366">
        <v>-1</v>
      </c>
      <c r="C366" t="s">
        <v>10335</v>
      </c>
      <c r="D366" s="5">
        <v>0</v>
      </c>
    </row>
    <row r="367" spans="1:4" x14ac:dyDescent="0.25">
      <c r="A367" t="s">
        <v>4127</v>
      </c>
      <c r="B367">
        <v>-1</v>
      </c>
      <c r="C367" t="s">
        <v>10338</v>
      </c>
      <c r="D367" s="5">
        <v>801.01</v>
      </c>
    </row>
    <row r="368" spans="1:4" x14ac:dyDescent="0.25">
      <c r="A368" t="s">
        <v>8382</v>
      </c>
      <c r="B368">
        <v>-1</v>
      </c>
      <c r="C368" t="s">
        <v>10335</v>
      </c>
      <c r="D368" s="5">
        <v>10632.88</v>
      </c>
    </row>
    <row r="369" spans="1:4" x14ac:dyDescent="0.25">
      <c r="A369" t="s">
        <v>6355</v>
      </c>
      <c r="B369">
        <v>-1</v>
      </c>
      <c r="C369" t="s">
        <v>10336</v>
      </c>
      <c r="D369" s="5">
        <v>-633.38</v>
      </c>
    </row>
    <row r="370" spans="1:4" x14ac:dyDescent="0.25">
      <c r="A370" t="s">
        <v>6077</v>
      </c>
      <c r="B370">
        <v>-1</v>
      </c>
      <c r="C370" t="s">
        <v>10338</v>
      </c>
    </row>
    <row r="371" spans="1:4" x14ac:dyDescent="0.25">
      <c r="A371" t="s">
        <v>5425</v>
      </c>
      <c r="B371">
        <v>-1</v>
      </c>
      <c r="C371" t="s">
        <v>10338</v>
      </c>
      <c r="D371" s="5">
        <v>0</v>
      </c>
    </row>
    <row r="372" spans="1:4" x14ac:dyDescent="0.25">
      <c r="A372" t="s">
        <v>4732</v>
      </c>
      <c r="B372">
        <v>-1</v>
      </c>
      <c r="C372" t="s">
        <v>10336</v>
      </c>
      <c r="D372" s="5">
        <v>1248.8699999999999</v>
      </c>
    </row>
    <row r="373" spans="1:4" x14ac:dyDescent="0.25">
      <c r="A373" t="s">
        <v>2641</v>
      </c>
      <c r="B373">
        <v>-1</v>
      </c>
      <c r="C373" t="s">
        <v>10337</v>
      </c>
      <c r="D373" s="5">
        <v>1357.96</v>
      </c>
    </row>
    <row r="374" spans="1:4" x14ac:dyDescent="0.25">
      <c r="A374" t="s">
        <v>10164</v>
      </c>
      <c r="B374">
        <v>-1</v>
      </c>
      <c r="C374" t="s">
        <v>10338</v>
      </c>
    </row>
    <row r="375" spans="1:4" x14ac:dyDescent="0.25">
      <c r="A375" t="s">
        <v>3646</v>
      </c>
      <c r="B375">
        <v>-1</v>
      </c>
      <c r="C375" t="s">
        <v>10344</v>
      </c>
    </row>
    <row r="376" spans="1:4" x14ac:dyDescent="0.25">
      <c r="A376" t="s">
        <v>4425</v>
      </c>
      <c r="B376">
        <v>-1</v>
      </c>
      <c r="C376" t="s">
        <v>10338</v>
      </c>
      <c r="D376" s="5">
        <v>1379.41</v>
      </c>
    </row>
    <row r="377" spans="1:4" x14ac:dyDescent="0.25">
      <c r="A377" t="s">
        <v>3795</v>
      </c>
      <c r="B377">
        <v>-1</v>
      </c>
      <c r="C377" t="s">
        <v>10340</v>
      </c>
      <c r="D377" s="5">
        <v>-953.04</v>
      </c>
    </row>
    <row r="378" spans="1:4" x14ac:dyDescent="0.25">
      <c r="A378" t="s">
        <v>1717</v>
      </c>
      <c r="B378">
        <v>-1</v>
      </c>
      <c r="C378" t="s">
        <v>10337</v>
      </c>
      <c r="D378" s="5">
        <v>804.09</v>
      </c>
    </row>
    <row r="379" spans="1:4" x14ac:dyDescent="0.25">
      <c r="A379" t="s">
        <v>10189</v>
      </c>
      <c r="B379">
        <v>-1</v>
      </c>
      <c r="C379" t="s">
        <v>10333</v>
      </c>
      <c r="D379" s="5">
        <v>-3117.22</v>
      </c>
    </row>
    <row r="380" spans="1:4" x14ac:dyDescent="0.25">
      <c r="A380" t="s">
        <v>5765</v>
      </c>
      <c r="B380">
        <v>-1</v>
      </c>
      <c r="C380" t="s">
        <v>10338</v>
      </c>
      <c r="D380" s="5">
        <v>-263.45</v>
      </c>
    </row>
    <row r="381" spans="1:4" x14ac:dyDescent="0.25">
      <c r="A381" t="s">
        <v>8008</v>
      </c>
      <c r="B381">
        <v>-1</v>
      </c>
      <c r="C381" t="s">
        <v>10340</v>
      </c>
      <c r="D381" s="5">
        <v>427.27</v>
      </c>
    </row>
    <row r="382" spans="1:4" x14ac:dyDescent="0.25">
      <c r="A382" t="s">
        <v>3628</v>
      </c>
      <c r="B382">
        <v>-1</v>
      </c>
      <c r="C382" t="s">
        <v>10334</v>
      </c>
    </row>
    <row r="383" spans="1:4" x14ac:dyDescent="0.25">
      <c r="A383" t="s">
        <v>10135</v>
      </c>
      <c r="B383">
        <v>-1</v>
      </c>
      <c r="C383" t="s">
        <v>10338</v>
      </c>
      <c r="D383" s="5">
        <v>1231.99</v>
      </c>
    </row>
    <row r="384" spans="1:4" x14ac:dyDescent="0.25">
      <c r="A384" t="s">
        <v>9566</v>
      </c>
      <c r="B384">
        <v>-1</v>
      </c>
      <c r="C384" t="s">
        <v>10338</v>
      </c>
      <c r="D384" s="5">
        <v>0</v>
      </c>
    </row>
    <row r="385" spans="1:4" x14ac:dyDescent="0.25">
      <c r="A385" t="s">
        <v>9563</v>
      </c>
      <c r="B385">
        <v>-1</v>
      </c>
      <c r="C385" t="s">
        <v>10338</v>
      </c>
      <c r="D385" s="5">
        <v>1007.08</v>
      </c>
    </row>
    <row r="386" spans="1:4" x14ac:dyDescent="0.25">
      <c r="A386" t="s">
        <v>4528</v>
      </c>
      <c r="B386">
        <v>-1</v>
      </c>
      <c r="C386" t="s">
        <v>10340</v>
      </c>
      <c r="D386" s="5">
        <v>1313.83</v>
      </c>
    </row>
    <row r="387" spans="1:4" x14ac:dyDescent="0.25">
      <c r="A387" t="s">
        <v>5343</v>
      </c>
      <c r="B387">
        <v>-1</v>
      </c>
      <c r="C387" t="s">
        <v>10333</v>
      </c>
      <c r="D387" s="5">
        <v>-20471.46</v>
      </c>
    </row>
    <row r="388" spans="1:4" x14ac:dyDescent="0.25">
      <c r="A388" t="s">
        <v>6008</v>
      </c>
      <c r="B388">
        <v>-1</v>
      </c>
      <c r="C388" t="s">
        <v>10334</v>
      </c>
      <c r="D388" s="5">
        <v>3333.3</v>
      </c>
    </row>
    <row r="389" spans="1:4" x14ac:dyDescent="0.25">
      <c r="A389" t="s">
        <v>9065</v>
      </c>
      <c r="B389">
        <v>-1</v>
      </c>
      <c r="C389" t="s">
        <v>10333</v>
      </c>
      <c r="D389" s="5">
        <v>-28217.57</v>
      </c>
    </row>
    <row r="390" spans="1:4" x14ac:dyDescent="0.25">
      <c r="A390" t="s">
        <v>8179</v>
      </c>
      <c r="B390">
        <v>-1</v>
      </c>
      <c r="C390" t="s">
        <v>10339</v>
      </c>
      <c r="D390" s="5">
        <v>-45.53</v>
      </c>
    </row>
    <row r="391" spans="1:4" x14ac:dyDescent="0.25">
      <c r="A391" t="s">
        <v>5356</v>
      </c>
      <c r="B391">
        <v>-1</v>
      </c>
      <c r="C391" t="s">
        <v>10334</v>
      </c>
      <c r="D391" s="5">
        <v>-494.64</v>
      </c>
    </row>
    <row r="392" spans="1:4" x14ac:dyDescent="0.25">
      <c r="A392" t="s">
        <v>6473</v>
      </c>
      <c r="B392">
        <v>-1</v>
      </c>
      <c r="C392" t="s">
        <v>10337</v>
      </c>
      <c r="D392" s="5">
        <v>390.22</v>
      </c>
    </row>
    <row r="393" spans="1:4" x14ac:dyDescent="0.25">
      <c r="A393" t="s">
        <v>1109</v>
      </c>
      <c r="B393">
        <v>-1</v>
      </c>
      <c r="C393" t="s">
        <v>10340</v>
      </c>
      <c r="D393" s="5">
        <v>-607.82000000000005</v>
      </c>
    </row>
    <row r="394" spans="1:4" x14ac:dyDescent="0.25">
      <c r="A394" t="s">
        <v>3676</v>
      </c>
      <c r="B394">
        <v>-1</v>
      </c>
      <c r="C394" t="s">
        <v>10338</v>
      </c>
      <c r="D394" s="5">
        <v>-1254.28</v>
      </c>
    </row>
    <row r="395" spans="1:4" x14ac:dyDescent="0.25">
      <c r="A395" t="s">
        <v>3682</v>
      </c>
      <c r="B395">
        <v>-1</v>
      </c>
      <c r="C395" t="s">
        <v>10338</v>
      </c>
      <c r="D395" s="5">
        <v>5.88</v>
      </c>
    </row>
    <row r="396" spans="1:4" x14ac:dyDescent="0.25">
      <c r="A396" t="s">
        <v>8248</v>
      </c>
      <c r="B396">
        <v>-1</v>
      </c>
      <c r="C396" t="s">
        <v>10338</v>
      </c>
      <c r="D396" s="5">
        <v>6192.55</v>
      </c>
    </row>
    <row r="397" spans="1:4" x14ac:dyDescent="0.25">
      <c r="A397" t="s">
        <v>8390</v>
      </c>
      <c r="B397">
        <v>-1</v>
      </c>
      <c r="C397" t="s">
        <v>10333</v>
      </c>
      <c r="D397" s="5">
        <v>-524.39</v>
      </c>
    </row>
    <row r="398" spans="1:4" x14ac:dyDescent="0.25">
      <c r="A398" t="s">
        <v>6305</v>
      </c>
      <c r="B398">
        <v>-1</v>
      </c>
      <c r="C398" t="s">
        <v>10338</v>
      </c>
    </row>
    <row r="399" spans="1:4" x14ac:dyDescent="0.25">
      <c r="A399" t="s">
        <v>6313</v>
      </c>
      <c r="B399">
        <v>-1</v>
      </c>
      <c r="C399" t="s">
        <v>10338</v>
      </c>
      <c r="D399" s="5">
        <v>-328.23</v>
      </c>
    </row>
    <row r="400" spans="1:4" x14ac:dyDescent="0.25">
      <c r="A400" t="s">
        <v>9428</v>
      </c>
      <c r="B400">
        <v>-1</v>
      </c>
      <c r="C400" t="s">
        <v>10338</v>
      </c>
      <c r="D400" s="5">
        <v>1.7</v>
      </c>
    </row>
    <row r="401" spans="1:4" x14ac:dyDescent="0.25">
      <c r="A401" t="s">
        <v>318</v>
      </c>
      <c r="B401">
        <v>-1</v>
      </c>
      <c r="C401" t="s">
        <v>10340</v>
      </c>
      <c r="D401" s="5">
        <v>-2038.58</v>
      </c>
    </row>
    <row r="402" spans="1:4" x14ac:dyDescent="0.25">
      <c r="A402" t="s">
        <v>381</v>
      </c>
      <c r="B402">
        <v>-1</v>
      </c>
      <c r="C402" t="s">
        <v>10340</v>
      </c>
      <c r="D402" s="5">
        <v>-353.37</v>
      </c>
    </row>
    <row r="403" spans="1:4" x14ac:dyDescent="0.25">
      <c r="A403" t="s">
        <v>9921</v>
      </c>
      <c r="B403">
        <v>-1</v>
      </c>
      <c r="C403" t="s">
        <v>10335</v>
      </c>
      <c r="D403" s="5">
        <v>560.67999999999995</v>
      </c>
    </row>
    <row r="404" spans="1:4" x14ac:dyDescent="0.25">
      <c r="A404" t="s">
        <v>9440</v>
      </c>
      <c r="B404">
        <v>-1</v>
      </c>
      <c r="C404" t="s">
        <v>10340</v>
      </c>
      <c r="D404" s="5">
        <v>-1104.57</v>
      </c>
    </row>
    <row r="405" spans="1:4" x14ac:dyDescent="0.25">
      <c r="A405" t="s">
        <v>7181</v>
      </c>
      <c r="B405">
        <v>-1</v>
      </c>
      <c r="C405" t="s">
        <v>10336</v>
      </c>
      <c r="D405" s="5">
        <v>17</v>
      </c>
    </row>
    <row r="406" spans="1:4" x14ac:dyDescent="0.25">
      <c r="A406" t="s">
        <v>7194</v>
      </c>
      <c r="B406">
        <v>-1</v>
      </c>
      <c r="C406" t="s">
        <v>10338</v>
      </c>
    </row>
    <row r="407" spans="1:4" x14ac:dyDescent="0.25">
      <c r="A407" t="s">
        <v>9690</v>
      </c>
      <c r="B407">
        <v>-1</v>
      </c>
      <c r="C407" t="s">
        <v>10340</v>
      </c>
      <c r="D407" s="5">
        <v>391.31</v>
      </c>
    </row>
    <row r="408" spans="1:4" x14ac:dyDescent="0.25">
      <c r="A408" t="s">
        <v>9687</v>
      </c>
      <c r="B408">
        <v>-1</v>
      </c>
      <c r="C408" t="s">
        <v>10334</v>
      </c>
      <c r="D408" s="5">
        <v>-560.85</v>
      </c>
    </row>
    <row r="409" spans="1:4" x14ac:dyDescent="0.25">
      <c r="A409" t="s">
        <v>5444</v>
      </c>
      <c r="B409">
        <v>-1</v>
      </c>
      <c r="C409" t="s">
        <v>10338</v>
      </c>
      <c r="D409" s="5">
        <v>604.11</v>
      </c>
    </row>
    <row r="410" spans="1:4" x14ac:dyDescent="0.25">
      <c r="A410" t="s">
        <v>4765</v>
      </c>
      <c r="B410">
        <v>-1</v>
      </c>
      <c r="C410" t="s">
        <v>10338</v>
      </c>
      <c r="D410" s="5">
        <v>0</v>
      </c>
    </row>
    <row r="411" spans="1:4" x14ac:dyDescent="0.25">
      <c r="A411" t="s">
        <v>9886</v>
      </c>
      <c r="B411">
        <v>-1</v>
      </c>
      <c r="C411" t="s">
        <v>10338</v>
      </c>
      <c r="D411" s="5">
        <v>57.47</v>
      </c>
    </row>
    <row r="412" spans="1:4" x14ac:dyDescent="0.25">
      <c r="A412" t="s">
        <v>2167</v>
      </c>
      <c r="B412">
        <v>-1</v>
      </c>
      <c r="C412" t="s">
        <v>10337</v>
      </c>
      <c r="D412" s="5">
        <v>-26.44</v>
      </c>
    </row>
    <row r="413" spans="1:4" x14ac:dyDescent="0.25">
      <c r="A413" t="s">
        <v>759</v>
      </c>
      <c r="B413">
        <v>-1</v>
      </c>
      <c r="C413" t="s">
        <v>10338</v>
      </c>
      <c r="D413" s="5">
        <v>5435.62</v>
      </c>
    </row>
    <row r="414" spans="1:4" x14ac:dyDescent="0.25">
      <c r="A414" t="s">
        <v>828</v>
      </c>
      <c r="B414">
        <v>-1</v>
      </c>
      <c r="C414" t="s">
        <v>10337</v>
      </c>
      <c r="D414" s="5">
        <v>3308.8</v>
      </c>
    </row>
    <row r="415" spans="1:4" x14ac:dyDescent="0.25">
      <c r="A415" t="s">
        <v>9085</v>
      </c>
      <c r="B415">
        <v>-1</v>
      </c>
      <c r="C415" t="s">
        <v>10338</v>
      </c>
    </row>
    <row r="416" spans="1:4" x14ac:dyDescent="0.25">
      <c r="A416" t="s">
        <v>1909</v>
      </c>
      <c r="B416">
        <v>-1</v>
      </c>
      <c r="C416" t="s">
        <v>10338</v>
      </c>
      <c r="D416" s="5">
        <v>0</v>
      </c>
    </row>
    <row r="417" spans="1:4" x14ac:dyDescent="0.25">
      <c r="A417" t="s">
        <v>79</v>
      </c>
      <c r="B417">
        <v>-1</v>
      </c>
      <c r="C417" t="s">
        <v>10333</v>
      </c>
      <c r="D417" s="5">
        <v>-2374.61</v>
      </c>
    </row>
    <row r="418" spans="1:4" x14ac:dyDescent="0.25">
      <c r="A418" t="s">
        <v>3407</v>
      </c>
      <c r="B418">
        <v>-1</v>
      </c>
      <c r="C418" t="s">
        <v>10337</v>
      </c>
      <c r="D418" s="5">
        <v>678.72</v>
      </c>
    </row>
    <row r="419" spans="1:4" x14ac:dyDescent="0.25">
      <c r="A419" t="s">
        <v>1739</v>
      </c>
      <c r="B419">
        <v>-1</v>
      </c>
      <c r="C419" t="s">
        <v>10337</v>
      </c>
      <c r="D419" s="5">
        <v>994.21</v>
      </c>
    </row>
    <row r="420" spans="1:4" x14ac:dyDescent="0.25">
      <c r="A420" t="s">
        <v>5698</v>
      </c>
      <c r="B420">
        <v>-1</v>
      </c>
      <c r="C420" t="s">
        <v>10344</v>
      </c>
      <c r="D420" s="5">
        <v>1.26</v>
      </c>
    </row>
    <row r="421" spans="1:4" x14ac:dyDescent="0.25">
      <c r="A421" t="s">
        <v>5692</v>
      </c>
      <c r="B421">
        <v>-1</v>
      </c>
      <c r="C421" t="s">
        <v>10339</v>
      </c>
      <c r="D421" s="5">
        <v>0</v>
      </c>
    </row>
    <row r="422" spans="1:4" x14ac:dyDescent="0.25">
      <c r="A422" t="s">
        <v>6919</v>
      </c>
      <c r="B422">
        <v>-1</v>
      </c>
      <c r="C422" t="s">
        <v>10337</v>
      </c>
      <c r="D422" s="5">
        <v>29.86</v>
      </c>
    </row>
    <row r="423" spans="1:4" x14ac:dyDescent="0.25">
      <c r="A423" t="s">
        <v>4188</v>
      </c>
      <c r="B423">
        <v>-1</v>
      </c>
      <c r="C423" t="s">
        <v>10337</v>
      </c>
      <c r="D423" s="5">
        <v>589.44000000000005</v>
      </c>
    </row>
    <row r="424" spans="1:4" x14ac:dyDescent="0.25">
      <c r="A424" t="s">
        <v>4206</v>
      </c>
      <c r="B424">
        <v>-1</v>
      </c>
      <c r="C424" t="s">
        <v>10341</v>
      </c>
      <c r="D424" s="5">
        <v>-2820.46</v>
      </c>
    </row>
    <row r="425" spans="1:4" x14ac:dyDescent="0.25">
      <c r="A425" t="s">
        <v>9598</v>
      </c>
      <c r="B425">
        <v>-1</v>
      </c>
      <c r="C425" t="s">
        <v>10338</v>
      </c>
      <c r="D425" s="5">
        <v>2189.64</v>
      </c>
    </row>
    <row r="426" spans="1:4" x14ac:dyDescent="0.25">
      <c r="A426" t="s">
        <v>4664</v>
      </c>
      <c r="B426">
        <v>-1</v>
      </c>
      <c r="C426" t="s">
        <v>10338</v>
      </c>
      <c r="D426" s="5">
        <v>0</v>
      </c>
    </row>
    <row r="427" spans="1:4" x14ac:dyDescent="0.25">
      <c r="A427" t="s">
        <v>9867</v>
      </c>
      <c r="B427">
        <v>-1</v>
      </c>
      <c r="C427" t="s">
        <v>10338</v>
      </c>
      <c r="D427" s="5">
        <v>-76.55</v>
      </c>
    </row>
    <row r="428" spans="1:4" x14ac:dyDescent="0.25">
      <c r="A428" t="s">
        <v>2293</v>
      </c>
      <c r="B428">
        <v>-1</v>
      </c>
      <c r="C428" t="s">
        <v>10339</v>
      </c>
    </row>
    <row r="429" spans="1:4" x14ac:dyDescent="0.25">
      <c r="A429" t="s">
        <v>10076</v>
      </c>
      <c r="B429">
        <v>-1</v>
      </c>
      <c r="C429" t="s">
        <v>10338</v>
      </c>
      <c r="D429" s="5">
        <v>2464.0700000000002</v>
      </c>
    </row>
    <row r="430" spans="1:4" x14ac:dyDescent="0.25">
      <c r="A430" t="s">
        <v>847</v>
      </c>
      <c r="B430">
        <v>-1</v>
      </c>
      <c r="C430" t="s">
        <v>10338</v>
      </c>
      <c r="D430" s="5">
        <v>420.98</v>
      </c>
    </row>
    <row r="431" spans="1:4" x14ac:dyDescent="0.25">
      <c r="A431" t="s">
        <v>3272</v>
      </c>
      <c r="B431">
        <v>-1</v>
      </c>
      <c r="C431" t="s">
        <v>10335</v>
      </c>
      <c r="D431" s="5">
        <v>276.13</v>
      </c>
    </row>
    <row r="432" spans="1:4" x14ac:dyDescent="0.25">
      <c r="A432" t="s">
        <v>1333</v>
      </c>
      <c r="B432">
        <v>-1</v>
      </c>
      <c r="C432" t="s">
        <v>10339</v>
      </c>
      <c r="D432" s="5">
        <v>-741.79</v>
      </c>
    </row>
    <row r="433" spans="1:4" x14ac:dyDescent="0.25">
      <c r="A433" t="s">
        <v>3051</v>
      </c>
      <c r="B433">
        <v>-1</v>
      </c>
      <c r="C433" t="s">
        <v>10340</v>
      </c>
      <c r="D433" s="5">
        <v>-465.96</v>
      </c>
    </row>
    <row r="434" spans="1:4" x14ac:dyDescent="0.25">
      <c r="A434" t="s">
        <v>3281</v>
      </c>
      <c r="B434">
        <v>-1</v>
      </c>
      <c r="C434" t="s">
        <v>10338</v>
      </c>
      <c r="D434" s="5">
        <v>-597.91</v>
      </c>
    </row>
    <row r="435" spans="1:4" x14ac:dyDescent="0.25">
      <c r="A435" t="s">
        <v>2383</v>
      </c>
      <c r="B435">
        <v>-1</v>
      </c>
      <c r="C435" t="s">
        <v>10340</v>
      </c>
      <c r="D435" s="5">
        <v>1064.6099999999999</v>
      </c>
    </row>
    <row r="436" spans="1:4" x14ac:dyDescent="0.25">
      <c r="A436" t="s">
        <v>2059</v>
      </c>
      <c r="B436">
        <v>-1</v>
      </c>
      <c r="C436" t="s">
        <v>10344</v>
      </c>
      <c r="D436" s="5">
        <v>1082.75</v>
      </c>
    </row>
    <row r="437" spans="1:4" x14ac:dyDescent="0.25">
      <c r="A437" t="s">
        <v>2379</v>
      </c>
      <c r="B437">
        <v>-1</v>
      </c>
      <c r="C437" t="s">
        <v>10338</v>
      </c>
      <c r="D437" s="5">
        <v>1161.23</v>
      </c>
    </row>
    <row r="438" spans="1:4" x14ac:dyDescent="0.25">
      <c r="A438" t="s">
        <v>9205</v>
      </c>
      <c r="B438">
        <v>-1</v>
      </c>
      <c r="C438" t="s">
        <v>10344</v>
      </c>
      <c r="D438" s="5">
        <v>388.18</v>
      </c>
    </row>
    <row r="439" spans="1:4" x14ac:dyDescent="0.25">
      <c r="A439" t="s">
        <v>1223</v>
      </c>
      <c r="B439">
        <v>-1</v>
      </c>
      <c r="C439" t="s">
        <v>10338</v>
      </c>
      <c r="D439" s="5">
        <v>2637.37</v>
      </c>
    </row>
    <row r="440" spans="1:4" x14ac:dyDescent="0.25">
      <c r="A440" t="s">
        <v>3377</v>
      </c>
      <c r="B440">
        <v>-1</v>
      </c>
      <c r="C440" t="s">
        <v>10338</v>
      </c>
      <c r="D440" s="5">
        <v>2611.7399999999998</v>
      </c>
    </row>
    <row r="441" spans="1:4" x14ac:dyDescent="0.25">
      <c r="A441" t="s">
        <v>2254</v>
      </c>
      <c r="B441">
        <v>-1</v>
      </c>
      <c r="C441" t="s">
        <v>10340</v>
      </c>
      <c r="D441" s="5">
        <v>8270</v>
      </c>
    </row>
    <row r="442" spans="1:4" x14ac:dyDescent="0.25">
      <c r="A442" t="s">
        <v>1191</v>
      </c>
      <c r="B442">
        <v>-1</v>
      </c>
      <c r="C442" t="s">
        <v>10344</v>
      </c>
      <c r="D442" s="5">
        <v>878.7</v>
      </c>
    </row>
    <row r="443" spans="1:4" x14ac:dyDescent="0.25">
      <c r="A443" t="s">
        <v>9093</v>
      </c>
      <c r="B443">
        <v>-1</v>
      </c>
      <c r="C443" t="s">
        <v>10338</v>
      </c>
      <c r="D443" s="5">
        <v>928.4</v>
      </c>
    </row>
    <row r="444" spans="1:4" x14ac:dyDescent="0.25">
      <c r="A444" t="s">
        <v>3263</v>
      </c>
      <c r="B444">
        <v>-1</v>
      </c>
      <c r="C444" t="s">
        <v>10338</v>
      </c>
      <c r="D444" s="5">
        <v>857.91</v>
      </c>
    </row>
    <row r="445" spans="1:4" x14ac:dyDescent="0.25">
      <c r="A445" t="s">
        <v>2729</v>
      </c>
      <c r="B445">
        <v>-1</v>
      </c>
      <c r="C445" t="s">
        <v>10335</v>
      </c>
    </row>
    <row r="446" spans="1:4" x14ac:dyDescent="0.25">
      <c r="A446" t="s">
        <v>3347</v>
      </c>
      <c r="B446">
        <v>-1</v>
      </c>
      <c r="C446" t="s">
        <v>10338</v>
      </c>
      <c r="D446" s="5">
        <v>2024.71</v>
      </c>
    </row>
    <row r="447" spans="1:4" x14ac:dyDescent="0.25">
      <c r="A447" t="s">
        <v>3344</v>
      </c>
      <c r="B447">
        <v>-1</v>
      </c>
      <c r="C447" t="s">
        <v>10338</v>
      </c>
      <c r="D447" s="5">
        <v>903</v>
      </c>
    </row>
    <row r="448" spans="1:4" x14ac:dyDescent="0.25">
      <c r="A448" t="s">
        <v>3419</v>
      </c>
      <c r="B448">
        <v>-1</v>
      </c>
      <c r="C448" t="s">
        <v>10338</v>
      </c>
      <c r="D448" s="5">
        <v>3297.72</v>
      </c>
    </row>
    <row r="449" spans="1:4" x14ac:dyDescent="0.25">
      <c r="A449" t="s">
        <v>3437</v>
      </c>
      <c r="B449">
        <v>-1</v>
      </c>
      <c r="C449" t="s">
        <v>10340</v>
      </c>
      <c r="D449" s="5">
        <v>344.6</v>
      </c>
    </row>
    <row r="450" spans="1:4" x14ac:dyDescent="0.25">
      <c r="A450" t="s">
        <v>3380</v>
      </c>
      <c r="B450">
        <v>-1</v>
      </c>
      <c r="C450" t="s">
        <v>10338</v>
      </c>
      <c r="D450" s="5">
        <v>1657.72</v>
      </c>
    </row>
    <row r="451" spans="1:4" x14ac:dyDescent="0.25">
      <c r="A451" t="s">
        <v>2202</v>
      </c>
      <c r="B451">
        <v>-1</v>
      </c>
      <c r="C451" t="s">
        <v>10338</v>
      </c>
    </row>
    <row r="452" spans="1:4" x14ac:dyDescent="0.25">
      <c r="A452" t="s">
        <v>2575</v>
      </c>
      <c r="B452">
        <v>-1</v>
      </c>
      <c r="C452" t="s">
        <v>10341</v>
      </c>
      <c r="D452" s="5">
        <v>577.44000000000005</v>
      </c>
    </row>
    <row r="453" spans="1:4" x14ac:dyDescent="0.25">
      <c r="A453" t="s">
        <v>2193</v>
      </c>
      <c r="B453">
        <v>-1</v>
      </c>
      <c r="C453" t="s">
        <v>10335</v>
      </c>
      <c r="D453" s="5">
        <v>-278.48</v>
      </c>
    </row>
    <row r="454" spans="1:4" x14ac:dyDescent="0.25">
      <c r="A454" t="s">
        <v>5757</v>
      </c>
      <c r="B454">
        <v>-1</v>
      </c>
      <c r="C454" t="s">
        <v>10333</v>
      </c>
      <c r="D454" s="5">
        <v>-9641.1</v>
      </c>
    </row>
    <row r="455" spans="1:4" x14ac:dyDescent="0.25">
      <c r="A455" t="s">
        <v>8664</v>
      </c>
      <c r="B455">
        <v>-1</v>
      </c>
      <c r="C455" t="s">
        <v>10334</v>
      </c>
      <c r="D455" s="5">
        <v>-170.69</v>
      </c>
    </row>
    <row r="456" spans="1:4" x14ac:dyDescent="0.25">
      <c r="A456" t="s">
        <v>8747</v>
      </c>
      <c r="B456">
        <v>-1</v>
      </c>
      <c r="C456" t="s">
        <v>10333</v>
      </c>
      <c r="D456" s="5">
        <v>-23052.46</v>
      </c>
    </row>
    <row r="457" spans="1:4" x14ac:dyDescent="0.25">
      <c r="A457" t="s">
        <v>6982</v>
      </c>
      <c r="B457">
        <v>-1</v>
      </c>
      <c r="C457" t="s">
        <v>10333</v>
      </c>
      <c r="D457" s="5">
        <v>-14650.8</v>
      </c>
    </row>
    <row r="458" spans="1:4" x14ac:dyDescent="0.25">
      <c r="A458" t="s">
        <v>5719</v>
      </c>
      <c r="B458">
        <v>-1</v>
      </c>
      <c r="C458" t="s">
        <v>10341</v>
      </c>
      <c r="D458" s="5">
        <v>-197.92</v>
      </c>
    </row>
    <row r="459" spans="1:4" x14ac:dyDescent="0.25">
      <c r="A459" t="s">
        <v>8600</v>
      </c>
      <c r="B459">
        <v>-1</v>
      </c>
      <c r="C459" t="s">
        <v>10338</v>
      </c>
      <c r="D459" s="5">
        <v>629.37</v>
      </c>
    </row>
    <row r="460" spans="1:4" x14ac:dyDescent="0.25">
      <c r="A460" t="s">
        <v>9460</v>
      </c>
      <c r="B460">
        <v>-1</v>
      </c>
      <c r="C460" t="s">
        <v>10339</v>
      </c>
      <c r="D460" s="5">
        <v>357.99</v>
      </c>
    </row>
    <row r="461" spans="1:4" x14ac:dyDescent="0.25">
      <c r="A461" t="s">
        <v>7665</v>
      </c>
      <c r="B461">
        <v>-1</v>
      </c>
      <c r="C461" t="s">
        <v>10344</v>
      </c>
      <c r="D461" s="5">
        <v>3539.93</v>
      </c>
    </row>
    <row r="462" spans="1:4" x14ac:dyDescent="0.25">
      <c r="A462" t="s">
        <v>7200</v>
      </c>
      <c r="B462">
        <v>-1</v>
      </c>
      <c r="C462" t="s">
        <v>10335</v>
      </c>
      <c r="D462" s="5">
        <v>18485.13</v>
      </c>
    </row>
    <row r="463" spans="1:4" x14ac:dyDescent="0.25">
      <c r="A463" t="s">
        <v>8761</v>
      </c>
      <c r="B463">
        <v>-1</v>
      </c>
      <c r="C463" t="s">
        <v>10340</v>
      </c>
      <c r="D463" s="5">
        <v>-3393.83</v>
      </c>
    </row>
    <row r="464" spans="1:4" x14ac:dyDescent="0.25">
      <c r="A464" t="s">
        <v>4947</v>
      </c>
      <c r="B464">
        <v>-1</v>
      </c>
      <c r="C464" t="s">
        <v>10338</v>
      </c>
      <c r="D464" s="5">
        <v>448.77</v>
      </c>
    </row>
    <row r="465" spans="1:4" x14ac:dyDescent="0.25">
      <c r="A465" t="s">
        <v>5879</v>
      </c>
      <c r="B465">
        <v>-1</v>
      </c>
      <c r="C465" t="s">
        <v>10338</v>
      </c>
      <c r="D465" s="5">
        <v>378.94</v>
      </c>
    </row>
    <row r="466" spans="1:4" x14ac:dyDescent="0.25">
      <c r="A466" t="s">
        <v>2929</v>
      </c>
      <c r="B466">
        <v>-1</v>
      </c>
      <c r="C466" t="s">
        <v>10340</v>
      </c>
      <c r="D466" s="5">
        <v>3161.64</v>
      </c>
    </row>
    <row r="467" spans="1:4" x14ac:dyDescent="0.25">
      <c r="A467" t="s">
        <v>696</v>
      </c>
      <c r="B467">
        <v>-1</v>
      </c>
      <c r="C467" t="s">
        <v>10339</v>
      </c>
      <c r="D467" s="5">
        <v>2784.16</v>
      </c>
    </row>
    <row r="468" spans="1:4" x14ac:dyDescent="0.25">
      <c r="A468" t="s">
        <v>9216</v>
      </c>
      <c r="B468">
        <v>-1</v>
      </c>
      <c r="C468" t="s">
        <v>10337</v>
      </c>
      <c r="D468" s="5">
        <v>-701.38</v>
      </c>
    </row>
    <row r="469" spans="1:4" x14ac:dyDescent="0.25">
      <c r="A469" t="s">
        <v>2334</v>
      </c>
      <c r="B469">
        <v>-1</v>
      </c>
      <c r="C469" t="s">
        <v>10338</v>
      </c>
      <c r="D469" s="5">
        <v>5797.18</v>
      </c>
    </row>
    <row r="470" spans="1:4" x14ac:dyDescent="0.25">
      <c r="A470" t="s">
        <v>1473</v>
      </c>
      <c r="B470">
        <v>-1</v>
      </c>
      <c r="C470" t="s">
        <v>10343</v>
      </c>
      <c r="D470" s="5">
        <v>2927.58</v>
      </c>
    </row>
    <row r="471" spans="1:4" x14ac:dyDescent="0.25">
      <c r="A471" t="s">
        <v>7397</v>
      </c>
      <c r="B471">
        <v>-1</v>
      </c>
      <c r="C471" t="s">
        <v>10333</v>
      </c>
      <c r="D471" s="5">
        <v>-14623.19</v>
      </c>
    </row>
    <row r="472" spans="1:4" x14ac:dyDescent="0.25">
      <c r="A472" t="s">
        <v>7470</v>
      </c>
      <c r="B472">
        <v>-1</v>
      </c>
      <c r="C472" t="s">
        <v>10338</v>
      </c>
      <c r="D472" s="5">
        <v>5424.48</v>
      </c>
    </row>
    <row r="473" spans="1:4" x14ac:dyDescent="0.25">
      <c r="A473" t="s">
        <v>9617</v>
      </c>
      <c r="B473">
        <v>-1</v>
      </c>
      <c r="C473" t="s">
        <v>10338</v>
      </c>
      <c r="D473" s="5">
        <v>1143.4000000000001</v>
      </c>
    </row>
    <row r="474" spans="1:4" x14ac:dyDescent="0.25">
      <c r="A474" t="s">
        <v>7074</v>
      </c>
      <c r="B474">
        <v>-1</v>
      </c>
      <c r="C474" t="s">
        <v>10337</v>
      </c>
      <c r="D474" s="5">
        <v>-375.43</v>
      </c>
    </row>
    <row r="475" spans="1:4" x14ac:dyDescent="0.25">
      <c r="A475" t="s">
        <v>10273</v>
      </c>
      <c r="B475">
        <v>-1</v>
      </c>
      <c r="C475" t="s">
        <v>10335</v>
      </c>
      <c r="D475" s="5">
        <v>-852.58</v>
      </c>
    </row>
    <row r="476" spans="1:4" x14ac:dyDescent="0.25">
      <c r="A476" t="s">
        <v>7142</v>
      </c>
      <c r="B476">
        <v>-1</v>
      </c>
      <c r="C476" t="s">
        <v>10333</v>
      </c>
    </row>
    <row r="477" spans="1:4" x14ac:dyDescent="0.25">
      <c r="A477" t="s">
        <v>7351</v>
      </c>
      <c r="B477">
        <v>-1</v>
      </c>
      <c r="C477" t="s">
        <v>10334</v>
      </c>
      <c r="D477" s="5">
        <v>780.58</v>
      </c>
    </row>
    <row r="478" spans="1:4" x14ac:dyDescent="0.25">
      <c r="A478" t="s">
        <v>7334</v>
      </c>
      <c r="B478">
        <v>-1</v>
      </c>
      <c r="C478" t="s">
        <v>10338</v>
      </c>
      <c r="D478" s="5">
        <v>1270.6600000000001</v>
      </c>
    </row>
    <row r="479" spans="1:4" x14ac:dyDescent="0.25">
      <c r="A479" t="s">
        <v>4800</v>
      </c>
      <c r="B479">
        <v>-1</v>
      </c>
      <c r="C479" t="s">
        <v>10334</v>
      </c>
      <c r="D479" s="5">
        <v>936.16</v>
      </c>
    </row>
    <row r="480" spans="1:4" x14ac:dyDescent="0.25">
      <c r="A480" t="s">
        <v>10009</v>
      </c>
      <c r="B480">
        <v>-1</v>
      </c>
      <c r="C480" t="s">
        <v>10338</v>
      </c>
      <c r="D480" s="5">
        <v>1277.73</v>
      </c>
    </row>
    <row r="481" spans="1:4" x14ac:dyDescent="0.25">
      <c r="A481" t="s">
        <v>7646</v>
      </c>
      <c r="B481">
        <v>-1</v>
      </c>
      <c r="C481" t="s">
        <v>10338</v>
      </c>
      <c r="D481" s="5">
        <v>2453.21</v>
      </c>
    </row>
    <row r="482" spans="1:4" x14ac:dyDescent="0.25">
      <c r="A482" t="s">
        <v>7669</v>
      </c>
      <c r="B482">
        <v>-1</v>
      </c>
      <c r="C482" t="s">
        <v>10338</v>
      </c>
      <c r="D482" s="5">
        <v>3659.64</v>
      </c>
    </row>
    <row r="483" spans="1:4" x14ac:dyDescent="0.25">
      <c r="A483" t="s">
        <v>7607</v>
      </c>
      <c r="B483">
        <v>-1</v>
      </c>
      <c r="C483" t="s">
        <v>10338</v>
      </c>
      <c r="D483" s="5">
        <v>304.95</v>
      </c>
    </row>
    <row r="484" spans="1:4" x14ac:dyDescent="0.25">
      <c r="A484" t="s">
        <v>7896</v>
      </c>
      <c r="B484">
        <v>-1</v>
      </c>
      <c r="C484" t="s">
        <v>10338</v>
      </c>
    </row>
    <row r="485" spans="1:4" x14ac:dyDescent="0.25">
      <c r="A485" t="s">
        <v>7454</v>
      </c>
      <c r="B485">
        <v>-1</v>
      </c>
      <c r="C485" t="s">
        <v>10338</v>
      </c>
      <c r="D485" s="5">
        <v>812.68</v>
      </c>
    </row>
    <row r="486" spans="1:4" x14ac:dyDescent="0.25">
      <c r="A486" t="s">
        <v>7702</v>
      </c>
      <c r="B486">
        <v>-1</v>
      </c>
      <c r="C486" t="s">
        <v>10344</v>
      </c>
      <c r="D486" s="5">
        <v>1100.81</v>
      </c>
    </row>
    <row r="487" spans="1:4" x14ac:dyDescent="0.25">
      <c r="A487" t="s">
        <v>7256</v>
      </c>
      <c r="B487">
        <v>-1</v>
      </c>
      <c r="C487" t="s">
        <v>10340</v>
      </c>
      <c r="D487" s="5">
        <v>0</v>
      </c>
    </row>
    <row r="488" spans="1:4" x14ac:dyDescent="0.25">
      <c r="A488" t="s">
        <v>7873</v>
      </c>
      <c r="B488">
        <v>-1</v>
      </c>
      <c r="C488" t="s">
        <v>10338</v>
      </c>
      <c r="D488" s="5">
        <v>2275.04</v>
      </c>
    </row>
    <row r="489" spans="1:4" x14ac:dyDescent="0.25">
      <c r="A489" t="s">
        <v>10183</v>
      </c>
      <c r="B489">
        <v>-1</v>
      </c>
      <c r="C489" t="s">
        <v>10335</v>
      </c>
      <c r="D489" s="5">
        <v>-1150.6099999999999</v>
      </c>
    </row>
    <row r="490" spans="1:4" x14ac:dyDescent="0.25">
      <c r="A490" t="s">
        <v>8535</v>
      </c>
      <c r="B490">
        <v>-1</v>
      </c>
      <c r="C490" t="s">
        <v>10334</v>
      </c>
      <c r="D490" s="5">
        <v>663.4</v>
      </c>
    </row>
    <row r="491" spans="1:4" x14ac:dyDescent="0.25">
      <c r="A491" t="s">
        <v>8594</v>
      </c>
      <c r="B491">
        <v>-1</v>
      </c>
      <c r="C491" t="s">
        <v>10342</v>
      </c>
      <c r="D491" s="5">
        <v>1362.66</v>
      </c>
    </row>
    <row r="492" spans="1:4" x14ac:dyDescent="0.25">
      <c r="A492" t="s">
        <v>8473</v>
      </c>
      <c r="B492">
        <v>-1</v>
      </c>
      <c r="C492" t="s">
        <v>10338</v>
      </c>
      <c r="D492" s="5">
        <v>-1348.5</v>
      </c>
    </row>
    <row r="493" spans="1:4" x14ac:dyDescent="0.25">
      <c r="A493" t="s">
        <v>6128</v>
      </c>
      <c r="B493">
        <v>-1</v>
      </c>
      <c r="C493" t="s">
        <v>10333</v>
      </c>
      <c r="D493" s="5">
        <v>-5559.59</v>
      </c>
    </row>
    <row r="494" spans="1:4" x14ac:dyDescent="0.25">
      <c r="A494" t="s">
        <v>6141</v>
      </c>
      <c r="B494">
        <v>-1</v>
      </c>
      <c r="C494" t="s">
        <v>10333</v>
      </c>
      <c r="D494" s="5">
        <v>-2111.69</v>
      </c>
    </row>
    <row r="495" spans="1:4" x14ac:dyDescent="0.25">
      <c r="A495" t="s">
        <v>8026</v>
      </c>
      <c r="B495">
        <v>-1</v>
      </c>
      <c r="C495" t="s">
        <v>10333</v>
      </c>
      <c r="D495" s="5">
        <v>-4594.7299999999996</v>
      </c>
    </row>
    <row r="496" spans="1:4" x14ac:dyDescent="0.25">
      <c r="A496" t="s">
        <v>9185</v>
      </c>
      <c r="B496">
        <v>-1</v>
      </c>
      <c r="C496" t="s">
        <v>10336</v>
      </c>
      <c r="D496" s="5">
        <v>-2944.04</v>
      </c>
    </row>
    <row r="497" spans="1:4" x14ac:dyDescent="0.25">
      <c r="A497" t="s">
        <v>9070</v>
      </c>
      <c r="B497">
        <v>-1</v>
      </c>
      <c r="C497" t="s">
        <v>10339</v>
      </c>
    </row>
    <row r="498" spans="1:4" x14ac:dyDescent="0.25">
      <c r="A498" t="s">
        <v>953</v>
      </c>
      <c r="B498">
        <v>-1</v>
      </c>
      <c r="C498" t="s">
        <v>10338</v>
      </c>
      <c r="D498" s="5">
        <v>0</v>
      </c>
    </row>
    <row r="499" spans="1:4" x14ac:dyDescent="0.25">
      <c r="A499" t="s">
        <v>1367</v>
      </c>
      <c r="B499">
        <v>-1</v>
      </c>
      <c r="C499" t="s">
        <v>10338</v>
      </c>
      <c r="D499" s="5">
        <v>0</v>
      </c>
    </row>
    <row r="500" spans="1:4" x14ac:dyDescent="0.25">
      <c r="A500" t="s">
        <v>856</v>
      </c>
      <c r="B500">
        <v>-1</v>
      </c>
      <c r="C500" t="s">
        <v>10336</v>
      </c>
      <c r="D500" s="5">
        <v>-964.1</v>
      </c>
    </row>
    <row r="501" spans="1:4" x14ac:dyDescent="0.25">
      <c r="A501" t="s">
        <v>107</v>
      </c>
      <c r="B501">
        <v>-1</v>
      </c>
      <c r="C501" t="s">
        <v>10335</v>
      </c>
      <c r="D501" s="5">
        <v>3196.74</v>
      </c>
    </row>
    <row r="502" spans="1:4" x14ac:dyDescent="0.25">
      <c r="A502" t="s">
        <v>969</v>
      </c>
      <c r="B502">
        <v>-1</v>
      </c>
      <c r="C502" t="s">
        <v>10338</v>
      </c>
      <c r="D502" s="5">
        <v>32.29</v>
      </c>
    </row>
    <row r="503" spans="1:4" x14ac:dyDescent="0.25">
      <c r="A503" t="s">
        <v>4452</v>
      </c>
      <c r="B503">
        <v>-1</v>
      </c>
      <c r="C503" t="s">
        <v>10337</v>
      </c>
      <c r="D503" s="5">
        <v>1072.58</v>
      </c>
    </row>
    <row r="504" spans="1:4" x14ac:dyDescent="0.25">
      <c r="A504" t="s">
        <v>6064</v>
      </c>
      <c r="B504">
        <v>-1</v>
      </c>
      <c r="C504" t="s">
        <v>10344</v>
      </c>
      <c r="D504" s="5">
        <v>-498.5</v>
      </c>
    </row>
    <row r="505" spans="1:4" x14ac:dyDescent="0.25">
      <c r="A505" t="s">
        <v>6741</v>
      </c>
      <c r="B505">
        <v>-1</v>
      </c>
      <c r="C505" t="s">
        <v>10338</v>
      </c>
    </row>
    <row r="506" spans="1:4" x14ac:dyDescent="0.25">
      <c r="A506" t="s">
        <v>5606</v>
      </c>
      <c r="B506">
        <v>-1</v>
      </c>
      <c r="C506" t="s">
        <v>10336</v>
      </c>
      <c r="D506" s="5">
        <v>-2497.25</v>
      </c>
    </row>
    <row r="507" spans="1:4" x14ac:dyDescent="0.25">
      <c r="A507" t="s">
        <v>3858</v>
      </c>
      <c r="B507">
        <v>-1</v>
      </c>
      <c r="C507" t="s">
        <v>10338</v>
      </c>
    </row>
    <row r="508" spans="1:4" x14ac:dyDescent="0.25">
      <c r="A508" t="s">
        <v>6527</v>
      </c>
      <c r="B508">
        <v>-1</v>
      </c>
      <c r="C508" t="s">
        <v>10340</v>
      </c>
      <c r="D508" s="5">
        <v>-2101.6</v>
      </c>
    </row>
    <row r="509" spans="1:4" x14ac:dyDescent="0.25">
      <c r="A509" t="s">
        <v>6573</v>
      </c>
      <c r="B509">
        <v>-1</v>
      </c>
      <c r="C509" t="s">
        <v>10338</v>
      </c>
    </row>
    <row r="510" spans="1:4" x14ac:dyDescent="0.25">
      <c r="A510" t="s">
        <v>5069</v>
      </c>
      <c r="B510">
        <v>-1</v>
      </c>
      <c r="C510" t="s">
        <v>10338</v>
      </c>
      <c r="D510" s="5">
        <v>0</v>
      </c>
    </row>
    <row r="511" spans="1:4" x14ac:dyDescent="0.25">
      <c r="A511" t="s">
        <v>1733</v>
      </c>
      <c r="B511">
        <v>-1</v>
      </c>
      <c r="C511" t="s">
        <v>10338</v>
      </c>
      <c r="D511" s="5">
        <v>773.9</v>
      </c>
    </row>
    <row r="512" spans="1:4" x14ac:dyDescent="0.25">
      <c r="A512" t="s">
        <v>4312</v>
      </c>
      <c r="B512">
        <v>-1</v>
      </c>
      <c r="C512" t="s">
        <v>10333</v>
      </c>
      <c r="D512" s="5">
        <v>-709.25</v>
      </c>
    </row>
    <row r="513" spans="1:4" x14ac:dyDescent="0.25">
      <c r="A513" t="s">
        <v>1688</v>
      </c>
      <c r="B513">
        <v>-1</v>
      </c>
      <c r="C513" t="s">
        <v>10342</v>
      </c>
      <c r="D513" s="5">
        <v>2137</v>
      </c>
    </row>
    <row r="514" spans="1:4" x14ac:dyDescent="0.25">
      <c r="A514" t="s">
        <v>5579</v>
      </c>
      <c r="B514">
        <v>-1</v>
      </c>
      <c r="C514" t="s">
        <v>10336</v>
      </c>
    </row>
    <row r="515" spans="1:4" x14ac:dyDescent="0.25">
      <c r="A515" t="s">
        <v>3711</v>
      </c>
      <c r="B515">
        <v>-1</v>
      </c>
      <c r="C515" t="s">
        <v>10337</v>
      </c>
      <c r="D515" s="5">
        <v>415.16</v>
      </c>
    </row>
    <row r="516" spans="1:4" x14ac:dyDescent="0.25">
      <c r="A516" t="s">
        <v>3889</v>
      </c>
      <c r="B516">
        <v>-1</v>
      </c>
      <c r="C516" t="s">
        <v>10338</v>
      </c>
    </row>
    <row r="517" spans="1:4" x14ac:dyDescent="0.25">
      <c r="A517" t="s">
        <v>5557</v>
      </c>
      <c r="B517">
        <v>-1</v>
      </c>
      <c r="C517" t="s">
        <v>10338</v>
      </c>
      <c r="D517" s="5">
        <v>758.4</v>
      </c>
    </row>
    <row r="518" spans="1:4" x14ac:dyDescent="0.25">
      <c r="A518" t="s">
        <v>4821</v>
      </c>
      <c r="B518">
        <v>-1</v>
      </c>
      <c r="C518" t="s">
        <v>10340</v>
      </c>
    </row>
    <row r="519" spans="1:4" x14ac:dyDescent="0.25">
      <c r="A519" t="s">
        <v>9157</v>
      </c>
      <c r="B519">
        <v>-1</v>
      </c>
      <c r="C519" t="s">
        <v>10338</v>
      </c>
      <c r="D519" s="5">
        <v>322.07</v>
      </c>
    </row>
    <row r="520" spans="1:4" x14ac:dyDescent="0.25">
      <c r="A520" t="s">
        <v>8229</v>
      </c>
      <c r="B520">
        <v>-1</v>
      </c>
      <c r="C520" t="s">
        <v>10338</v>
      </c>
      <c r="D520" s="5">
        <v>168.35</v>
      </c>
    </row>
    <row r="521" spans="1:4" x14ac:dyDescent="0.25">
      <c r="A521" t="s">
        <v>8219</v>
      </c>
      <c r="B521">
        <v>-1</v>
      </c>
      <c r="C521" t="s">
        <v>10340</v>
      </c>
    </row>
    <row r="522" spans="1:4" x14ac:dyDescent="0.25">
      <c r="A522" t="s">
        <v>8356</v>
      </c>
      <c r="B522">
        <v>-1</v>
      </c>
      <c r="C522" t="s">
        <v>10338</v>
      </c>
      <c r="D522" s="5">
        <v>-823.22</v>
      </c>
    </row>
    <row r="523" spans="1:4" x14ac:dyDescent="0.25">
      <c r="A523" t="s">
        <v>6341</v>
      </c>
      <c r="B523">
        <v>-1</v>
      </c>
      <c r="C523" t="s">
        <v>10338</v>
      </c>
      <c r="D523" s="5">
        <v>0</v>
      </c>
    </row>
    <row r="524" spans="1:4" x14ac:dyDescent="0.25">
      <c r="A524" t="s">
        <v>6812</v>
      </c>
      <c r="B524">
        <v>-1</v>
      </c>
      <c r="C524" t="s">
        <v>10338</v>
      </c>
    </row>
    <row r="525" spans="1:4" x14ac:dyDescent="0.25">
      <c r="A525" t="s">
        <v>1097</v>
      </c>
      <c r="B525">
        <v>-1</v>
      </c>
      <c r="C525" t="s">
        <v>10340</v>
      </c>
      <c r="D525" s="5">
        <v>-238.81</v>
      </c>
    </row>
    <row r="526" spans="1:4" x14ac:dyDescent="0.25">
      <c r="A526" t="s">
        <v>1092</v>
      </c>
      <c r="B526">
        <v>-1</v>
      </c>
      <c r="C526" t="s">
        <v>10338</v>
      </c>
      <c r="D526" s="5">
        <v>687.79</v>
      </c>
    </row>
    <row r="527" spans="1:4" x14ac:dyDescent="0.25">
      <c r="A527" t="s">
        <v>3</v>
      </c>
      <c r="B527">
        <v>-1</v>
      </c>
      <c r="C527" t="s">
        <v>10340</v>
      </c>
      <c r="D527" s="5">
        <v>0</v>
      </c>
    </row>
    <row r="528" spans="1:4" x14ac:dyDescent="0.25">
      <c r="A528" t="s">
        <v>8887</v>
      </c>
      <c r="B528">
        <v>-1</v>
      </c>
      <c r="C528" t="s">
        <v>10341</v>
      </c>
      <c r="D528" s="5">
        <v>0</v>
      </c>
    </row>
    <row r="529" spans="1:4" x14ac:dyDescent="0.25">
      <c r="A529" t="s">
        <v>3616</v>
      </c>
      <c r="B529">
        <v>-1</v>
      </c>
      <c r="C529" t="s">
        <v>10338</v>
      </c>
      <c r="D529" s="5">
        <v>69.819999999999993</v>
      </c>
    </row>
    <row r="530" spans="1:4" x14ac:dyDescent="0.25">
      <c r="A530" t="s">
        <v>3603</v>
      </c>
      <c r="B530">
        <v>-1</v>
      </c>
      <c r="C530" t="s">
        <v>10340</v>
      </c>
      <c r="D530" s="5">
        <v>-274.27</v>
      </c>
    </row>
    <row r="531" spans="1:4" x14ac:dyDescent="0.25">
      <c r="A531" t="s">
        <v>4727</v>
      </c>
      <c r="B531">
        <v>-1</v>
      </c>
      <c r="C531" t="s">
        <v>10337</v>
      </c>
      <c r="D531" s="5">
        <v>0</v>
      </c>
    </row>
    <row r="532" spans="1:4" x14ac:dyDescent="0.25">
      <c r="A532" t="s">
        <v>6543</v>
      </c>
      <c r="B532">
        <v>-1</v>
      </c>
      <c r="C532" t="s">
        <v>10336</v>
      </c>
      <c r="D532" s="5">
        <v>502.03</v>
      </c>
    </row>
    <row r="533" spans="1:4" x14ac:dyDescent="0.25">
      <c r="A533" t="s">
        <v>6221</v>
      </c>
      <c r="B533">
        <v>-1</v>
      </c>
      <c r="C533" t="s">
        <v>10338</v>
      </c>
      <c r="D533" s="5">
        <v>18.37</v>
      </c>
    </row>
    <row r="534" spans="1:4" x14ac:dyDescent="0.25">
      <c r="A534" t="s">
        <v>5306</v>
      </c>
      <c r="B534">
        <v>-1</v>
      </c>
      <c r="C534" t="s">
        <v>10344</v>
      </c>
    </row>
    <row r="535" spans="1:4" x14ac:dyDescent="0.25">
      <c r="A535" t="s">
        <v>5239</v>
      </c>
      <c r="B535">
        <v>-1</v>
      </c>
      <c r="C535" t="s">
        <v>10338</v>
      </c>
    </row>
    <row r="536" spans="1:4" x14ac:dyDescent="0.25">
      <c r="A536" t="s">
        <v>5884</v>
      </c>
      <c r="B536">
        <v>-1</v>
      </c>
      <c r="C536" t="s">
        <v>10338</v>
      </c>
    </row>
    <row r="537" spans="1:4" x14ac:dyDescent="0.25">
      <c r="A537" t="s">
        <v>2542</v>
      </c>
      <c r="B537">
        <v>-1</v>
      </c>
      <c r="C537" t="s">
        <v>10334</v>
      </c>
      <c r="D537" s="5">
        <v>-130.86000000000001</v>
      </c>
    </row>
    <row r="538" spans="1:4" x14ac:dyDescent="0.25">
      <c r="A538" t="s">
        <v>2669</v>
      </c>
      <c r="B538">
        <v>-1</v>
      </c>
      <c r="C538" t="s">
        <v>10338</v>
      </c>
      <c r="D538" s="5">
        <v>3235.03</v>
      </c>
    </row>
    <row r="539" spans="1:4" x14ac:dyDescent="0.25">
      <c r="A539" t="s">
        <v>2124</v>
      </c>
      <c r="B539">
        <v>-1</v>
      </c>
      <c r="C539" t="s">
        <v>10338</v>
      </c>
      <c r="D539" s="5">
        <v>0</v>
      </c>
    </row>
    <row r="540" spans="1:4" x14ac:dyDescent="0.25">
      <c r="A540" t="s">
        <v>2238</v>
      </c>
      <c r="B540">
        <v>-1</v>
      </c>
      <c r="C540" t="s">
        <v>10338</v>
      </c>
      <c r="D540" s="5">
        <v>5748.66</v>
      </c>
    </row>
    <row r="541" spans="1:4" x14ac:dyDescent="0.25">
      <c r="A541" t="s">
        <v>716</v>
      </c>
      <c r="B541">
        <v>-1</v>
      </c>
      <c r="C541" t="s">
        <v>10338</v>
      </c>
      <c r="D541" s="5">
        <v>0</v>
      </c>
    </row>
    <row r="542" spans="1:4" x14ac:dyDescent="0.25">
      <c r="A542" t="s">
        <v>603</v>
      </c>
      <c r="B542">
        <v>-1</v>
      </c>
      <c r="C542" t="s">
        <v>10339</v>
      </c>
      <c r="D542" s="5">
        <v>5086.59</v>
      </c>
    </row>
    <row r="543" spans="1:4" x14ac:dyDescent="0.25">
      <c r="A543" t="s">
        <v>2029</v>
      </c>
      <c r="B543">
        <v>-1</v>
      </c>
      <c r="C543" t="s">
        <v>10344</v>
      </c>
      <c r="D543" s="5">
        <v>611.99</v>
      </c>
    </row>
    <row r="544" spans="1:4" x14ac:dyDescent="0.25">
      <c r="A544" t="s">
        <v>3305</v>
      </c>
      <c r="B544">
        <v>-1</v>
      </c>
      <c r="C544" t="s">
        <v>10338</v>
      </c>
      <c r="D544" s="5">
        <v>280.27999999999997</v>
      </c>
    </row>
    <row r="545" spans="1:4" x14ac:dyDescent="0.25">
      <c r="A545" t="s">
        <v>3251</v>
      </c>
      <c r="B545">
        <v>-1</v>
      </c>
      <c r="C545" t="s">
        <v>10339</v>
      </c>
      <c r="D545" s="5">
        <v>114.54</v>
      </c>
    </row>
    <row r="546" spans="1:4" x14ac:dyDescent="0.25">
      <c r="A546" t="s">
        <v>3526</v>
      </c>
      <c r="B546">
        <v>-1</v>
      </c>
      <c r="C546" t="s">
        <v>10336</v>
      </c>
    </row>
    <row r="547" spans="1:4" x14ac:dyDescent="0.25">
      <c r="A547" t="s">
        <v>5140</v>
      </c>
      <c r="B547">
        <v>-1</v>
      </c>
      <c r="C547" t="s">
        <v>10335</v>
      </c>
      <c r="D547" s="5">
        <v>945.44</v>
      </c>
    </row>
    <row r="548" spans="1:4" x14ac:dyDescent="0.25">
      <c r="A548" t="s">
        <v>5666</v>
      </c>
      <c r="B548">
        <v>-1</v>
      </c>
      <c r="C548" t="s">
        <v>10335</v>
      </c>
      <c r="D548" s="5">
        <v>-31.05</v>
      </c>
    </row>
    <row r="549" spans="1:4" x14ac:dyDescent="0.25">
      <c r="A549" t="s">
        <v>5364</v>
      </c>
      <c r="B549">
        <v>-1</v>
      </c>
      <c r="C549" t="s">
        <v>10335</v>
      </c>
      <c r="D549" s="5">
        <v>73.31</v>
      </c>
    </row>
    <row r="550" spans="1:4" x14ac:dyDescent="0.25">
      <c r="A550" t="s">
        <v>912</v>
      </c>
      <c r="B550">
        <v>-1</v>
      </c>
      <c r="C550" t="s">
        <v>10338</v>
      </c>
    </row>
    <row r="551" spans="1:4" x14ac:dyDescent="0.25">
      <c r="A551" t="s">
        <v>1507</v>
      </c>
      <c r="B551">
        <v>-1</v>
      </c>
      <c r="C551" t="s">
        <v>10335</v>
      </c>
      <c r="D551" s="5">
        <v>790.61</v>
      </c>
    </row>
    <row r="552" spans="1:4" x14ac:dyDescent="0.25">
      <c r="A552" t="s">
        <v>3359</v>
      </c>
      <c r="B552">
        <v>-1</v>
      </c>
      <c r="C552" t="s">
        <v>10336</v>
      </c>
      <c r="D552" s="5">
        <v>-103.9</v>
      </c>
    </row>
    <row r="553" spans="1:4" x14ac:dyDescent="0.25">
      <c r="A553" t="s">
        <v>2367</v>
      </c>
      <c r="B553">
        <v>-1</v>
      </c>
      <c r="C553" t="s">
        <v>10338</v>
      </c>
      <c r="D553" s="5">
        <v>2729.34</v>
      </c>
    </row>
    <row r="554" spans="1:4" x14ac:dyDescent="0.25">
      <c r="A554" t="s">
        <v>9312</v>
      </c>
      <c r="B554">
        <v>-1</v>
      </c>
      <c r="C554" t="s">
        <v>10338</v>
      </c>
      <c r="D554" s="5">
        <v>1493.78</v>
      </c>
    </row>
    <row r="555" spans="1:4" x14ac:dyDescent="0.25">
      <c r="A555" t="s">
        <v>2440</v>
      </c>
      <c r="B555">
        <v>-1</v>
      </c>
      <c r="C555" t="s">
        <v>10340</v>
      </c>
      <c r="D555" s="5">
        <v>1202.44</v>
      </c>
    </row>
    <row r="556" spans="1:4" x14ac:dyDescent="0.25">
      <c r="A556" t="s">
        <v>7643</v>
      </c>
      <c r="B556">
        <v>-1</v>
      </c>
      <c r="C556" t="s">
        <v>10341</v>
      </c>
      <c r="D556" s="5">
        <v>1275.56</v>
      </c>
    </row>
    <row r="557" spans="1:4" x14ac:dyDescent="0.25">
      <c r="A557" t="s">
        <v>9821</v>
      </c>
      <c r="B557">
        <v>-1</v>
      </c>
      <c r="C557" t="s">
        <v>10340</v>
      </c>
      <c r="D557" s="5">
        <v>-181.56</v>
      </c>
    </row>
    <row r="558" spans="1:4" x14ac:dyDescent="0.25">
      <c r="A558" t="s">
        <v>9829</v>
      </c>
      <c r="B558">
        <v>-1</v>
      </c>
      <c r="C558" t="s">
        <v>10337</v>
      </c>
      <c r="D558" s="5">
        <v>0</v>
      </c>
    </row>
    <row r="559" spans="1:4" x14ac:dyDescent="0.25">
      <c r="A559" t="s">
        <v>2209</v>
      </c>
      <c r="B559">
        <v>-1</v>
      </c>
      <c r="C559" t="s">
        <v>10339</v>
      </c>
      <c r="D559" s="5">
        <v>-4576.6499999999996</v>
      </c>
    </row>
    <row r="560" spans="1:4" x14ac:dyDescent="0.25">
      <c r="A560" t="s">
        <v>1241</v>
      </c>
      <c r="B560">
        <v>-1</v>
      </c>
      <c r="C560" t="s">
        <v>10340</v>
      </c>
      <c r="D560" s="5">
        <v>285.93</v>
      </c>
    </row>
    <row r="561" spans="1:4" x14ac:dyDescent="0.25">
      <c r="A561" t="s">
        <v>4851</v>
      </c>
      <c r="B561">
        <v>-1</v>
      </c>
      <c r="C561" t="s">
        <v>10338</v>
      </c>
    </row>
    <row r="562" spans="1:4" x14ac:dyDescent="0.25">
      <c r="A562" t="s">
        <v>6727</v>
      </c>
      <c r="B562">
        <v>-1</v>
      </c>
      <c r="C562" t="s">
        <v>10344</v>
      </c>
      <c r="D562" s="5">
        <v>1191.46</v>
      </c>
    </row>
    <row r="563" spans="1:4" x14ac:dyDescent="0.25">
      <c r="A563" t="s">
        <v>6171</v>
      </c>
      <c r="B563">
        <v>-1</v>
      </c>
      <c r="C563" t="s">
        <v>10335</v>
      </c>
      <c r="D563" s="5">
        <v>-895.38</v>
      </c>
    </row>
    <row r="564" spans="1:4" x14ac:dyDescent="0.25">
      <c r="A564" t="s">
        <v>4677</v>
      </c>
      <c r="B564">
        <v>-1</v>
      </c>
      <c r="C564" t="s">
        <v>10340</v>
      </c>
      <c r="D564" s="5">
        <v>1364.08</v>
      </c>
    </row>
    <row r="565" spans="1:4" x14ac:dyDescent="0.25">
      <c r="A565" t="s">
        <v>6447</v>
      </c>
      <c r="B565">
        <v>-1</v>
      </c>
      <c r="C565" t="s">
        <v>10344</v>
      </c>
    </row>
    <row r="566" spans="1:4" x14ac:dyDescent="0.25">
      <c r="A566" t="s">
        <v>6429</v>
      </c>
      <c r="B566">
        <v>-1</v>
      </c>
      <c r="C566" t="s">
        <v>10334</v>
      </c>
      <c r="D566" s="5">
        <v>-387.09</v>
      </c>
    </row>
    <row r="567" spans="1:4" x14ac:dyDescent="0.25">
      <c r="A567" t="s">
        <v>6491</v>
      </c>
      <c r="B567">
        <v>-1</v>
      </c>
      <c r="C567" t="s">
        <v>10344</v>
      </c>
      <c r="D567" s="5">
        <v>-3246.08</v>
      </c>
    </row>
    <row r="568" spans="1:4" x14ac:dyDescent="0.25">
      <c r="A568" t="s">
        <v>3726</v>
      </c>
      <c r="B568">
        <v>-1</v>
      </c>
      <c r="C568" t="s">
        <v>10338</v>
      </c>
      <c r="D568" s="5">
        <v>26.28</v>
      </c>
    </row>
    <row r="569" spans="1:4" x14ac:dyDescent="0.25">
      <c r="A569" t="s">
        <v>341</v>
      </c>
      <c r="B569">
        <v>-1</v>
      </c>
      <c r="C569" t="s">
        <v>10337</v>
      </c>
      <c r="D569" s="5">
        <v>117.5</v>
      </c>
    </row>
    <row r="570" spans="1:4" x14ac:dyDescent="0.25">
      <c r="A570" t="s">
        <v>4503</v>
      </c>
      <c r="B570">
        <v>-1</v>
      </c>
      <c r="C570" t="s">
        <v>10333</v>
      </c>
      <c r="D570" s="5">
        <v>-1854.83</v>
      </c>
    </row>
    <row r="571" spans="1:4" x14ac:dyDescent="0.25">
      <c r="A571" t="s">
        <v>4346</v>
      </c>
      <c r="B571">
        <v>-1</v>
      </c>
      <c r="C571" t="s">
        <v>10339</v>
      </c>
      <c r="D571" s="5">
        <v>4685.1400000000003</v>
      </c>
    </row>
    <row r="572" spans="1:4" x14ac:dyDescent="0.25">
      <c r="A572" t="s">
        <v>3740</v>
      </c>
      <c r="B572">
        <v>-1</v>
      </c>
      <c r="C572" t="s">
        <v>10333</v>
      </c>
      <c r="D572" s="5">
        <v>-919.22</v>
      </c>
    </row>
    <row r="573" spans="1:4" x14ac:dyDescent="0.25">
      <c r="A573" t="s">
        <v>4148</v>
      </c>
      <c r="B573">
        <v>-1</v>
      </c>
      <c r="C573" t="s">
        <v>10336</v>
      </c>
      <c r="D573" s="5">
        <v>-10775.48</v>
      </c>
    </row>
    <row r="574" spans="1:4" x14ac:dyDescent="0.25">
      <c r="A574" t="s">
        <v>3818</v>
      </c>
      <c r="B574">
        <v>-1</v>
      </c>
      <c r="C574" t="s">
        <v>10337</v>
      </c>
      <c r="D574" s="5">
        <v>92.29</v>
      </c>
    </row>
    <row r="575" spans="1:4" x14ac:dyDescent="0.25">
      <c r="A575" t="s">
        <v>3892</v>
      </c>
      <c r="B575">
        <v>-1</v>
      </c>
      <c r="C575" t="s">
        <v>10340</v>
      </c>
      <c r="D575" s="5">
        <v>394.14</v>
      </c>
    </row>
    <row r="576" spans="1:4" x14ac:dyDescent="0.25">
      <c r="A576" t="s">
        <v>10093</v>
      </c>
      <c r="B576">
        <v>-1</v>
      </c>
      <c r="C576" t="s">
        <v>10337</v>
      </c>
      <c r="D576" s="5">
        <v>2438.37</v>
      </c>
    </row>
    <row r="577" spans="1:4" x14ac:dyDescent="0.25">
      <c r="A577" t="s">
        <v>5206</v>
      </c>
      <c r="B577">
        <v>-1</v>
      </c>
      <c r="C577" t="s">
        <v>10340</v>
      </c>
    </row>
    <row r="578" spans="1:4" x14ac:dyDescent="0.25">
      <c r="A578" t="s">
        <v>5887</v>
      </c>
      <c r="B578">
        <v>-1</v>
      </c>
      <c r="C578" t="s">
        <v>10336</v>
      </c>
      <c r="D578" s="5">
        <v>17339.64</v>
      </c>
    </row>
    <row r="579" spans="1:4" x14ac:dyDescent="0.25">
      <c r="A579" t="s">
        <v>9982</v>
      </c>
      <c r="B579">
        <v>-1</v>
      </c>
      <c r="C579" t="s">
        <v>10337</v>
      </c>
      <c r="D579" s="5">
        <v>915.65</v>
      </c>
    </row>
    <row r="580" spans="1:4" x14ac:dyDescent="0.25">
      <c r="A580" t="s">
        <v>9955</v>
      </c>
      <c r="B580">
        <v>-1</v>
      </c>
      <c r="C580" t="s">
        <v>10338</v>
      </c>
      <c r="D580" s="5">
        <v>369.18</v>
      </c>
    </row>
    <row r="581" spans="1:4" x14ac:dyDescent="0.25">
      <c r="A581" t="s">
        <v>2534</v>
      </c>
      <c r="B581">
        <v>-1</v>
      </c>
      <c r="C581" t="s">
        <v>10343</v>
      </c>
      <c r="D581" s="5">
        <v>515.4</v>
      </c>
    </row>
    <row r="582" spans="1:4" x14ac:dyDescent="0.25">
      <c r="A582" t="s">
        <v>2421</v>
      </c>
      <c r="B582">
        <v>-1</v>
      </c>
      <c r="C582" t="s">
        <v>10344</v>
      </c>
      <c r="D582" s="5">
        <v>2100.23</v>
      </c>
    </row>
    <row r="583" spans="1:4" x14ac:dyDescent="0.25">
      <c r="A583" t="s">
        <v>2832</v>
      </c>
      <c r="B583">
        <v>-1</v>
      </c>
      <c r="C583" t="s">
        <v>10337</v>
      </c>
      <c r="D583" s="5">
        <v>3057.63</v>
      </c>
    </row>
    <row r="584" spans="1:4" x14ac:dyDescent="0.25">
      <c r="A584" t="s">
        <v>2988</v>
      </c>
      <c r="B584">
        <v>-1</v>
      </c>
      <c r="C584" t="s">
        <v>10335</v>
      </c>
      <c r="D584" s="5">
        <v>2140.8000000000002</v>
      </c>
    </row>
    <row r="585" spans="1:4" x14ac:dyDescent="0.25">
      <c r="A585" t="s">
        <v>711</v>
      </c>
      <c r="B585">
        <v>-1</v>
      </c>
      <c r="C585" t="s">
        <v>10335</v>
      </c>
      <c r="D585" s="5">
        <v>4041.05</v>
      </c>
    </row>
    <row r="586" spans="1:4" x14ac:dyDescent="0.25">
      <c r="A586" t="s">
        <v>1833</v>
      </c>
      <c r="B586">
        <v>-1</v>
      </c>
      <c r="C586" t="s">
        <v>10338</v>
      </c>
      <c r="D586" s="5">
        <v>5549.41</v>
      </c>
    </row>
    <row r="587" spans="1:4" x14ac:dyDescent="0.25">
      <c r="A587" t="s">
        <v>1871</v>
      </c>
      <c r="B587">
        <v>-1</v>
      </c>
      <c r="C587" t="s">
        <v>10338</v>
      </c>
      <c r="D587" s="5">
        <v>-21476.29</v>
      </c>
    </row>
    <row r="588" spans="1:4" x14ac:dyDescent="0.25">
      <c r="A588" t="s">
        <v>3278</v>
      </c>
      <c r="B588">
        <v>-1</v>
      </c>
      <c r="C588" t="s">
        <v>10338</v>
      </c>
      <c r="D588" s="5">
        <v>2638.44</v>
      </c>
    </row>
    <row r="589" spans="1:4" x14ac:dyDescent="0.25">
      <c r="A589" t="s">
        <v>3314</v>
      </c>
      <c r="B589">
        <v>-1</v>
      </c>
      <c r="C589" t="s">
        <v>10338</v>
      </c>
      <c r="D589" s="5">
        <v>218.38</v>
      </c>
    </row>
    <row r="590" spans="1:4" x14ac:dyDescent="0.25">
      <c r="A590" t="s">
        <v>3422</v>
      </c>
      <c r="B590">
        <v>-1</v>
      </c>
      <c r="C590" t="s">
        <v>10335</v>
      </c>
      <c r="D590" s="5">
        <v>1815.1</v>
      </c>
    </row>
    <row r="591" spans="1:4" x14ac:dyDescent="0.25">
      <c r="A591" t="s">
        <v>9560</v>
      </c>
      <c r="B591">
        <v>-1</v>
      </c>
      <c r="C591" t="s">
        <v>10338</v>
      </c>
      <c r="D591" s="5">
        <v>1720.13</v>
      </c>
    </row>
    <row r="592" spans="1:4" x14ac:dyDescent="0.25">
      <c r="A592" t="s">
        <v>7603</v>
      </c>
      <c r="B592">
        <v>-1</v>
      </c>
      <c r="C592" t="s">
        <v>10338</v>
      </c>
      <c r="D592" s="5">
        <v>9137.93</v>
      </c>
    </row>
    <row r="593" spans="1:4" x14ac:dyDescent="0.25">
      <c r="A593" t="s">
        <v>2318</v>
      </c>
      <c r="B593">
        <v>-1</v>
      </c>
      <c r="C593" t="s">
        <v>10337</v>
      </c>
      <c r="D593" s="5">
        <v>4867</v>
      </c>
    </row>
    <row r="594" spans="1:4" x14ac:dyDescent="0.25">
      <c r="A594" t="s">
        <v>807</v>
      </c>
      <c r="B594">
        <v>-1</v>
      </c>
      <c r="C594" t="s">
        <v>10344</v>
      </c>
      <c r="D594" s="5">
        <v>0.32</v>
      </c>
    </row>
    <row r="595" spans="1:4" x14ac:dyDescent="0.25">
      <c r="A595" t="s">
        <v>1056</v>
      </c>
      <c r="B595">
        <v>-1</v>
      </c>
      <c r="C595" t="s">
        <v>10340</v>
      </c>
      <c r="D595" s="5">
        <v>-234.4</v>
      </c>
    </row>
    <row r="596" spans="1:4" x14ac:dyDescent="0.25">
      <c r="A596" t="s">
        <v>9496</v>
      </c>
      <c r="B596">
        <v>-1</v>
      </c>
      <c r="C596" t="s">
        <v>10337</v>
      </c>
      <c r="D596" s="5">
        <v>350.28</v>
      </c>
    </row>
    <row r="597" spans="1:4" x14ac:dyDescent="0.25">
      <c r="A597" t="s">
        <v>252</v>
      </c>
      <c r="B597">
        <v>-1</v>
      </c>
      <c r="C597" t="s">
        <v>10333</v>
      </c>
      <c r="D597" s="5">
        <v>45.18</v>
      </c>
    </row>
    <row r="598" spans="1:4" x14ac:dyDescent="0.25">
      <c r="A598" t="s">
        <v>10142</v>
      </c>
      <c r="B598">
        <v>-1</v>
      </c>
      <c r="C598" t="s">
        <v>10340</v>
      </c>
      <c r="D598" s="5">
        <v>-833.58</v>
      </c>
    </row>
    <row r="599" spans="1:4" x14ac:dyDescent="0.25">
      <c r="A599" t="s">
        <v>234</v>
      </c>
      <c r="B599">
        <v>-1</v>
      </c>
      <c r="C599" t="s">
        <v>10335</v>
      </c>
      <c r="D599" s="5">
        <v>-3247.05</v>
      </c>
    </row>
    <row r="600" spans="1:4" x14ac:dyDescent="0.25">
      <c r="A600" t="s">
        <v>240</v>
      </c>
      <c r="B600">
        <v>-1</v>
      </c>
      <c r="C600" t="s">
        <v>10335</v>
      </c>
      <c r="D600" s="5">
        <v>1256.6099999999999</v>
      </c>
    </row>
    <row r="601" spans="1:4" x14ac:dyDescent="0.25">
      <c r="A601" t="s">
        <v>9646</v>
      </c>
      <c r="B601">
        <v>-1</v>
      </c>
      <c r="C601" t="s">
        <v>10335</v>
      </c>
      <c r="D601" s="5">
        <v>45.93</v>
      </c>
    </row>
    <row r="602" spans="1:4" x14ac:dyDescent="0.25">
      <c r="A602" t="s">
        <v>231</v>
      </c>
      <c r="B602">
        <v>-1</v>
      </c>
      <c r="C602" t="s">
        <v>10340</v>
      </c>
      <c r="D602" s="5">
        <v>-13.62</v>
      </c>
    </row>
    <row r="603" spans="1:4" x14ac:dyDescent="0.25">
      <c r="A603" t="s">
        <v>256</v>
      </c>
      <c r="B603">
        <v>-1</v>
      </c>
      <c r="C603" t="s">
        <v>10336</v>
      </c>
      <c r="D603" s="5">
        <v>-5367.56</v>
      </c>
    </row>
    <row r="604" spans="1:4" x14ac:dyDescent="0.25">
      <c r="A604" t="s">
        <v>9493</v>
      </c>
      <c r="B604">
        <v>-1</v>
      </c>
      <c r="C604" t="s">
        <v>10344</v>
      </c>
      <c r="D604" s="5">
        <v>225.5</v>
      </c>
    </row>
    <row r="605" spans="1:4" x14ac:dyDescent="0.25">
      <c r="A605" t="s">
        <v>221</v>
      </c>
      <c r="B605">
        <v>-1</v>
      </c>
      <c r="C605" t="s">
        <v>10335</v>
      </c>
      <c r="D605" s="5">
        <v>1214.58</v>
      </c>
    </row>
    <row r="606" spans="1:4" x14ac:dyDescent="0.25">
      <c r="A606" t="s">
        <v>9489</v>
      </c>
      <c r="B606">
        <v>-1</v>
      </c>
      <c r="C606" t="s">
        <v>10333</v>
      </c>
      <c r="D606" s="5">
        <v>-41.88</v>
      </c>
    </row>
    <row r="607" spans="1:4" x14ac:dyDescent="0.25">
      <c r="A607" t="s">
        <v>9485</v>
      </c>
      <c r="B607">
        <v>-1</v>
      </c>
      <c r="C607" t="s">
        <v>10333</v>
      </c>
      <c r="D607" s="5">
        <v>-45865.760000000002</v>
      </c>
    </row>
    <row r="608" spans="1:4" x14ac:dyDescent="0.25">
      <c r="A608" t="s">
        <v>228</v>
      </c>
      <c r="B608">
        <v>-1</v>
      </c>
      <c r="C608" t="s">
        <v>10340</v>
      </c>
      <c r="D608" s="5">
        <v>235.2</v>
      </c>
    </row>
    <row r="609" spans="1:4" x14ac:dyDescent="0.25">
      <c r="A609" t="s">
        <v>237</v>
      </c>
      <c r="B609">
        <v>-1</v>
      </c>
      <c r="C609" t="s">
        <v>10340</v>
      </c>
      <c r="D609" s="5">
        <v>2480.87</v>
      </c>
    </row>
    <row r="610" spans="1:4" x14ac:dyDescent="0.25">
      <c r="A610" t="s">
        <v>1132</v>
      </c>
      <c r="B610">
        <v>-1</v>
      </c>
      <c r="C610" t="s">
        <v>10338</v>
      </c>
      <c r="D610" s="5">
        <v>233.63</v>
      </c>
    </row>
    <row r="611" spans="1:4" x14ac:dyDescent="0.25">
      <c r="A611" t="s">
        <v>6399</v>
      </c>
      <c r="B611">
        <v>-1</v>
      </c>
      <c r="C611" t="s">
        <v>10344</v>
      </c>
      <c r="D611" s="5">
        <v>423.75</v>
      </c>
    </row>
    <row r="612" spans="1:4" x14ac:dyDescent="0.25">
      <c r="A612" t="s">
        <v>1074</v>
      </c>
      <c r="B612">
        <v>-1</v>
      </c>
      <c r="C612" t="s">
        <v>10338</v>
      </c>
      <c r="D612" s="5">
        <v>2102.04</v>
      </c>
    </row>
    <row r="613" spans="1:4" x14ac:dyDescent="0.25">
      <c r="A613" t="s">
        <v>4875</v>
      </c>
      <c r="B613">
        <v>-1</v>
      </c>
      <c r="C613" t="s">
        <v>10344</v>
      </c>
      <c r="D613" s="5">
        <v>1558.38</v>
      </c>
    </row>
    <row r="614" spans="1:4" x14ac:dyDescent="0.25">
      <c r="A614" t="s">
        <v>7640</v>
      </c>
      <c r="B614">
        <v>-1</v>
      </c>
      <c r="C614" t="s">
        <v>10338</v>
      </c>
      <c r="D614" s="5">
        <v>2593.02</v>
      </c>
    </row>
    <row r="615" spans="1:4" x14ac:dyDescent="0.25">
      <c r="A615" t="s">
        <v>9121</v>
      </c>
      <c r="B615">
        <v>-1</v>
      </c>
      <c r="C615" t="s">
        <v>10338</v>
      </c>
      <c r="D615" s="5">
        <v>-461.08</v>
      </c>
    </row>
    <row r="616" spans="1:4" x14ac:dyDescent="0.25">
      <c r="A616" t="s">
        <v>6735</v>
      </c>
      <c r="B616">
        <v>-1</v>
      </c>
      <c r="C616" t="s">
        <v>10333</v>
      </c>
      <c r="D616" s="5">
        <v>918.39</v>
      </c>
    </row>
    <row r="617" spans="1:4" x14ac:dyDescent="0.25">
      <c r="A617" t="s">
        <v>6486</v>
      </c>
      <c r="B617">
        <v>-1</v>
      </c>
      <c r="C617" t="s">
        <v>10344</v>
      </c>
      <c r="D617" s="5">
        <v>0</v>
      </c>
    </row>
    <row r="618" spans="1:4" x14ac:dyDescent="0.25">
      <c r="A618" t="s">
        <v>5963</v>
      </c>
      <c r="B618">
        <v>-1</v>
      </c>
      <c r="C618" t="s">
        <v>10344</v>
      </c>
      <c r="D618" s="5">
        <v>-1076.72</v>
      </c>
    </row>
    <row r="619" spans="1:4" x14ac:dyDescent="0.25">
      <c r="A619" t="s">
        <v>4088</v>
      </c>
      <c r="B619">
        <v>-1</v>
      </c>
      <c r="C619" t="s">
        <v>10335</v>
      </c>
      <c r="D619" s="5">
        <v>1695.36</v>
      </c>
    </row>
    <row r="620" spans="1:4" x14ac:dyDescent="0.25">
      <c r="A620" t="s">
        <v>4196</v>
      </c>
      <c r="B620">
        <v>-1</v>
      </c>
      <c r="C620" t="s">
        <v>10333</v>
      </c>
      <c r="D620" s="5">
        <v>-2022.39</v>
      </c>
    </row>
    <row r="621" spans="1:4" x14ac:dyDescent="0.25">
      <c r="A621" t="s">
        <v>4286</v>
      </c>
      <c r="B621">
        <v>-1</v>
      </c>
      <c r="C621" t="s">
        <v>10340</v>
      </c>
      <c r="D621" s="5">
        <v>-1694.65</v>
      </c>
    </row>
    <row r="622" spans="1:4" x14ac:dyDescent="0.25">
      <c r="A622" t="s">
        <v>1654</v>
      </c>
      <c r="B622">
        <v>-1</v>
      </c>
      <c r="C622" t="s">
        <v>10333</v>
      </c>
      <c r="D622" s="5">
        <v>-2846.21</v>
      </c>
    </row>
    <row r="623" spans="1:4" x14ac:dyDescent="0.25">
      <c r="A623" t="s">
        <v>4584</v>
      </c>
      <c r="B623">
        <v>-1</v>
      </c>
      <c r="C623" t="s">
        <v>10338</v>
      </c>
      <c r="D623" s="5">
        <v>1460.37</v>
      </c>
    </row>
    <row r="624" spans="1:4" x14ac:dyDescent="0.25">
      <c r="A624" t="s">
        <v>8410</v>
      </c>
      <c r="B624">
        <v>-1</v>
      </c>
      <c r="C624" t="s">
        <v>10344</v>
      </c>
      <c r="D624" s="5">
        <v>1024.8699999999999</v>
      </c>
    </row>
    <row r="625" spans="1:4" x14ac:dyDescent="0.25">
      <c r="A625" t="s">
        <v>2609</v>
      </c>
      <c r="B625">
        <v>-1</v>
      </c>
      <c r="C625" t="s">
        <v>10343</v>
      </c>
      <c r="D625" s="5">
        <v>-3424.11</v>
      </c>
    </row>
    <row r="626" spans="1:4" x14ac:dyDescent="0.25">
      <c r="A626" t="s">
        <v>2242</v>
      </c>
      <c r="B626">
        <v>-1</v>
      </c>
      <c r="C626" t="s">
        <v>10338</v>
      </c>
    </row>
    <row r="627" spans="1:4" x14ac:dyDescent="0.25">
      <c r="A627" t="s">
        <v>2275</v>
      </c>
      <c r="B627">
        <v>-1</v>
      </c>
      <c r="C627" t="s">
        <v>10340</v>
      </c>
      <c r="D627" s="5">
        <v>2745.77</v>
      </c>
    </row>
    <row r="628" spans="1:4" x14ac:dyDescent="0.25">
      <c r="A628" t="s">
        <v>674</v>
      </c>
      <c r="B628">
        <v>-1</v>
      </c>
      <c r="C628" t="s">
        <v>10337</v>
      </c>
      <c r="D628" s="5">
        <v>3667.5</v>
      </c>
    </row>
    <row r="629" spans="1:4" x14ac:dyDescent="0.25">
      <c r="A629" t="s">
        <v>9351</v>
      </c>
      <c r="B629">
        <v>-1</v>
      </c>
      <c r="C629" t="s">
        <v>10340</v>
      </c>
      <c r="D629" s="5">
        <v>-2787.74</v>
      </c>
    </row>
    <row r="630" spans="1:4" x14ac:dyDescent="0.25">
      <c r="A630" t="s">
        <v>2065</v>
      </c>
      <c r="B630">
        <v>-1</v>
      </c>
      <c r="C630" t="s">
        <v>10338</v>
      </c>
    </row>
    <row r="631" spans="1:4" x14ac:dyDescent="0.25">
      <c r="A631" t="s">
        <v>1452</v>
      </c>
      <c r="B631">
        <v>-1</v>
      </c>
      <c r="C631" t="s">
        <v>10335</v>
      </c>
    </row>
    <row r="632" spans="1:4" x14ac:dyDescent="0.25">
      <c r="A632" t="s">
        <v>1781</v>
      </c>
      <c r="B632">
        <v>-1</v>
      </c>
      <c r="C632" t="s">
        <v>10333</v>
      </c>
      <c r="D632" s="5">
        <v>-1644.31</v>
      </c>
    </row>
    <row r="633" spans="1:4" x14ac:dyDescent="0.25">
      <c r="A633" t="s">
        <v>7069</v>
      </c>
      <c r="B633">
        <v>-1</v>
      </c>
      <c r="C633" t="s">
        <v>10339</v>
      </c>
      <c r="D633" s="5">
        <v>0</v>
      </c>
    </row>
    <row r="634" spans="1:4" x14ac:dyDescent="0.25">
      <c r="A634" t="s">
        <v>7077</v>
      </c>
      <c r="B634">
        <v>-1</v>
      </c>
      <c r="C634" t="s">
        <v>10340</v>
      </c>
      <c r="D634" s="5">
        <v>-1062.26</v>
      </c>
    </row>
    <row r="635" spans="1:4" x14ac:dyDescent="0.25">
      <c r="A635" t="s">
        <v>942</v>
      </c>
      <c r="B635">
        <v>-1</v>
      </c>
      <c r="C635" t="s">
        <v>10341</v>
      </c>
      <c r="D635" s="5">
        <v>864.36</v>
      </c>
    </row>
    <row r="636" spans="1:4" x14ac:dyDescent="0.25">
      <c r="A636" t="s">
        <v>873</v>
      </c>
      <c r="B636">
        <v>-1</v>
      </c>
      <c r="C636" t="s">
        <v>10333</v>
      </c>
      <c r="D636" s="5">
        <v>-115.37</v>
      </c>
    </row>
    <row r="637" spans="1:4" x14ac:dyDescent="0.25">
      <c r="A637" t="s">
        <v>306</v>
      </c>
      <c r="B637">
        <v>-1</v>
      </c>
      <c r="C637" t="s">
        <v>10336</v>
      </c>
      <c r="D637" s="5">
        <v>1429.99</v>
      </c>
    </row>
    <row r="638" spans="1:4" x14ac:dyDescent="0.25">
      <c r="A638" t="s">
        <v>7237</v>
      </c>
      <c r="B638">
        <v>-1</v>
      </c>
      <c r="C638" t="s">
        <v>10346</v>
      </c>
      <c r="D638" s="5">
        <v>-7754.95</v>
      </c>
    </row>
    <row r="639" spans="1:4" x14ac:dyDescent="0.25">
      <c r="A639" t="s">
        <v>7420</v>
      </c>
      <c r="B639">
        <v>-1</v>
      </c>
      <c r="C639" t="s">
        <v>10337</v>
      </c>
      <c r="D639" s="5">
        <v>-170.08</v>
      </c>
    </row>
    <row r="640" spans="1:4" x14ac:dyDescent="0.25">
      <c r="A640" t="s">
        <v>4418</v>
      </c>
      <c r="B640">
        <v>-1</v>
      </c>
      <c r="C640" t="s">
        <v>10344</v>
      </c>
      <c r="D640" s="5">
        <v>1201.3399999999999</v>
      </c>
    </row>
    <row r="641" spans="1:4" x14ac:dyDescent="0.25">
      <c r="A641" t="s">
        <v>6750</v>
      </c>
      <c r="B641">
        <v>-1</v>
      </c>
      <c r="C641" t="s">
        <v>10338</v>
      </c>
      <c r="D641" s="5">
        <v>2378.33</v>
      </c>
    </row>
    <row r="642" spans="1:4" x14ac:dyDescent="0.25">
      <c r="A642" t="s">
        <v>453</v>
      </c>
      <c r="B642">
        <v>-1</v>
      </c>
      <c r="C642" t="s">
        <v>10337</v>
      </c>
      <c r="D642" s="5">
        <v>1763.4</v>
      </c>
    </row>
    <row r="643" spans="1:4" x14ac:dyDescent="0.25">
      <c r="A643" t="s">
        <v>3341</v>
      </c>
      <c r="B643">
        <v>-1</v>
      </c>
      <c r="C643" t="s">
        <v>10338</v>
      </c>
      <c r="D643" s="5">
        <v>1091.06</v>
      </c>
    </row>
    <row r="644" spans="1:4" x14ac:dyDescent="0.25">
      <c r="A644" t="s">
        <v>9960</v>
      </c>
      <c r="B644">
        <v>-1</v>
      </c>
      <c r="C644" t="s">
        <v>10339</v>
      </c>
      <c r="D644" s="5">
        <v>-744.52</v>
      </c>
    </row>
    <row r="645" spans="1:4" x14ac:dyDescent="0.25">
      <c r="A645" t="s">
        <v>2753</v>
      </c>
      <c r="B645">
        <v>-1</v>
      </c>
      <c r="C645" t="s">
        <v>10338</v>
      </c>
      <c r="D645" s="5">
        <v>5954.48</v>
      </c>
    </row>
    <row r="646" spans="1:4" x14ac:dyDescent="0.25">
      <c r="A646" t="s">
        <v>5619</v>
      </c>
      <c r="B646">
        <v>-1</v>
      </c>
      <c r="C646" t="s">
        <v>10338</v>
      </c>
    </row>
    <row r="647" spans="1:4" x14ac:dyDescent="0.25">
      <c r="A647" t="s">
        <v>7028</v>
      </c>
      <c r="B647">
        <v>-1</v>
      </c>
      <c r="C647" t="s">
        <v>10341</v>
      </c>
      <c r="D647" s="5">
        <v>-418.7</v>
      </c>
    </row>
    <row r="648" spans="1:4" x14ac:dyDescent="0.25">
      <c r="A648" t="s">
        <v>9757</v>
      </c>
      <c r="B648">
        <v>-1</v>
      </c>
      <c r="C648" t="s">
        <v>10337</v>
      </c>
      <c r="D648" s="5">
        <v>165.36</v>
      </c>
    </row>
    <row r="649" spans="1:4" x14ac:dyDescent="0.25">
      <c r="A649" t="s">
        <v>5911</v>
      </c>
      <c r="B649">
        <v>-1</v>
      </c>
      <c r="C649" t="s">
        <v>10338</v>
      </c>
      <c r="D649" s="5">
        <v>0</v>
      </c>
    </row>
    <row r="650" spans="1:4" x14ac:dyDescent="0.25">
      <c r="A650" t="s">
        <v>635</v>
      </c>
      <c r="B650">
        <v>-1</v>
      </c>
      <c r="C650" t="s">
        <v>10340</v>
      </c>
      <c r="D650" s="5">
        <v>-461.55</v>
      </c>
    </row>
    <row r="651" spans="1:4" x14ac:dyDescent="0.25">
      <c r="A651" t="s">
        <v>4987</v>
      </c>
      <c r="B651">
        <v>-1</v>
      </c>
      <c r="C651" t="s">
        <v>10338</v>
      </c>
      <c r="D651" s="5">
        <v>307.20999999999998</v>
      </c>
    </row>
    <row r="652" spans="1:4" x14ac:dyDescent="0.25">
      <c r="A652" t="s">
        <v>7430</v>
      </c>
      <c r="B652">
        <v>-1</v>
      </c>
      <c r="C652" t="s">
        <v>10335</v>
      </c>
      <c r="D652" s="5">
        <v>-1739.25</v>
      </c>
    </row>
    <row r="653" spans="1:4" x14ac:dyDescent="0.25">
      <c r="A653" t="s">
        <v>7212</v>
      </c>
      <c r="B653">
        <v>-1</v>
      </c>
      <c r="C653" t="s">
        <v>10340</v>
      </c>
      <c r="D653" s="5">
        <v>-5109</v>
      </c>
    </row>
    <row r="654" spans="1:4" x14ac:dyDescent="0.25">
      <c r="A654" t="s">
        <v>6001</v>
      </c>
      <c r="B654">
        <v>-1</v>
      </c>
      <c r="C654" t="s">
        <v>10336</v>
      </c>
      <c r="D654" s="5">
        <v>-344.19</v>
      </c>
    </row>
    <row r="655" spans="1:4" x14ac:dyDescent="0.25">
      <c r="A655" t="s">
        <v>6420</v>
      </c>
      <c r="B655">
        <v>-1</v>
      </c>
      <c r="C655" t="s">
        <v>10338</v>
      </c>
      <c r="D655" s="5">
        <v>685.65</v>
      </c>
    </row>
    <row r="656" spans="1:4" x14ac:dyDescent="0.25">
      <c r="A656" t="s">
        <v>1714</v>
      </c>
      <c r="B656">
        <v>-1</v>
      </c>
      <c r="C656" t="s">
        <v>10344</v>
      </c>
      <c r="D656" s="5">
        <v>2663.02</v>
      </c>
    </row>
    <row r="657" spans="1:4" x14ac:dyDescent="0.25">
      <c r="A657" t="s">
        <v>4878</v>
      </c>
      <c r="B657">
        <v>-1</v>
      </c>
      <c r="C657" t="s">
        <v>10340</v>
      </c>
      <c r="D657" s="5">
        <v>722.76</v>
      </c>
    </row>
    <row r="658" spans="1:4" x14ac:dyDescent="0.25">
      <c r="A658" t="s">
        <v>7404</v>
      </c>
      <c r="B658">
        <v>-1</v>
      </c>
      <c r="C658" t="s">
        <v>10338</v>
      </c>
      <c r="D658" s="5">
        <v>2734.5</v>
      </c>
    </row>
    <row r="659" spans="1:4" x14ac:dyDescent="0.25">
      <c r="A659" t="s">
        <v>7887</v>
      </c>
      <c r="B659">
        <v>-1</v>
      </c>
      <c r="C659" t="s">
        <v>10334</v>
      </c>
      <c r="D659" s="5">
        <v>-1776.93</v>
      </c>
    </row>
    <row r="660" spans="1:4" x14ac:dyDescent="0.25">
      <c r="A660" t="s">
        <v>7904</v>
      </c>
      <c r="B660">
        <v>-1</v>
      </c>
      <c r="C660" t="s">
        <v>10338</v>
      </c>
      <c r="D660" s="5">
        <v>1112.57</v>
      </c>
    </row>
    <row r="661" spans="1:4" x14ac:dyDescent="0.25">
      <c r="A661" t="s">
        <v>7546</v>
      </c>
      <c r="B661">
        <v>-1</v>
      </c>
      <c r="C661" t="s">
        <v>10338</v>
      </c>
      <c r="D661" s="5">
        <v>1713.08</v>
      </c>
    </row>
    <row r="662" spans="1:4" x14ac:dyDescent="0.25">
      <c r="A662" t="s">
        <v>8719</v>
      </c>
      <c r="B662">
        <v>-1</v>
      </c>
      <c r="C662" t="s">
        <v>10339</v>
      </c>
      <c r="D662" s="5">
        <v>-2137.6</v>
      </c>
    </row>
    <row r="663" spans="1:4" x14ac:dyDescent="0.25">
      <c r="A663" t="s">
        <v>8101</v>
      </c>
      <c r="B663">
        <v>-1</v>
      </c>
      <c r="C663" t="s">
        <v>10342</v>
      </c>
      <c r="D663" s="5">
        <v>5530.96</v>
      </c>
    </row>
    <row r="664" spans="1:4" x14ac:dyDescent="0.25">
      <c r="A664" t="s">
        <v>9179</v>
      </c>
      <c r="B664">
        <v>-1</v>
      </c>
      <c r="C664" t="s">
        <v>10333</v>
      </c>
      <c r="D664" s="5">
        <v>-61958.6</v>
      </c>
    </row>
    <row r="665" spans="1:4" x14ac:dyDescent="0.25">
      <c r="A665" t="s">
        <v>8975</v>
      </c>
      <c r="B665">
        <v>-1</v>
      </c>
      <c r="C665" t="s">
        <v>10334</v>
      </c>
      <c r="D665" s="5">
        <v>-13.75</v>
      </c>
    </row>
    <row r="666" spans="1:4" x14ac:dyDescent="0.25">
      <c r="A666" t="s">
        <v>1362</v>
      </c>
      <c r="B666">
        <v>-1</v>
      </c>
      <c r="C666" t="s">
        <v>10338</v>
      </c>
      <c r="D666" s="5">
        <v>2613.14</v>
      </c>
    </row>
    <row r="667" spans="1:4" x14ac:dyDescent="0.25">
      <c r="A667" t="s">
        <v>975</v>
      </c>
      <c r="B667">
        <v>-1</v>
      </c>
      <c r="C667" t="s">
        <v>10334</v>
      </c>
      <c r="D667" s="5">
        <v>-282.01</v>
      </c>
    </row>
    <row r="668" spans="1:4" x14ac:dyDescent="0.25">
      <c r="A668" t="s">
        <v>420</v>
      </c>
      <c r="B668">
        <v>-1</v>
      </c>
      <c r="C668" t="s">
        <v>10341</v>
      </c>
      <c r="D668" s="5">
        <v>791.41</v>
      </c>
    </row>
    <row r="669" spans="1:4" x14ac:dyDescent="0.25">
      <c r="A669" t="s">
        <v>6094</v>
      </c>
      <c r="B669">
        <v>-1</v>
      </c>
      <c r="C669" t="s">
        <v>10340</v>
      </c>
      <c r="D669" s="5">
        <v>-2214.48</v>
      </c>
    </row>
    <row r="670" spans="1:4" x14ac:dyDescent="0.25">
      <c r="A670" t="s">
        <v>5971</v>
      </c>
      <c r="B670">
        <v>-1</v>
      </c>
      <c r="C670" t="s">
        <v>10334</v>
      </c>
      <c r="D670" s="5">
        <v>-341.38</v>
      </c>
    </row>
    <row r="671" spans="1:4" x14ac:dyDescent="0.25">
      <c r="A671" t="s">
        <v>6396</v>
      </c>
      <c r="B671">
        <v>-1</v>
      </c>
      <c r="C671" t="s">
        <v>10337</v>
      </c>
      <c r="D671" s="5">
        <v>846.07</v>
      </c>
    </row>
    <row r="672" spans="1:4" x14ac:dyDescent="0.25">
      <c r="A672" t="s">
        <v>466</v>
      </c>
      <c r="B672">
        <v>-1</v>
      </c>
      <c r="C672" t="s">
        <v>10338</v>
      </c>
      <c r="D672" s="5">
        <v>-29446.959999999999</v>
      </c>
    </row>
    <row r="673" spans="1:4" x14ac:dyDescent="0.25">
      <c r="A673" t="s">
        <v>5638</v>
      </c>
      <c r="B673">
        <v>-1</v>
      </c>
      <c r="C673" t="s">
        <v>10340</v>
      </c>
      <c r="D673" s="5">
        <v>-460.41</v>
      </c>
    </row>
    <row r="674" spans="1:4" x14ac:dyDescent="0.25">
      <c r="A674" t="s">
        <v>1723</v>
      </c>
      <c r="B674">
        <v>-1</v>
      </c>
      <c r="C674" t="s">
        <v>10338</v>
      </c>
      <c r="D674" s="5">
        <v>7170.17</v>
      </c>
    </row>
    <row r="675" spans="1:4" x14ac:dyDescent="0.25">
      <c r="A675" t="s">
        <v>4060</v>
      </c>
      <c r="B675">
        <v>-1</v>
      </c>
      <c r="C675" t="s">
        <v>10341</v>
      </c>
      <c r="D675" s="5">
        <v>-142.38999999999999</v>
      </c>
    </row>
    <row r="676" spans="1:4" x14ac:dyDescent="0.25">
      <c r="A676" t="s">
        <v>4039</v>
      </c>
      <c r="B676">
        <v>-1</v>
      </c>
      <c r="C676" t="s">
        <v>10339</v>
      </c>
      <c r="D676" s="5">
        <v>287.11</v>
      </c>
    </row>
    <row r="677" spans="1:4" x14ac:dyDescent="0.25">
      <c r="A677" t="s">
        <v>4035</v>
      </c>
      <c r="B677">
        <v>-1</v>
      </c>
      <c r="C677" t="s">
        <v>10334</v>
      </c>
    </row>
    <row r="678" spans="1:4" x14ac:dyDescent="0.25">
      <c r="A678" t="s">
        <v>3764</v>
      </c>
      <c r="B678">
        <v>-1</v>
      </c>
      <c r="C678" t="s">
        <v>10338</v>
      </c>
    </row>
    <row r="679" spans="1:4" x14ac:dyDescent="0.25">
      <c r="A679" t="s">
        <v>369</v>
      </c>
      <c r="B679">
        <v>-1</v>
      </c>
      <c r="C679" t="s">
        <v>10338</v>
      </c>
      <c r="D679" s="5">
        <v>1301.76</v>
      </c>
    </row>
    <row r="680" spans="1:4" x14ac:dyDescent="0.25">
      <c r="A680" t="s">
        <v>4078</v>
      </c>
      <c r="B680">
        <v>-1</v>
      </c>
      <c r="C680" t="s">
        <v>10341</v>
      </c>
      <c r="D680" s="5">
        <v>1033.21</v>
      </c>
    </row>
    <row r="681" spans="1:4" x14ac:dyDescent="0.25">
      <c r="A681" t="s">
        <v>10100</v>
      </c>
      <c r="B681">
        <v>-1</v>
      </c>
      <c r="C681" t="s">
        <v>10338</v>
      </c>
      <c r="D681" s="5">
        <v>0</v>
      </c>
    </row>
    <row r="682" spans="1:4" x14ac:dyDescent="0.25">
      <c r="A682" t="s">
        <v>6817</v>
      </c>
      <c r="B682">
        <v>-1</v>
      </c>
      <c r="C682" t="s">
        <v>10338</v>
      </c>
      <c r="D682" s="5">
        <v>326.27999999999997</v>
      </c>
    </row>
    <row r="683" spans="1:4" x14ac:dyDescent="0.25">
      <c r="A683" t="s">
        <v>7166</v>
      </c>
      <c r="B683">
        <v>-1</v>
      </c>
      <c r="C683" t="s">
        <v>10338</v>
      </c>
    </row>
    <row r="684" spans="1:4" x14ac:dyDescent="0.25">
      <c r="A684" t="s">
        <v>4714</v>
      </c>
      <c r="B684">
        <v>-1</v>
      </c>
      <c r="C684" t="s">
        <v>10334</v>
      </c>
      <c r="D684" s="5">
        <v>-8.25</v>
      </c>
    </row>
    <row r="685" spans="1:4" x14ac:dyDescent="0.25">
      <c r="A685" t="s">
        <v>6040</v>
      </c>
      <c r="B685">
        <v>-1</v>
      </c>
      <c r="C685" t="s">
        <v>10340</v>
      </c>
      <c r="D685" s="5">
        <v>-13894.65</v>
      </c>
    </row>
    <row r="686" spans="1:4" x14ac:dyDescent="0.25">
      <c r="A686" t="s">
        <v>5217</v>
      </c>
      <c r="B686">
        <v>-1</v>
      </c>
      <c r="C686" t="s">
        <v>10338</v>
      </c>
      <c r="D686" s="5">
        <v>0</v>
      </c>
    </row>
    <row r="687" spans="1:4" x14ac:dyDescent="0.25">
      <c r="A687" t="s">
        <v>5203</v>
      </c>
      <c r="B687">
        <v>-1</v>
      </c>
      <c r="C687" t="s">
        <v>10344</v>
      </c>
      <c r="D687" s="5">
        <v>97.8</v>
      </c>
    </row>
    <row r="688" spans="1:4" x14ac:dyDescent="0.25">
      <c r="A688" t="s">
        <v>5908</v>
      </c>
      <c r="B688">
        <v>-1</v>
      </c>
      <c r="C688" t="s">
        <v>10338</v>
      </c>
      <c r="D688" s="5">
        <v>93.59</v>
      </c>
    </row>
    <row r="689" spans="1:4" x14ac:dyDescent="0.25">
      <c r="A689" t="s">
        <v>6777</v>
      </c>
      <c r="B689">
        <v>-1</v>
      </c>
      <c r="C689" t="s">
        <v>10338</v>
      </c>
      <c r="D689" s="5">
        <v>1120.46</v>
      </c>
    </row>
    <row r="690" spans="1:4" x14ac:dyDescent="0.25">
      <c r="A690" t="s">
        <v>9967</v>
      </c>
      <c r="B690">
        <v>-1</v>
      </c>
      <c r="C690" t="s">
        <v>10338</v>
      </c>
      <c r="D690" s="5">
        <v>15.07</v>
      </c>
    </row>
    <row r="691" spans="1:4" x14ac:dyDescent="0.25">
      <c r="A691" t="s">
        <v>909</v>
      </c>
      <c r="B691">
        <v>-1</v>
      </c>
      <c r="C691" t="s">
        <v>10339</v>
      </c>
      <c r="D691" s="5">
        <v>1510.87</v>
      </c>
    </row>
    <row r="692" spans="1:4" x14ac:dyDescent="0.25">
      <c r="A692" t="s">
        <v>2571</v>
      </c>
      <c r="B692">
        <v>-1</v>
      </c>
      <c r="C692" t="s">
        <v>10340</v>
      </c>
      <c r="D692" s="5">
        <v>-80.260000000000005</v>
      </c>
    </row>
    <row r="693" spans="1:4" x14ac:dyDescent="0.25">
      <c r="A693" t="s">
        <v>9274</v>
      </c>
      <c r="B693">
        <v>-1</v>
      </c>
      <c r="C693" t="s">
        <v>10338</v>
      </c>
      <c r="D693" s="5">
        <v>-1546.71</v>
      </c>
    </row>
    <row r="694" spans="1:4" x14ac:dyDescent="0.25">
      <c r="A694" t="s">
        <v>2250</v>
      </c>
      <c r="B694">
        <v>-1</v>
      </c>
      <c r="C694" t="s">
        <v>10338</v>
      </c>
    </row>
    <row r="695" spans="1:4" x14ac:dyDescent="0.25">
      <c r="A695" t="s">
        <v>777</v>
      </c>
      <c r="B695">
        <v>-1</v>
      </c>
      <c r="C695" t="s">
        <v>10333</v>
      </c>
      <c r="D695" s="5">
        <v>536.96</v>
      </c>
    </row>
    <row r="696" spans="1:4" x14ac:dyDescent="0.25">
      <c r="A696" t="s">
        <v>1842</v>
      </c>
      <c r="B696">
        <v>-1</v>
      </c>
      <c r="C696" t="s">
        <v>10340</v>
      </c>
      <c r="D696" s="5">
        <v>104.48</v>
      </c>
    </row>
    <row r="697" spans="1:4" x14ac:dyDescent="0.25">
      <c r="A697" t="s">
        <v>3461</v>
      </c>
      <c r="B697">
        <v>-1</v>
      </c>
      <c r="C697" t="s">
        <v>10334</v>
      </c>
      <c r="D697" s="5">
        <v>-3865.5</v>
      </c>
    </row>
    <row r="698" spans="1:4" x14ac:dyDescent="0.25">
      <c r="A698" t="s">
        <v>1896</v>
      </c>
      <c r="B698">
        <v>-1</v>
      </c>
      <c r="C698" t="s">
        <v>10337</v>
      </c>
    </row>
    <row r="699" spans="1:4" x14ac:dyDescent="0.25">
      <c r="A699" t="s">
        <v>4101</v>
      </c>
      <c r="B699">
        <v>-1</v>
      </c>
      <c r="C699" t="s">
        <v>10334</v>
      </c>
      <c r="D699" s="5">
        <v>607.22</v>
      </c>
    </row>
    <row r="700" spans="1:4" x14ac:dyDescent="0.25">
      <c r="A700" t="s">
        <v>9836</v>
      </c>
      <c r="B700">
        <v>-1</v>
      </c>
      <c r="C700" t="s">
        <v>10338</v>
      </c>
    </row>
    <row r="701" spans="1:4" x14ac:dyDescent="0.25">
      <c r="A701" t="s">
        <v>310</v>
      </c>
      <c r="B701">
        <v>-1</v>
      </c>
      <c r="C701" t="s">
        <v>10340</v>
      </c>
      <c r="D701" s="5">
        <v>353.66</v>
      </c>
    </row>
    <row r="702" spans="1:4" x14ac:dyDescent="0.25">
      <c r="A702" t="s">
        <v>7373</v>
      </c>
      <c r="B702">
        <v>-1</v>
      </c>
      <c r="C702" t="s">
        <v>10340</v>
      </c>
      <c r="D702" s="5">
        <v>-5431.72</v>
      </c>
    </row>
    <row r="703" spans="1:4" x14ac:dyDescent="0.25">
      <c r="A703" t="s">
        <v>4393</v>
      </c>
      <c r="B703">
        <v>-1</v>
      </c>
      <c r="C703" t="s">
        <v>10338</v>
      </c>
      <c r="D703" s="5">
        <v>1334.69</v>
      </c>
    </row>
    <row r="704" spans="1:4" x14ac:dyDescent="0.25">
      <c r="A704" t="s">
        <v>4362</v>
      </c>
      <c r="B704">
        <v>-1</v>
      </c>
      <c r="C704" t="s">
        <v>10338</v>
      </c>
      <c r="D704" s="5">
        <v>2703.4</v>
      </c>
    </row>
    <row r="705" spans="1:4" x14ac:dyDescent="0.25">
      <c r="A705" t="s">
        <v>6711</v>
      </c>
      <c r="B705">
        <v>-1</v>
      </c>
      <c r="C705" t="s">
        <v>10336</v>
      </c>
      <c r="D705" s="5">
        <v>-5030.9399999999996</v>
      </c>
    </row>
    <row r="706" spans="1:4" x14ac:dyDescent="0.25">
      <c r="A706" t="s">
        <v>1757</v>
      </c>
      <c r="B706">
        <v>-1</v>
      </c>
      <c r="C706" t="s">
        <v>10336</v>
      </c>
      <c r="D706" s="5">
        <v>-492.65</v>
      </c>
    </row>
    <row r="707" spans="1:4" x14ac:dyDescent="0.25">
      <c r="A707" t="s">
        <v>5395</v>
      </c>
      <c r="B707">
        <v>-1</v>
      </c>
      <c r="C707" t="s">
        <v>10347</v>
      </c>
      <c r="D707" s="5">
        <v>-1714.9</v>
      </c>
    </row>
    <row r="708" spans="1:4" x14ac:dyDescent="0.25">
      <c r="A708" t="s">
        <v>3868</v>
      </c>
      <c r="B708">
        <v>-1</v>
      </c>
      <c r="C708" t="s">
        <v>10338</v>
      </c>
      <c r="D708" s="5">
        <v>1796.28</v>
      </c>
    </row>
    <row r="709" spans="1:4" x14ac:dyDescent="0.25">
      <c r="A709" t="s">
        <v>4539</v>
      </c>
      <c r="B709">
        <v>-1</v>
      </c>
      <c r="C709" t="s">
        <v>10337</v>
      </c>
      <c r="D709" s="5">
        <v>451.75</v>
      </c>
    </row>
    <row r="710" spans="1:4" x14ac:dyDescent="0.25">
      <c r="A710" t="s">
        <v>4587</v>
      </c>
      <c r="B710">
        <v>-1</v>
      </c>
      <c r="C710" t="s">
        <v>10341</v>
      </c>
      <c r="D710" s="5">
        <v>-316.76</v>
      </c>
    </row>
    <row r="711" spans="1:4" x14ac:dyDescent="0.25">
      <c r="A711" t="s">
        <v>5288</v>
      </c>
      <c r="B711">
        <v>-1</v>
      </c>
      <c r="C711" t="s">
        <v>10336</v>
      </c>
      <c r="D711" s="5">
        <v>-1663.03</v>
      </c>
    </row>
    <row r="712" spans="1:4" x14ac:dyDescent="0.25">
      <c r="A712" t="s">
        <v>4247</v>
      </c>
      <c r="B712">
        <v>-1</v>
      </c>
      <c r="C712" t="s">
        <v>10334</v>
      </c>
      <c r="D712" s="5">
        <v>3408.01</v>
      </c>
    </row>
    <row r="713" spans="1:4" x14ac:dyDescent="0.25">
      <c r="A713" t="s">
        <v>8633</v>
      </c>
      <c r="B713">
        <v>-1</v>
      </c>
      <c r="C713" t="s">
        <v>10338</v>
      </c>
      <c r="D713" s="5">
        <v>1522</v>
      </c>
    </row>
    <row r="714" spans="1:4" x14ac:dyDescent="0.25">
      <c r="A714" t="s">
        <v>5303</v>
      </c>
      <c r="B714">
        <v>-1</v>
      </c>
      <c r="C714" t="s">
        <v>10344</v>
      </c>
      <c r="D714" s="5">
        <v>4822.53</v>
      </c>
    </row>
    <row r="715" spans="1:4" x14ac:dyDescent="0.25">
      <c r="A715" t="s">
        <v>8436</v>
      </c>
      <c r="B715">
        <v>-1</v>
      </c>
      <c r="C715" t="s">
        <v>10333</v>
      </c>
      <c r="D715" s="5">
        <v>-1361.94</v>
      </c>
    </row>
    <row r="716" spans="1:4" x14ac:dyDescent="0.25">
      <c r="A716" t="s">
        <v>7675</v>
      </c>
      <c r="B716">
        <v>-1</v>
      </c>
      <c r="C716" t="s">
        <v>10338</v>
      </c>
      <c r="D716" s="5">
        <v>3477.34</v>
      </c>
    </row>
    <row r="717" spans="1:4" x14ac:dyDescent="0.25">
      <c r="A717" t="s">
        <v>1129</v>
      </c>
      <c r="B717">
        <v>-1</v>
      </c>
      <c r="C717" t="s">
        <v>10338</v>
      </c>
      <c r="D717" s="5">
        <v>2080.84</v>
      </c>
    </row>
    <row r="718" spans="1:4" x14ac:dyDescent="0.25">
      <c r="A718" t="s">
        <v>8616</v>
      </c>
      <c r="B718">
        <v>-1</v>
      </c>
      <c r="C718" t="s">
        <v>10338</v>
      </c>
      <c r="D718" s="5">
        <v>565.96</v>
      </c>
    </row>
    <row r="719" spans="1:4" x14ac:dyDescent="0.25">
      <c r="A719" t="s">
        <v>4975</v>
      </c>
      <c r="B719">
        <v>-1</v>
      </c>
      <c r="C719" t="s">
        <v>10340</v>
      </c>
      <c r="D719" s="5">
        <v>-3218.06</v>
      </c>
    </row>
    <row r="720" spans="1:4" x14ac:dyDescent="0.25">
      <c r="A720" t="s">
        <v>1748</v>
      </c>
      <c r="B720">
        <v>-1</v>
      </c>
      <c r="C720" t="s">
        <v>10339</v>
      </c>
      <c r="D720" s="5">
        <v>4331.1899999999996</v>
      </c>
    </row>
    <row r="721" spans="1:4" x14ac:dyDescent="0.25">
      <c r="A721" t="s">
        <v>2164</v>
      </c>
      <c r="B721">
        <v>-1</v>
      </c>
      <c r="C721" t="s">
        <v>10338</v>
      </c>
      <c r="D721" s="5">
        <v>1468.18</v>
      </c>
    </row>
    <row r="722" spans="1:4" x14ac:dyDescent="0.25">
      <c r="A722" t="s">
        <v>2725</v>
      </c>
      <c r="B722">
        <v>-1</v>
      </c>
      <c r="C722" t="s">
        <v>10335</v>
      </c>
      <c r="D722" s="5">
        <v>-49.9</v>
      </c>
    </row>
    <row r="723" spans="1:4" x14ac:dyDescent="0.25">
      <c r="A723" t="s">
        <v>282</v>
      </c>
      <c r="B723">
        <v>-1</v>
      </c>
      <c r="C723" t="s">
        <v>10338</v>
      </c>
      <c r="D723" s="5">
        <v>836.49</v>
      </c>
    </row>
    <row r="724" spans="1:4" x14ac:dyDescent="0.25">
      <c r="A724" t="s">
        <v>501</v>
      </c>
      <c r="B724">
        <v>-1</v>
      </c>
      <c r="C724" t="s">
        <v>10335</v>
      </c>
      <c r="D724" s="5">
        <v>528.46</v>
      </c>
    </row>
    <row r="725" spans="1:4" x14ac:dyDescent="0.25">
      <c r="A725" t="s">
        <v>3697</v>
      </c>
      <c r="B725">
        <v>-1</v>
      </c>
      <c r="C725" t="s">
        <v>10336</v>
      </c>
      <c r="D725" s="5">
        <v>532.79999999999995</v>
      </c>
    </row>
    <row r="726" spans="1:4" x14ac:dyDescent="0.25">
      <c r="A726" t="s">
        <v>2052</v>
      </c>
      <c r="B726">
        <v>-1</v>
      </c>
      <c r="C726" t="s">
        <v>10344</v>
      </c>
      <c r="D726" s="5">
        <v>874.53</v>
      </c>
    </row>
    <row r="727" spans="1:4" x14ac:dyDescent="0.25">
      <c r="A727" t="s">
        <v>3311</v>
      </c>
      <c r="B727">
        <v>-1</v>
      </c>
      <c r="C727" t="s">
        <v>10344</v>
      </c>
      <c r="D727" s="5">
        <v>-8.2899999999999991</v>
      </c>
    </row>
    <row r="728" spans="1:4" x14ac:dyDescent="0.25">
      <c r="A728" t="s">
        <v>8744</v>
      </c>
      <c r="B728">
        <v>-1</v>
      </c>
      <c r="C728" t="s">
        <v>10340</v>
      </c>
      <c r="D728" s="5">
        <v>-1484.06</v>
      </c>
    </row>
    <row r="729" spans="1:4" x14ac:dyDescent="0.25">
      <c r="A729" t="s">
        <v>6855</v>
      </c>
      <c r="B729">
        <v>-1</v>
      </c>
      <c r="C729" t="s">
        <v>10338</v>
      </c>
      <c r="D729" s="5">
        <v>-1045.48</v>
      </c>
    </row>
    <row r="730" spans="1:4" x14ac:dyDescent="0.25">
      <c r="A730" t="s">
        <v>10086</v>
      </c>
      <c r="B730">
        <v>-1</v>
      </c>
      <c r="C730" t="s">
        <v>10338</v>
      </c>
      <c r="D730" s="5">
        <v>841.87</v>
      </c>
    </row>
    <row r="731" spans="1:4" x14ac:dyDescent="0.25">
      <c r="A731" t="s">
        <v>3708</v>
      </c>
      <c r="B731">
        <v>-1</v>
      </c>
      <c r="C731" t="s">
        <v>10337</v>
      </c>
      <c r="D731" s="5">
        <v>307.14</v>
      </c>
    </row>
    <row r="732" spans="1:4" x14ac:dyDescent="0.25">
      <c r="A732" t="s">
        <v>6331</v>
      </c>
      <c r="B732">
        <v>-1</v>
      </c>
      <c r="C732" t="s">
        <v>10335</v>
      </c>
      <c r="D732" s="5">
        <v>17.84</v>
      </c>
    </row>
    <row r="733" spans="1:4" x14ac:dyDescent="0.25">
      <c r="A733" t="s">
        <v>8846</v>
      </c>
      <c r="B733">
        <v>-1</v>
      </c>
      <c r="C733" t="s">
        <v>10334</v>
      </c>
      <c r="D733" s="5">
        <v>1833.28</v>
      </c>
    </row>
    <row r="734" spans="1:4" x14ac:dyDescent="0.25">
      <c r="A734" t="s">
        <v>9626</v>
      </c>
      <c r="B734">
        <v>-1</v>
      </c>
      <c r="C734" t="s">
        <v>10338</v>
      </c>
      <c r="D734" s="5">
        <v>966.3</v>
      </c>
    </row>
    <row r="735" spans="1:4" x14ac:dyDescent="0.25">
      <c r="A735" t="s">
        <v>8556</v>
      </c>
      <c r="B735">
        <v>-1</v>
      </c>
      <c r="C735" t="s">
        <v>10341</v>
      </c>
      <c r="D735" s="5">
        <v>1942.81</v>
      </c>
    </row>
    <row r="736" spans="1:4" x14ac:dyDescent="0.25">
      <c r="A736" t="s">
        <v>4548</v>
      </c>
      <c r="B736">
        <v>-1</v>
      </c>
      <c r="C736" t="s">
        <v>10341</v>
      </c>
      <c r="D736" s="5">
        <v>1076.94</v>
      </c>
    </row>
    <row r="737" spans="1:4" x14ac:dyDescent="0.25">
      <c r="A737" t="s">
        <v>1327</v>
      </c>
      <c r="B737">
        <v>-1</v>
      </c>
      <c r="C737" t="s">
        <v>10340</v>
      </c>
      <c r="D737" s="5">
        <v>578.16999999999996</v>
      </c>
    </row>
    <row r="738" spans="1:4" x14ac:dyDescent="0.25">
      <c r="A738" t="s">
        <v>4944</v>
      </c>
      <c r="B738">
        <v>-1</v>
      </c>
      <c r="C738" t="s">
        <v>10338</v>
      </c>
      <c r="D738" s="5">
        <v>721.15</v>
      </c>
    </row>
    <row r="739" spans="1:4" x14ac:dyDescent="0.25">
      <c r="A739" t="s">
        <v>2081</v>
      </c>
      <c r="B739">
        <v>-1</v>
      </c>
      <c r="C739" t="s">
        <v>10337</v>
      </c>
      <c r="D739" s="5">
        <v>5868.44</v>
      </c>
    </row>
    <row r="740" spans="1:4" x14ac:dyDescent="0.25">
      <c r="A740" t="s">
        <v>28</v>
      </c>
      <c r="B740">
        <v>-1</v>
      </c>
      <c r="C740" t="s">
        <v>10341</v>
      </c>
      <c r="D740" s="5">
        <v>759.94</v>
      </c>
    </row>
    <row r="741" spans="1:4" x14ac:dyDescent="0.25">
      <c r="A741" t="s">
        <v>11</v>
      </c>
      <c r="B741">
        <v>-1</v>
      </c>
      <c r="C741" t="s">
        <v>10335</v>
      </c>
      <c r="D741" s="5">
        <v>561.54999999999995</v>
      </c>
    </row>
    <row r="742" spans="1:4" x14ac:dyDescent="0.25">
      <c r="A742" t="s">
        <v>2693</v>
      </c>
      <c r="B742">
        <v>-1</v>
      </c>
      <c r="C742" t="s">
        <v>10340</v>
      </c>
      <c r="D742" s="5">
        <v>1340.95</v>
      </c>
    </row>
    <row r="743" spans="1:4" x14ac:dyDescent="0.25">
      <c r="A743" t="s">
        <v>1927</v>
      </c>
      <c r="B743">
        <v>-1</v>
      </c>
      <c r="C743" t="s">
        <v>10338</v>
      </c>
      <c r="D743" s="5">
        <v>8370.02</v>
      </c>
    </row>
    <row r="744" spans="1:4" x14ac:dyDescent="0.25">
      <c r="A744" t="s">
        <v>10206</v>
      </c>
      <c r="B744">
        <v>-1</v>
      </c>
      <c r="C744" t="s">
        <v>10338</v>
      </c>
      <c r="D744" s="5">
        <v>0</v>
      </c>
    </row>
    <row r="745" spans="1:4" x14ac:dyDescent="0.25">
      <c r="A745" t="s">
        <v>9911</v>
      </c>
      <c r="B745">
        <v>-1</v>
      </c>
      <c r="C745" t="s">
        <v>10333</v>
      </c>
      <c r="D745" s="5">
        <v>-333.07</v>
      </c>
    </row>
    <row r="746" spans="1:4" x14ac:dyDescent="0.25">
      <c r="A746" t="s">
        <v>3914</v>
      </c>
      <c r="B746">
        <v>-1</v>
      </c>
      <c r="C746" t="s">
        <v>10339</v>
      </c>
      <c r="D746" s="5">
        <v>3035.7</v>
      </c>
    </row>
    <row r="747" spans="1:4" x14ac:dyDescent="0.25">
      <c r="A747" t="s">
        <v>5032</v>
      </c>
      <c r="B747">
        <v>-1</v>
      </c>
      <c r="C747" t="s">
        <v>10333</v>
      </c>
      <c r="D747" s="5">
        <v>-13115.19</v>
      </c>
    </row>
    <row r="748" spans="1:4" x14ac:dyDescent="0.25">
      <c r="A748" t="s">
        <v>6417</v>
      </c>
      <c r="B748">
        <v>-1</v>
      </c>
      <c r="C748" t="s">
        <v>10344</v>
      </c>
      <c r="D748" s="5">
        <v>893.89</v>
      </c>
    </row>
    <row r="749" spans="1:4" x14ac:dyDescent="0.25">
      <c r="A749" t="s">
        <v>5562</v>
      </c>
      <c r="B749">
        <v>-1</v>
      </c>
      <c r="C749" t="s">
        <v>10342</v>
      </c>
      <c r="D749" s="5">
        <v>5904.3</v>
      </c>
    </row>
    <row r="750" spans="1:4" x14ac:dyDescent="0.25">
      <c r="A750" t="s">
        <v>2519</v>
      </c>
      <c r="B750">
        <v>-1</v>
      </c>
      <c r="C750" t="s">
        <v>10337</v>
      </c>
      <c r="D750" s="5">
        <v>-786.11</v>
      </c>
    </row>
    <row r="751" spans="1:4" x14ac:dyDescent="0.25">
      <c r="A751" t="s">
        <v>4843</v>
      </c>
      <c r="B751">
        <v>-1</v>
      </c>
      <c r="C751" t="s">
        <v>10340</v>
      </c>
      <c r="D751" s="5">
        <v>905.58</v>
      </c>
    </row>
    <row r="752" spans="1:4" x14ac:dyDescent="0.25">
      <c r="A752" t="s">
        <v>10156</v>
      </c>
      <c r="B752">
        <v>-1</v>
      </c>
      <c r="C752" t="s">
        <v>10338</v>
      </c>
      <c r="D752" s="5">
        <v>61.68</v>
      </c>
    </row>
    <row r="753" spans="1:4" x14ac:dyDescent="0.25">
      <c r="A753" t="s">
        <v>4398</v>
      </c>
      <c r="B753">
        <v>-1</v>
      </c>
      <c r="C753" t="s">
        <v>10338</v>
      </c>
      <c r="D753" s="5">
        <v>4602.58</v>
      </c>
    </row>
    <row r="754" spans="1:4" x14ac:dyDescent="0.25">
      <c r="A754" t="s">
        <v>6898</v>
      </c>
      <c r="B754">
        <v>-1</v>
      </c>
      <c r="C754" t="s">
        <v>10338</v>
      </c>
      <c r="D754" s="5">
        <v>2324.08</v>
      </c>
    </row>
    <row r="755" spans="1:4" x14ac:dyDescent="0.25">
      <c r="A755" t="s">
        <v>9300</v>
      </c>
      <c r="B755">
        <v>-1</v>
      </c>
      <c r="C755" t="s">
        <v>10338</v>
      </c>
      <c r="D755" s="5">
        <v>3329.42</v>
      </c>
    </row>
    <row r="756" spans="1:4" x14ac:dyDescent="0.25">
      <c r="A756" t="s">
        <v>731</v>
      </c>
      <c r="B756">
        <v>-1</v>
      </c>
      <c r="C756" t="s">
        <v>10341</v>
      </c>
      <c r="D756" s="5">
        <v>5375.43</v>
      </c>
    </row>
    <row r="757" spans="1:4" x14ac:dyDescent="0.25">
      <c r="A757" t="s">
        <v>3491</v>
      </c>
      <c r="B757">
        <v>-1</v>
      </c>
      <c r="C757" t="s">
        <v>10333</v>
      </c>
      <c r="D757" s="5">
        <v>-45.11</v>
      </c>
    </row>
    <row r="758" spans="1:4" x14ac:dyDescent="0.25">
      <c r="A758" t="s">
        <v>3413</v>
      </c>
      <c r="B758">
        <v>-1</v>
      </c>
      <c r="C758" t="s">
        <v>10335</v>
      </c>
      <c r="D758" s="5">
        <v>1072.6600000000001</v>
      </c>
    </row>
    <row r="759" spans="1:4" x14ac:dyDescent="0.25">
      <c r="A759" t="s">
        <v>3467</v>
      </c>
      <c r="B759">
        <v>-1</v>
      </c>
      <c r="C759" t="s">
        <v>10340</v>
      </c>
      <c r="D759" s="5">
        <v>2935.22</v>
      </c>
    </row>
    <row r="760" spans="1:4" x14ac:dyDescent="0.25">
      <c r="A760" t="s">
        <v>1217</v>
      </c>
      <c r="B760">
        <v>-1</v>
      </c>
      <c r="C760" t="s">
        <v>10340</v>
      </c>
      <c r="D760" s="5">
        <v>860.57</v>
      </c>
    </row>
    <row r="761" spans="1:4" x14ac:dyDescent="0.25">
      <c r="A761" t="s">
        <v>9670</v>
      </c>
      <c r="B761">
        <v>-1</v>
      </c>
      <c r="C761" t="s">
        <v>10338</v>
      </c>
      <c r="D761" s="5">
        <v>3363.24</v>
      </c>
    </row>
    <row r="762" spans="1:4" x14ac:dyDescent="0.25">
      <c r="A762" t="s">
        <v>6434</v>
      </c>
      <c r="B762">
        <v>-1</v>
      </c>
      <c r="C762" t="s">
        <v>10338</v>
      </c>
    </row>
    <row r="763" spans="1:4" x14ac:dyDescent="0.25">
      <c r="A763" t="s">
        <v>10000</v>
      </c>
      <c r="B763">
        <v>-1</v>
      </c>
      <c r="C763" t="s">
        <v>10333</v>
      </c>
    </row>
    <row r="764" spans="1:4" x14ac:dyDescent="0.25">
      <c r="A764" t="s">
        <v>5851</v>
      </c>
      <c r="B764">
        <v>-1</v>
      </c>
      <c r="C764" t="s">
        <v>10338</v>
      </c>
      <c r="D764" s="5">
        <v>325.85000000000002</v>
      </c>
    </row>
    <row r="765" spans="1:4" x14ac:dyDescent="0.25">
      <c r="A765" t="s">
        <v>662</v>
      </c>
      <c r="B765">
        <v>-1</v>
      </c>
      <c r="C765" t="s">
        <v>10341</v>
      </c>
      <c r="D765" s="5">
        <v>3725.63</v>
      </c>
    </row>
    <row r="766" spans="1:4" x14ac:dyDescent="0.25">
      <c r="A766" t="s">
        <v>2199</v>
      </c>
      <c r="B766">
        <v>-1</v>
      </c>
      <c r="C766" t="s">
        <v>10338</v>
      </c>
      <c r="D766" s="5">
        <v>1640.62</v>
      </c>
    </row>
    <row r="767" spans="1:4" x14ac:dyDescent="0.25">
      <c r="A767" t="s">
        <v>5848</v>
      </c>
      <c r="B767">
        <v>-1</v>
      </c>
      <c r="C767" t="s">
        <v>10338</v>
      </c>
      <c r="D767" s="5">
        <v>1312.65</v>
      </c>
    </row>
    <row r="768" spans="1:4" x14ac:dyDescent="0.25">
      <c r="A768" t="s">
        <v>4178</v>
      </c>
      <c r="B768">
        <v>-1</v>
      </c>
      <c r="C768" t="s">
        <v>10338</v>
      </c>
      <c r="D768" s="5">
        <v>52.49</v>
      </c>
    </row>
    <row r="769" spans="1:4" x14ac:dyDescent="0.25">
      <c r="A769" t="s">
        <v>2189</v>
      </c>
      <c r="B769">
        <v>-1</v>
      </c>
      <c r="C769" t="s">
        <v>10344</v>
      </c>
      <c r="D769" s="5">
        <v>250.47</v>
      </c>
    </row>
    <row r="770" spans="1:4" x14ac:dyDescent="0.25">
      <c r="A770" t="s">
        <v>5026</v>
      </c>
      <c r="B770">
        <v>-1</v>
      </c>
      <c r="C770" t="s">
        <v>10338</v>
      </c>
      <c r="D770" s="5">
        <v>700.27</v>
      </c>
    </row>
    <row r="771" spans="1:4" x14ac:dyDescent="0.25">
      <c r="A771" t="s">
        <v>7755</v>
      </c>
      <c r="B771">
        <v>-1</v>
      </c>
      <c r="C771" t="s">
        <v>10334</v>
      </c>
      <c r="D771" s="5">
        <v>399.49</v>
      </c>
    </row>
    <row r="772" spans="1:4" x14ac:dyDescent="0.25">
      <c r="A772" t="s">
        <v>10122</v>
      </c>
      <c r="B772">
        <v>-1</v>
      </c>
      <c r="C772" t="s">
        <v>10338</v>
      </c>
      <c r="D772" s="5">
        <v>-469.1</v>
      </c>
    </row>
    <row r="773" spans="1:4" x14ac:dyDescent="0.25">
      <c r="A773" t="s">
        <v>3643</v>
      </c>
      <c r="B773">
        <v>-1</v>
      </c>
      <c r="C773" t="s">
        <v>10338</v>
      </c>
      <c r="D773" s="5">
        <v>2417.5300000000002</v>
      </c>
    </row>
    <row r="774" spans="1:4" x14ac:dyDescent="0.25">
      <c r="A774" t="s">
        <v>4142</v>
      </c>
      <c r="B774">
        <v>-1</v>
      </c>
      <c r="C774" t="s">
        <v>10338</v>
      </c>
      <c r="D774" s="5">
        <v>3374.53</v>
      </c>
    </row>
    <row r="775" spans="1:4" x14ac:dyDescent="0.25">
      <c r="A775" t="s">
        <v>9340</v>
      </c>
      <c r="B775">
        <v>-1</v>
      </c>
      <c r="C775" t="s">
        <v>10344</v>
      </c>
      <c r="D775" s="5">
        <v>-317.79000000000002</v>
      </c>
    </row>
    <row r="776" spans="1:4" x14ac:dyDescent="0.25">
      <c r="A776" t="s">
        <v>7917</v>
      </c>
      <c r="B776">
        <v>-1</v>
      </c>
      <c r="C776" t="s">
        <v>10338</v>
      </c>
      <c r="D776" s="5">
        <v>6417.84</v>
      </c>
    </row>
    <row r="777" spans="1:4" x14ac:dyDescent="0.25">
      <c r="A777" t="s">
        <v>6060</v>
      </c>
      <c r="B777">
        <v>-1</v>
      </c>
      <c r="C777" t="s">
        <v>10338</v>
      </c>
      <c r="D777" s="5">
        <v>80.510000000000005</v>
      </c>
    </row>
    <row r="778" spans="1:4" x14ac:dyDescent="0.25">
      <c r="A778" t="s">
        <v>945</v>
      </c>
      <c r="B778">
        <v>-1</v>
      </c>
      <c r="C778" t="s">
        <v>10338</v>
      </c>
      <c r="D778" s="5">
        <v>0</v>
      </c>
    </row>
    <row r="779" spans="1:4" x14ac:dyDescent="0.25">
      <c r="A779" t="s">
        <v>7661</v>
      </c>
      <c r="B779">
        <v>-1</v>
      </c>
      <c r="C779" t="s">
        <v>10338</v>
      </c>
      <c r="D779" s="5">
        <v>2398.69</v>
      </c>
    </row>
    <row r="780" spans="1:4" x14ac:dyDescent="0.25">
      <c r="A780" t="s">
        <v>2371</v>
      </c>
      <c r="B780">
        <v>-1</v>
      </c>
      <c r="C780" t="s">
        <v>10338</v>
      </c>
      <c r="D780" s="5">
        <v>970.08</v>
      </c>
    </row>
    <row r="781" spans="1:4" x14ac:dyDescent="0.25">
      <c r="A781" t="s">
        <v>4961</v>
      </c>
      <c r="B781">
        <v>-1</v>
      </c>
      <c r="C781" t="s">
        <v>10338</v>
      </c>
      <c r="D781" s="5">
        <v>822.13</v>
      </c>
    </row>
    <row r="782" spans="1:4" x14ac:dyDescent="0.25">
      <c r="A782" t="s">
        <v>4045</v>
      </c>
      <c r="B782">
        <v>-1</v>
      </c>
      <c r="C782" t="s">
        <v>10333</v>
      </c>
      <c r="D782" s="5">
        <v>-1061.3</v>
      </c>
    </row>
    <row r="783" spans="1:4" x14ac:dyDescent="0.25">
      <c r="A783" t="s">
        <v>1205</v>
      </c>
      <c r="B783">
        <v>-1</v>
      </c>
      <c r="C783" t="s">
        <v>10338</v>
      </c>
      <c r="D783" s="5">
        <v>83.51</v>
      </c>
    </row>
    <row r="784" spans="1:4" x14ac:dyDescent="0.25">
      <c r="A784" t="s">
        <v>7323</v>
      </c>
      <c r="B784">
        <v>-1</v>
      </c>
      <c r="C784" t="s">
        <v>10344</v>
      </c>
      <c r="D784" s="5">
        <v>1278.99</v>
      </c>
    </row>
    <row r="785" spans="1:4" x14ac:dyDescent="0.25">
      <c r="A785" t="s">
        <v>7034</v>
      </c>
      <c r="B785">
        <v>-1</v>
      </c>
      <c r="C785" t="s">
        <v>10338</v>
      </c>
    </row>
    <row r="786" spans="1:4" x14ac:dyDescent="0.25">
      <c r="A786" t="s">
        <v>9291</v>
      </c>
      <c r="B786">
        <v>-1</v>
      </c>
      <c r="C786" t="s">
        <v>10340</v>
      </c>
      <c r="D786" s="5">
        <v>-792.66</v>
      </c>
    </row>
    <row r="787" spans="1:4" x14ac:dyDescent="0.25">
      <c r="A787" t="s">
        <v>1493</v>
      </c>
      <c r="B787">
        <v>-1</v>
      </c>
      <c r="C787" t="s">
        <v>10338</v>
      </c>
    </row>
    <row r="788" spans="1:4" x14ac:dyDescent="0.25">
      <c r="A788" t="s">
        <v>3823</v>
      </c>
      <c r="B788">
        <v>-1</v>
      </c>
      <c r="C788" t="s">
        <v>10338</v>
      </c>
      <c r="D788" s="5">
        <v>1072.01</v>
      </c>
    </row>
    <row r="789" spans="1:4" x14ac:dyDescent="0.25">
      <c r="A789" t="s">
        <v>10222</v>
      </c>
      <c r="B789">
        <v>-1</v>
      </c>
      <c r="C789" t="s">
        <v>10337</v>
      </c>
      <c r="D789" s="5">
        <v>-6.54</v>
      </c>
    </row>
    <row r="790" spans="1:4" x14ac:dyDescent="0.25">
      <c r="A790" t="s">
        <v>6518</v>
      </c>
      <c r="B790">
        <v>-1</v>
      </c>
      <c r="C790" t="s">
        <v>10338</v>
      </c>
      <c r="D790" s="5">
        <v>1948.19</v>
      </c>
    </row>
    <row r="791" spans="1:4" x14ac:dyDescent="0.25">
      <c r="A791" t="s">
        <v>3975</v>
      </c>
      <c r="B791">
        <v>-1</v>
      </c>
      <c r="C791" t="s">
        <v>10338</v>
      </c>
      <c r="D791" s="5">
        <v>0</v>
      </c>
    </row>
    <row r="792" spans="1:4" x14ac:dyDescent="0.25">
      <c r="A792" t="s">
        <v>5404</v>
      </c>
      <c r="B792">
        <v>-1</v>
      </c>
      <c r="C792" t="s">
        <v>10338</v>
      </c>
      <c r="D792" s="5">
        <v>-965.13</v>
      </c>
    </row>
    <row r="793" spans="1:4" x14ac:dyDescent="0.25">
      <c r="A793" t="s">
        <v>7160</v>
      </c>
      <c r="B793">
        <v>-1</v>
      </c>
      <c r="C793" t="s">
        <v>10333</v>
      </c>
      <c r="D793" s="5">
        <v>-451.46</v>
      </c>
    </row>
    <row r="794" spans="1:4" x14ac:dyDescent="0.25">
      <c r="A794" t="s">
        <v>8849</v>
      </c>
      <c r="B794">
        <v>-1</v>
      </c>
      <c r="C794" t="s">
        <v>10333</v>
      </c>
      <c r="D794" s="5">
        <v>-1182.8900000000001</v>
      </c>
    </row>
    <row r="795" spans="1:4" x14ac:dyDescent="0.25">
      <c r="A795" t="s">
        <v>1512</v>
      </c>
      <c r="B795">
        <v>-1</v>
      </c>
      <c r="C795" t="s">
        <v>10345</v>
      </c>
      <c r="D795" s="5">
        <v>-3571.61</v>
      </c>
    </row>
    <row r="796" spans="1:4" x14ac:dyDescent="0.25">
      <c r="A796" t="s">
        <v>6502</v>
      </c>
      <c r="B796">
        <v>-1</v>
      </c>
      <c r="C796" t="s">
        <v>10338</v>
      </c>
    </row>
    <row r="797" spans="1:4" x14ac:dyDescent="0.25">
      <c r="A797" t="s">
        <v>9938</v>
      </c>
      <c r="B797">
        <v>-1</v>
      </c>
      <c r="C797" t="s">
        <v>10334</v>
      </c>
      <c r="D797" s="5">
        <v>219.55</v>
      </c>
    </row>
    <row r="798" spans="1:4" x14ac:dyDescent="0.25">
      <c r="A798" t="s">
        <v>1542</v>
      </c>
      <c r="B798">
        <v>-1</v>
      </c>
      <c r="C798" t="s">
        <v>10338</v>
      </c>
      <c r="D798" s="5">
        <v>1157.58</v>
      </c>
    </row>
    <row r="799" spans="1:4" x14ac:dyDescent="0.25">
      <c r="A799" t="s">
        <v>1942</v>
      </c>
      <c r="B799">
        <v>-1</v>
      </c>
      <c r="C799" t="s">
        <v>10340</v>
      </c>
      <c r="D799" s="5">
        <v>440.37</v>
      </c>
    </row>
    <row r="800" spans="1:4" x14ac:dyDescent="0.25">
      <c r="A800" t="s">
        <v>9604</v>
      </c>
      <c r="B800">
        <v>-1</v>
      </c>
      <c r="C800" t="s">
        <v>10336</v>
      </c>
      <c r="D800" s="5">
        <v>998.11</v>
      </c>
    </row>
    <row r="801" spans="1:4" x14ac:dyDescent="0.25">
      <c r="A801" t="s">
        <v>1939</v>
      </c>
      <c r="B801">
        <v>-1</v>
      </c>
      <c r="C801" t="s">
        <v>10339</v>
      </c>
      <c r="D801" s="5">
        <v>6675.53</v>
      </c>
    </row>
    <row r="802" spans="1:4" x14ac:dyDescent="0.25">
      <c r="A802" t="s">
        <v>6069</v>
      </c>
      <c r="B802">
        <v>-1</v>
      </c>
      <c r="C802" t="s">
        <v>10340</v>
      </c>
      <c r="D802" s="5">
        <v>1424.21</v>
      </c>
    </row>
    <row r="803" spans="1:4" x14ac:dyDescent="0.25">
      <c r="A803" t="s">
        <v>8948</v>
      </c>
      <c r="B803">
        <v>-1</v>
      </c>
      <c r="C803" t="s">
        <v>10338</v>
      </c>
      <c r="D803" s="5">
        <v>367.84</v>
      </c>
    </row>
    <row r="804" spans="1:4" x14ac:dyDescent="0.25">
      <c r="A804" t="s">
        <v>5745</v>
      </c>
      <c r="B804">
        <v>-1</v>
      </c>
      <c r="C804" t="s">
        <v>10341</v>
      </c>
      <c r="D804" s="5">
        <v>3738.22</v>
      </c>
    </row>
    <row r="805" spans="1:4" x14ac:dyDescent="0.25">
      <c r="A805" t="s">
        <v>2180</v>
      </c>
      <c r="B805">
        <v>-1</v>
      </c>
      <c r="C805" t="s">
        <v>10340</v>
      </c>
      <c r="D805" s="5">
        <v>-6184.9</v>
      </c>
    </row>
    <row r="806" spans="1:4" x14ac:dyDescent="0.25">
      <c r="A806" t="s">
        <v>1187</v>
      </c>
      <c r="B806">
        <v>-1</v>
      </c>
      <c r="C806" t="s">
        <v>10340</v>
      </c>
      <c r="D806" s="5">
        <v>3082.16</v>
      </c>
    </row>
    <row r="807" spans="1:4" x14ac:dyDescent="0.25">
      <c r="A807" t="s">
        <v>2139</v>
      </c>
      <c r="B807">
        <v>-1</v>
      </c>
      <c r="C807" t="s">
        <v>10338</v>
      </c>
      <c r="D807" s="5">
        <v>5840.43</v>
      </c>
    </row>
    <row r="808" spans="1:4" x14ac:dyDescent="0.25">
      <c r="A808" t="s">
        <v>6690</v>
      </c>
      <c r="B808">
        <v>-1</v>
      </c>
      <c r="C808" t="s">
        <v>10333</v>
      </c>
      <c r="D808" s="5">
        <v>8007.67</v>
      </c>
    </row>
    <row r="809" spans="1:4" x14ac:dyDescent="0.25">
      <c r="A809" t="s">
        <v>6957</v>
      </c>
      <c r="B809">
        <v>-1</v>
      </c>
      <c r="C809" t="s">
        <v>10338</v>
      </c>
      <c r="D809" s="5">
        <v>255.3</v>
      </c>
    </row>
    <row r="810" spans="1:4" x14ac:dyDescent="0.25">
      <c r="A810" t="s">
        <v>2136</v>
      </c>
      <c r="B810">
        <v>-1</v>
      </c>
      <c r="C810" t="s">
        <v>10336</v>
      </c>
      <c r="D810" s="5">
        <v>183.05</v>
      </c>
    </row>
    <row r="811" spans="1:4" x14ac:dyDescent="0.25">
      <c r="A811" t="s">
        <v>9745</v>
      </c>
      <c r="B811">
        <v>-1</v>
      </c>
      <c r="C811" t="s">
        <v>10337</v>
      </c>
      <c r="D811" s="5">
        <v>150.46</v>
      </c>
    </row>
    <row r="812" spans="1:4" x14ac:dyDescent="0.25">
      <c r="A812" t="s">
        <v>4908</v>
      </c>
      <c r="B812">
        <v>-1</v>
      </c>
      <c r="C812" t="s">
        <v>10342</v>
      </c>
      <c r="D812" s="5">
        <v>-10.19</v>
      </c>
    </row>
    <row r="813" spans="1:4" x14ac:dyDescent="0.25">
      <c r="A813" t="s">
        <v>9471</v>
      </c>
      <c r="B813">
        <v>-1</v>
      </c>
      <c r="C813" t="s">
        <v>10341</v>
      </c>
      <c r="D813" s="5">
        <v>-515.5</v>
      </c>
    </row>
    <row r="814" spans="1:4" x14ac:dyDescent="0.25">
      <c r="A814" t="s">
        <v>6615</v>
      </c>
      <c r="B814">
        <v>-1</v>
      </c>
      <c r="C814" t="s">
        <v>10333</v>
      </c>
      <c r="D814" s="5">
        <v>424.07</v>
      </c>
    </row>
    <row r="815" spans="1:4" x14ac:dyDescent="0.25">
      <c r="A815" t="s">
        <v>2601</v>
      </c>
      <c r="B815">
        <v>-1</v>
      </c>
      <c r="C815" t="s">
        <v>10340</v>
      </c>
      <c r="D815" s="5">
        <v>-1369.94</v>
      </c>
    </row>
    <row r="816" spans="1:4" x14ac:dyDescent="0.25">
      <c r="A816" t="s">
        <v>9280</v>
      </c>
      <c r="B816">
        <v>-1</v>
      </c>
      <c r="C816" t="s">
        <v>10342</v>
      </c>
      <c r="D816" s="5">
        <v>-1789.56</v>
      </c>
    </row>
    <row r="817" spans="1:4" x14ac:dyDescent="0.25">
      <c r="A817" t="s">
        <v>5098</v>
      </c>
      <c r="B817">
        <v>-1</v>
      </c>
      <c r="C817" t="s">
        <v>10339</v>
      </c>
      <c r="D817" s="5">
        <v>1224.75</v>
      </c>
    </row>
    <row r="818" spans="1:4" x14ac:dyDescent="0.25">
      <c r="A818" t="s">
        <v>8131</v>
      </c>
      <c r="B818">
        <v>-1</v>
      </c>
      <c r="C818" t="s">
        <v>10333</v>
      </c>
      <c r="D818" s="5">
        <v>-3127.4</v>
      </c>
    </row>
    <row r="819" spans="1:4" x14ac:dyDescent="0.25">
      <c r="A819" t="s">
        <v>5858</v>
      </c>
      <c r="B819">
        <v>-1</v>
      </c>
      <c r="C819" t="s">
        <v>10338</v>
      </c>
      <c r="D819" s="5">
        <v>422.26</v>
      </c>
    </row>
    <row r="820" spans="1:4" x14ac:dyDescent="0.25">
      <c r="A820" t="s">
        <v>8559</v>
      </c>
      <c r="B820">
        <v>-1</v>
      </c>
      <c r="C820" t="s">
        <v>10333</v>
      </c>
      <c r="D820" s="5">
        <v>-2516.79</v>
      </c>
    </row>
    <row r="821" spans="1:4" x14ac:dyDescent="0.25">
      <c r="A821" t="s">
        <v>3938</v>
      </c>
      <c r="B821">
        <v>-1</v>
      </c>
      <c r="C821" t="s">
        <v>10337</v>
      </c>
      <c r="D821" s="5">
        <v>0</v>
      </c>
    </row>
    <row r="822" spans="1:4" x14ac:dyDescent="0.25">
      <c r="A822" t="s">
        <v>5220</v>
      </c>
      <c r="B822">
        <v>-1</v>
      </c>
      <c r="C822" t="s">
        <v>10337</v>
      </c>
    </row>
    <row r="823" spans="1:4" x14ac:dyDescent="0.25">
      <c r="A823" t="s">
        <v>5175</v>
      </c>
      <c r="B823">
        <v>-1</v>
      </c>
      <c r="C823" t="s">
        <v>10333</v>
      </c>
      <c r="D823" s="5">
        <v>-2963.89</v>
      </c>
    </row>
    <row r="824" spans="1:4" x14ac:dyDescent="0.25">
      <c r="A824" t="s">
        <v>270</v>
      </c>
      <c r="B824">
        <v>-1</v>
      </c>
      <c r="C824" t="s">
        <v>10338</v>
      </c>
      <c r="D824" s="5">
        <v>1449.72</v>
      </c>
    </row>
    <row r="825" spans="1:4" x14ac:dyDescent="0.25">
      <c r="A825" t="s">
        <v>276</v>
      </c>
      <c r="B825">
        <v>-1</v>
      </c>
      <c r="C825" t="s">
        <v>10335</v>
      </c>
      <c r="D825" s="5">
        <v>1798.24</v>
      </c>
    </row>
    <row r="826" spans="1:4" x14ac:dyDescent="0.25">
      <c r="A826" t="s">
        <v>1027</v>
      </c>
      <c r="B826">
        <v>-1</v>
      </c>
      <c r="C826" t="s">
        <v>10338</v>
      </c>
      <c r="D826" s="5">
        <v>3356.15</v>
      </c>
    </row>
    <row r="827" spans="1:4" x14ac:dyDescent="0.25">
      <c r="A827" t="s">
        <v>9776</v>
      </c>
      <c r="B827">
        <v>-1</v>
      </c>
      <c r="C827" t="s">
        <v>10339</v>
      </c>
      <c r="D827" s="5">
        <v>2323.13</v>
      </c>
    </row>
    <row r="828" spans="1:4" x14ac:dyDescent="0.25">
      <c r="A828" t="s">
        <v>7340</v>
      </c>
      <c r="B828">
        <v>-1</v>
      </c>
      <c r="C828" t="s">
        <v>10338</v>
      </c>
      <c r="D828" s="5">
        <v>1512.32</v>
      </c>
    </row>
    <row r="829" spans="1:4" x14ac:dyDescent="0.25">
      <c r="A829" t="s">
        <v>5526</v>
      </c>
      <c r="B829">
        <v>-1</v>
      </c>
      <c r="C829" t="s">
        <v>10341</v>
      </c>
      <c r="D829" s="5">
        <v>1950.22</v>
      </c>
    </row>
    <row r="830" spans="1:4" x14ac:dyDescent="0.25">
      <c r="A830" t="s">
        <v>9875</v>
      </c>
      <c r="B830">
        <v>-1</v>
      </c>
      <c r="C830" t="s">
        <v>10338</v>
      </c>
      <c r="D830" s="5">
        <v>1017.59</v>
      </c>
    </row>
    <row r="831" spans="1:4" x14ac:dyDescent="0.25">
      <c r="A831" t="s">
        <v>8094</v>
      </c>
      <c r="B831">
        <v>-1</v>
      </c>
      <c r="C831" t="s">
        <v>10334</v>
      </c>
      <c r="D831" s="5">
        <v>679.67</v>
      </c>
    </row>
    <row r="832" spans="1:4" x14ac:dyDescent="0.25">
      <c r="A832" t="s">
        <v>8310</v>
      </c>
      <c r="B832">
        <v>-1</v>
      </c>
      <c r="C832" t="s">
        <v>10336</v>
      </c>
      <c r="D832" s="5">
        <v>-2156.0500000000002</v>
      </c>
    </row>
    <row r="833" spans="1:4" x14ac:dyDescent="0.25">
      <c r="A833" t="s">
        <v>4956</v>
      </c>
      <c r="B833">
        <v>-1</v>
      </c>
      <c r="C833" t="s">
        <v>10338</v>
      </c>
      <c r="D833" s="5">
        <v>-8559.5</v>
      </c>
    </row>
    <row r="834" spans="1:4" x14ac:dyDescent="0.25">
      <c r="A834" t="s">
        <v>4972</v>
      </c>
      <c r="B834">
        <v>-1</v>
      </c>
      <c r="C834" t="s">
        <v>10338</v>
      </c>
      <c r="D834" s="5">
        <v>856.24</v>
      </c>
    </row>
    <row r="835" spans="1:4" x14ac:dyDescent="0.25">
      <c r="A835" t="s">
        <v>6705</v>
      </c>
      <c r="B835">
        <v>-1</v>
      </c>
      <c r="C835" t="s">
        <v>10334</v>
      </c>
      <c r="D835" s="5">
        <v>-979.58</v>
      </c>
    </row>
    <row r="836" spans="1:4" x14ac:dyDescent="0.25">
      <c r="A836" t="s">
        <v>6230</v>
      </c>
      <c r="B836">
        <v>-1</v>
      </c>
      <c r="C836" t="s">
        <v>10338</v>
      </c>
      <c r="D836" s="5">
        <v>1179.81</v>
      </c>
    </row>
    <row r="837" spans="1:4" x14ac:dyDescent="0.25">
      <c r="A837" t="s">
        <v>5622</v>
      </c>
      <c r="B837">
        <v>-1</v>
      </c>
      <c r="C837" t="s">
        <v>10339</v>
      </c>
      <c r="D837" s="5">
        <v>4909.55</v>
      </c>
    </row>
    <row r="838" spans="1:4" x14ac:dyDescent="0.25">
      <c r="A838" t="s">
        <v>5322</v>
      </c>
      <c r="B838">
        <v>-1</v>
      </c>
      <c r="C838" t="s">
        <v>10336</v>
      </c>
      <c r="D838" s="5">
        <v>659.88</v>
      </c>
    </row>
    <row r="839" spans="1:4" x14ac:dyDescent="0.25">
      <c r="A839" t="s">
        <v>6846</v>
      </c>
      <c r="B839">
        <v>-1</v>
      </c>
      <c r="C839" t="s">
        <v>10333</v>
      </c>
      <c r="D839" s="5">
        <v>-625.5</v>
      </c>
    </row>
    <row r="840" spans="1:4" x14ac:dyDescent="0.25">
      <c r="A840" t="s">
        <v>9109</v>
      </c>
      <c r="B840">
        <v>-1</v>
      </c>
      <c r="C840" t="s">
        <v>10342</v>
      </c>
      <c r="D840" s="5">
        <v>235.76</v>
      </c>
    </row>
    <row r="841" spans="1:4" x14ac:dyDescent="0.25">
      <c r="A841" t="s">
        <v>125</v>
      </c>
      <c r="B841">
        <v>-1</v>
      </c>
      <c r="C841" t="s">
        <v>10334</v>
      </c>
      <c r="D841" s="5">
        <v>357.77</v>
      </c>
    </row>
    <row r="842" spans="1:4" x14ac:dyDescent="0.25">
      <c r="A842" t="s">
        <v>6592</v>
      </c>
      <c r="B842">
        <v>-1</v>
      </c>
      <c r="C842" t="s">
        <v>10338</v>
      </c>
      <c r="D842" s="5">
        <v>-2.2200000000000002</v>
      </c>
    </row>
    <row r="843" spans="1:4" x14ac:dyDescent="0.25">
      <c r="A843" t="s">
        <v>5647</v>
      </c>
      <c r="B843">
        <v>-1</v>
      </c>
      <c r="C843" t="s">
        <v>10333</v>
      </c>
      <c r="D843" s="5">
        <v>-194.88</v>
      </c>
    </row>
    <row r="844" spans="1:4" x14ac:dyDescent="0.25">
      <c r="A844" t="s">
        <v>6883</v>
      </c>
      <c r="B844">
        <v>-1</v>
      </c>
      <c r="C844" t="s">
        <v>10338</v>
      </c>
      <c r="D844" s="5">
        <v>0</v>
      </c>
    </row>
    <row r="845" spans="1:4" x14ac:dyDescent="0.25">
      <c r="A845" t="s">
        <v>6889</v>
      </c>
      <c r="B845">
        <v>-1</v>
      </c>
      <c r="C845" t="s">
        <v>10344</v>
      </c>
      <c r="D845" s="5">
        <v>-556.36</v>
      </c>
    </row>
    <row r="846" spans="1:4" x14ac:dyDescent="0.25">
      <c r="A846" t="s">
        <v>6609</v>
      </c>
      <c r="B846">
        <v>-1</v>
      </c>
      <c r="C846" t="s">
        <v>10340</v>
      </c>
      <c r="D846" s="5">
        <v>2.58</v>
      </c>
    </row>
    <row r="847" spans="1:4" x14ac:dyDescent="0.25">
      <c r="A847" t="s">
        <v>5575</v>
      </c>
      <c r="B847">
        <v>-1</v>
      </c>
      <c r="C847" t="s">
        <v>10339</v>
      </c>
      <c r="D847" s="5">
        <v>0</v>
      </c>
    </row>
    <row r="848" spans="1:4" x14ac:dyDescent="0.25">
      <c r="A848" t="s">
        <v>3928</v>
      </c>
      <c r="B848">
        <v>-1</v>
      </c>
      <c r="C848" t="s">
        <v>10341</v>
      </c>
      <c r="D848" s="5">
        <v>295.44</v>
      </c>
    </row>
    <row r="849" spans="1:4" x14ac:dyDescent="0.25">
      <c r="A849" t="s">
        <v>7108</v>
      </c>
      <c r="B849">
        <v>-1</v>
      </c>
      <c r="C849" t="s">
        <v>10342</v>
      </c>
      <c r="D849" s="5">
        <v>-720.81</v>
      </c>
    </row>
    <row r="850" spans="1:4" x14ac:dyDescent="0.25">
      <c r="A850" t="s">
        <v>1137</v>
      </c>
      <c r="B850">
        <v>-1</v>
      </c>
      <c r="C850" t="s">
        <v>10344</v>
      </c>
      <c r="D850" s="5">
        <v>1569.05</v>
      </c>
    </row>
    <row r="851" spans="1:4" x14ac:dyDescent="0.25">
      <c r="A851" t="s">
        <v>4723</v>
      </c>
      <c r="B851">
        <v>-1</v>
      </c>
      <c r="C851" t="s">
        <v>10334</v>
      </c>
      <c r="D851" s="5">
        <v>-1273.55</v>
      </c>
    </row>
    <row r="852" spans="1:4" x14ac:dyDescent="0.25">
      <c r="A852" t="s">
        <v>1611</v>
      </c>
      <c r="B852">
        <v>-1</v>
      </c>
      <c r="C852" t="s">
        <v>10335</v>
      </c>
      <c r="D852" s="5">
        <v>4303.76</v>
      </c>
    </row>
    <row r="853" spans="1:4" x14ac:dyDescent="0.25">
      <c r="A853" t="s">
        <v>1622</v>
      </c>
      <c r="B853">
        <v>-1</v>
      </c>
      <c r="C853" t="s">
        <v>10337</v>
      </c>
      <c r="D853" s="5">
        <v>0</v>
      </c>
    </row>
    <row r="854" spans="1:4" x14ac:dyDescent="0.25">
      <c r="A854" t="s">
        <v>3842</v>
      </c>
      <c r="B854">
        <v>-1</v>
      </c>
      <c r="C854" t="s">
        <v>10338</v>
      </c>
    </row>
    <row r="855" spans="1:4" x14ac:dyDescent="0.25">
      <c r="A855" t="s">
        <v>5296</v>
      </c>
      <c r="B855">
        <v>-1</v>
      </c>
      <c r="C855" t="s">
        <v>10337</v>
      </c>
      <c r="D855" s="5">
        <v>-89.82</v>
      </c>
    </row>
    <row r="856" spans="1:4" x14ac:dyDescent="0.25">
      <c r="A856" t="s">
        <v>10304</v>
      </c>
      <c r="B856">
        <v>-1</v>
      </c>
      <c r="C856" t="s">
        <v>10338</v>
      </c>
      <c r="D856" s="5">
        <v>655.99</v>
      </c>
    </row>
    <row r="857" spans="1:4" x14ac:dyDescent="0.25">
      <c r="A857" t="s">
        <v>2616</v>
      </c>
      <c r="B857">
        <v>-1</v>
      </c>
      <c r="C857" t="s">
        <v>10333</v>
      </c>
      <c r="D857" s="5">
        <v>-1307.67</v>
      </c>
    </row>
    <row r="858" spans="1:4" x14ac:dyDescent="0.25">
      <c r="A858" t="s">
        <v>2146</v>
      </c>
      <c r="B858">
        <v>-1</v>
      </c>
      <c r="C858" t="s">
        <v>10344</v>
      </c>
      <c r="D858" s="5">
        <v>0.1</v>
      </c>
    </row>
    <row r="859" spans="1:4" x14ac:dyDescent="0.25">
      <c r="A859" t="s">
        <v>2443</v>
      </c>
      <c r="B859">
        <v>-1</v>
      </c>
      <c r="C859" t="s">
        <v>10337</v>
      </c>
      <c r="D859" s="5">
        <v>1.23</v>
      </c>
    </row>
    <row r="860" spans="1:4" x14ac:dyDescent="0.25">
      <c r="A860" t="s">
        <v>2352</v>
      </c>
      <c r="B860">
        <v>-1</v>
      </c>
      <c r="C860" t="s">
        <v>10344</v>
      </c>
      <c r="D860" s="5">
        <v>3909.57</v>
      </c>
    </row>
    <row r="861" spans="1:4" x14ac:dyDescent="0.25">
      <c r="A861" t="s">
        <v>3139</v>
      </c>
      <c r="B861">
        <v>-1</v>
      </c>
      <c r="C861" t="s">
        <v>10338</v>
      </c>
      <c r="D861" s="5">
        <v>344.81</v>
      </c>
    </row>
    <row r="862" spans="1:4" x14ac:dyDescent="0.25">
      <c r="A862" t="s">
        <v>3201</v>
      </c>
      <c r="B862">
        <v>-1</v>
      </c>
      <c r="C862" t="s">
        <v>10337</v>
      </c>
      <c r="D862" s="5">
        <v>1571.1</v>
      </c>
    </row>
    <row r="863" spans="1:4" x14ac:dyDescent="0.25">
      <c r="A863" t="s">
        <v>3193</v>
      </c>
      <c r="B863">
        <v>-1</v>
      </c>
      <c r="C863" t="s">
        <v>10338</v>
      </c>
      <c r="D863" s="5">
        <v>2020.15</v>
      </c>
    </row>
    <row r="864" spans="1:4" x14ac:dyDescent="0.25">
      <c r="A864" t="s">
        <v>3136</v>
      </c>
      <c r="B864">
        <v>-1</v>
      </c>
      <c r="C864" t="s">
        <v>10334</v>
      </c>
      <c r="D864" s="5">
        <v>-807.17</v>
      </c>
    </row>
    <row r="865" spans="1:4" x14ac:dyDescent="0.25">
      <c r="A865" t="s">
        <v>2019</v>
      </c>
      <c r="B865">
        <v>-1</v>
      </c>
      <c r="C865" t="s">
        <v>10340</v>
      </c>
    </row>
    <row r="866" spans="1:4" x14ac:dyDescent="0.25">
      <c r="A866" t="s">
        <v>2016</v>
      </c>
      <c r="B866">
        <v>-1</v>
      </c>
      <c r="C866" t="s">
        <v>10338</v>
      </c>
      <c r="D866" s="5">
        <v>85.9</v>
      </c>
    </row>
    <row r="867" spans="1:4" x14ac:dyDescent="0.25">
      <c r="A867" t="s">
        <v>1851</v>
      </c>
      <c r="B867">
        <v>-1</v>
      </c>
      <c r="C867" t="s">
        <v>10340</v>
      </c>
      <c r="D867" s="5">
        <v>1816.4</v>
      </c>
    </row>
    <row r="868" spans="1:4" x14ac:dyDescent="0.25">
      <c r="A868" t="s">
        <v>3449</v>
      </c>
      <c r="B868">
        <v>-1</v>
      </c>
      <c r="C868" t="s">
        <v>10340</v>
      </c>
      <c r="D868" s="5">
        <v>1533.7</v>
      </c>
    </row>
    <row r="869" spans="1:4" x14ac:dyDescent="0.25">
      <c r="A869" t="s">
        <v>1915</v>
      </c>
      <c r="B869">
        <v>-1</v>
      </c>
      <c r="C869" t="s">
        <v>10344</v>
      </c>
    </row>
    <row r="870" spans="1:4" x14ac:dyDescent="0.25">
      <c r="A870" t="s">
        <v>5118</v>
      </c>
      <c r="B870">
        <v>-1</v>
      </c>
      <c r="C870" t="s">
        <v>10337</v>
      </c>
      <c r="D870" s="5">
        <v>926.27</v>
      </c>
    </row>
    <row r="871" spans="1:4" x14ac:dyDescent="0.25">
      <c r="A871" t="s">
        <v>5182</v>
      </c>
      <c r="B871">
        <v>-1</v>
      </c>
      <c r="C871" t="s">
        <v>10333</v>
      </c>
      <c r="D871" s="5">
        <v>-20635</v>
      </c>
    </row>
    <row r="872" spans="1:4" x14ac:dyDescent="0.25">
      <c r="A872" t="s">
        <v>191</v>
      </c>
      <c r="B872">
        <v>-1</v>
      </c>
      <c r="C872" t="s">
        <v>10333</v>
      </c>
      <c r="D872" s="5">
        <v>-16.93</v>
      </c>
    </row>
    <row r="873" spans="1:4" x14ac:dyDescent="0.25">
      <c r="A873" t="s">
        <v>10029</v>
      </c>
      <c r="B873">
        <v>-1</v>
      </c>
      <c r="C873" t="s">
        <v>10337</v>
      </c>
      <c r="D873" s="5">
        <v>3462.26</v>
      </c>
    </row>
    <row r="874" spans="1:4" x14ac:dyDescent="0.25">
      <c r="A874" t="s">
        <v>9770</v>
      </c>
      <c r="B874">
        <v>-1</v>
      </c>
      <c r="C874" t="s">
        <v>10336</v>
      </c>
      <c r="D874" s="5">
        <v>264.54000000000002</v>
      </c>
    </row>
    <row r="875" spans="1:4" x14ac:dyDescent="0.25">
      <c r="A875" t="s">
        <v>4340</v>
      </c>
      <c r="B875">
        <v>-1</v>
      </c>
      <c r="C875" t="s">
        <v>10336</v>
      </c>
      <c r="D875" s="5">
        <v>-9296.7000000000007</v>
      </c>
    </row>
    <row r="876" spans="1:4" x14ac:dyDescent="0.25">
      <c r="A876" t="s">
        <v>7854</v>
      </c>
      <c r="B876">
        <v>-1</v>
      </c>
      <c r="C876" t="s">
        <v>10338</v>
      </c>
      <c r="D876" s="5">
        <v>-3111.63</v>
      </c>
    </row>
    <row r="877" spans="1:4" x14ac:dyDescent="0.25">
      <c r="A877" t="s">
        <v>7838</v>
      </c>
      <c r="B877">
        <v>-1</v>
      </c>
      <c r="C877" t="s">
        <v>10340</v>
      </c>
      <c r="D877" s="5">
        <v>-1238.79</v>
      </c>
    </row>
    <row r="878" spans="1:4" x14ac:dyDescent="0.25">
      <c r="A878" t="s">
        <v>9396</v>
      </c>
      <c r="B878">
        <v>-1</v>
      </c>
      <c r="C878" t="s">
        <v>10334</v>
      </c>
      <c r="D878" s="5">
        <v>-241.01</v>
      </c>
    </row>
    <row r="879" spans="1:4" x14ac:dyDescent="0.25">
      <c r="A879" t="s">
        <v>116</v>
      </c>
      <c r="B879">
        <v>-1</v>
      </c>
      <c r="C879" t="s">
        <v>10336</v>
      </c>
      <c r="D879" s="5">
        <v>824.34</v>
      </c>
    </row>
    <row r="880" spans="1:4" x14ac:dyDescent="0.25">
      <c r="A880" t="s">
        <v>4375</v>
      </c>
      <c r="B880">
        <v>-1</v>
      </c>
      <c r="C880" t="s">
        <v>10338</v>
      </c>
      <c r="D880" s="5">
        <v>1767.61</v>
      </c>
    </row>
    <row r="881" spans="1:4" x14ac:dyDescent="0.25">
      <c r="A881" t="s">
        <v>4923</v>
      </c>
      <c r="B881">
        <v>-1</v>
      </c>
      <c r="C881" t="s">
        <v>10338</v>
      </c>
      <c r="D881" s="5">
        <v>804.91</v>
      </c>
    </row>
    <row r="882" spans="1:4" x14ac:dyDescent="0.25">
      <c r="A882" t="s">
        <v>4669</v>
      </c>
      <c r="B882">
        <v>-1</v>
      </c>
      <c r="C882" t="s">
        <v>10338</v>
      </c>
      <c r="D882" s="5">
        <v>0</v>
      </c>
    </row>
    <row r="883" spans="1:4" x14ac:dyDescent="0.25">
      <c r="A883" t="s">
        <v>6850</v>
      </c>
      <c r="B883">
        <v>-1</v>
      </c>
      <c r="C883" t="s">
        <v>10344</v>
      </c>
      <c r="D883" s="5">
        <v>652.82000000000005</v>
      </c>
    </row>
    <row r="884" spans="1:4" x14ac:dyDescent="0.25">
      <c r="A884" t="s">
        <v>4556</v>
      </c>
      <c r="B884">
        <v>-1</v>
      </c>
      <c r="C884" t="s">
        <v>10339</v>
      </c>
      <c r="D884" s="5">
        <v>-43.05</v>
      </c>
    </row>
    <row r="885" spans="1:4" x14ac:dyDescent="0.25">
      <c r="A885" t="s">
        <v>6668</v>
      </c>
      <c r="B885">
        <v>-1</v>
      </c>
      <c r="C885" t="s">
        <v>10337</v>
      </c>
    </row>
    <row r="886" spans="1:4" x14ac:dyDescent="0.25">
      <c r="A886" t="s">
        <v>6463</v>
      </c>
      <c r="B886">
        <v>-1</v>
      </c>
      <c r="C886" t="s">
        <v>10336</v>
      </c>
    </row>
    <row r="887" spans="1:4" x14ac:dyDescent="0.25">
      <c r="A887" t="s">
        <v>4509</v>
      </c>
      <c r="B887">
        <v>-1</v>
      </c>
      <c r="C887" t="s">
        <v>10338</v>
      </c>
      <c r="D887" s="5">
        <v>100.07</v>
      </c>
    </row>
    <row r="888" spans="1:4" x14ac:dyDescent="0.25">
      <c r="A888" t="s">
        <v>4008</v>
      </c>
      <c r="B888">
        <v>-1</v>
      </c>
      <c r="C888" t="s">
        <v>10335</v>
      </c>
      <c r="D888" s="5">
        <v>-5562.29</v>
      </c>
    </row>
    <row r="889" spans="1:4" x14ac:dyDescent="0.25">
      <c r="A889" t="s">
        <v>1113</v>
      </c>
      <c r="B889">
        <v>-1</v>
      </c>
      <c r="C889" t="s">
        <v>10339</v>
      </c>
      <c r="D889" s="5">
        <v>0</v>
      </c>
    </row>
    <row r="890" spans="1:4" x14ac:dyDescent="0.25">
      <c r="A890" t="s">
        <v>6635</v>
      </c>
      <c r="B890">
        <v>-1</v>
      </c>
      <c r="C890" t="s">
        <v>10338</v>
      </c>
      <c r="D890" s="5">
        <v>-122.8</v>
      </c>
    </row>
    <row r="891" spans="1:4" x14ac:dyDescent="0.25">
      <c r="A891" t="s">
        <v>325</v>
      </c>
      <c r="B891">
        <v>-1</v>
      </c>
      <c r="C891" t="s">
        <v>10334</v>
      </c>
      <c r="D891" s="5">
        <v>2875.26</v>
      </c>
    </row>
    <row r="892" spans="1:4" x14ac:dyDescent="0.25">
      <c r="A892" t="s">
        <v>8983</v>
      </c>
      <c r="B892">
        <v>-1</v>
      </c>
      <c r="C892" t="s">
        <v>10338</v>
      </c>
      <c r="D892" s="5">
        <v>2321.46</v>
      </c>
    </row>
    <row r="893" spans="1:4" x14ac:dyDescent="0.25">
      <c r="A893" t="s">
        <v>6828</v>
      </c>
      <c r="B893">
        <v>-1</v>
      </c>
      <c r="C893" t="s">
        <v>10335</v>
      </c>
      <c r="D893" s="5">
        <v>1867.82</v>
      </c>
    </row>
    <row r="894" spans="1:4" x14ac:dyDescent="0.25">
      <c r="A894" t="s">
        <v>9724</v>
      </c>
      <c r="B894">
        <v>-1</v>
      </c>
      <c r="C894" t="s">
        <v>10339</v>
      </c>
      <c r="D894" s="5">
        <v>0</v>
      </c>
    </row>
    <row r="895" spans="1:4" x14ac:dyDescent="0.25">
      <c r="A895" t="s">
        <v>8202</v>
      </c>
      <c r="B895">
        <v>-1</v>
      </c>
      <c r="C895" t="s">
        <v>10337</v>
      </c>
    </row>
    <row r="896" spans="1:4" x14ac:dyDescent="0.25">
      <c r="A896" t="s">
        <v>4694</v>
      </c>
      <c r="B896">
        <v>-1</v>
      </c>
      <c r="C896" t="s">
        <v>10337</v>
      </c>
      <c r="D896" s="5">
        <v>-191.52</v>
      </c>
    </row>
    <row r="897" spans="1:4" x14ac:dyDescent="0.25">
      <c r="A897" t="s">
        <v>1592</v>
      </c>
      <c r="B897">
        <v>-1</v>
      </c>
      <c r="C897" t="s">
        <v>10339</v>
      </c>
      <c r="D897" s="5">
        <v>23.9</v>
      </c>
    </row>
    <row r="898" spans="1:4" x14ac:dyDescent="0.25">
      <c r="A898" t="s">
        <v>5452</v>
      </c>
      <c r="B898">
        <v>-1</v>
      </c>
      <c r="C898" t="s">
        <v>10339</v>
      </c>
      <c r="D898" s="5">
        <v>-282.17</v>
      </c>
    </row>
    <row r="899" spans="1:4" x14ac:dyDescent="0.25">
      <c r="A899" t="s">
        <v>5914</v>
      </c>
      <c r="B899">
        <v>-1</v>
      </c>
      <c r="C899" t="s">
        <v>10338</v>
      </c>
    </row>
    <row r="900" spans="1:4" x14ac:dyDescent="0.25">
      <c r="A900" t="s">
        <v>5441</v>
      </c>
      <c r="B900">
        <v>-1</v>
      </c>
      <c r="C900" t="s">
        <v>10338</v>
      </c>
      <c r="D900" s="5">
        <v>41.58</v>
      </c>
    </row>
    <row r="901" spans="1:4" x14ac:dyDescent="0.25">
      <c r="A901" t="s">
        <v>4770</v>
      </c>
      <c r="B901">
        <v>-1</v>
      </c>
      <c r="C901" t="s">
        <v>10338</v>
      </c>
      <c r="D901" s="5">
        <v>0</v>
      </c>
    </row>
    <row r="902" spans="1:4" x14ac:dyDescent="0.25">
      <c r="A902" t="s">
        <v>5816</v>
      </c>
      <c r="B902">
        <v>-1</v>
      </c>
      <c r="C902" t="s">
        <v>10338</v>
      </c>
      <c r="D902" s="5">
        <v>0</v>
      </c>
    </row>
    <row r="903" spans="1:4" x14ac:dyDescent="0.25">
      <c r="A903" t="s">
        <v>9839</v>
      </c>
      <c r="B903">
        <v>-1</v>
      </c>
      <c r="C903" t="s">
        <v>10337</v>
      </c>
      <c r="D903" s="5">
        <v>556.67999999999995</v>
      </c>
    </row>
    <row r="904" spans="1:4" x14ac:dyDescent="0.25">
      <c r="A904" t="s">
        <v>9964</v>
      </c>
      <c r="B904">
        <v>-1</v>
      </c>
      <c r="C904" t="s">
        <v>10340</v>
      </c>
      <c r="D904" s="5">
        <v>1607.37</v>
      </c>
    </row>
    <row r="905" spans="1:4" x14ac:dyDescent="0.25">
      <c r="A905" t="s">
        <v>9975</v>
      </c>
      <c r="B905">
        <v>-1</v>
      </c>
      <c r="C905" t="s">
        <v>10338</v>
      </c>
      <c r="D905" s="5">
        <v>29.07</v>
      </c>
    </row>
    <row r="906" spans="1:4" x14ac:dyDescent="0.25">
      <c r="A906" t="s">
        <v>9893</v>
      </c>
      <c r="B906">
        <v>-1</v>
      </c>
      <c r="C906" t="s">
        <v>10336</v>
      </c>
      <c r="D906" s="5">
        <v>34.89</v>
      </c>
    </row>
    <row r="907" spans="1:4" x14ac:dyDescent="0.25">
      <c r="A907" t="s">
        <v>887</v>
      </c>
      <c r="B907">
        <v>-1</v>
      </c>
      <c r="C907" t="s">
        <v>10335</v>
      </c>
      <c r="D907" s="5">
        <v>-260.19</v>
      </c>
    </row>
    <row r="908" spans="1:4" x14ac:dyDescent="0.25">
      <c r="A908" t="s">
        <v>905</v>
      </c>
      <c r="B908">
        <v>-1</v>
      </c>
      <c r="C908" t="s">
        <v>10344</v>
      </c>
      <c r="D908" s="5">
        <v>0</v>
      </c>
    </row>
    <row r="909" spans="1:4" x14ac:dyDescent="0.25">
      <c r="A909" t="s">
        <v>2870</v>
      </c>
      <c r="B909">
        <v>-1</v>
      </c>
      <c r="C909" t="s">
        <v>10338</v>
      </c>
      <c r="D909" s="5">
        <v>572.67999999999995</v>
      </c>
    </row>
    <row r="910" spans="1:4" x14ac:dyDescent="0.25">
      <c r="A910" t="s">
        <v>2349</v>
      </c>
      <c r="B910">
        <v>-1</v>
      </c>
      <c r="C910" t="s">
        <v>10340</v>
      </c>
      <c r="D910" s="5">
        <v>3390.48</v>
      </c>
    </row>
    <row r="911" spans="1:4" x14ac:dyDescent="0.25">
      <c r="A911" t="s">
        <v>708</v>
      </c>
      <c r="B911">
        <v>-1</v>
      </c>
      <c r="C911" t="s">
        <v>10340</v>
      </c>
      <c r="D911" s="5">
        <v>1728.49</v>
      </c>
    </row>
    <row r="912" spans="1:4" x14ac:dyDescent="0.25">
      <c r="A912" t="s">
        <v>3072</v>
      </c>
      <c r="B912">
        <v>-1</v>
      </c>
      <c r="C912" t="s">
        <v>10338</v>
      </c>
      <c r="D912" s="5">
        <v>1369.15</v>
      </c>
    </row>
    <row r="913" spans="1:4" x14ac:dyDescent="0.25">
      <c r="A913" t="s">
        <v>9076</v>
      </c>
      <c r="B913">
        <v>-1</v>
      </c>
      <c r="C913" t="s">
        <v>10338</v>
      </c>
    </row>
    <row r="914" spans="1:4" x14ac:dyDescent="0.25">
      <c r="A914" t="s">
        <v>1815</v>
      </c>
      <c r="B914">
        <v>-1</v>
      </c>
      <c r="C914" t="s">
        <v>10344</v>
      </c>
      <c r="D914" s="5">
        <v>1039.45</v>
      </c>
    </row>
    <row r="915" spans="1:4" x14ac:dyDescent="0.25">
      <c r="A915" t="s">
        <v>5155</v>
      </c>
      <c r="B915">
        <v>-1</v>
      </c>
      <c r="C915" t="s">
        <v>10339</v>
      </c>
      <c r="D915" s="5">
        <v>-30.73</v>
      </c>
    </row>
    <row r="916" spans="1:4" x14ac:dyDescent="0.25">
      <c r="A916" t="s">
        <v>5105</v>
      </c>
      <c r="B916">
        <v>-1</v>
      </c>
      <c r="C916" t="s">
        <v>10338</v>
      </c>
      <c r="D916" s="5">
        <v>0</v>
      </c>
    </row>
    <row r="917" spans="1:4" x14ac:dyDescent="0.25">
      <c r="A917" t="s">
        <v>10057</v>
      </c>
      <c r="B917">
        <v>-1</v>
      </c>
      <c r="C917" t="s">
        <v>10337</v>
      </c>
      <c r="D917" s="5">
        <v>0.04</v>
      </c>
    </row>
    <row r="918" spans="1:4" x14ac:dyDescent="0.25">
      <c r="A918" t="s">
        <v>7280</v>
      </c>
      <c r="B918">
        <v>-1</v>
      </c>
      <c r="C918" t="s">
        <v>10337</v>
      </c>
      <c r="D918" s="5">
        <v>5133.68</v>
      </c>
    </row>
    <row r="919" spans="1:4" x14ac:dyDescent="0.25">
      <c r="A919" t="s">
        <v>5485</v>
      </c>
      <c r="B919">
        <v>-1</v>
      </c>
      <c r="C919" t="s">
        <v>10337</v>
      </c>
      <c r="D919" s="5">
        <v>2407.08</v>
      </c>
    </row>
    <row r="920" spans="1:4" x14ac:dyDescent="0.25">
      <c r="A920" t="s">
        <v>5743</v>
      </c>
      <c r="B920">
        <v>-1</v>
      </c>
      <c r="C920" t="s">
        <v>10338</v>
      </c>
      <c r="D920" s="5">
        <v>328.17</v>
      </c>
    </row>
    <row r="921" spans="1:4" x14ac:dyDescent="0.25">
      <c r="A921" t="s">
        <v>8714</v>
      </c>
      <c r="B921">
        <v>-1</v>
      </c>
      <c r="C921" t="s">
        <v>10344</v>
      </c>
      <c r="D921" s="5">
        <v>-1176.1199999999999</v>
      </c>
    </row>
    <row r="922" spans="1:4" x14ac:dyDescent="0.25">
      <c r="A922" t="s">
        <v>6148</v>
      </c>
      <c r="B922">
        <v>-1</v>
      </c>
      <c r="C922" t="s">
        <v>10333</v>
      </c>
      <c r="D922" s="5">
        <v>-6551.05</v>
      </c>
    </row>
    <row r="923" spans="1:4" x14ac:dyDescent="0.25">
      <c r="A923" t="s">
        <v>1353</v>
      </c>
      <c r="B923">
        <v>-1</v>
      </c>
      <c r="C923" t="s">
        <v>10336</v>
      </c>
      <c r="D923" s="5">
        <v>-752.14</v>
      </c>
    </row>
    <row r="924" spans="1:4" x14ac:dyDescent="0.25">
      <c r="A924" t="s">
        <v>4447</v>
      </c>
      <c r="B924">
        <v>-1</v>
      </c>
      <c r="C924" t="s">
        <v>10341</v>
      </c>
      <c r="D924" s="5">
        <v>993.24</v>
      </c>
    </row>
    <row r="925" spans="1:4" x14ac:dyDescent="0.25">
      <c r="A925" t="s">
        <v>4400</v>
      </c>
      <c r="B925">
        <v>-1</v>
      </c>
      <c r="C925" t="s">
        <v>10335</v>
      </c>
      <c r="D925" s="5">
        <v>2704.84</v>
      </c>
    </row>
    <row r="926" spans="1:4" x14ac:dyDescent="0.25">
      <c r="A926" t="s">
        <v>4421</v>
      </c>
      <c r="B926">
        <v>-1</v>
      </c>
      <c r="C926" t="s">
        <v>10338</v>
      </c>
      <c r="D926" s="5">
        <v>1239.6099999999999</v>
      </c>
    </row>
    <row r="927" spans="1:4" x14ac:dyDescent="0.25">
      <c r="A927" t="s">
        <v>6176</v>
      </c>
      <c r="B927">
        <v>-1</v>
      </c>
      <c r="C927" t="s">
        <v>10339</v>
      </c>
    </row>
    <row r="928" spans="1:4" x14ac:dyDescent="0.25">
      <c r="A928" t="s">
        <v>6685</v>
      </c>
      <c r="B928">
        <v>-1</v>
      </c>
      <c r="C928" t="s">
        <v>10337</v>
      </c>
      <c r="D928" s="5">
        <v>24.79</v>
      </c>
    </row>
    <row r="929" spans="1:4" x14ac:dyDescent="0.25">
      <c r="A929" t="s">
        <v>5960</v>
      </c>
      <c r="B929">
        <v>-1</v>
      </c>
      <c r="C929" t="s">
        <v>10338</v>
      </c>
      <c r="D929" s="5">
        <v>150.24</v>
      </c>
    </row>
    <row r="930" spans="1:4" x14ac:dyDescent="0.25">
      <c r="A930" t="s">
        <v>4495</v>
      </c>
      <c r="B930">
        <v>-1</v>
      </c>
      <c r="C930" t="s">
        <v>10337</v>
      </c>
      <c r="D930" s="5">
        <v>-17.420000000000002</v>
      </c>
    </row>
    <row r="931" spans="1:4" x14ac:dyDescent="0.25">
      <c r="A931" t="s">
        <v>6894</v>
      </c>
      <c r="B931">
        <v>-1</v>
      </c>
      <c r="C931" t="s">
        <v>10340</v>
      </c>
      <c r="D931" s="5">
        <v>0</v>
      </c>
    </row>
    <row r="932" spans="1:4" x14ac:dyDescent="0.25">
      <c r="A932" t="s">
        <v>4161</v>
      </c>
      <c r="B932">
        <v>-1</v>
      </c>
      <c r="C932" t="s">
        <v>10338</v>
      </c>
      <c r="D932" s="5">
        <v>885.25</v>
      </c>
    </row>
    <row r="933" spans="1:4" x14ac:dyDescent="0.25">
      <c r="A933" t="s">
        <v>5415</v>
      </c>
      <c r="B933">
        <v>-1</v>
      </c>
      <c r="C933" t="s">
        <v>10334</v>
      </c>
      <c r="D933" s="5">
        <v>34.82</v>
      </c>
    </row>
    <row r="934" spans="1:4" x14ac:dyDescent="0.25">
      <c r="A934" t="s">
        <v>3901</v>
      </c>
      <c r="B934">
        <v>-1</v>
      </c>
      <c r="C934" t="s">
        <v>10334</v>
      </c>
      <c r="D934" s="5">
        <v>-186.41</v>
      </c>
    </row>
    <row r="935" spans="1:4" x14ac:dyDescent="0.25">
      <c r="A935" t="s">
        <v>9934</v>
      </c>
      <c r="B935">
        <v>-1</v>
      </c>
      <c r="C935" t="s">
        <v>10338</v>
      </c>
    </row>
    <row r="936" spans="1:4" x14ac:dyDescent="0.25">
      <c r="A936" t="s">
        <v>4536</v>
      </c>
      <c r="B936">
        <v>-1</v>
      </c>
      <c r="C936" t="s">
        <v>10338</v>
      </c>
      <c r="D936" s="5">
        <v>2291.17</v>
      </c>
    </row>
    <row r="937" spans="1:4" x14ac:dyDescent="0.25">
      <c r="A937" t="s">
        <v>9006</v>
      </c>
      <c r="B937">
        <v>-1</v>
      </c>
      <c r="C937" t="s">
        <v>10338</v>
      </c>
      <c r="D937" s="5">
        <v>38.96</v>
      </c>
    </row>
    <row r="938" spans="1:4" x14ac:dyDescent="0.25">
      <c r="A938" t="s">
        <v>8960</v>
      </c>
      <c r="B938">
        <v>-1</v>
      </c>
      <c r="C938" t="s">
        <v>10338</v>
      </c>
      <c r="D938" s="5">
        <v>1482.15</v>
      </c>
    </row>
    <row r="939" spans="1:4" x14ac:dyDescent="0.25">
      <c r="A939" t="s">
        <v>6074</v>
      </c>
      <c r="B939">
        <v>-1</v>
      </c>
      <c r="C939" t="s">
        <v>10337</v>
      </c>
      <c r="D939" s="5">
        <v>2986.89</v>
      </c>
    </row>
    <row r="940" spans="1:4" x14ac:dyDescent="0.25">
      <c r="A940" t="s">
        <v>9408</v>
      </c>
      <c r="B940">
        <v>-1</v>
      </c>
      <c r="C940" t="s">
        <v>10337</v>
      </c>
      <c r="D940" s="5">
        <v>1415.18</v>
      </c>
    </row>
    <row r="941" spans="1:4" x14ac:dyDescent="0.25">
      <c r="A941" t="s">
        <v>4697</v>
      </c>
      <c r="B941">
        <v>-1</v>
      </c>
      <c r="C941" t="s">
        <v>10338</v>
      </c>
      <c r="D941" s="5">
        <v>422.4</v>
      </c>
    </row>
    <row r="942" spans="1:4" x14ac:dyDescent="0.25">
      <c r="A942" t="s">
        <v>5283</v>
      </c>
      <c r="B942">
        <v>-1</v>
      </c>
      <c r="C942" t="s">
        <v>10342</v>
      </c>
      <c r="D942" s="5">
        <v>-1.06</v>
      </c>
    </row>
    <row r="943" spans="1:4" x14ac:dyDescent="0.25">
      <c r="A943" t="s">
        <v>5829</v>
      </c>
      <c r="B943">
        <v>-1</v>
      </c>
      <c r="C943" t="s">
        <v>10338</v>
      </c>
    </row>
    <row r="944" spans="1:4" x14ac:dyDescent="0.25">
      <c r="A944" t="s">
        <v>4789</v>
      </c>
      <c r="B944">
        <v>-1</v>
      </c>
      <c r="C944" t="s">
        <v>10338</v>
      </c>
      <c r="D944" s="5">
        <v>0</v>
      </c>
    </row>
    <row r="945" spans="1:4" x14ac:dyDescent="0.25">
      <c r="A945" t="s">
        <v>8916</v>
      </c>
      <c r="B945">
        <v>-1</v>
      </c>
      <c r="C945" t="s">
        <v>10334</v>
      </c>
      <c r="D945" s="5">
        <v>-158.91</v>
      </c>
    </row>
    <row r="946" spans="1:4" x14ac:dyDescent="0.25">
      <c r="A946" t="s">
        <v>9845</v>
      </c>
      <c r="B946">
        <v>-1</v>
      </c>
      <c r="C946" t="s">
        <v>10338</v>
      </c>
      <c r="D946" s="5">
        <v>130.41</v>
      </c>
    </row>
    <row r="947" spans="1:4" x14ac:dyDescent="0.25">
      <c r="A947" t="s">
        <v>22</v>
      </c>
      <c r="B947">
        <v>-1</v>
      </c>
      <c r="C947" t="s">
        <v>10337</v>
      </c>
      <c r="D947" s="5">
        <v>0</v>
      </c>
    </row>
    <row r="948" spans="1:4" x14ac:dyDescent="0.25">
      <c r="A948" t="s">
        <v>884</v>
      </c>
      <c r="B948">
        <v>-1</v>
      </c>
      <c r="C948" t="s">
        <v>10339</v>
      </c>
      <c r="D948" s="5">
        <v>-19.78</v>
      </c>
    </row>
    <row r="949" spans="1:4" x14ac:dyDescent="0.25">
      <c r="A949" t="s">
        <v>2913</v>
      </c>
      <c r="B949">
        <v>-1</v>
      </c>
      <c r="C949" t="s">
        <v>10344</v>
      </c>
      <c r="D949" s="5">
        <v>3434.5</v>
      </c>
    </row>
    <row r="950" spans="1:4" x14ac:dyDescent="0.25">
      <c r="A950" t="s">
        <v>2022</v>
      </c>
      <c r="B950">
        <v>-1</v>
      </c>
      <c r="C950" t="s">
        <v>10335</v>
      </c>
      <c r="D950" s="5">
        <v>-211.47</v>
      </c>
    </row>
    <row r="951" spans="1:4" x14ac:dyDescent="0.25">
      <c r="A951" t="s">
        <v>9343</v>
      </c>
      <c r="B951">
        <v>-1</v>
      </c>
      <c r="C951" t="s">
        <v>10335</v>
      </c>
      <c r="D951" s="5">
        <v>-3093.68</v>
      </c>
    </row>
    <row r="952" spans="1:4" x14ac:dyDescent="0.25">
      <c r="A952" t="s">
        <v>3275</v>
      </c>
      <c r="B952">
        <v>-1</v>
      </c>
      <c r="C952" t="s">
        <v>10337</v>
      </c>
      <c r="D952" s="5">
        <v>2234.14</v>
      </c>
    </row>
    <row r="953" spans="1:4" x14ac:dyDescent="0.25">
      <c r="A953" t="s">
        <v>3323</v>
      </c>
      <c r="B953">
        <v>-1</v>
      </c>
      <c r="C953" t="s">
        <v>10335</v>
      </c>
      <c r="D953" s="5">
        <v>877.33</v>
      </c>
    </row>
    <row r="954" spans="1:4" x14ac:dyDescent="0.25">
      <c r="A954" t="s">
        <v>7971</v>
      </c>
      <c r="B954">
        <v>-1</v>
      </c>
      <c r="C954" t="s">
        <v>10338</v>
      </c>
      <c r="D954" s="5">
        <v>1239.1300000000001</v>
      </c>
    </row>
    <row r="955" spans="1:4" x14ac:dyDescent="0.25">
      <c r="A955" t="s">
        <v>8606</v>
      </c>
      <c r="B955">
        <v>-1</v>
      </c>
      <c r="C955" t="s">
        <v>10335</v>
      </c>
      <c r="D955" s="5">
        <v>-895.23</v>
      </c>
    </row>
    <row r="956" spans="1:4" x14ac:dyDescent="0.25">
      <c r="A956" t="s">
        <v>5023</v>
      </c>
      <c r="B956">
        <v>-1</v>
      </c>
      <c r="C956" t="s">
        <v>10333</v>
      </c>
      <c r="D956" s="5">
        <v>-7231.46</v>
      </c>
    </row>
    <row r="957" spans="1:4" x14ac:dyDescent="0.25">
      <c r="A957" t="s">
        <v>9823</v>
      </c>
      <c r="B957">
        <v>-1</v>
      </c>
      <c r="C957" t="s">
        <v>10338</v>
      </c>
      <c r="D957" s="5">
        <v>42.69</v>
      </c>
    </row>
    <row r="958" spans="1:4" x14ac:dyDescent="0.25">
      <c r="A958" t="s">
        <v>3302</v>
      </c>
      <c r="B958">
        <v>-1</v>
      </c>
      <c r="C958" t="s">
        <v>10337</v>
      </c>
      <c r="D958" s="5">
        <v>1938.33</v>
      </c>
    </row>
    <row r="959" spans="1:4" x14ac:dyDescent="0.25">
      <c r="A959" t="s">
        <v>3416</v>
      </c>
      <c r="B959">
        <v>-1</v>
      </c>
      <c r="C959" t="s">
        <v>10338</v>
      </c>
      <c r="D959" s="5">
        <v>2891.41</v>
      </c>
    </row>
    <row r="960" spans="1:4" x14ac:dyDescent="0.25">
      <c r="A960" t="s">
        <v>5383</v>
      </c>
      <c r="B960">
        <v>-1</v>
      </c>
      <c r="C960" t="s">
        <v>10335</v>
      </c>
      <c r="D960" s="5">
        <v>939.01</v>
      </c>
    </row>
    <row r="961" spans="1:4" x14ac:dyDescent="0.25">
      <c r="A961" t="s">
        <v>1208</v>
      </c>
      <c r="B961">
        <v>-1</v>
      </c>
      <c r="C961" t="s">
        <v>10333</v>
      </c>
      <c r="D961" s="5">
        <v>-71.67</v>
      </c>
    </row>
    <row r="962" spans="1:4" x14ac:dyDescent="0.25">
      <c r="A962" t="s">
        <v>5990</v>
      </c>
      <c r="B962">
        <v>-1</v>
      </c>
      <c r="C962" t="s">
        <v>10344</v>
      </c>
      <c r="D962" s="5">
        <v>0.63</v>
      </c>
    </row>
    <row r="963" spans="1:4" x14ac:dyDescent="0.25">
      <c r="A963" t="s">
        <v>6458</v>
      </c>
      <c r="B963">
        <v>-1</v>
      </c>
      <c r="C963" t="s">
        <v>10337</v>
      </c>
    </row>
    <row r="964" spans="1:4" x14ac:dyDescent="0.25">
      <c r="A964" t="s">
        <v>462</v>
      </c>
      <c r="B964">
        <v>-1</v>
      </c>
      <c r="C964" t="s">
        <v>10333</v>
      </c>
      <c r="D964" s="5">
        <v>-1109.4000000000001</v>
      </c>
    </row>
    <row r="965" spans="1:4" x14ac:dyDescent="0.25">
      <c r="A965" t="s">
        <v>6257</v>
      </c>
      <c r="B965">
        <v>-1</v>
      </c>
      <c r="C965" t="s">
        <v>10338</v>
      </c>
      <c r="D965" s="5">
        <v>45.85</v>
      </c>
    </row>
    <row r="966" spans="1:4" x14ac:dyDescent="0.25">
      <c r="A966" t="s">
        <v>9263</v>
      </c>
      <c r="B966">
        <v>-1</v>
      </c>
      <c r="C966" t="s">
        <v>10344</v>
      </c>
      <c r="D966" s="5">
        <v>128.19</v>
      </c>
    </row>
    <row r="967" spans="1:4" x14ac:dyDescent="0.25">
      <c r="A967" t="s">
        <v>1251</v>
      </c>
      <c r="B967">
        <v>-1</v>
      </c>
      <c r="C967" t="s">
        <v>10338</v>
      </c>
      <c r="D967" s="5">
        <v>0.04</v>
      </c>
    </row>
    <row r="968" spans="1:4" x14ac:dyDescent="0.25">
      <c r="A968" t="s">
        <v>8118</v>
      </c>
      <c r="B968">
        <v>-1</v>
      </c>
      <c r="C968" t="s">
        <v>10338</v>
      </c>
    </row>
    <row r="969" spans="1:4" x14ac:dyDescent="0.25">
      <c r="A969" t="s">
        <v>154</v>
      </c>
      <c r="B969">
        <v>-1</v>
      </c>
      <c r="C969" t="s">
        <v>10334</v>
      </c>
      <c r="D969" s="5">
        <v>-237.73</v>
      </c>
    </row>
    <row r="970" spans="1:4" x14ac:dyDescent="0.25">
      <c r="A970" t="s">
        <v>9678</v>
      </c>
      <c r="B970">
        <v>-1</v>
      </c>
      <c r="C970" t="s">
        <v>10340</v>
      </c>
      <c r="D970" s="5">
        <v>-473.19</v>
      </c>
    </row>
    <row r="971" spans="1:4" x14ac:dyDescent="0.25">
      <c r="A971" t="s">
        <v>9713</v>
      </c>
      <c r="B971">
        <v>-1</v>
      </c>
      <c r="C971" t="s">
        <v>10338</v>
      </c>
      <c r="D971" s="5">
        <v>202.89</v>
      </c>
    </row>
    <row r="972" spans="1:4" x14ac:dyDescent="0.25">
      <c r="A972" t="s">
        <v>10005</v>
      </c>
      <c r="B972">
        <v>-1</v>
      </c>
      <c r="C972" t="s">
        <v>10333</v>
      </c>
      <c r="D972" s="5">
        <v>-2298.44</v>
      </c>
    </row>
    <row r="973" spans="1:4" x14ac:dyDescent="0.25">
      <c r="A973" t="s">
        <v>7852</v>
      </c>
      <c r="B973">
        <v>-1</v>
      </c>
      <c r="C973" t="s">
        <v>10344</v>
      </c>
      <c r="D973" s="5">
        <v>8866.9</v>
      </c>
    </row>
    <row r="974" spans="1:4" x14ac:dyDescent="0.25">
      <c r="A974" t="s">
        <v>7423</v>
      </c>
      <c r="B974">
        <v>-1</v>
      </c>
      <c r="C974" t="s">
        <v>10335</v>
      </c>
      <c r="D974" s="5">
        <v>-126.08</v>
      </c>
    </row>
    <row r="975" spans="1:4" x14ac:dyDescent="0.25">
      <c r="A975" t="s">
        <v>7858</v>
      </c>
      <c r="B975">
        <v>-1</v>
      </c>
      <c r="C975" t="s">
        <v>10336</v>
      </c>
      <c r="D975" s="5">
        <v>-338.7</v>
      </c>
    </row>
    <row r="976" spans="1:4" x14ac:dyDescent="0.25">
      <c r="A976" t="s">
        <v>7758</v>
      </c>
      <c r="B976">
        <v>-1</v>
      </c>
      <c r="C976" t="s">
        <v>10337</v>
      </c>
      <c r="D976" s="5">
        <v>1155.8800000000001</v>
      </c>
    </row>
    <row r="977" spans="1:4" x14ac:dyDescent="0.25">
      <c r="A977" t="s">
        <v>5779</v>
      </c>
      <c r="B977">
        <v>-1</v>
      </c>
      <c r="C977" t="s">
        <v>10341</v>
      </c>
      <c r="D977" s="5">
        <v>-4417.8900000000003</v>
      </c>
    </row>
    <row r="978" spans="1:4" x14ac:dyDescent="0.25">
      <c r="A978" t="s">
        <v>8424</v>
      </c>
      <c r="B978">
        <v>-1</v>
      </c>
      <c r="C978" t="s">
        <v>10334</v>
      </c>
      <c r="D978" s="5">
        <v>1105.96</v>
      </c>
    </row>
    <row r="979" spans="1:4" x14ac:dyDescent="0.25">
      <c r="A979" t="s">
        <v>8428</v>
      </c>
      <c r="B979">
        <v>-1</v>
      </c>
      <c r="C979" t="s">
        <v>10333</v>
      </c>
      <c r="D979" s="5">
        <v>-7742.28</v>
      </c>
    </row>
    <row r="980" spans="1:4" x14ac:dyDescent="0.25">
      <c r="A980" t="s">
        <v>8442</v>
      </c>
      <c r="B980">
        <v>-1</v>
      </c>
      <c r="C980" t="s">
        <v>10338</v>
      </c>
    </row>
    <row r="981" spans="1:4" x14ac:dyDescent="0.25">
      <c r="A981" t="s">
        <v>8523</v>
      </c>
      <c r="B981">
        <v>-1</v>
      </c>
      <c r="C981" t="s">
        <v>10333</v>
      </c>
      <c r="D981" s="5">
        <v>-3355</v>
      </c>
    </row>
    <row r="982" spans="1:4" x14ac:dyDescent="0.25">
      <c r="A982" t="s">
        <v>8479</v>
      </c>
      <c r="B982">
        <v>-1</v>
      </c>
      <c r="C982" t="s">
        <v>10333</v>
      </c>
      <c r="D982" s="5">
        <v>-43009.97</v>
      </c>
    </row>
    <row r="983" spans="1:4" x14ac:dyDescent="0.25">
      <c r="A983" t="s">
        <v>5775</v>
      </c>
      <c r="B983">
        <v>-1</v>
      </c>
      <c r="C983" t="s">
        <v>10333</v>
      </c>
      <c r="D983" s="5">
        <v>-6891.01</v>
      </c>
    </row>
    <row r="984" spans="1:4" x14ac:dyDescent="0.25">
      <c r="A984" t="s">
        <v>5787</v>
      </c>
      <c r="B984">
        <v>-1</v>
      </c>
      <c r="C984" t="s">
        <v>10340</v>
      </c>
      <c r="D984" s="5">
        <v>-1453.09</v>
      </c>
    </row>
    <row r="985" spans="1:4" x14ac:dyDescent="0.25">
      <c r="A985" t="s">
        <v>10201</v>
      </c>
      <c r="B985">
        <v>-1</v>
      </c>
      <c r="C985" t="s">
        <v>10341</v>
      </c>
      <c r="D985" s="5">
        <v>-307.83</v>
      </c>
    </row>
    <row r="986" spans="1:4" x14ac:dyDescent="0.25">
      <c r="A986" t="s">
        <v>6291</v>
      </c>
      <c r="B986">
        <v>-1</v>
      </c>
      <c r="C986" t="s">
        <v>10338</v>
      </c>
      <c r="D986" s="5">
        <v>527.42999999999995</v>
      </c>
    </row>
    <row r="987" spans="1:4" x14ac:dyDescent="0.25">
      <c r="A987" t="s">
        <v>5791</v>
      </c>
      <c r="B987">
        <v>-1</v>
      </c>
      <c r="C987" t="s">
        <v>10338</v>
      </c>
      <c r="D987" s="5">
        <v>343.41</v>
      </c>
    </row>
    <row r="988" spans="1:4" x14ac:dyDescent="0.25">
      <c r="A988" t="s">
        <v>1555</v>
      </c>
      <c r="B988">
        <v>-1</v>
      </c>
      <c r="C988" t="s">
        <v>10336</v>
      </c>
      <c r="D988" s="5">
        <v>-5283.15</v>
      </c>
    </row>
    <row r="989" spans="1:4" x14ac:dyDescent="0.25">
      <c r="A989" t="s">
        <v>4471</v>
      </c>
      <c r="B989">
        <v>-1</v>
      </c>
      <c r="C989" t="s">
        <v>10334</v>
      </c>
      <c r="D989" s="5">
        <v>2331.15</v>
      </c>
    </row>
    <row r="990" spans="1:4" x14ac:dyDescent="0.25">
      <c r="A990" t="s">
        <v>4935</v>
      </c>
      <c r="B990">
        <v>-1</v>
      </c>
      <c r="C990" t="s">
        <v>10340</v>
      </c>
      <c r="D990" s="5">
        <v>1314.84</v>
      </c>
    </row>
    <row r="991" spans="1:4" x14ac:dyDescent="0.25">
      <c r="A991" t="s">
        <v>4929</v>
      </c>
      <c r="B991">
        <v>-1</v>
      </c>
      <c r="C991" t="s">
        <v>10335</v>
      </c>
      <c r="D991" s="5">
        <v>-1549.84</v>
      </c>
    </row>
    <row r="992" spans="1:4" x14ac:dyDescent="0.25">
      <c r="A992" t="s">
        <v>4993</v>
      </c>
      <c r="B992">
        <v>-1</v>
      </c>
      <c r="C992" t="s">
        <v>10334</v>
      </c>
      <c r="D992" s="5">
        <v>-1748</v>
      </c>
    </row>
    <row r="993" spans="1:4" x14ac:dyDescent="0.25">
      <c r="A993" t="s">
        <v>5005</v>
      </c>
      <c r="B993">
        <v>-1</v>
      </c>
      <c r="C993" t="s">
        <v>10341</v>
      </c>
      <c r="D993" s="5">
        <v>-300.56</v>
      </c>
    </row>
    <row r="994" spans="1:4" x14ac:dyDescent="0.25">
      <c r="A994" t="s">
        <v>5008</v>
      </c>
      <c r="B994">
        <v>-1</v>
      </c>
      <c r="C994" t="s">
        <v>10335</v>
      </c>
      <c r="D994" s="5">
        <v>-1470.72</v>
      </c>
    </row>
    <row r="995" spans="1:4" x14ac:dyDescent="0.25">
      <c r="A995" t="s">
        <v>5011</v>
      </c>
      <c r="B995">
        <v>-1</v>
      </c>
      <c r="C995" t="s">
        <v>10335</v>
      </c>
      <c r="D995" s="5">
        <v>-1064.22</v>
      </c>
    </row>
    <row r="996" spans="1:4" x14ac:dyDescent="0.25">
      <c r="A996" t="s">
        <v>5017</v>
      </c>
      <c r="B996">
        <v>-1</v>
      </c>
      <c r="C996" t="s">
        <v>10337</v>
      </c>
      <c r="D996" s="5">
        <v>406.87</v>
      </c>
    </row>
    <row r="997" spans="1:4" x14ac:dyDescent="0.25">
      <c r="A997" t="s">
        <v>4911</v>
      </c>
      <c r="B997">
        <v>-1</v>
      </c>
      <c r="C997" t="s">
        <v>10345</v>
      </c>
      <c r="D997" s="5">
        <v>-937.42</v>
      </c>
    </row>
    <row r="998" spans="1:4" x14ac:dyDescent="0.25">
      <c r="A998" t="s">
        <v>5616</v>
      </c>
      <c r="B998">
        <v>-1</v>
      </c>
      <c r="C998" t="s">
        <v>10341</v>
      </c>
      <c r="D998" s="5">
        <v>4034.95</v>
      </c>
    </row>
    <row r="999" spans="1:4" x14ac:dyDescent="0.25">
      <c r="A999" t="s">
        <v>6085</v>
      </c>
      <c r="B999">
        <v>-1</v>
      </c>
      <c r="C999" t="s">
        <v>10337</v>
      </c>
      <c r="D999" s="5">
        <v>681.87</v>
      </c>
    </row>
    <row r="1000" spans="1:4" x14ac:dyDescent="0.25">
      <c r="A1000" t="s">
        <v>9317</v>
      </c>
      <c r="B1000">
        <v>-1</v>
      </c>
      <c r="C1000" t="s">
        <v>10344</v>
      </c>
      <c r="D1000" s="5">
        <v>-3060.04</v>
      </c>
    </row>
    <row r="1001" spans="1:4" x14ac:dyDescent="0.25">
      <c r="A1001" t="s">
        <v>5398</v>
      </c>
      <c r="B1001">
        <v>-1</v>
      </c>
      <c r="C1001" t="s">
        <v>10337</v>
      </c>
      <c r="D1001" s="5">
        <v>437.23</v>
      </c>
    </row>
    <row r="1002" spans="1:4" x14ac:dyDescent="0.25">
      <c r="A1002" t="s">
        <v>8944</v>
      </c>
      <c r="B1002">
        <v>-1</v>
      </c>
      <c r="C1002" t="s">
        <v>10338</v>
      </c>
      <c r="D1002" s="5">
        <v>3553.67</v>
      </c>
    </row>
    <row r="1003" spans="1:4" x14ac:dyDescent="0.25">
      <c r="A1003" t="s">
        <v>4647</v>
      </c>
      <c r="B1003">
        <v>-1</v>
      </c>
      <c r="C1003" t="s">
        <v>10342</v>
      </c>
      <c r="D1003" s="5">
        <v>2526.4899999999998</v>
      </c>
    </row>
    <row r="1004" spans="1:4" x14ac:dyDescent="0.25">
      <c r="A1004" t="s">
        <v>6790</v>
      </c>
      <c r="B1004">
        <v>-1</v>
      </c>
      <c r="C1004" t="s">
        <v>10336</v>
      </c>
      <c r="D1004" s="5">
        <v>-6787.86</v>
      </c>
    </row>
    <row r="1005" spans="1:4" x14ac:dyDescent="0.25">
      <c r="A1005" t="s">
        <v>6785</v>
      </c>
      <c r="B1005">
        <v>-1</v>
      </c>
      <c r="C1005" t="s">
        <v>10333</v>
      </c>
      <c r="D1005" s="5">
        <v>-4232.3</v>
      </c>
    </row>
    <row r="1006" spans="1:4" x14ac:dyDescent="0.25">
      <c r="A1006" t="s">
        <v>9833</v>
      </c>
      <c r="B1006">
        <v>-1</v>
      </c>
      <c r="C1006" t="s">
        <v>10338</v>
      </c>
      <c r="D1006" s="5">
        <v>187.44</v>
      </c>
    </row>
    <row r="1007" spans="1:4" x14ac:dyDescent="0.25">
      <c r="A1007" t="s">
        <v>9864</v>
      </c>
      <c r="B1007">
        <v>-1</v>
      </c>
      <c r="C1007" t="s">
        <v>10335</v>
      </c>
      <c r="D1007" s="5">
        <v>-4260.32</v>
      </c>
    </row>
    <row r="1008" spans="1:4" x14ac:dyDescent="0.25">
      <c r="A1008" t="s">
        <v>2264</v>
      </c>
      <c r="B1008">
        <v>-1</v>
      </c>
      <c r="C1008" t="s">
        <v>10340</v>
      </c>
      <c r="D1008" s="5">
        <v>615.15</v>
      </c>
    </row>
    <row r="1009" spans="1:4" x14ac:dyDescent="0.25">
      <c r="A1009" t="s">
        <v>2326</v>
      </c>
      <c r="B1009">
        <v>-1</v>
      </c>
      <c r="C1009" t="s">
        <v>10334</v>
      </c>
      <c r="D1009" s="5">
        <v>979.63</v>
      </c>
    </row>
    <row r="1010" spans="1:4" x14ac:dyDescent="0.25">
      <c r="A1010" t="s">
        <v>2258</v>
      </c>
      <c r="B1010">
        <v>-1</v>
      </c>
      <c r="C1010" t="s">
        <v>10340</v>
      </c>
      <c r="D1010" s="5">
        <v>377.4</v>
      </c>
    </row>
    <row r="1011" spans="1:4" x14ac:dyDescent="0.25">
      <c r="A1011" t="s">
        <v>3132</v>
      </c>
      <c r="B1011">
        <v>-1</v>
      </c>
      <c r="C1011" t="s">
        <v>10339</v>
      </c>
    </row>
    <row r="1012" spans="1:4" x14ac:dyDescent="0.25">
      <c r="A1012" t="s">
        <v>659</v>
      </c>
      <c r="B1012">
        <v>-1</v>
      </c>
      <c r="C1012" t="s">
        <v>10336</v>
      </c>
      <c r="D1012" s="5">
        <v>-707.1</v>
      </c>
    </row>
    <row r="1013" spans="1:4" x14ac:dyDescent="0.25">
      <c r="A1013" t="s">
        <v>3350</v>
      </c>
      <c r="B1013">
        <v>-1</v>
      </c>
      <c r="C1013" t="s">
        <v>10341</v>
      </c>
      <c r="D1013" s="5">
        <v>399.12</v>
      </c>
    </row>
    <row r="1014" spans="1:4" x14ac:dyDescent="0.25">
      <c r="A1014" t="s">
        <v>9147</v>
      </c>
      <c r="B1014">
        <v>-1</v>
      </c>
      <c r="C1014" t="s">
        <v>10338</v>
      </c>
      <c r="D1014" s="5">
        <v>1221.73</v>
      </c>
    </row>
    <row r="1015" spans="1:4" x14ac:dyDescent="0.25">
      <c r="A1015" t="s">
        <v>1214</v>
      </c>
      <c r="B1015">
        <v>-1</v>
      </c>
      <c r="C1015" t="s">
        <v>10340</v>
      </c>
      <c r="D1015" s="5">
        <v>-156.22</v>
      </c>
    </row>
    <row r="1016" spans="1:4" x14ac:dyDescent="0.25">
      <c r="A1016" t="s">
        <v>10294</v>
      </c>
      <c r="B1016">
        <v>-1</v>
      </c>
      <c r="C1016" t="s">
        <v>10338</v>
      </c>
      <c r="D1016" s="5">
        <v>1712.04</v>
      </c>
    </row>
    <row r="1017" spans="1:4" x14ac:dyDescent="0.25">
      <c r="A1017" t="s">
        <v>9792</v>
      </c>
      <c r="B1017">
        <v>-1</v>
      </c>
      <c r="C1017" t="s">
        <v>10333</v>
      </c>
      <c r="D1017" s="5">
        <v>-5242.05</v>
      </c>
    </row>
    <row r="1018" spans="1:4" x14ac:dyDescent="0.25">
      <c r="A1018" t="s">
        <v>5530</v>
      </c>
      <c r="B1018">
        <v>-1</v>
      </c>
      <c r="C1018" t="s">
        <v>10335</v>
      </c>
      <c r="D1018" s="5">
        <v>1593.39</v>
      </c>
    </row>
    <row r="1019" spans="1:4" x14ac:dyDescent="0.25">
      <c r="A1019" t="s">
        <v>4795</v>
      </c>
      <c r="B1019">
        <v>-1</v>
      </c>
      <c r="C1019" t="s">
        <v>10337</v>
      </c>
      <c r="D1019" s="5">
        <v>-2925.11</v>
      </c>
    </row>
    <row r="1020" spans="1:4" x14ac:dyDescent="0.25">
      <c r="A1020" t="s">
        <v>5482</v>
      </c>
      <c r="B1020">
        <v>-1</v>
      </c>
      <c r="C1020" t="s">
        <v>10334</v>
      </c>
      <c r="D1020" s="5">
        <v>-2042.83</v>
      </c>
    </row>
    <row r="1021" spans="1:4" x14ac:dyDescent="0.25">
      <c r="A1021" t="s">
        <v>7461</v>
      </c>
      <c r="B1021">
        <v>-1</v>
      </c>
      <c r="C1021" t="s">
        <v>10333</v>
      </c>
      <c r="D1021" s="5">
        <v>-13962.38</v>
      </c>
    </row>
    <row r="1022" spans="1:4" x14ac:dyDescent="0.25">
      <c r="A1022" t="s">
        <v>7991</v>
      </c>
      <c r="B1022">
        <v>-1</v>
      </c>
      <c r="C1022" t="s">
        <v>10338</v>
      </c>
      <c r="D1022" s="5">
        <v>10452.82</v>
      </c>
    </row>
    <row r="1023" spans="1:4" x14ac:dyDescent="0.25">
      <c r="A1023" t="s">
        <v>9061</v>
      </c>
      <c r="B1023">
        <v>-1</v>
      </c>
      <c r="C1023" t="s">
        <v>10340</v>
      </c>
      <c r="D1023" s="5">
        <v>3451.36</v>
      </c>
    </row>
    <row r="1024" spans="1:4" x14ac:dyDescent="0.25">
      <c r="A1024" t="s">
        <v>1569</v>
      </c>
      <c r="B1024">
        <v>-1</v>
      </c>
      <c r="C1024" t="s">
        <v>10338</v>
      </c>
      <c r="D1024" s="5">
        <v>0</v>
      </c>
    </row>
    <row r="1025" spans="1:4" x14ac:dyDescent="0.25">
      <c r="A1025" t="s">
        <v>104</v>
      </c>
      <c r="B1025">
        <v>-1</v>
      </c>
      <c r="C1025" t="s">
        <v>10338</v>
      </c>
      <c r="D1025" s="5">
        <v>-3044.79</v>
      </c>
    </row>
    <row r="1026" spans="1:4" x14ac:dyDescent="0.25">
      <c r="A1026" t="s">
        <v>9465</v>
      </c>
      <c r="B1026">
        <v>-1</v>
      </c>
      <c r="C1026" t="s">
        <v>10339</v>
      </c>
      <c r="D1026" s="5">
        <v>-2383.37</v>
      </c>
    </row>
    <row r="1027" spans="1:4" x14ac:dyDescent="0.25">
      <c r="A1027" t="s">
        <v>6414</v>
      </c>
      <c r="B1027">
        <v>-1</v>
      </c>
      <c r="C1027" t="s">
        <v>10338</v>
      </c>
      <c r="D1027" s="5">
        <v>659.55</v>
      </c>
    </row>
    <row r="1028" spans="1:4" x14ac:dyDescent="0.25">
      <c r="A1028" t="s">
        <v>6596</v>
      </c>
      <c r="B1028">
        <v>-1</v>
      </c>
      <c r="C1028" t="s">
        <v>10335</v>
      </c>
      <c r="D1028" s="5">
        <v>0</v>
      </c>
    </row>
    <row r="1029" spans="1:4" x14ac:dyDescent="0.25">
      <c r="A1029" t="s">
        <v>6352</v>
      </c>
      <c r="B1029">
        <v>-1</v>
      </c>
      <c r="C1029" t="s">
        <v>10338</v>
      </c>
      <c r="D1029" s="5">
        <v>411.01</v>
      </c>
    </row>
    <row r="1030" spans="1:4" x14ac:dyDescent="0.25">
      <c r="A1030" t="s">
        <v>6301</v>
      </c>
      <c r="B1030">
        <v>-1</v>
      </c>
      <c r="C1030" t="s">
        <v>10344</v>
      </c>
      <c r="D1030" s="5">
        <v>-353.98</v>
      </c>
    </row>
    <row r="1031" spans="1:4" x14ac:dyDescent="0.25">
      <c r="A1031" t="s">
        <v>4644</v>
      </c>
      <c r="B1031">
        <v>-1</v>
      </c>
      <c r="C1031" t="s">
        <v>10333</v>
      </c>
      <c r="D1031" s="5">
        <v>179.77</v>
      </c>
    </row>
    <row r="1032" spans="1:4" x14ac:dyDescent="0.25">
      <c r="A1032" t="s">
        <v>4622</v>
      </c>
      <c r="B1032">
        <v>-1</v>
      </c>
      <c r="C1032" t="s">
        <v>10344</v>
      </c>
      <c r="D1032" s="5">
        <v>-506.29</v>
      </c>
    </row>
    <row r="1033" spans="1:4" x14ac:dyDescent="0.25">
      <c r="A1033" t="s">
        <v>3598</v>
      </c>
      <c r="B1033">
        <v>-1</v>
      </c>
      <c r="C1033" t="s">
        <v>10338</v>
      </c>
    </row>
    <row r="1034" spans="1:4" x14ac:dyDescent="0.25">
      <c r="A1034" t="s">
        <v>4756</v>
      </c>
      <c r="B1034">
        <v>-1</v>
      </c>
      <c r="C1034" t="s">
        <v>10333</v>
      </c>
      <c r="D1034" s="5">
        <v>-11427.68</v>
      </c>
    </row>
    <row r="1035" spans="1:4" x14ac:dyDescent="0.25">
      <c r="A1035" t="s">
        <v>9855</v>
      </c>
      <c r="B1035">
        <v>-1</v>
      </c>
      <c r="C1035" t="s">
        <v>10334</v>
      </c>
      <c r="D1035" s="5">
        <v>-818.09</v>
      </c>
    </row>
    <row r="1036" spans="1:4" x14ac:dyDescent="0.25">
      <c r="A1036" t="s">
        <v>2150</v>
      </c>
      <c r="B1036">
        <v>-1</v>
      </c>
      <c r="C1036" t="s">
        <v>10336</v>
      </c>
      <c r="D1036" s="5">
        <v>-2189</v>
      </c>
    </row>
    <row r="1037" spans="1:4" x14ac:dyDescent="0.25">
      <c r="A1037" t="s">
        <v>2556</v>
      </c>
      <c r="B1037">
        <v>-1</v>
      </c>
      <c r="C1037" t="s">
        <v>10340</v>
      </c>
      <c r="D1037" s="5">
        <v>-1456.56</v>
      </c>
    </row>
    <row r="1038" spans="1:4" x14ac:dyDescent="0.25">
      <c r="A1038" t="s">
        <v>629</v>
      </c>
      <c r="B1038">
        <v>-1</v>
      </c>
      <c r="C1038" t="s">
        <v>10341</v>
      </c>
      <c r="D1038" s="5">
        <v>865.99</v>
      </c>
    </row>
    <row r="1039" spans="1:4" x14ac:dyDescent="0.25">
      <c r="A1039" t="s">
        <v>2980</v>
      </c>
      <c r="B1039">
        <v>-1</v>
      </c>
      <c r="C1039" t="s">
        <v>10338</v>
      </c>
      <c r="D1039" s="5">
        <v>-221.68</v>
      </c>
    </row>
    <row r="1040" spans="1:4" x14ac:dyDescent="0.25">
      <c r="A1040" t="s">
        <v>3116</v>
      </c>
      <c r="B1040">
        <v>-1</v>
      </c>
      <c r="C1040" t="s">
        <v>10338</v>
      </c>
      <c r="D1040" s="5">
        <v>0</v>
      </c>
    </row>
    <row r="1041" spans="1:4" x14ac:dyDescent="0.25">
      <c r="A1041" t="s">
        <v>1315</v>
      </c>
      <c r="B1041">
        <v>-1</v>
      </c>
      <c r="C1041" t="s">
        <v>10340</v>
      </c>
      <c r="D1041" s="5">
        <v>-3476.51</v>
      </c>
    </row>
    <row r="1042" spans="1:4" x14ac:dyDescent="0.25">
      <c r="A1042" t="s">
        <v>2012</v>
      </c>
      <c r="B1042">
        <v>-1</v>
      </c>
      <c r="C1042" t="s">
        <v>10338</v>
      </c>
      <c r="D1042" s="5">
        <v>0</v>
      </c>
    </row>
    <row r="1043" spans="1:4" x14ac:dyDescent="0.25">
      <c r="A1043" t="s">
        <v>8397</v>
      </c>
      <c r="B1043">
        <v>-1</v>
      </c>
      <c r="C1043" t="s">
        <v>10340</v>
      </c>
      <c r="D1043" s="5">
        <v>620.47</v>
      </c>
    </row>
    <row r="1044" spans="1:4" x14ac:dyDescent="0.25">
      <c r="A1044" t="s">
        <v>3007</v>
      </c>
      <c r="B1044">
        <v>-1</v>
      </c>
      <c r="C1044" t="s">
        <v>10340</v>
      </c>
      <c r="D1044" s="5">
        <v>487.3</v>
      </c>
    </row>
    <row r="1045" spans="1:4" x14ac:dyDescent="0.25">
      <c r="A1045" t="s">
        <v>9368</v>
      </c>
      <c r="B1045">
        <v>-1</v>
      </c>
      <c r="C1045" t="s">
        <v>10344</v>
      </c>
      <c r="D1045" s="5">
        <v>13.46</v>
      </c>
    </row>
    <row r="1046" spans="1:4" x14ac:dyDescent="0.25">
      <c r="A1046" t="s">
        <v>3287</v>
      </c>
      <c r="B1046">
        <v>-1</v>
      </c>
      <c r="C1046" t="s">
        <v>10338</v>
      </c>
      <c r="D1046" s="5">
        <v>508.02</v>
      </c>
    </row>
    <row r="1047" spans="1:4" x14ac:dyDescent="0.25">
      <c r="A1047" t="s">
        <v>3233</v>
      </c>
      <c r="B1047">
        <v>-1</v>
      </c>
      <c r="C1047" t="s">
        <v>10344</v>
      </c>
      <c r="D1047" s="5">
        <v>223.89</v>
      </c>
    </row>
    <row r="1048" spans="1:4" x14ac:dyDescent="0.25">
      <c r="A1048" t="s">
        <v>3569</v>
      </c>
      <c r="B1048">
        <v>-1</v>
      </c>
      <c r="C1048" t="s">
        <v>10344</v>
      </c>
      <c r="D1048" s="5">
        <v>-340.94</v>
      </c>
    </row>
    <row r="1049" spans="1:4" x14ac:dyDescent="0.25">
      <c r="A1049" t="s">
        <v>3572</v>
      </c>
      <c r="B1049">
        <v>-1</v>
      </c>
      <c r="C1049" t="s">
        <v>10334</v>
      </c>
      <c r="D1049" s="5">
        <v>-195.65</v>
      </c>
    </row>
    <row r="1050" spans="1:4" x14ac:dyDescent="0.25">
      <c r="A1050" t="s">
        <v>5163</v>
      </c>
      <c r="B1050">
        <v>-1</v>
      </c>
      <c r="C1050" t="s">
        <v>10333</v>
      </c>
      <c r="D1050" s="5">
        <v>-4393.43</v>
      </c>
    </row>
    <row r="1051" spans="1:4" x14ac:dyDescent="0.25">
      <c r="A1051" t="s">
        <v>5101</v>
      </c>
      <c r="B1051">
        <v>-1</v>
      </c>
      <c r="C1051" t="s">
        <v>10344</v>
      </c>
    </row>
    <row r="1052" spans="1:4" x14ac:dyDescent="0.25">
      <c r="A1052" t="s">
        <v>8112</v>
      </c>
      <c r="B1052">
        <v>-1</v>
      </c>
      <c r="C1052" t="s">
        <v>10335</v>
      </c>
      <c r="D1052" s="5">
        <v>-577.34</v>
      </c>
    </row>
    <row r="1053" spans="1:4" x14ac:dyDescent="0.25">
      <c r="A1053" t="s">
        <v>10279</v>
      </c>
      <c r="B1053">
        <v>-1</v>
      </c>
      <c r="C1053" t="s">
        <v>10335</v>
      </c>
      <c r="D1053" s="5">
        <v>-408.9</v>
      </c>
    </row>
    <row r="1054" spans="1:4" x14ac:dyDescent="0.25">
      <c r="A1054" t="s">
        <v>7474</v>
      </c>
      <c r="B1054">
        <v>-1</v>
      </c>
      <c r="C1054" t="s">
        <v>10338</v>
      </c>
      <c r="D1054" s="5">
        <v>5336.9</v>
      </c>
    </row>
    <row r="1055" spans="1:4" x14ac:dyDescent="0.25">
      <c r="A1055" t="s">
        <v>7416</v>
      </c>
      <c r="B1055">
        <v>-1</v>
      </c>
      <c r="C1055" t="s">
        <v>10343</v>
      </c>
      <c r="D1055" s="5">
        <v>2132.0700000000002</v>
      </c>
    </row>
    <row r="1056" spans="1:4" x14ac:dyDescent="0.25">
      <c r="A1056" t="s">
        <v>6344</v>
      </c>
      <c r="B1056">
        <v>-1</v>
      </c>
      <c r="C1056" t="s">
        <v>10333</v>
      </c>
      <c r="D1056" s="5">
        <v>-1142.74</v>
      </c>
    </row>
    <row r="1057" spans="1:4" x14ac:dyDescent="0.25">
      <c r="A1057" t="s">
        <v>2177</v>
      </c>
      <c r="B1057">
        <v>-1</v>
      </c>
      <c r="C1057" t="s">
        <v>10333</v>
      </c>
      <c r="D1057" s="5">
        <v>-138.61000000000001</v>
      </c>
    </row>
    <row r="1058" spans="1:4" x14ac:dyDescent="0.25">
      <c r="A1058" t="s">
        <v>699</v>
      </c>
      <c r="B1058">
        <v>-1</v>
      </c>
      <c r="C1058" t="s">
        <v>10339</v>
      </c>
      <c r="D1058" s="5">
        <v>1465.31</v>
      </c>
    </row>
    <row r="1059" spans="1:4" x14ac:dyDescent="0.25">
      <c r="A1059" t="s">
        <v>9333</v>
      </c>
      <c r="B1059">
        <v>-1</v>
      </c>
      <c r="C1059" t="s">
        <v>10342</v>
      </c>
      <c r="D1059" s="5">
        <v>-1488.46</v>
      </c>
    </row>
    <row r="1060" spans="1:4" x14ac:dyDescent="0.25">
      <c r="A1060" t="s">
        <v>8256</v>
      </c>
      <c r="B1060">
        <v>-1</v>
      </c>
      <c r="C1060" t="s">
        <v>10333</v>
      </c>
      <c r="D1060" s="5">
        <v>-27325.59</v>
      </c>
    </row>
    <row r="1061" spans="1:4" x14ac:dyDescent="0.25">
      <c r="A1061" t="s">
        <v>520</v>
      </c>
      <c r="B1061">
        <v>-1</v>
      </c>
      <c r="C1061" t="s">
        <v>10335</v>
      </c>
      <c r="D1061" s="5">
        <v>-15389.99</v>
      </c>
    </row>
    <row r="1062" spans="1:4" x14ac:dyDescent="0.25">
      <c r="A1062" t="s">
        <v>515</v>
      </c>
      <c r="B1062">
        <v>-1</v>
      </c>
      <c r="C1062" t="s">
        <v>10333</v>
      </c>
      <c r="D1062" s="5">
        <v>-26100.49</v>
      </c>
    </row>
    <row r="1063" spans="1:4" x14ac:dyDescent="0.25">
      <c r="A1063" t="s">
        <v>9763</v>
      </c>
      <c r="B1063">
        <v>-1</v>
      </c>
      <c r="C1063" t="s">
        <v>10335</v>
      </c>
      <c r="D1063" s="5">
        <v>261.38</v>
      </c>
    </row>
    <row r="1064" spans="1:4" x14ac:dyDescent="0.25">
      <c r="A1064" t="s">
        <v>9641</v>
      </c>
      <c r="B1064">
        <v>-1</v>
      </c>
      <c r="C1064" t="s">
        <v>10346</v>
      </c>
      <c r="D1064" s="5">
        <v>-28078.81</v>
      </c>
    </row>
    <row r="1065" spans="1:4" x14ac:dyDescent="0.25">
      <c r="A1065" t="s">
        <v>10267</v>
      </c>
      <c r="B1065">
        <v>-1</v>
      </c>
      <c r="C1065" t="s">
        <v>10333</v>
      </c>
      <c r="D1065" s="5">
        <v>-50304.6</v>
      </c>
    </row>
    <row r="1066" spans="1:4" x14ac:dyDescent="0.25">
      <c r="A1066" t="s">
        <v>9659</v>
      </c>
      <c r="B1066">
        <v>-1</v>
      </c>
      <c r="C1066" t="s">
        <v>10337</v>
      </c>
      <c r="D1066" s="5">
        <v>348.72</v>
      </c>
    </row>
    <row r="1067" spans="1:4" x14ac:dyDescent="0.25">
      <c r="A1067" t="s">
        <v>10284</v>
      </c>
      <c r="B1067">
        <v>-1</v>
      </c>
      <c r="C1067" t="s">
        <v>10335</v>
      </c>
      <c r="D1067" s="5">
        <v>-6942.9</v>
      </c>
    </row>
    <row r="1068" spans="1:4" x14ac:dyDescent="0.25">
      <c r="A1068" t="s">
        <v>1020</v>
      </c>
      <c r="B1068">
        <v>-1</v>
      </c>
      <c r="C1068" t="s">
        <v>10333</v>
      </c>
      <c r="D1068" s="5">
        <v>-26280.35</v>
      </c>
    </row>
    <row r="1069" spans="1:4" x14ac:dyDescent="0.25">
      <c r="A1069" t="s">
        <v>7367</v>
      </c>
      <c r="B1069">
        <v>-1</v>
      </c>
      <c r="C1069" t="s">
        <v>10333</v>
      </c>
      <c r="D1069" s="5">
        <v>-11916.59</v>
      </c>
    </row>
    <row r="1070" spans="1:4" x14ac:dyDescent="0.25">
      <c r="A1070" t="s">
        <v>4805</v>
      </c>
      <c r="B1070">
        <v>-1</v>
      </c>
      <c r="C1070" t="s">
        <v>10333</v>
      </c>
      <c r="D1070" s="5">
        <v>-33155.42</v>
      </c>
    </row>
    <row r="1071" spans="1:4" x14ac:dyDescent="0.25">
      <c r="A1071" t="s">
        <v>6035</v>
      </c>
      <c r="B1071">
        <v>-1</v>
      </c>
      <c r="C1071" t="s">
        <v>10333</v>
      </c>
      <c r="D1071" s="5">
        <v>-23682.35</v>
      </c>
    </row>
    <row r="1072" spans="1:4" x14ac:dyDescent="0.25">
      <c r="A1072" t="s">
        <v>7590</v>
      </c>
      <c r="B1072">
        <v>-1</v>
      </c>
      <c r="C1072" t="s">
        <v>10333</v>
      </c>
      <c r="D1072" s="5">
        <v>-23517.84</v>
      </c>
    </row>
    <row r="1073" spans="1:4" x14ac:dyDescent="0.25">
      <c r="A1073" t="s">
        <v>7450</v>
      </c>
      <c r="B1073">
        <v>-1</v>
      </c>
      <c r="C1073" t="s">
        <v>10333</v>
      </c>
      <c r="D1073" s="5">
        <v>-38460.660000000003</v>
      </c>
    </row>
    <row r="1074" spans="1:4" x14ac:dyDescent="0.25">
      <c r="A1074" t="s">
        <v>7681</v>
      </c>
      <c r="B1074">
        <v>-1</v>
      </c>
      <c r="C1074" t="s">
        <v>10341</v>
      </c>
      <c r="D1074" s="5">
        <v>1069.2</v>
      </c>
    </row>
    <row r="1075" spans="1:4" x14ac:dyDescent="0.25">
      <c r="A1075" t="s">
        <v>7577</v>
      </c>
      <c r="B1075">
        <v>-1</v>
      </c>
      <c r="C1075" t="s">
        <v>10334</v>
      </c>
      <c r="D1075" s="5">
        <v>-14241.34</v>
      </c>
    </row>
    <row r="1076" spans="1:4" x14ac:dyDescent="0.25">
      <c r="A1076" t="s">
        <v>7275</v>
      </c>
      <c r="B1076">
        <v>-1</v>
      </c>
      <c r="C1076" t="s">
        <v>10341</v>
      </c>
      <c r="D1076" s="5">
        <v>220.59</v>
      </c>
    </row>
    <row r="1077" spans="1:4" x14ac:dyDescent="0.25">
      <c r="A1077" t="s">
        <v>8822</v>
      </c>
      <c r="B1077">
        <v>-1</v>
      </c>
      <c r="C1077" t="s">
        <v>10333</v>
      </c>
      <c r="D1077" s="5">
        <v>-69003.039999999994</v>
      </c>
    </row>
    <row r="1078" spans="1:4" x14ac:dyDescent="0.25">
      <c r="A1078" t="s">
        <v>8799</v>
      </c>
      <c r="B1078">
        <v>-1</v>
      </c>
      <c r="C1078" t="s">
        <v>10340</v>
      </c>
      <c r="D1078" s="5">
        <v>907.41</v>
      </c>
    </row>
    <row r="1079" spans="1:4" x14ac:dyDescent="0.25">
      <c r="A1079" t="s">
        <v>4826</v>
      </c>
      <c r="B1079">
        <v>-1</v>
      </c>
      <c r="C1079" t="s">
        <v>10333</v>
      </c>
      <c r="D1079" s="5">
        <v>-63264.26</v>
      </c>
    </row>
    <row r="1080" spans="1:4" x14ac:dyDescent="0.25">
      <c r="A1080" t="s">
        <v>8568</v>
      </c>
      <c r="B1080">
        <v>-1</v>
      </c>
      <c r="C1080" t="s">
        <v>10333</v>
      </c>
      <c r="D1080" s="5">
        <v>-88733.95</v>
      </c>
    </row>
    <row r="1081" spans="1:4" x14ac:dyDescent="0.25">
      <c r="A1081" t="s">
        <v>5767</v>
      </c>
      <c r="B1081">
        <v>-1</v>
      </c>
      <c r="C1081" t="s">
        <v>10333</v>
      </c>
      <c r="D1081" s="5">
        <v>-72294.66</v>
      </c>
    </row>
    <row r="1082" spans="1:4" x14ac:dyDescent="0.25">
      <c r="A1082" t="s">
        <v>8640</v>
      </c>
      <c r="B1082">
        <v>-1</v>
      </c>
      <c r="C1082" t="s">
        <v>10333</v>
      </c>
      <c r="D1082" s="5">
        <v>-35616.17</v>
      </c>
    </row>
    <row r="1083" spans="1:4" x14ac:dyDescent="0.25">
      <c r="A1083" t="s">
        <v>8545</v>
      </c>
      <c r="B1083">
        <v>-1</v>
      </c>
      <c r="C1083" t="s">
        <v>10333</v>
      </c>
      <c r="D1083" s="5">
        <v>-15165.16</v>
      </c>
    </row>
    <row r="1084" spans="1:4" x14ac:dyDescent="0.25">
      <c r="A1084" t="s">
        <v>8619</v>
      </c>
      <c r="B1084">
        <v>-1</v>
      </c>
      <c r="C1084" t="s">
        <v>10333</v>
      </c>
      <c r="D1084" s="5">
        <v>-9848.27</v>
      </c>
    </row>
    <row r="1085" spans="1:4" x14ac:dyDescent="0.25">
      <c r="A1085" t="s">
        <v>8751</v>
      </c>
      <c r="B1085">
        <v>-1</v>
      </c>
      <c r="C1085" t="s">
        <v>10333</v>
      </c>
      <c r="D1085" s="5">
        <v>-43243.82</v>
      </c>
    </row>
    <row r="1086" spans="1:4" x14ac:dyDescent="0.25">
      <c r="A1086" t="s">
        <v>10198</v>
      </c>
      <c r="B1086">
        <v>-1</v>
      </c>
      <c r="C1086" t="s">
        <v>10333</v>
      </c>
      <c r="D1086" s="5">
        <v>-40936.949999999997</v>
      </c>
    </row>
    <row r="1087" spans="1:4" x14ac:dyDescent="0.25">
      <c r="A1087" t="s">
        <v>6132</v>
      </c>
      <c r="B1087">
        <v>-1</v>
      </c>
      <c r="C1087" t="s">
        <v>10333</v>
      </c>
      <c r="D1087" s="5">
        <v>-60665.03</v>
      </c>
    </row>
    <row r="1088" spans="1:4" x14ac:dyDescent="0.25">
      <c r="A1088" t="s">
        <v>7293</v>
      </c>
      <c r="B1088">
        <v>-1</v>
      </c>
      <c r="C1088" t="s">
        <v>10333</v>
      </c>
      <c r="D1088" s="5">
        <v>-41750.74</v>
      </c>
    </row>
    <row r="1089" spans="1:4" x14ac:dyDescent="0.25">
      <c r="A1089" t="s">
        <v>5793</v>
      </c>
      <c r="B1089">
        <v>-1</v>
      </c>
      <c r="C1089" t="s">
        <v>10333</v>
      </c>
      <c r="D1089" s="5">
        <v>-64188.639999999999</v>
      </c>
    </row>
    <row r="1090" spans="1:4" x14ac:dyDescent="0.25">
      <c r="A1090" t="s">
        <v>6999</v>
      </c>
      <c r="B1090">
        <v>-1</v>
      </c>
      <c r="C1090" t="s">
        <v>10333</v>
      </c>
      <c r="D1090" s="5">
        <v>-102410.37</v>
      </c>
    </row>
    <row r="1091" spans="1:4" x14ac:dyDescent="0.25">
      <c r="A1091" t="s">
        <v>8020</v>
      </c>
      <c r="B1091">
        <v>-1</v>
      </c>
      <c r="C1091" t="s">
        <v>10333</v>
      </c>
      <c r="D1091" s="5">
        <v>-40334.43</v>
      </c>
    </row>
    <row r="1092" spans="1:4" x14ac:dyDescent="0.25">
      <c r="A1092" t="s">
        <v>6996</v>
      </c>
      <c r="B1092">
        <v>-1</v>
      </c>
      <c r="C1092" t="s">
        <v>10333</v>
      </c>
      <c r="D1092" s="5">
        <v>-65958.929999999993</v>
      </c>
    </row>
    <row r="1093" spans="1:4" x14ac:dyDescent="0.25">
      <c r="A1093" t="s">
        <v>8085</v>
      </c>
      <c r="B1093">
        <v>-1</v>
      </c>
      <c r="C1093" t="s">
        <v>10337</v>
      </c>
      <c r="D1093" s="5">
        <v>5073.79</v>
      </c>
    </row>
    <row r="1094" spans="1:4" x14ac:dyDescent="0.25">
      <c r="A1094" t="s">
        <v>8069</v>
      </c>
      <c r="B1094">
        <v>-1</v>
      </c>
      <c r="C1094" t="s">
        <v>10333</v>
      </c>
      <c r="D1094" s="5">
        <v>-51311.03</v>
      </c>
    </row>
    <row r="1095" spans="1:4" x14ac:dyDescent="0.25">
      <c r="A1095" t="s">
        <v>8088</v>
      </c>
      <c r="B1095">
        <v>-1</v>
      </c>
      <c r="C1095" t="s">
        <v>10333</v>
      </c>
      <c r="D1095" s="5">
        <v>-67817.59</v>
      </c>
    </row>
    <row r="1096" spans="1:4" x14ac:dyDescent="0.25">
      <c r="A1096" t="s">
        <v>6950</v>
      </c>
      <c r="B1096">
        <v>-1</v>
      </c>
      <c r="C1096" t="s">
        <v>10333</v>
      </c>
      <c r="D1096" s="5">
        <v>-43030.65</v>
      </c>
    </row>
    <row r="1097" spans="1:4" x14ac:dyDescent="0.25">
      <c r="A1097" t="s">
        <v>6975</v>
      </c>
      <c r="B1097">
        <v>-1</v>
      </c>
      <c r="C1097" t="s">
        <v>10333</v>
      </c>
      <c r="D1097" s="5">
        <v>-63390.27</v>
      </c>
    </row>
    <row r="1098" spans="1:4" x14ac:dyDescent="0.25">
      <c r="A1098" t="s">
        <v>6987</v>
      </c>
      <c r="B1098">
        <v>-1</v>
      </c>
      <c r="C1098" t="s">
        <v>10333</v>
      </c>
      <c r="D1098" s="5">
        <v>-51986.92</v>
      </c>
    </row>
    <row r="1099" spans="1:4" x14ac:dyDescent="0.25">
      <c r="A1099" t="s">
        <v>6967</v>
      </c>
      <c r="B1099">
        <v>-1</v>
      </c>
      <c r="C1099" t="s">
        <v>10333</v>
      </c>
      <c r="D1099" s="5">
        <v>-56925.3</v>
      </c>
    </row>
    <row r="1100" spans="1:4" x14ac:dyDescent="0.25">
      <c r="A1100" t="s">
        <v>7008</v>
      </c>
      <c r="B1100">
        <v>-1</v>
      </c>
      <c r="C1100" t="s">
        <v>10333</v>
      </c>
      <c r="D1100" s="5">
        <v>-21467.66</v>
      </c>
    </row>
    <row r="1101" spans="1:4" x14ac:dyDescent="0.25">
      <c r="A1101" t="s">
        <v>6568</v>
      </c>
      <c r="B1101">
        <v>-1</v>
      </c>
      <c r="C1101" t="s">
        <v>10333</v>
      </c>
      <c r="D1101" s="5">
        <v>-11648.38</v>
      </c>
    </row>
    <row r="1102" spans="1:4" x14ac:dyDescent="0.25">
      <c r="A1102" t="s">
        <v>8045</v>
      </c>
      <c r="B1102">
        <v>-1</v>
      </c>
      <c r="C1102" t="s">
        <v>10336</v>
      </c>
      <c r="D1102" s="5">
        <v>2198.35</v>
      </c>
    </row>
    <row r="1103" spans="1:4" x14ac:dyDescent="0.25">
      <c r="A1103" t="s">
        <v>9535</v>
      </c>
      <c r="B1103">
        <v>-1</v>
      </c>
      <c r="C1103" t="s">
        <v>10333</v>
      </c>
      <c r="D1103" s="5">
        <v>-26889.91</v>
      </c>
    </row>
    <row r="1104" spans="1:4" x14ac:dyDescent="0.25">
      <c r="A1104" t="s">
        <v>9176</v>
      </c>
      <c r="B1104">
        <v>-1</v>
      </c>
      <c r="C1104" t="s">
        <v>10333</v>
      </c>
      <c r="D1104" s="5">
        <v>-14906.24</v>
      </c>
    </row>
    <row r="1105" spans="1:4" x14ac:dyDescent="0.25">
      <c r="A1105" t="s">
        <v>9138</v>
      </c>
      <c r="B1105">
        <v>-1</v>
      </c>
      <c r="C1105" t="s">
        <v>10333</v>
      </c>
      <c r="D1105" s="5">
        <v>-4527.82</v>
      </c>
    </row>
    <row r="1106" spans="1:4" x14ac:dyDescent="0.25">
      <c r="A1106" t="s">
        <v>9387</v>
      </c>
      <c r="B1106">
        <v>-1</v>
      </c>
      <c r="C1106" t="s">
        <v>10333</v>
      </c>
      <c r="D1106" s="5">
        <v>-17876.84</v>
      </c>
    </row>
    <row r="1107" spans="1:4" x14ac:dyDescent="0.25">
      <c r="A1107" t="s">
        <v>8341</v>
      </c>
      <c r="B1107">
        <v>-1</v>
      </c>
      <c r="C1107" t="s">
        <v>10333</v>
      </c>
      <c r="D1107" s="5">
        <v>-34077.040000000001</v>
      </c>
    </row>
    <row r="1108" spans="1:4" x14ac:dyDescent="0.25">
      <c r="A1108" t="s">
        <v>8305</v>
      </c>
      <c r="B1108">
        <v>-1</v>
      </c>
      <c r="C1108" t="s">
        <v>10336</v>
      </c>
      <c r="D1108" s="5">
        <v>-8994.7199999999993</v>
      </c>
    </row>
    <row r="1109" spans="1:4" x14ac:dyDescent="0.25">
      <c r="A1109" t="s">
        <v>9399</v>
      </c>
      <c r="B1109">
        <v>-1</v>
      </c>
      <c r="C1109" t="s">
        <v>10333</v>
      </c>
      <c r="D1109" s="5">
        <v>-7726.74</v>
      </c>
    </row>
    <row r="1110" spans="1:4" x14ac:dyDescent="0.25">
      <c r="A1110" t="s">
        <v>1349</v>
      </c>
      <c r="B1110">
        <v>-1</v>
      </c>
      <c r="C1110" t="s">
        <v>10333</v>
      </c>
      <c r="D1110" s="5">
        <v>-57765.760000000002</v>
      </c>
    </row>
    <row r="1111" spans="1:4" x14ac:dyDescent="0.25">
      <c r="A1111" t="s">
        <v>852</v>
      </c>
      <c r="B1111">
        <v>-1</v>
      </c>
      <c r="C1111" t="s">
        <v>10333</v>
      </c>
      <c r="D1111" s="5">
        <v>-4826.45</v>
      </c>
    </row>
    <row r="1112" spans="1:4" x14ac:dyDescent="0.25">
      <c r="A1112" t="s">
        <v>4458</v>
      </c>
      <c r="B1112">
        <v>-1</v>
      </c>
      <c r="C1112" t="s">
        <v>10333</v>
      </c>
      <c r="D1112" s="5">
        <v>-584.91999999999996</v>
      </c>
    </row>
    <row r="1113" spans="1:4" x14ac:dyDescent="0.25">
      <c r="A1113" t="s">
        <v>4434</v>
      </c>
      <c r="B1113">
        <v>-1</v>
      </c>
      <c r="C1113" t="s">
        <v>10333</v>
      </c>
      <c r="D1113" s="5">
        <v>718.55</v>
      </c>
    </row>
    <row r="1114" spans="1:4" x14ac:dyDescent="0.25">
      <c r="A1114" t="s">
        <v>4932</v>
      </c>
      <c r="B1114">
        <v>-1</v>
      </c>
      <c r="C1114" t="s">
        <v>10335</v>
      </c>
      <c r="D1114" s="5">
        <v>2359.5700000000002</v>
      </c>
    </row>
    <row r="1115" spans="1:4" x14ac:dyDescent="0.25">
      <c r="A1115" t="s">
        <v>4981</v>
      </c>
      <c r="B1115">
        <v>-1</v>
      </c>
      <c r="C1115" t="s">
        <v>10338</v>
      </c>
      <c r="D1115" s="5">
        <v>1462.25</v>
      </c>
    </row>
    <row r="1116" spans="1:4" x14ac:dyDescent="0.25">
      <c r="A1116" t="s">
        <v>5047</v>
      </c>
      <c r="B1116">
        <v>-1</v>
      </c>
      <c r="C1116" t="s">
        <v>10335</v>
      </c>
      <c r="D1116" s="5">
        <v>4201.8500000000004</v>
      </c>
    </row>
    <row r="1117" spans="1:4" x14ac:dyDescent="0.25">
      <c r="A1117" t="s">
        <v>6747</v>
      </c>
      <c r="B1117">
        <v>-1</v>
      </c>
      <c r="C1117" t="s">
        <v>10336</v>
      </c>
      <c r="D1117" s="5">
        <v>-2241.6799999999998</v>
      </c>
    </row>
    <row r="1118" spans="1:4" x14ac:dyDescent="0.25">
      <c r="A1118" t="s">
        <v>9478</v>
      </c>
      <c r="B1118">
        <v>-1</v>
      </c>
      <c r="C1118" t="s">
        <v>10336</v>
      </c>
      <c r="D1118" s="5">
        <v>1645.79</v>
      </c>
    </row>
    <row r="1119" spans="1:4" x14ac:dyDescent="0.25">
      <c r="A1119" t="s">
        <v>3957</v>
      </c>
      <c r="B1119">
        <v>-1</v>
      </c>
      <c r="C1119" t="s">
        <v>10333</v>
      </c>
      <c r="D1119" s="5">
        <v>-13418.4</v>
      </c>
    </row>
    <row r="1120" spans="1:4" x14ac:dyDescent="0.25">
      <c r="A1120" t="s">
        <v>4130</v>
      </c>
      <c r="B1120">
        <v>-1</v>
      </c>
      <c r="C1120" t="s">
        <v>10345</v>
      </c>
      <c r="D1120" s="5">
        <v>-79097.070000000007</v>
      </c>
    </row>
    <row r="1121" spans="1:4" x14ac:dyDescent="0.25">
      <c r="A1121" t="s">
        <v>4017</v>
      </c>
      <c r="B1121">
        <v>-1</v>
      </c>
      <c r="C1121" t="s">
        <v>10333</v>
      </c>
      <c r="D1121" s="5">
        <v>-41712.76</v>
      </c>
    </row>
    <row r="1122" spans="1:4" x14ac:dyDescent="0.25">
      <c r="A1122" t="s">
        <v>4259</v>
      </c>
      <c r="B1122">
        <v>-1</v>
      </c>
      <c r="C1122" t="s">
        <v>10333</v>
      </c>
      <c r="D1122" s="5">
        <v>-44666.12</v>
      </c>
    </row>
    <row r="1123" spans="1:4" x14ac:dyDescent="0.25">
      <c r="A1123" t="s">
        <v>3786</v>
      </c>
      <c r="B1123">
        <v>-1</v>
      </c>
      <c r="C1123" t="s">
        <v>10333</v>
      </c>
      <c r="D1123" s="5">
        <v>-40468.839999999997</v>
      </c>
    </row>
    <row r="1124" spans="1:4" x14ac:dyDescent="0.25">
      <c r="A1124" t="s">
        <v>375</v>
      </c>
      <c r="B1124">
        <v>-1</v>
      </c>
      <c r="C1124" t="s">
        <v>10333</v>
      </c>
      <c r="D1124" s="5">
        <v>-15901.11</v>
      </c>
    </row>
    <row r="1125" spans="1:4" x14ac:dyDescent="0.25">
      <c r="A1125" t="s">
        <v>362</v>
      </c>
      <c r="B1125">
        <v>-1</v>
      </c>
      <c r="C1125" t="s">
        <v>10333</v>
      </c>
      <c r="D1125" s="5">
        <v>-30004.87</v>
      </c>
    </row>
    <row r="1126" spans="1:4" x14ac:dyDescent="0.25">
      <c r="A1126" t="s">
        <v>4114</v>
      </c>
      <c r="B1126">
        <v>-1</v>
      </c>
      <c r="C1126" t="s">
        <v>10333</v>
      </c>
      <c r="D1126" s="5">
        <v>-31710.07</v>
      </c>
    </row>
    <row r="1127" spans="1:4" x14ac:dyDescent="0.25">
      <c r="A1127" t="s">
        <v>10217</v>
      </c>
      <c r="B1127">
        <v>-1</v>
      </c>
      <c r="C1127" t="s">
        <v>10337</v>
      </c>
      <c r="D1127" s="5">
        <v>2409.3200000000002</v>
      </c>
    </row>
    <row r="1128" spans="1:4" x14ac:dyDescent="0.25">
      <c r="A1128" t="s">
        <v>6370</v>
      </c>
      <c r="B1128">
        <v>-1</v>
      </c>
      <c r="C1128" t="s">
        <v>10333</v>
      </c>
      <c r="D1128" s="5">
        <v>-16543.89</v>
      </c>
    </row>
    <row r="1129" spans="1:4" x14ac:dyDescent="0.25">
      <c r="A1129" t="s">
        <v>5810</v>
      </c>
      <c r="B1129">
        <v>-1</v>
      </c>
      <c r="C1129" t="s">
        <v>10336</v>
      </c>
      <c r="D1129" s="5">
        <v>-6660.54</v>
      </c>
    </row>
    <row r="1130" spans="1:4" x14ac:dyDescent="0.25">
      <c r="A1130" t="s">
        <v>9902</v>
      </c>
      <c r="B1130">
        <v>-1</v>
      </c>
      <c r="C1130" t="s">
        <v>10333</v>
      </c>
      <c r="D1130" s="5">
        <v>-19698.650000000001</v>
      </c>
    </row>
    <row r="1131" spans="1:4" x14ac:dyDescent="0.25">
      <c r="A1131" t="s">
        <v>9896</v>
      </c>
      <c r="B1131">
        <v>-1</v>
      </c>
      <c r="C1131" t="s">
        <v>10333</v>
      </c>
      <c r="D1131" s="5">
        <v>-17187.63</v>
      </c>
    </row>
    <row r="1132" spans="1:4" x14ac:dyDescent="0.25">
      <c r="A1132" t="s">
        <v>2721</v>
      </c>
      <c r="B1132">
        <v>-1</v>
      </c>
      <c r="C1132" t="s">
        <v>10336</v>
      </c>
      <c r="D1132" s="5">
        <v>1015.04</v>
      </c>
    </row>
    <row r="1133" spans="1:4" x14ac:dyDescent="0.25">
      <c r="A1133" t="s">
        <v>5093</v>
      </c>
      <c r="B1133">
        <v>-1</v>
      </c>
      <c r="C1133" t="s">
        <v>10333</v>
      </c>
      <c r="D1133" s="5">
        <v>-6031.17</v>
      </c>
    </row>
    <row r="1134" spans="1:4" x14ac:dyDescent="0.25">
      <c r="A1134" t="s">
        <v>5148</v>
      </c>
      <c r="B1134">
        <v>-1</v>
      </c>
      <c r="C1134" t="s">
        <v>10333</v>
      </c>
      <c r="D1134" s="5">
        <v>-46779.25</v>
      </c>
    </row>
    <row r="1135" spans="1:4" x14ac:dyDescent="0.25">
      <c r="A1135" t="s">
        <v>5108</v>
      </c>
      <c r="B1135">
        <v>-1</v>
      </c>
      <c r="C1135" t="s">
        <v>10333</v>
      </c>
      <c r="D1135" s="5">
        <v>-55253.21</v>
      </c>
    </row>
    <row r="1136" spans="1:4" x14ac:dyDescent="0.25">
      <c r="A1136" t="s">
        <v>5113</v>
      </c>
      <c r="B1136">
        <v>-1</v>
      </c>
      <c r="C1136" t="s">
        <v>10333</v>
      </c>
      <c r="D1136" s="5">
        <v>-18706.34</v>
      </c>
    </row>
    <row r="1137" spans="1:4" x14ac:dyDescent="0.25">
      <c r="A1137" t="s">
        <v>5121</v>
      </c>
      <c r="B1137">
        <v>-1</v>
      </c>
      <c r="C1137" t="s">
        <v>10333</v>
      </c>
      <c r="D1137" s="5">
        <v>-35951.65</v>
      </c>
    </row>
    <row r="1138" spans="1:4" x14ac:dyDescent="0.25">
      <c r="A1138" t="s">
        <v>10246</v>
      </c>
      <c r="B1138">
        <v>-1</v>
      </c>
      <c r="C1138" t="s">
        <v>10333</v>
      </c>
      <c r="D1138" s="5">
        <v>-24508.2</v>
      </c>
    </row>
    <row r="1139" spans="1:4" x14ac:dyDescent="0.25">
      <c r="A1139" t="s">
        <v>9699</v>
      </c>
      <c r="B1139">
        <v>-1</v>
      </c>
      <c r="C1139" t="s">
        <v>10338</v>
      </c>
      <c r="D1139" s="5">
        <v>2407.38</v>
      </c>
    </row>
    <row r="1140" spans="1:4" x14ac:dyDescent="0.25">
      <c r="A1140" t="s">
        <v>9784</v>
      </c>
      <c r="B1140">
        <v>-1</v>
      </c>
      <c r="C1140" t="s">
        <v>10344</v>
      </c>
      <c r="D1140" s="5">
        <v>2116.3200000000002</v>
      </c>
    </row>
    <row r="1141" spans="1:4" x14ac:dyDescent="0.25">
      <c r="A1141" t="s">
        <v>9705</v>
      </c>
      <c r="B1141">
        <v>-1</v>
      </c>
      <c r="C1141" t="s">
        <v>10338</v>
      </c>
      <c r="D1141" s="5">
        <v>-1790.77</v>
      </c>
    </row>
    <row r="1142" spans="1:4" x14ac:dyDescent="0.25">
      <c r="A1142" t="s">
        <v>493</v>
      </c>
      <c r="B1142">
        <v>-1</v>
      </c>
      <c r="C1142" t="s">
        <v>10338</v>
      </c>
      <c r="D1142" s="5">
        <v>868.44</v>
      </c>
    </row>
    <row r="1143" spans="1:4" x14ac:dyDescent="0.25">
      <c r="A1143" t="s">
        <v>5498</v>
      </c>
      <c r="B1143">
        <v>-1</v>
      </c>
      <c r="C1143" t="s">
        <v>10341</v>
      </c>
      <c r="D1143" s="5">
        <v>469.94</v>
      </c>
    </row>
    <row r="1144" spans="1:4" x14ac:dyDescent="0.25">
      <c r="A1144" t="s">
        <v>7956</v>
      </c>
      <c r="B1144">
        <v>-1</v>
      </c>
      <c r="C1144" t="s">
        <v>10333</v>
      </c>
      <c r="D1144" s="5">
        <v>-54203.76</v>
      </c>
    </row>
    <row r="1145" spans="1:4" x14ac:dyDescent="0.25">
      <c r="A1145" t="s">
        <v>7412</v>
      </c>
      <c r="B1145">
        <v>-1</v>
      </c>
      <c r="C1145" t="s">
        <v>10338</v>
      </c>
      <c r="D1145" s="5">
        <v>-9263.8799999999992</v>
      </c>
    </row>
    <row r="1146" spans="1:4" x14ac:dyDescent="0.25">
      <c r="A1146" t="s">
        <v>7734</v>
      </c>
      <c r="B1146">
        <v>-1</v>
      </c>
      <c r="C1146" t="s">
        <v>10338</v>
      </c>
    </row>
    <row r="1147" spans="1:4" x14ac:dyDescent="0.25">
      <c r="A1147" t="s">
        <v>7570</v>
      </c>
      <c r="B1147">
        <v>-1</v>
      </c>
      <c r="C1147" t="s">
        <v>10344</v>
      </c>
      <c r="D1147" s="5">
        <v>2799.94</v>
      </c>
    </row>
    <row r="1148" spans="1:4" x14ac:dyDescent="0.25">
      <c r="A1148" t="s">
        <v>8656</v>
      </c>
      <c r="B1148">
        <v>-1</v>
      </c>
      <c r="C1148" t="s">
        <v>10333</v>
      </c>
      <c r="D1148" s="5">
        <v>578.74</v>
      </c>
    </row>
    <row r="1149" spans="1:4" x14ac:dyDescent="0.25">
      <c r="A1149" t="s">
        <v>8860</v>
      </c>
      <c r="B1149">
        <v>-1</v>
      </c>
      <c r="C1149" t="s">
        <v>10339</v>
      </c>
      <c r="D1149" s="5">
        <v>45.12</v>
      </c>
    </row>
    <row r="1150" spans="1:4" x14ac:dyDescent="0.25">
      <c r="A1150" t="s">
        <v>8636</v>
      </c>
      <c r="B1150">
        <v>-1</v>
      </c>
      <c r="C1150" t="s">
        <v>10333</v>
      </c>
      <c r="D1150" s="5">
        <v>-2434.92</v>
      </c>
    </row>
    <row r="1151" spans="1:4" x14ac:dyDescent="0.25">
      <c r="A1151" t="s">
        <v>9191</v>
      </c>
      <c r="B1151">
        <v>-1</v>
      </c>
      <c r="C1151" t="s">
        <v>10339</v>
      </c>
      <c r="D1151" s="5">
        <v>1532.05</v>
      </c>
    </row>
    <row r="1152" spans="1:4" x14ac:dyDescent="0.25">
      <c r="A1152" t="s">
        <v>1002</v>
      </c>
      <c r="B1152">
        <v>-1</v>
      </c>
      <c r="C1152" t="s">
        <v>10342</v>
      </c>
      <c r="D1152" s="5">
        <v>1404.36</v>
      </c>
    </row>
    <row r="1153" spans="1:4" x14ac:dyDescent="0.25">
      <c r="A1153" t="s">
        <v>983</v>
      </c>
      <c r="B1153">
        <v>-1</v>
      </c>
      <c r="C1153" t="s">
        <v>10338</v>
      </c>
      <c r="D1153" s="5">
        <v>2794.51</v>
      </c>
    </row>
    <row r="1154" spans="1:4" x14ac:dyDescent="0.25">
      <c r="A1154" t="s">
        <v>1561</v>
      </c>
      <c r="B1154">
        <v>-1</v>
      </c>
      <c r="C1154" t="s">
        <v>10334</v>
      </c>
      <c r="D1154" s="5">
        <v>-2791.15</v>
      </c>
    </row>
    <row r="1155" spans="1:4" x14ac:dyDescent="0.25">
      <c r="A1155" t="s">
        <v>4411</v>
      </c>
      <c r="B1155">
        <v>-1</v>
      </c>
      <c r="C1155" t="s">
        <v>10343</v>
      </c>
      <c r="D1155" s="5">
        <v>765.01</v>
      </c>
    </row>
    <row r="1156" spans="1:4" x14ac:dyDescent="0.25">
      <c r="A1156" t="s">
        <v>4390</v>
      </c>
      <c r="B1156">
        <v>-1</v>
      </c>
      <c r="C1156" t="s">
        <v>10344</v>
      </c>
      <c r="D1156" s="5">
        <v>479.82</v>
      </c>
    </row>
    <row r="1157" spans="1:4" x14ac:dyDescent="0.25">
      <c r="A1157" t="s">
        <v>4914</v>
      </c>
      <c r="B1157">
        <v>-1</v>
      </c>
      <c r="C1157" t="s">
        <v>10333</v>
      </c>
      <c r="D1157" s="5">
        <v>-1970.63</v>
      </c>
    </row>
    <row r="1158" spans="1:4" x14ac:dyDescent="0.25">
      <c r="A1158" t="s">
        <v>6708</v>
      </c>
      <c r="B1158">
        <v>-1</v>
      </c>
      <c r="C1158" t="s">
        <v>10336</v>
      </c>
      <c r="D1158" s="5">
        <v>-809.46</v>
      </c>
    </row>
    <row r="1159" spans="1:4" x14ac:dyDescent="0.25">
      <c r="A1159" t="s">
        <v>10226</v>
      </c>
      <c r="B1159">
        <v>-1</v>
      </c>
      <c r="C1159" t="s">
        <v>10338</v>
      </c>
      <c r="D1159" s="5">
        <v>463.74</v>
      </c>
    </row>
    <row r="1160" spans="1:4" x14ac:dyDescent="0.25">
      <c r="A1160" t="s">
        <v>10230</v>
      </c>
      <c r="B1160">
        <v>-1</v>
      </c>
      <c r="C1160" t="s">
        <v>10338</v>
      </c>
      <c r="D1160" s="5">
        <v>9.9700000000000006</v>
      </c>
    </row>
    <row r="1161" spans="1:4" x14ac:dyDescent="0.25">
      <c r="A1161" t="s">
        <v>4561</v>
      </c>
      <c r="B1161">
        <v>-1</v>
      </c>
      <c r="C1161" t="s">
        <v>10340</v>
      </c>
      <c r="D1161" s="5">
        <v>-2947.89</v>
      </c>
    </row>
    <row r="1162" spans="1:4" x14ac:dyDescent="0.25">
      <c r="A1162" t="s">
        <v>6663</v>
      </c>
      <c r="B1162">
        <v>-1</v>
      </c>
      <c r="C1162" t="s">
        <v>10334</v>
      </c>
      <c r="D1162" s="5">
        <v>634.16999999999996</v>
      </c>
    </row>
    <row r="1163" spans="1:4" x14ac:dyDescent="0.25">
      <c r="A1163" t="s">
        <v>6477</v>
      </c>
      <c r="B1163">
        <v>-1</v>
      </c>
      <c r="C1163" t="s">
        <v>10334</v>
      </c>
      <c r="D1163" s="5">
        <v>1214</v>
      </c>
    </row>
    <row r="1164" spans="1:4" x14ac:dyDescent="0.25">
      <c r="A1164" t="s">
        <v>6192</v>
      </c>
      <c r="B1164">
        <v>-1</v>
      </c>
      <c r="C1164" t="s">
        <v>10338</v>
      </c>
    </row>
    <row r="1165" spans="1:4" x14ac:dyDescent="0.25">
      <c r="A1165" t="s">
        <v>335</v>
      </c>
      <c r="B1165">
        <v>-1</v>
      </c>
      <c r="C1165" t="s">
        <v>10338</v>
      </c>
      <c r="D1165" s="5">
        <v>-167.45</v>
      </c>
    </row>
    <row r="1166" spans="1:4" x14ac:dyDescent="0.25">
      <c r="A1166" t="s">
        <v>3716</v>
      </c>
      <c r="B1166">
        <v>-1</v>
      </c>
      <c r="C1166" t="s">
        <v>10335</v>
      </c>
      <c r="D1166" s="5">
        <v>-11.96</v>
      </c>
    </row>
    <row r="1167" spans="1:4" x14ac:dyDescent="0.25">
      <c r="A1167" t="s">
        <v>5075</v>
      </c>
      <c r="B1167">
        <v>-1</v>
      </c>
      <c r="C1167" t="s">
        <v>10339</v>
      </c>
      <c r="D1167" s="5">
        <v>3746.52</v>
      </c>
    </row>
    <row r="1168" spans="1:4" x14ac:dyDescent="0.25">
      <c r="A1168" t="s">
        <v>6886</v>
      </c>
      <c r="B1168">
        <v>-1</v>
      </c>
      <c r="C1168" t="s">
        <v>10338</v>
      </c>
      <c r="D1168" s="5">
        <v>51.47</v>
      </c>
    </row>
    <row r="1169" spans="1:4" x14ac:dyDescent="0.25">
      <c r="A1169" t="s">
        <v>3749</v>
      </c>
      <c r="B1169">
        <v>-1</v>
      </c>
      <c r="C1169" t="s">
        <v>10340</v>
      </c>
      <c r="D1169" s="5">
        <v>-3286.92</v>
      </c>
    </row>
    <row r="1170" spans="1:4" x14ac:dyDescent="0.25">
      <c r="A1170" t="s">
        <v>4098</v>
      </c>
      <c r="B1170">
        <v>-1</v>
      </c>
      <c r="C1170" t="s">
        <v>10338</v>
      </c>
    </row>
    <row r="1171" spans="1:4" x14ac:dyDescent="0.25">
      <c r="A1171" t="s">
        <v>1402</v>
      </c>
      <c r="B1171">
        <v>-1</v>
      </c>
      <c r="C1171" t="s">
        <v>10338</v>
      </c>
      <c r="D1171" s="5">
        <v>3371.8</v>
      </c>
    </row>
    <row r="1172" spans="1:4" x14ac:dyDescent="0.25">
      <c r="A1172" t="s">
        <v>4024</v>
      </c>
      <c r="B1172">
        <v>-1</v>
      </c>
      <c r="C1172" t="s">
        <v>10339</v>
      </c>
      <c r="D1172" s="5">
        <v>1963.06</v>
      </c>
    </row>
    <row r="1173" spans="1:4" x14ac:dyDescent="0.25">
      <c r="A1173" t="s">
        <v>4237</v>
      </c>
      <c r="B1173">
        <v>-1</v>
      </c>
      <c r="C1173" t="s">
        <v>10333</v>
      </c>
      <c r="D1173" s="5">
        <v>-3930.9</v>
      </c>
    </row>
    <row r="1174" spans="1:4" x14ac:dyDescent="0.25">
      <c r="A1174" t="s">
        <v>3666</v>
      </c>
      <c r="B1174">
        <v>-1</v>
      </c>
      <c r="C1174" t="s">
        <v>10333</v>
      </c>
      <c r="D1174" s="5">
        <v>83.7</v>
      </c>
    </row>
    <row r="1175" spans="1:4" x14ac:dyDescent="0.25">
      <c r="A1175" t="s">
        <v>9931</v>
      </c>
      <c r="B1175">
        <v>-1</v>
      </c>
      <c r="C1175" t="s">
        <v>10338</v>
      </c>
      <c r="D1175" s="5">
        <v>208.83</v>
      </c>
    </row>
    <row r="1176" spans="1:4" x14ac:dyDescent="0.25">
      <c r="A1176" t="s">
        <v>4533</v>
      </c>
      <c r="B1176">
        <v>-1</v>
      </c>
      <c r="C1176" t="s">
        <v>10335</v>
      </c>
      <c r="D1176" s="5">
        <v>-2128.1799999999998</v>
      </c>
    </row>
    <row r="1177" spans="1:4" x14ac:dyDescent="0.25">
      <c r="A1177" t="s">
        <v>4685</v>
      </c>
      <c r="B1177">
        <v>-1</v>
      </c>
      <c r="C1177" t="s">
        <v>10334</v>
      </c>
      <c r="D1177" s="5">
        <v>-2947.95</v>
      </c>
    </row>
    <row r="1178" spans="1:4" x14ac:dyDescent="0.25">
      <c r="A1178" t="s">
        <v>9587</v>
      </c>
      <c r="B1178">
        <v>-1</v>
      </c>
      <c r="C1178" t="s">
        <v>10337</v>
      </c>
      <c r="D1178" s="5">
        <v>-1432.01</v>
      </c>
    </row>
    <row r="1179" spans="1:4" x14ac:dyDescent="0.25">
      <c r="A1179" t="s">
        <v>9614</v>
      </c>
      <c r="B1179">
        <v>-1</v>
      </c>
      <c r="C1179" t="s">
        <v>10338</v>
      </c>
      <c r="D1179" s="5">
        <v>479.59</v>
      </c>
    </row>
    <row r="1180" spans="1:4" x14ac:dyDescent="0.25">
      <c r="A1180" t="s">
        <v>8953</v>
      </c>
      <c r="B1180">
        <v>-1</v>
      </c>
      <c r="C1180" t="s">
        <v>10338</v>
      </c>
      <c r="D1180" s="5">
        <v>16.87</v>
      </c>
    </row>
    <row r="1181" spans="1:4" x14ac:dyDescent="0.25">
      <c r="A1181" t="s">
        <v>5310</v>
      </c>
      <c r="B1181">
        <v>-1</v>
      </c>
      <c r="C1181" t="s">
        <v>10339</v>
      </c>
      <c r="D1181" s="5">
        <v>-237.78</v>
      </c>
    </row>
    <row r="1182" spans="1:4" x14ac:dyDescent="0.25">
      <c r="A1182" t="s">
        <v>5715</v>
      </c>
      <c r="B1182">
        <v>-1</v>
      </c>
      <c r="C1182" t="s">
        <v>10338</v>
      </c>
      <c r="D1182" s="5">
        <v>192.51</v>
      </c>
    </row>
    <row r="1183" spans="1:4" x14ac:dyDescent="0.25">
      <c r="A1183" t="s">
        <v>9443</v>
      </c>
      <c r="B1183">
        <v>-1</v>
      </c>
      <c r="C1183" t="s">
        <v>10338</v>
      </c>
      <c r="D1183" s="5">
        <v>1207.07</v>
      </c>
    </row>
    <row r="1184" spans="1:4" x14ac:dyDescent="0.25">
      <c r="A1184" t="s">
        <v>4592</v>
      </c>
      <c r="B1184">
        <v>-1</v>
      </c>
      <c r="C1184" t="s">
        <v>10338</v>
      </c>
    </row>
    <row r="1185" spans="1:4" x14ac:dyDescent="0.25">
      <c r="A1185" t="s">
        <v>6822</v>
      </c>
      <c r="B1185">
        <v>-1</v>
      </c>
      <c r="C1185" t="s">
        <v>10338</v>
      </c>
      <c r="D1185" s="5">
        <v>1274.8</v>
      </c>
    </row>
    <row r="1186" spans="1:4" x14ac:dyDescent="0.25">
      <c r="A1186" t="s">
        <v>10044</v>
      </c>
      <c r="B1186">
        <v>-1</v>
      </c>
      <c r="C1186" t="s">
        <v>10338</v>
      </c>
      <c r="D1186" s="5">
        <v>266.3</v>
      </c>
    </row>
    <row r="1187" spans="1:4" x14ac:dyDescent="0.25">
      <c r="A1187" t="s">
        <v>8290</v>
      </c>
      <c r="B1187">
        <v>-1</v>
      </c>
      <c r="C1187" t="s">
        <v>10340</v>
      </c>
      <c r="D1187" s="5">
        <v>-1761.92</v>
      </c>
    </row>
    <row r="1188" spans="1:4" x14ac:dyDescent="0.25">
      <c r="A1188" t="s">
        <v>9414</v>
      </c>
      <c r="B1188">
        <v>-1</v>
      </c>
      <c r="C1188" t="s">
        <v>10334</v>
      </c>
      <c r="D1188" s="5">
        <v>961.32</v>
      </c>
    </row>
    <row r="1189" spans="1:4" x14ac:dyDescent="0.25">
      <c r="A1189" t="s">
        <v>6532</v>
      </c>
      <c r="B1189">
        <v>-1</v>
      </c>
      <c r="C1189" t="s">
        <v>10335</v>
      </c>
      <c r="D1189" s="5">
        <v>-2019.61</v>
      </c>
    </row>
    <row r="1190" spans="1:4" x14ac:dyDescent="0.25">
      <c r="A1190" t="s">
        <v>6254</v>
      </c>
      <c r="B1190">
        <v>-1</v>
      </c>
      <c r="C1190" t="s">
        <v>10338</v>
      </c>
      <c r="D1190" s="5">
        <v>2854.45</v>
      </c>
    </row>
    <row r="1191" spans="1:4" x14ac:dyDescent="0.25">
      <c r="A1191" t="s">
        <v>9818</v>
      </c>
      <c r="B1191">
        <v>-1</v>
      </c>
      <c r="C1191" t="s">
        <v>10338</v>
      </c>
      <c r="D1191" s="5">
        <v>1249.95</v>
      </c>
    </row>
    <row r="1192" spans="1:4" x14ac:dyDescent="0.25">
      <c r="A1192" t="s">
        <v>9994</v>
      </c>
      <c r="B1192">
        <v>-1</v>
      </c>
      <c r="C1192" t="s">
        <v>10339</v>
      </c>
      <c r="D1192" s="5">
        <v>660.53</v>
      </c>
    </row>
    <row r="1193" spans="1:4" x14ac:dyDescent="0.25">
      <c r="A1193" t="s">
        <v>890</v>
      </c>
      <c r="B1193">
        <v>-1</v>
      </c>
      <c r="C1193" t="s">
        <v>10338</v>
      </c>
      <c r="D1193" s="5">
        <v>1691.17</v>
      </c>
    </row>
    <row r="1194" spans="1:4" x14ac:dyDescent="0.25">
      <c r="A1194" t="s">
        <v>9223</v>
      </c>
      <c r="B1194">
        <v>-1</v>
      </c>
      <c r="C1194" t="s">
        <v>10338</v>
      </c>
      <c r="D1194" s="5">
        <v>2380.29</v>
      </c>
    </row>
    <row r="1195" spans="1:4" x14ac:dyDescent="0.25">
      <c r="A1195" t="s">
        <v>768</v>
      </c>
      <c r="B1195">
        <v>-1</v>
      </c>
      <c r="C1195" t="s">
        <v>10340</v>
      </c>
      <c r="D1195" s="5">
        <v>241.15</v>
      </c>
    </row>
    <row r="1196" spans="1:4" x14ac:dyDescent="0.25">
      <c r="A1196" t="s">
        <v>9288</v>
      </c>
      <c r="B1196">
        <v>-1</v>
      </c>
      <c r="C1196" t="s">
        <v>10338</v>
      </c>
      <c r="D1196" s="5">
        <v>712.8</v>
      </c>
    </row>
    <row r="1197" spans="1:4" x14ac:dyDescent="0.25">
      <c r="A1197" t="s">
        <v>581</v>
      </c>
      <c r="B1197">
        <v>-1</v>
      </c>
      <c r="C1197" t="s">
        <v>10334</v>
      </c>
      <c r="D1197" s="5">
        <v>479.45</v>
      </c>
    </row>
    <row r="1198" spans="1:4" x14ac:dyDescent="0.25">
      <c r="A1198" t="s">
        <v>570</v>
      </c>
      <c r="B1198">
        <v>-1</v>
      </c>
      <c r="C1198" t="s">
        <v>10340</v>
      </c>
      <c r="D1198" s="5">
        <v>1828.38</v>
      </c>
    </row>
    <row r="1199" spans="1:4" x14ac:dyDescent="0.25">
      <c r="A1199" t="s">
        <v>839</v>
      </c>
      <c r="B1199">
        <v>-1</v>
      </c>
      <c r="C1199" t="s">
        <v>10334</v>
      </c>
      <c r="D1199" s="5">
        <v>478.3</v>
      </c>
    </row>
    <row r="1200" spans="1:4" x14ac:dyDescent="0.25">
      <c r="A1200" t="s">
        <v>9620</v>
      </c>
      <c r="B1200">
        <v>-1</v>
      </c>
      <c r="C1200" t="s">
        <v>10337</v>
      </c>
      <c r="D1200" s="5">
        <v>262.22000000000003</v>
      </c>
    </row>
    <row r="1201" spans="1:4" x14ac:dyDescent="0.25">
      <c r="A1201" t="s">
        <v>9337</v>
      </c>
      <c r="B1201">
        <v>-1</v>
      </c>
      <c r="C1201" t="s">
        <v>10341</v>
      </c>
      <c r="D1201" s="5">
        <v>-1661.07</v>
      </c>
    </row>
    <row r="1202" spans="1:4" x14ac:dyDescent="0.25">
      <c r="A1202" t="s">
        <v>9151</v>
      </c>
      <c r="B1202">
        <v>-1</v>
      </c>
      <c r="C1202" t="s">
        <v>10335</v>
      </c>
      <c r="D1202" s="5">
        <v>3456.55</v>
      </c>
    </row>
    <row r="1203" spans="1:4" x14ac:dyDescent="0.25">
      <c r="A1203" t="s">
        <v>5090</v>
      </c>
      <c r="B1203">
        <v>-1</v>
      </c>
      <c r="C1203" t="s">
        <v>10339</v>
      </c>
      <c r="D1203" s="5">
        <v>653.79</v>
      </c>
    </row>
    <row r="1204" spans="1:4" x14ac:dyDescent="0.25">
      <c r="A1204" t="s">
        <v>10063</v>
      </c>
      <c r="B1204">
        <v>-1</v>
      </c>
      <c r="C1204" t="s">
        <v>10338</v>
      </c>
      <c r="D1204" s="5">
        <v>11119.7</v>
      </c>
    </row>
    <row r="1205" spans="1:4" x14ac:dyDescent="0.25">
      <c r="A1205" t="s">
        <v>7310</v>
      </c>
      <c r="B1205">
        <v>-1</v>
      </c>
      <c r="C1205" t="s">
        <v>10344</v>
      </c>
      <c r="D1205" s="5">
        <v>-90.07</v>
      </c>
    </row>
    <row r="1206" spans="1:4" x14ac:dyDescent="0.25">
      <c r="A1206" t="s">
        <v>8128</v>
      </c>
      <c r="B1206">
        <v>-1</v>
      </c>
      <c r="C1206" t="s">
        <v>10339</v>
      </c>
      <c r="D1206" s="5">
        <v>-367.62</v>
      </c>
    </row>
    <row r="1207" spans="1:4" x14ac:dyDescent="0.25">
      <c r="A1207" t="s">
        <v>8106</v>
      </c>
      <c r="B1207">
        <v>-1</v>
      </c>
      <c r="C1207" t="s">
        <v>10338</v>
      </c>
    </row>
    <row r="1208" spans="1:4" x14ac:dyDescent="0.25">
      <c r="A1208" t="s">
        <v>2939</v>
      </c>
      <c r="B1208">
        <v>-1</v>
      </c>
      <c r="C1208" t="s">
        <v>10340</v>
      </c>
      <c r="D1208" s="5">
        <v>1999.38</v>
      </c>
    </row>
    <row r="1209" spans="1:4" x14ac:dyDescent="0.25">
      <c r="A1209" t="s">
        <v>4897</v>
      </c>
      <c r="B1209">
        <v>-1</v>
      </c>
      <c r="C1209" t="s">
        <v>10333</v>
      </c>
      <c r="D1209" s="5">
        <v>-18876.04</v>
      </c>
    </row>
    <row r="1210" spans="1:4" x14ac:dyDescent="0.25">
      <c r="A1210" t="s">
        <v>7869</v>
      </c>
      <c r="B1210">
        <v>-1</v>
      </c>
      <c r="C1210" t="s">
        <v>10335</v>
      </c>
      <c r="D1210" s="5">
        <v>4489.78</v>
      </c>
    </row>
    <row r="1211" spans="1:4" x14ac:dyDescent="0.25">
      <c r="A1211" t="s">
        <v>3897</v>
      </c>
      <c r="B1211">
        <v>-1</v>
      </c>
      <c r="C1211" t="s">
        <v>10340</v>
      </c>
      <c r="D1211" s="5">
        <v>-1139.23</v>
      </c>
    </row>
    <row r="1212" spans="1:4" x14ac:dyDescent="0.25">
      <c r="A1212" t="s">
        <v>8065</v>
      </c>
      <c r="B1212">
        <v>-1</v>
      </c>
      <c r="C1212" t="s">
        <v>10335</v>
      </c>
      <c r="D1212" s="5">
        <v>-928.09</v>
      </c>
    </row>
    <row r="1213" spans="1:4" x14ac:dyDescent="0.25">
      <c r="A1213" t="s">
        <v>9797</v>
      </c>
      <c r="B1213">
        <v>-1</v>
      </c>
      <c r="C1213" t="s">
        <v>10344</v>
      </c>
      <c r="D1213" s="5">
        <v>1289.6400000000001</v>
      </c>
    </row>
    <row r="1214" spans="1:4" x14ac:dyDescent="0.25">
      <c r="A1214" t="s">
        <v>8830</v>
      </c>
      <c r="B1214">
        <v>-1</v>
      </c>
      <c r="C1214" t="s">
        <v>10342</v>
      </c>
      <c r="D1214" s="5">
        <v>1216.53</v>
      </c>
    </row>
    <row r="1215" spans="1:4" x14ac:dyDescent="0.25">
      <c r="A1215" t="s">
        <v>2170</v>
      </c>
      <c r="B1215">
        <v>-1</v>
      </c>
      <c r="C1215" t="s">
        <v>10337</v>
      </c>
      <c r="D1215" s="5">
        <v>10646.17</v>
      </c>
    </row>
    <row r="1216" spans="1:4" x14ac:dyDescent="0.25">
      <c r="A1216" t="s">
        <v>1342</v>
      </c>
      <c r="B1216">
        <v>-1</v>
      </c>
      <c r="C1216" t="s">
        <v>10340</v>
      </c>
      <c r="D1216" s="5">
        <v>2515.1799999999998</v>
      </c>
    </row>
    <row r="1217" spans="1:4" x14ac:dyDescent="0.25">
      <c r="A1217" t="s">
        <v>2127</v>
      </c>
      <c r="B1217">
        <v>-1</v>
      </c>
      <c r="C1217" t="s">
        <v>10335</v>
      </c>
      <c r="D1217" s="5">
        <v>-3314.43</v>
      </c>
    </row>
    <row r="1218" spans="1:4" x14ac:dyDescent="0.25">
      <c r="A1218" t="s">
        <v>3077</v>
      </c>
      <c r="B1218">
        <v>-1</v>
      </c>
      <c r="C1218" t="s">
        <v>10333</v>
      </c>
      <c r="D1218" s="5">
        <v>-408.6</v>
      </c>
    </row>
    <row r="1219" spans="1:4" x14ac:dyDescent="0.25">
      <c r="A1219" t="s">
        <v>471</v>
      </c>
      <c r="B1219">
        <v>-1</v>
      </c>
      <c r="C1219" t="s">
        <v>10338</v>
      </c>
      <c r="D1219" s="5">
        <v>2989.14</v>
      </c>
    </row>
    <row r="1220" spans="1:4" x14ac:dyDescent="0.25">
      <c r="A1220" t="s">
        <v>7771</v>
      </c>
      <c r="B1220">
        <v>-1</v>
      </c>
      <c r="C1220" t="s">
        <v>10338</v>
      </c>
      <c r="D1220" s="5">
        <v>10731.34</v>
      </c>
    </row>
    <row r="1221" spans="1:4" x14ac:dyDescent="0.25">
      <c r="A1221" t="s">
        <v>8780</v>
      </c>
      <c r="B1221">
        <v>-1</v>
      </c>
      <c r="C1221" t="s">
        <v>10337</v>
      </c>
      <c r="D1221" s="5">
        <v>-653.07000000000005</v>
      </c>
    </row>
    <row r="1222" spans="1:4" x14ac:dyDescent="0.25">
      <c r="A1222" t="s">
        <v>2322</v>
      </c>
      <c r="B1222">
        <v>-1</v>
      </c>
      <c r="C1222" t="s">
        <v>10337</v>
      </c>
      <c r="D1222" s="5">
        <v>3947.47</v>
      </c>
    </row>
    <row r="1223" spans="1:4" x14ac:dyDescent="0.25">
      <c r="A1223" t="s">
        <v>4990</v>
      </c>
      <c r="B1223">
        <v>-1</v>
      </c>
      <c r="C1223" t="s">
        <v>10341</v>
      </c>
      <c r="D1223" s="5">
        <v>-409.96</v>
      </c>
    </row>
    <row r="1224" spans="1:4" x14ac:dyDescent="0.25">
      <c r="A1224" t="s">
        <v>4145</v>
      </c>
      <c r="B1224">
        <v>-1</v>
      </c>
      <c r="C1224" t="s">
        <v>10334</v>
      </c>
      <c r="D1224" s="5">
        <v>-12222.98</v>
      </c>
    </row>
    <row r="1225" spans="1:4" x14ac:dyDescent="0.25">
      <c r="A1225" t="s">
        <v>507</v>
      </c>
      <c r="B1225">
        <v>-1</v>
      </c>
      <c r="C1225" t="s">
        <v>10334</v>
      </c>
      <c r="D1225" s="5">
        <v>-1045.82</v>
      </c>
    </row>
    <row r="1226" spans="1:4" x14ac:dyDescent="0.25">
      <c r="A1226" t="s">
        <v>142</v>
      </c>
      <c r="B1226">
        <v>-1</v>
      </c>
      <c r="C1226" t="s">
        <v>10338</v>
      </c>
      <c r="D1226" s="5">
        <v>13688.55</v>
      </c>
    </row>
    <row r="1227" spans="1:4" x14ac:dyDescent="0.25">
      <c r="A1227" t="s">
        <v>6011</v>
      </c>
      <c r="B1227">
        <v>-1</v>
      </c>
      <c r="C1227" t="s">
        <v>10335</v>
      </c>
      <c r="D1227" s="5">
        <v>2753.16</v>
      </c>
    </row>
    <row r="1228" spans="1:4" x14ac:dyDescent="0.25">
      <c r="A1228" t="s">
        <v>7232</v>
      </c>
      <c r="B1228">
        <v>-1</v>
      </c>
      <c r="C1228" t="s">
        <v>10338</v>
      </c>
      <c r="D1228" s="5">
        <v>-168.6</v>
      </c>
    </row>
    <row r="1229" spans="1:4" x14ac:dyDescent="0.25">
      <c r="A1229" t="s">
        <v>7742</v>
      </c>
      <c r="B1229">
        <v>-1</v>
      </c>
      <c r="C1229" t="s">
        <v>10338</v>
      </c>
      <c r="D1229" s="5">
        <v>3424.07</v>
      </c>
    </row>
    <row r="1230" spans="1:4" x14ac:dyDescent="0.25">
      <c r="A1230" t="s">
        <v>8496</v>
      </c>
      <c r="B1230">
        <v>-1</v>
      </c>
      <c r="C1230" t="s">
        <v>10342</v>
      </c>
      <c r="D1230" s="5">
        <v>1517.6</v>
      </c>
    </row>
    <row r="1231" spans="1:4" x14ac:dyDescent="0.25">
      <c r="A1231" t="s">
        <v>8519</v>
      </c>
      <c r="B1231">
        <v>-1</v>
      </c>
      <c r="C1231" t="s">
        <v>10342</v>
      </c>
      <c r="D1231" s="5">
        <v>1703.82</v>
      </c>
    </row>
    <row r="1232" spans="1:4" x14ac:dyDescent="0.25">
      <c r="A1232" t="s">
        <v>8681</v>
      </c>
      <c r="B1232">
        <v>-1</v>
      </c>
      <c r="C1232" t="s">
        <v>10342</v>
      </c>
      <c r="D1232" s="5">
        <v>2800.58</v>
      </c>
    </row>
    <row r="1233" spans="1:4" x14ac:dyDescent="0.25">
      <c r="A1233" t="s">
        <v>4978</v>
      </c>
      <c r="B1233">
        <v>-1</v>
      </c>
      <c r="C1233" t="s">
        <v>10338</v>
      </c>
      <c r="D1233" s="5">
        <v>403.47</v>
      </c>
    </row>
    <row r="1234" spans="1:4" x14ac:dyDescent="0.25">
      <c r="A1234" t="s">
        <v>6551</v>
      </c>
      <c r="B1234">
        <v>-1</v>
      </c>
      <c r="C1234" t="s">
        <v>10338</v>
      </c>
      <c r="D1234" s="5">
        <v>13.51</v>
      </c>
    </row>
    <row r="1235" spans="1:4" x14ac:dyDescent="0.25">
      <c r="A1235" t="s">
        <v>6154</v>
      </c>
      <c r="B1235">
        <v>-1</v>
      </c>
      <c r="C1235" t="s">
        <v>10342</v>
      </c>
      <c r="D1235" s="5">
        <v>203.38</v>
      </c>
    </row>
    <row r="1236" spans="1:4" x14ac:dyDescent="0.25">
      <c r="A1236" t="s">
        <v>4865</v>
      </c>
      <c r="B1236">
        <v>-1</v>
      </c>
      <c r="C1236" t="s">
        <v>10337</v>
      </c>
      <c r="D1236" s="5">
        <v>-129.21</v>
      </c>
    </row>
    <row r="1237" spans="1:4" x14ac:dyDescent="0.25">
      <c r="A1237" t="s">
        <v>1776</v>
      </c>
      <c r="B1237">
        <v>-1</v>
      </c>
      <c r="C1237" t="s">
        <v>10333</v>
      </c>
      <c r="D1237" s="5">
        <v>-2474.67</v>
      </c>
    </row>
    <row r="1238" spans="1:4" x14ac:dyDescent="0.25">
      <c r="A1238" t="s">
        <v>8385</v>
      </c>
      <c r="B1238">
        <v>-1</v>
      </c>
      <c r="C1238" t="s">
        <v>10340</v>
      </c>
      <c r="D1238" s="5">
        <v>4234.38</v>
      </c>
    </row>
    <row r="1239" spans="1:4" x14ac:dyDescent="0.25">
      <c r="A1239" t="s">
        <v>6327</v>
      </c>
      <c r="B1239">
        <v>-1</v>
      </c>
      <c r="C1239" t="s">
        <v>10334</v>
      </c>
      <c r="D1239" s="5">
        <v>535.41</v>
      </c>
    </row>
    <row r="1240" spans="1:4" x14ac:dyDescent="0.25">
      <c r="A1240" t="s">
        <v>6383</v>
      </c>
      <c r="B1240">
        <v>-1</v>
      </c>
      <c r="C1240" t="s">
        <v>10335</v>
      </c>
      <c r="D1240" s="5">
        <v>-1722.75</v>
      </c>
    </row>
    <row r="1241" spans="1:4" x14ac:dyDescent="0.25">
      <c r="A1241" t="s">
        <v>9506</v>
      </c>
      <c r="B1241">
        <v>-1</v>
      </c>
      <c r="C1241" t="s">
        <v>10344</v>
      </c>
      <c r="D1241" s="5">
        <v>-602.30999999999995</v>
      </c>
    </row>
    <row r="1242" spans="1:4" x14ac:dyDescent="0.25">
      <c r="A1242" t="s">
        <v>2745</v>
      </c>
      <c r="B1242">
        <v>-1</v>
      </c>
      <c r="C1242" t="s">
        <v>10335</v>
      </c>
      <c r="D1242" s="5">
        <v>-201.29</v>
      </c>
    </row>
    <row r="1243" spans="1:4" x14ac:dyDescent="0.25">
      <c r="A1243" t="s">
        <v>9250</v>
      </c>
      <c r="B1243">
        <v>-1</v>
      </c>
      <c r="C1243" t="s">
        <v>10338</v>
      </c>
      <c r="D1243" s="5">
        <v>3154.89</v>
      </c>
    </row>
    <row r="1244" spans="1:4" x14ac:dyDescent="0.25">
      <c r="A1244" t="s">
        <v>9082</v>
      </c>
      <c r="B1244">
        <v>-1</v>
      </c>
      <c r="C1244" t="s">
        <v>10338</v>
      </c>
      <c r="D1244" s="5">
        <v>3600.87</v>
      </c>
    </row>
    <row r="1245" spans="1:4" x14ac:dyDescent="0.25">
      <c r="A1245" t="s">
        <v>683</v>
      </c>
      <c r="B1245">
        <v>-1</v>
      </c>
      <c r="C1245" t="s">
        <v>10338</v>
      </c>
    </row>
    <row r="1246" spans="1:4" x14ac:dyDescent="0.25">
      <c r="A1246" t="s">
        <v>575</v>
      </c>
      <c r="B1246">
        <v>-1</v>
      </c>
      <c r="C1246" t="s">
        <v>10344</v>
      </c>
      <c r="D1246" s="5">
        <v>0.05</v>
      </c>
    </row>
    <row r="1247" spans="1:4" x14ac:dyDescent="0.25">
      <c r="A1247" t="s">
        <v>1877</v>
      </c>
      <c r="B1247">
        <v>-1</v>
      </c>
      <c r="C1247" t="s">
        <v>10341</v>
      </c>
      <c r="D1247" s="5">
        <v>411.36</v>
      </c>
    </row>
    <row r="1248" spans="1:4" x14ac:dyDescent="0.25">
      <c r="A1248" t="s">
        <v>3564</v>
      </c>
      <c r="B1248">
        <v>-1</v>
      </c>
      <c r="C1248" t="s">
        <v>10340</v>
      </c>
      <c r="D1248" s="5">
        <v>-1508.43</v>
      </c>
    </row>
    <row r="1249" spans="1:4" x14ac:dyDescent="0.25">
      <c r="A1249" t="s">
        <v>300</v>
      </c>
      <c r="B1249">
        <v>-1</v>
      </c>
      <c r="C1249" t="s">
        <v>10335</v>
      </c>
      <c r="D1249" s="5">
        <v>5839.3</v>
      </c>
    </row>
    <row r="1250" spans="1:4" x14ac:dyDescent="0.25">
      <c r="A1250" t="s">
        <v>186</v>
      </c>
      <c r="B1250">
        <v>-1</v>
      </c>
      <c r="C1250" t="s">
        <v>10341</v>
      </c>
      <c r="D1250" s="5">
        <v>384.85</v>
      </c>
    </row>
    <row r="1251" spans="1:4" x14ac:dyDescent="0.25">
      <c r="A1251" t="s">
        <v>10113</v>
      </c>
      <c r="B1251">
        <v>-1</v>
      </c>
      <c r="C1251" t="s">
        <v>10335</v>
      </c>
      <c r="D1251" s="5">
        <v>1297.95</v>
      </c>
    </row>
    <row r="1252" spans="1:4" x14ac:dyDescent="0.25">
      <c r="A1252" t="s">
        <v>10117</v>
      </c>
      <c r="B1252">
        <v>-1</v>
      </c>
      <c r="C1252" t="s">
        <v>10336</v>
      </c>
      <c r="D1252" s="5">
        <v>-720.24</v>
      </c>
    </row>
    <row r="1253" spans="1:4" x14ac:dyDescent="0.25">
      <c r="A1253" t="s">
        <v>1048</v>
      </c>
      <c r="B1253">
        <v>-1</v>
      </c>
      <c r="C1253" t="s">
        <v>10338</v>
      </c>
      <c r="D1253" s="5">
        <v>1554.31</v>
      </c>
    </row>
    <row r="1254" spans="1:4" x14ac:dyDescent="0.25">
      <c r="A1254" t="s">
        <v>482</v>
      </c>
      <c r="B1254">
        <v>-1</v>
      </c>
      <c r="C1254" t="s">
        <v>10338</v>
      </c>
      <c r="D1254" s="5">
        <v>-11.55</v>
      </c>
    </row>
    <row r="1255" spans="1:4" x14ac:dyDescent="0.25">
      <c r="A1255" t="s">
        <v>7361</v>
      </c>
      <c r="B1255">
        <v>-1</v>
      </c>
      <c r="C1255" t="s">
        <v>10338</v>
      </c>
      <c r="D1255" s="5">
        <v>553.24</v>
      </c>
    </row>
    <row r="1256" spans="1:4" x14ac:dyDescent="0.25">
      <c r="A1256" t="s">
        <v>415</v>
      </c>
      <c r="B1256">
        <v>-1</v>
      </c>
      <c r="C1256" t="s">
        <v>10339</v>
      </c>
      <c r="D1256" s="5">
        <v>-1376.17</v>
      </c>
    </row>
    <row r="1257" spans="1:4" x14ac:dyDescent="0.25">
      <c r="A1257" t="s">
        <v>5513</v>
      </c>
      <c r="B1257">
        <v>-1</v>
      </c>
      <c r="C1257" t="s">
        <v>10338</v>
      </c>
      <c r="D1257" s="5">
        <v>2301.4499999999998</v>
      </c>
    </row>
    <row r="1258" spans="1:4" x14ac:dyDescent="0.25">
      <c r="A1258" t="s">
        <v>5338</v>
      </c>
      <c r="B1258">
        <v>-1</v>
      </c>
      <c r="C1258" t="s">
        <v>10333</v>
      </c>
      <c r="D1258" s="5">
        <v>-3084.38</v>
      </c>
    </row>
    <row r="1259" spans="1:4" x14ac:dyDescent="0.25">
      <c r="A1259" t="s">
        <v>5546</v>
      </c>
      <c r="B1259">
        <v>-1</v>
      </c>
      <c r="C1259" t="s">
        <v>10333</v>
      </c>
      <c r="D1259" s="5">
        <v>-19609.73</v>
      </c>
    </row>
    <row r="1260" spans="1:4" x14ac:dyDescent="0.25">
      <c r="A1260" t="s">
        <v>5551</v>
      </c>
      <c r="B1260">
        <v>-1</v>
      </c>
      <c r="C1260" t="s">
        <v>10338</v>
      </c>
      <c r="D1260" s="5">
        <v>3338.68</v>
      </c>
    </row>
    <row r="1261" spans="1:4" x14ac:dyDescent="0.25">
      <c r="A1261" t="s">
        <v>6025</v>
      </c>
      <c r="B1261">
        <v>-1</v>
      </c>
      <c r="C1261" t="s">
        <v>10333</v>
      </c>
      <c r="D1261" s="5">
        <v>1026.81</v>
      </c>
    </row>
    <row r="1262" spans="1:4" x14ac:dyDescent="0.25">
      <c r="A1262" t="s">
        <v>6022</v>
      </c>
      <c r="B1262">
        <v>-1</v>
      </c>
      <c r="C1262" t="s">
        <v>10333</v>
      </c>
      <c r="D1262" s="5">
        <v>448.35</v>
      </c>
    </row>
    <row r="1263" spans="1:4" x14ac:dyDescent="0.25">
      <c r="A1263" t="s">
        <v>407</v>
      </c>
      <c r="B1263">
        <v>-1</v>
      </c>
      <c r="C1263" t="s">
        <v>10333</v>
      </c>
      <c r="D1263" s="5">
        <v>1958.74</v>
      </c>
    </row>
    <row r="1264" spans="1:4" x14ac:dyDescent="0.25">
      <c r="A1264" t="s">
        <v>7913</v>
      </c>
      <c r="B1264">
        <v>-1</v>
      </c>
      <c r="C1264" t="s">
        <v>10344</v>
      </c>
      <c r="D1264" s="5">
        <v>2313.48</v>
      </c>
    </row>
    <row r="1265" spans="1:4" x14ac:dyDescent="0.25">
      <c r="A1265" t="s">
        <v>7555</v>
      </c>
      <c r="B1265">
        <v>-1</v>
      </c>
      <c r="C1265" t="s">
        <v>10334</v>
      </c>
      <c r="D1265" s="5">
        <v>-2200.19</v>
      </c>
    </row>
    <row r="1266" spans="1:4" x14ac:dyDescent="0.25">
      <c r="A1266" t="s">
        <v>7494</v>
      </c>
      <c r="B1266">
        <v>-1</v>
      </c>
      <c r="C1266" t="s">
        <v>10339</v>
      </c>
      <c r="D1266" s="5">
        <v>1059.42</v>
      </c>
    </row>
    <row r="1267" spans="1:4" x14ac:dyDescent="0.25">
      <c r="A1267" t="s">
        <v>8562</v>
      </c>
      <c r="B1267">
        <v>-1</v>
      </c>
      <c r="C1267" t="s">
        <v>10338</v>
      </c>
      <c r="D1267" s="5">
        <v>3907.89</v>
      </c>
    </row>
    <row r="1268" spans="1:4" x14ac:dyDescent="0.25">
      <c r="A1268" t="s">
        <v>8542</v>
      </c>
      <c r="B1268">
        <v>-1</v>
      </c>
      <c r="C1268" t="s">
        <v>10338</v>
      </c>
      <c r="D1268" s="5">
        <v>298.20999999999998</v>
      </c>
    </row>
    <row r="1269" spans="1:4" x14ac:dyDescent="0.25">
      <c r="A1269" t="s">
        <v>8603</v>
      </c>
      <c r="B1269">
        <v>-1</v>
      </c>
      <c r="C1269" t="s">
        <v>10342</v>
      </c>
      <c r="D1269" s="5">
        <v>3215.5</v>
      </c>
    </row>
    <row r="1270" spans="1:4" x14ac:dyDescent="0.25">
      <c r="A1270" t="s">
        <v>8691</v>
      </c>
      <c r="B1270">
        <v>-1</v>
      </c>
      <c r="C1270" t="s">
        <v>10338</v>
      </c>
      <c r="D1270" s="5">
        <v>-4130.87</v>
      </c>
    </row>
    <row r="1271" spans="1:4" x14ac:dyDescent="0.25">
      <c r="A1271" t="s">
        <v>8098</v>
      </c>
      <c r="B1271">
        <v>-1</v>
      </c>
      <c r="C1271" t="s">
        <v>10338</v>
      </c>
      <c r="D1271" s="5">
        <v>3793.05</v>
      </c>
    </row>
    <row r="1272" spans="1:4" x14ac:dyDescent="0.25">
      <c r="A1272" t="s">
        <v>6565</v>
      </c>
      <c r="B1272">
        <v>-1</v>
      </c>
      <c r="C1272" t="s">
        <v>10337</v>
      </c>
    </row>
    <row r="1273" spans="1:4" x14ac:dyDescent="0.25">
      <c r="A1273" t="s">
        <v>993</v>
      </c>
      <c r="B1273">
        <v>-1</v>
      </c>
      <c r="C1273" t="s">
        <v>10338</v>
      </c>
      <c r="D1273" s="5">
        <v>1307.1500000000001</v>
      </c>
    </row>
    <row r="1274" spans="1:4" x14ac:dyDescent="0.25">
      <c r="A1274" t="s">
        <v>3661</v>
      </c>
      <c r="B1274">
        <v>-1</v>
      </c>
      <c r="C1274" t="s">
        <v>10344</v>
      </c>
      <c r="D1274" s="5">
        <v>735.56</v>
      </c>
    </row>
    <row r="1275" spans="1:4" x14ac:dyDescent="0.25">
      <c r="A1275" t="s">
        <v>4403</v>
      </c>
      <c r="B1275">
        <v>-1</v>
      </c>
      <c r="C1275" t="s">
        <v>10338</v>
      </c>
      <c r="D1275" s="5">
        <v>3219.72</v>
      </c>
    </row>
    <row r="1276" spans="1:4" x14ac:dyDescent="0.25">
      <c r="A1276" t="s">
        <v>4439</v>
      </c>
      <c r="B1276">
        <v>-1</v>
      </c>
      <c r="C1276" t="s">
        <v>10339</v>
      </c>
      <c r="D1276" s="5">
        <v>101</v>
      </c>
    </row>
    <row r="1277" spans="1:4" x14ac:dyDescent="0.25">
      <c r="A1277" t="s">
        <v>4479</v>
      </c>
      <c r="B1277">
        <v>-1</v>
      </c>
      <c r="C1277" t="s">
        <v>10338</v>
      </c>
      <c r="D1277" s="5">
        <v>3544.57</v>
      </c>
    </row>
    <row r="1278" spans="1:4" x14ac:dyDescent="0.25">
      <c r="A1278" t="s">
        <v>4462</v>
      </c>
      <c r="B1278">
        <v>-1</v>
      </c>
      <c r="C1278" t="s">
        <v>10338</v>
      </c>
      <c r="D1278" s="5">
        <v>1842.75</v>
      </c>
    </row>
    <row r="1279" spans="1:4" x14ac:dyDescent="0.25">
      <c r="A1279" t="s">
        <v>4365</v>
      </c>
      <c r="B1279">
        <v>-1</v>
      </c>
      <c r="C1279" t="s">
        <v>10338</v>
      </c>
      <c r="D1279" s="5">
        <v>2291.9299999999998</v>
      </c>
    </row>
    <row r="1280" spans="1:4" x14ac:dyDescent="0.25">
      <c r="A1280" t="s">
        <v>6744</v>
      </c>
      <c r="B1280">
        <v>-1</v>
      </c>
      <c r="C1280" t="s">
        <v>10337</v>
      </c>
      <c r="D1280" s="5">
        <v>2381.29</v>
      </c>
    </row>
    <row r="1281" spans="1:4" x14ac:dyDescent="0.25">
      <c r="A1281" t="s">
        <v>6717</v>
      </c>
      <c r="B1281">
        <v>-1</v>
      </c>
      <c r="C1281" t="s">
        <v>10338</v>
      </c>
    </row>
    <row r="1282" spans="1:4" x14ac:dyDescent="0.25">
      <c r="A1282" t="s">
        <v>6234</v>
      </c>
      <c r="B1282">
        <v>-1</v>
      </c>
      <c r="C1282" t="s">
        <v>10338</v>
      </c>
      <c r="D1282" s="5">
        <v>1204.26</v>
      </c>
    </row>
    <row r="1283" spans="1:4" x14ac:dyDescent="0.25">
      <c r="A1283" t="s">
        <v>6799</v>
      </c>
      <c r="B1283">
        <v>-1</v>
      </c>
      <c r="C1283" t="s">
        <v>10334</v>
      </c>
      <c r="D1283" s="5">
        <v>1325.94</v>
      </c>
    </row>
    <row r="1284" spans="1:4" x14ac:dyDescent="0.25">
      <c r="A1284" t="s">
        <v>5998</v>
      </c>
      <c r="B1284">
        <v>-1</v>
      </c>
      <c r="C1284" t="s">
        <v>10344</v>
      </c>
      <c r="D1284" s="5">
        <v>-967.45</v>
      </c>
    </row>
    <row r="1285" spans="1:4" x14ac:dyDescent="0.25">
      <c r="A1285" t="s">
        <v>6112</v>
      </c>
      <c r="B1285">
        <v>-1</v>
      </c>
      <c r="C1285" t="s">
        <v>10338</v>
      </c>
      <c r="D1285" s="5">
        <v>-1453.89</v>
      </c>
    </row>
    <row r="1286" spans="1:4" x14ac:dyDescent="0.25">
      <c r="A1286" t="s">
        <v>4672</v>
      </c>
      <c r="B1286">
        <v>-1</v>
      </c>
      <c r="C1286" t="s">
        <v>10338</v>
      </c>
      <c r="D1286" s="5">
        <v>-23.48</v>
      </c>
    </row>
    <row r="1287" spans="1:4" x14ac:dyDescent="0.25">
      <c r="A1287" t="s">
        <v>6161</v>
      </c>
      <c r="B1287">
        <v>-1</v>
      </c>
      <c r="C1287" t="s">
        <v>10337</v>
      </c>
      <c r="D1287" s="5">
        <v>458.83</v>
      </c>
    </row>
    <row r="1288" spans="1:4" x14ac:dyDescent="0.25">
      <c r="A1288" t="s">
        <v>9943</v>
      </c>
      <c r="B1288">
        <v>-1</v>
      </c>
      <c r="C1288" t="s">
        <v>10337</v>
      </c>
      <c r="D1288" s="5">
        <v>996.75</v>
      </c>
    </row>
    <row r="1289" spans="1:4" x14ac:dyDescent="0.25">
      <c r="A1289" t="s">
        <v>9630</v>
      </c>
      <c r="B1289">
        <v>-1</v>
      </c>
      <c r="C1289" t="s">
        <v>10338</v>
      </c>
      <c r="D1289" s="5">
        <v>1013.93</v>
      </c>
    </row>
    <row r="1290" spans="1:4" x14ac:dyDescent="0.25">
      <c r="A1290" t="s">
        <v>9948</v>
      </c>
      <c r="B1290">
        <v>-1</v>
      </c>
      <c r="C1290" t="s">
        <v>10338</v>
      </c>
      <c r="D1290" s="5">
        <v>350.31</v>
      </c>
    </row>
    <row r="1291" spans="1:4" x14ac:dyDescent="0.25">
      <c r="A1291" t="s">
        <v>6677</v>
      </c>
      <c r="B1291">
        <v>-1</v>
      </c>
      <c r="C1291" t="s">
        <v>10338</v>
      </c>
    </row>
    <row r="1292" spans="1:4" x14ac:dyDescent="0.25">
      <c r="A1292" t="s">
        <v>5950</v>
      </c>
      <c r="B1292">
        <v>-1</v>
      </c>
      <c r="C1292" t="s">
        <v>10338</v>
      </c>
      <c r="D1292" s="5">
        <v>695.97</v>
      </c>
    </row>
    <row r="1293" spans="1:4" x14ac:dyDescent="0.25">
      <c r="A1293" t="s">
        <v>6481</v>
      </c>
      <c r="B1293">
        <v>-1</v>
      </c>
      <c r="C1293" t="s">
        <v>10338</v>
      </c>
      <c r="D1293" s="5">
        <v>794.38</v>
      </c>
    </row>
    <row r="1294" spans="1:4" x14ac:dyDescent="0.25">
      <c r="A1294" t="s">
        <v>4091</v>
      </c>
      <c r="B1294">
        <v>-1</v>
      </c>
      <c r="C1294" t="s">
        <v>10344</v>
      </c>
      <c r="D1294" s="5">
        <v>80.5</v>
      </c>
    </row>
    <row r="1295" spans="1:4" x14ac:dyDescent="0.25">
      <c r="A1295" t="s">
        <v>1720</v>
      </c>
      <c r="B1295">
        <v>-1</v>
      </c>
      <c r="C1295" t="s">
        <v>10337</v>
      </c>
      <c r="D1295" s="5">
        <v>1733.64</v>
      </c>
    </row>
    <row r="1296" spans="1:4" x14ac:dyDescent="0.25">
      <c r="A1296" t="s">
        <v>1726</v>
      </c>
      <c r="B1296">
        <v>-1</v>
      </c>
      <c r="C1296" t="s">
        <v>10333</v>
      </c>
      <c r="D1296" s="5">
        <v>-233.01</v>
      </c>
    </row>
    <row r="1297" spans="1:4" x14ac:dyDescent="0.25">
      <c r="A1297" t="s">
        <v>1754</v>
      </c>
      <c r="B1297">
        <v>-1</v>
      </c>
      <c r="C1297" t="s">
        <v>10338</v>
      </c>
      <c r="D1297" s="5">
        <v>1650.52</v>
      </c>
    </row>
    <row r="1298" spans="1:4" x14ac:dyDescent="0.25">
      <c r="A1298" t="s">
        <v>1751</v>
      </c>
      <c r="B1298">
        <v>-1</v>
      </c>
      <c r="C1298" t="s">
        <v>10338</v>
      </c>
      <c r="D1298" s="5">
        <v>746</v>
      </c>
    </row>
    <row r="1299" spans="1:4" x14ac:dyDescent="0.25">
      <c r="A1299" t="s">
        <v>1742</v>
      </c>
      <c r="B1299">
        <v>-1</v>
      </c>
      <c r="C1299" t="s">
        <v>10338</v>
      </c>
      <c r="D1299" s="5">
        <v>4454.95</v>
      </c>
    </row>
    <row r="1300" spans="1:4" x14ac:dyDescent="0.25">
      <c r="A1300" t="s">
        <v>4063</v>
      </c>
      <c r="B1300">
        <v>-1</v>
      </c>
      <c r="C1300" t="s">
        <v>10339</v>
      </c>
    </row>
    <row r="1301" spans="1:4" x14ac:dyDescent="0.25">
      <c r="A1301" t="s">
        <v>4051</v>
      </c>
      <c r="B1301">
        <v>-1</v>
      </c>
      <c r="C1301" t="s">
        <v>10338</v>
      </c>
      <c r="D1301" s="5">
        <v>4760.25</v>
      </c>
    </row>
    <row r="1302" spans="1:4" x14ac:dyDescent="0.25">
      <c r="A1302" t="s">
        <v>3966</v>
      </c>
      <c r="B1302">
        <v>-1</v>
      </c>
      <c r="C1302" t="s">
        <v>10337</v>
      </c>
      <c r="D1302" s="5">
        <v>1803.88</v>
      </c>
    </row>
    <row r="1303" spans="1:4" x14ac:dyDescent="0.25">
      <c r="A1303" t="s">
        <v>4217</v>
      </c>
      <c r="B1303">
        <v>-1</v>
      </c>
      <c r="C1303" t="s">
        <v>10333</v>
      </c>
      <c r="D1303" s="5">
        <v>-13804.21</v>
      </c>
    </row>
    <row r="1304" spans="1:4" x14ac:dyDescent="0.25">
      <c r="A1304" t="s">
        <v>4042</v>
      </c>
      <c r="B1304">
        <v>-1</v>
      </c>
      <c r="C1304" t="s">
        <v>10344</v>
      </c>
      <c r="D1304" s="5">
        <v>-359.18</v>
      </c>
    </row>
    <row r="1305" spans="1:4" x14ac:dyDescent="0.25">
      <c r="A1305" t="s">
        <v>4256</v>
      </c>
      <c r="B1305">
        <v>-1</v>
      </c>
      <c r="C1305" t="s">
        <v>10337</v>
      </c>
      <c r="D1305" s="5">
        <v>2063.5700000000002</v>
      </c>
    </row>
    <row r="1306" spans="1:4" x14ac:dyDescent="0.25">
      <c r="A1306" t="s">
        <v>4324</v>
      </c>
      <c r="B1306">
        <v>-1</v>
      </c>
      <c r="C1306" t="s">
        <v>10333</v>
      </c>
      <c r="D1306" s="5">
        <v>-10159.43</v>
      </c>
    </row>
    <row r="1307" spans="1:4" x14ac:dyDescent="0.25">
      <c r="A1307" t="s">
        <v>1646</v>
      </c>
      <c r="B1307">
        <v>-1</v>
      </c>
      <c r="C1307" t="s">
        <v>10344</v>
      </c>
      <c r="D1307" s="5">
        <v>-86.67</v>
      </c>
    </row>
    <row r="1308" spans="1:4" x14ac:dyDescent="0.25">
      <c r="A1308" t="s">
        <v>1695</v>
      </c>
      <c r="B1308">
        <v>-1</v>
      </c>
      <c r="C1308" t="s">
        <v>10340</v>
      </c>
      <c r="D1308" s="5">
        <v>-594.95000000000005</v>
      </c>
    </row>
    <row r="1309" spans="1:4" x14ac:dyDescent="0.25">
      <c r="A1309" t="s">
        <v>372</v>
      </c>
      <c r="B1309">
        <v>-1</v>
      </c>
      <c r="C1309" t="s">
        <v>10333</v>
      </c>
      <c r="D1309" s="5">
        <v>-31522.639999999999</v>
      </c>
    </row>
    <row r="1310" spans="1:4" x14ac:dyDescent="0.25">
      <c r="A1310" t="s">
        <v>1501</v>
      </c>
      <c r="B1310">
        <v>-1</v>
      </c>
      <c r="C1310" t="s">
        <v>10334</v>
      </c>
      <c r="D1310" s="5">
        <v>-3320.22</v>
      </c>
    </row>
    <row r="1311" spans="1:4" x14ac:dyDescent="0.25">
      <c r="A1311" t="s">
        <v>4241</v>
      </c>
      <c r="B1311">
        <v>-1</v>
      </c>
      <c r="C1311" t="s">
        <v>10333</v>
      </c>
      <c r="D1311" s="5">
        <v>-1660.46</v>
      </c>
    </row>
    <row r="1312" spans="1:4" x14ac:dyDescent="0.25">
      <c r="A1312" t="s">
        <v>5377</v>
      </c>
      <c r="B1312">
        <v>-1</v>
      </c>
      <c r="C1312" t="s">
        <v>10338</v>
      </c>
      <c r="D1312" s="5">
        <v>380.19</v>
      </c>
    </row>
    <row r="1313" spans="1:4" x14ac:dyDescent="0.25">
      <c r="A1313" t="s">
        <v>5407</v>
      </c>
      <c r="B1313">
        <v>-1</v>
      </c>
      <c r="C1313" t="s">
        <v>10338</v>
      </c>
      <c r="D1313" s="5">
        <v>768.61</v>
      </c>
    </row>
    <row r="1314" spans="1:4" x14ac:dyDescent="0.25">
      <c r="A1314" t="s">
        <v>1376</v>
      </c>
      <c r="B1314">
        <v>-1</v>
      </c>
      <c r="C1314" t="s">
        <v>10346</v>
      </c>
      <c r="D1314" s="5">
        <v>-1061.27</v>
      </c>
    </row>
    <row r="1315" spans="1:4" x14ac:dyDescent="0.25">
      <c r="A1315" t="s">
        <v>4544</v>
      </c>
      <c r="B1315">
        <v>-1</v>
      </c>
      <c r="C1315" t="s">
        <v>10344</v>
      </c>
      <c r="D1315" s="5">
        <v>-561.38</v>
      </c>
    </row>
    <row r="1316" spans="1:4" x14ac:dyDescent="0.25">
      <c r="A1316" t="s">
        <v>3691</v>
      </c>
      <c r="B1316">
        <v>-1</v>
      </c>
      <c r="C1316" t="s">
        <v>10340</v>
      </c>
      <c r="D1316" s="5">
        <v>-3537.78</v>
      </c>
    </row>
    <row r="1317" spans="1:4" x14ac:dyDescent="0.25">
      <c r="A1317" t="s">
        <v>9601</v>
      </c>
      <c r="B1317">
        <v>-1</v>
      </c>
      <c r="C1317" t="s">
        <v>10338</v>
      </c>
      <c r="D1317" s="5">
        <v>1350.31</v>
      </c>
    </row>
    <row r="1318" spans="1:4" x14ac:dyDescent="0.25">
      <c r="A1318" t="s">
        <v>8906</v>
      </c>
      <c r="B1318">
        <v>-1</v>
      </c>
      <c r="C1318" t="s">
        <v>10338</v>
      </c>
      <c r="D1318" s="5">
        <v>129.69</v>
      </c>
    </row>
    <row r="1319" spans="1:4" x14ac:dyDescent="0.25">
      <c r="A1319" t="s">
        <v>8903</v>
      </c>
      <c r="B1319">
        <v>-1</v>
      </c>
      <c r="C1319" t="s">
        <v>10338</v>
      </c>
      <c r="D1319" s="5">
        <v>-375.85</v>
      </c>
    </row>
    <row r="1320" spans="1:4" x14ac:dyDescent="0.25">
      <c r="A1320" t="s">
        <v>8245</v>
      </c>
      <c r="B1320">
        <v>-1</v>
      </c>
      <c r="C1320" t="s">
        <v>10338</v>
      </c>
      <c r="D1320" s="5">
        <v>2569.3000000000002</v>
      </c>
    </row>
    <row r="1321" spans="1:4" x14ac:dyDescent="0.25">
      <c r="A1321" t="s">
        <v>8898</v>
      </c>
      <c r="B1321">
        <v>-1</v>
      </c>
      <c r="C1321" t="s">
        <v>10340</v>
      </c>
      <c r="D1321" s="5">
        <v>172.39</v>
      </c>
    </row>
    <row r="1322" spans="1:4" x14ac:dyDescent="0.25">
      <c r="A1322" t="s">
        <v>5317</v>
      </c>
      <c r="B1322">
        <v>-1</v>
      </c>
      <c r="C1322" t="s">
        <v>10337</v>
      </c>
      <c r="D1322" s="5">
        <v>-390.83</v>
      </c>
    </row>
    <row r="1323" spans="1:4" x14ac:dyDescent="0.25">
      <c r="A1323" t="s">
        <v>315</v>
      </c>
      <c r="B1323">
        <v>-1</v>
      </c>
      <c r="C1323" t="s">
        <v>10341</v>
      </c>
      <c r="D1323" s="5">
        <v>114.73</v>
      </c>
    </row>
    <row r="1324" spans="1:4" x14ac:dyDescent="0.25">
      <c r="A1324" t="s">
        <v>387</v>
      </c>
      <c r="B1324">
        <v>-1</v>
      </c>
      <c r="C1324" t="s">
        <v>10336</v>
      </c>
      <c r="D1324" s="5">
        <v>-2407</v>
      </c>
    </row>
    <row r="1325" spans="1:4" x14ac:dyDescent="0.25">
      <c r="A1325" t="s">
        <v>402</v>
      </c>
      <c r="B1325">
        <v>-1</v>
      </c>
      <c r="C1325" t="s">
        <v>10342</v>
      </c>
      <c r="D1325" s="5">
        <v>-164.78</v>
      </c>
    </row>
    <row r="1326" spans="1:4" x14ac:dyDescent="0.25">
      <c r="A1326" t="s">
        <v>4627</v>
      </c>
      <c r="B1326">
        <v>-1</v>
      </c>
      <c r="C1326" t="s">
        <v>10338</v>
      </c>
      <c r="D1326" s="5">
        <v>781.84</v>
      </c>
    </row>
    <row r="1327" spans="1:4" x14ac:dyDescent="0.25">
      <c r="A1327" t="s">
        <v>390</v>
      </c>
      <c r="B1327">
        <v>-1</v>
      </c>
      <c r="C1327" t="s">
        <v>10337</v>
      </c>
      <c r="D1327" s="5">
        <v>1114.07</v>
      </c>
    </row>
    <row r="1328" spans="1:4" x14ac:dyDescent="0.25">
      <c r="A1328" t="s">
        <v>393</v>
      </c>
      <c r="B1328">
        <v>-1</v>
      </c>
      <c r="C1328" t="s">
        <v>10338</v>
      </c>
      <c r="D1328" s="5">
        <v>1287.3800000000001</v>
      </c>
    </row>
    <row r="1329" spans="1:4" x14ac:dyDescent="0.25">
      <c r="A1329" t="s">
        <v>1104</v>
      </c>
      <c r="B1329">
        <v>-1</v>
      </c>
      <c r="C1329" t="s">
        <v>10335</v>
      </c>
      <c r="D1329" s="5">
        <v>1089.28</v>
      </c>
    </row>
    <row r="1330" spans="1:4" x14ac:dyDescent="0.25">
      <c r="A1330" t="s">
        <v>4638</v>
      </c>
      <c r="B1330">
        <v>-1</v>
      </c>
      <c r="C1330" t="s">
        <v>10335</v>
      </c>
      <c r="D1330" s="5">
        <v>812.72</v>
      </c>
    </row>
    <row r="1331" spans="1:4" x14ac:dyDescent="0.25">
      <c r="A1331" t="s">
        <v>4601</v>
      </c>
      <c r="B1331">
        <v>-1</v>
      </c>
      <c r="C1331" t="s">
        <v>10335</v>
      </c>
      <c r="D1331" s="5">
        <v>1074.81</v>
      </c>
    </row>
    <row r="1332" spans="1:4" x14ac:dyDescent="0.25">
      <c r="A1332" t="s">
        <v>4605</v>
      </c>
      <c r="B1332">
        <v>-1</v>
      </c>
      <c r="C1332" t="s">
        <v>10340</v>
      </c>
      <c r="D1332" s="5">
        <v>-310.14999999999998</v>
      </c>
    </row>
    <row r="1333" spans="1:4" x14ac:dyDescent="0.25">
      <c r="A1333" t="s">
        <v>3593</v>
      </c>
      <c r="B1333">
        <v>-1</v>
      </c>
      <c r="C1333" t="s">
        <v>10338</v>
      </c>
      <c r="D1333" s="5">
        <v>505.71</v>
      </c>
    </row>
    <row r="1334" spans="1:4" x14ac:dyDescent="0.25">
      <c r="A1334" t="s">
        <v>8884</v>
      </c>
      <c r="B1334">
        <v>-1</v>
      </c>
      <c r="C1334" t="s">
        <v>10337</v>
      </c>
      <c r="D1334" s="5">
        <v>1811.26</v>
      </c>
    </row>
    <row r="1335" spans="1:4" x14ac:dyDescent="0.25">
      <c r="A1335" t="s">
        <v>6380</v>
      </c>
      <c r="B1335">
        <v>-1</v>
      </c>
      <c r="C1335" t="s">
        <v>10335</v>
      </c>
      <c r="D1335" s="5">
        <v>-139.59</v>
      </c>
    </row>
    <row r="1336" spans="1:4" x14ac:dyDescent="0.25">
      <c r="A1336" t="s">
        <v>7151</v>
      </c>
      <c r="B1336">
        <v>-1</v>
      </c>
      <c r="C1336" t="s">
        <v>10338</v>
      </c>
      <c r="D1336" s="5">
        <v>2318.94</v>
      </c>
    </row>
    <row r="1337" spans="1:4" x14ac:dyDescent="0.25">
      <c r="A1337" t="s">
        <v>8418</v>
      </c>
      <c r="B1337">
        <v>-1</v>
      </c>
      <c r="C1337" t="s">
        <v>10340</v>
      </c>
      <c r="D1337" s="5">
        <v>-1427.55</v>
      </c>
    </row>
    <row r="1338" spans="1:4" x14ac:dyDescent="0.25">
      <c r="A1338" t="s">
        <v>9500</v>
      </c>
      <c r="B1338">
        <v>-1</v>
      </c>
      <c r="C1338" t="s">
        <v>10339</v>
      </c>
      <c r="D1338" s="5">
        <v>2987.22</v>
      </c>
    </row>
    <row r="1339" spans="1:4" x14ac:dyDescent="0.25">
      <c r="A1339" t="s">
        <v>4690</v>
      </c>
      <c r="B1339">
        <v>-1</v>
      </c>
      <c r="C1339" t="s">
        <v>10338</v>
      </c>
      <c r="D1339" s="5">
        <v>1539.48</v>
      </c>
    </row>
    <row r="1340" spans="1:4" x14ac:dyDescent="0.25">
      <c r="A1340" t="s">
        <v>4700</v>
      </c>
      <c r="B1340">
        <v>-1</v>
      </c>
      <c r="C1340" t="s">
        <v>10338</v>
      </c>
      <c r="D1340" s="5">
        <v>873.59</v>
      </c>
    </row>
    <row r="1341" spans="1:4" x14ac:dyDescent="0.25">
      <c r="A1341" t="s">
        <v>6537</v>
      </c>
      <c r="B1341">
        <v>-1</v>
      </c>
      <c r="C1341" t="s">
        <v>10338</v>
      </c>
    </row>
    <row r="1342" spans="1:4" x14ac:dyDescent="0.25">
      <c r="A1342" t="s">
        <v>8160</v>
      </c>
      <c r="B1342">
        <v>-1</v>
      </c>
      <c r="C1342" t="s">
        <v>10344</v>
      </c>
      <c r="D1342" s="5">
        <v>-160.65</v>
      </c>
    </row>
    <row r="1343" spans="1:4" x14ac:dyDescent="0.25">
      <c r="A1343" t="s">
        <v>5905</v>
      </c>
      <c r="B1343">
        <v>-1</v>
      </c>
      <c r="C1343" t="s">
        <v>10338</v>
      </c>
      <c r="D1343" s="5">
        <v>0</v>
      </c>
    </row>
    <row r="1344" spans="1:4" x14ac:dyDescent="0.25">
      <c r="A1344" t="s">
        <v>5807</v>
      </c>
      <c r="B1344">
        <v>-1</v>
      </c>
      <c r="C1344" t="s">
        <v>10338</v>
      </c>
      <c r="D1344" s="5">
        <v>3941.93</v>
      </c>
    </row>
    <row r="1345" spans="1:4" x14ac:dyDescent="0.25">
      <c r="A1345" t="s">
        <v>3837</v>
      </c>
      <c r="B1345">
        <v>-1</v>
      </c>
      <c r="C1345" t="s">
        <v>10338</v>
      </c>
    </row>
    <row r="1346" spans="1:4" x14ac:dyDescent="0.25">
      <c r="A1346" t="s">
        <v>5868</v>
      </c>
      <c r="B1346">
        <v>-1</v>
      </c>
      <c r="C1346" t="s">
        <v>10335</v>
      </c>
      <c r="D1346" s="5">
        <v>551.44000000000005</v>
      </c>
    </row>
    <row r="1347" spans="1:4" x14ac:dyDescent="0.25">
      <c r="A1347" t="s">
        <v>5892</v>
      </c>
      <c r="B1347">
        <v>-1</v>
      </c>
      <c r="C1347" t="s">
        <v>10338</v>
      </c>
      <c r="D1347" s="5">
        <v>0</v>
      </c>
    </row>
    <row r="1348" spans="1:4" x14ac:dyDescent="0.25">
      <c r="A1348" t="s">
        <v>8402</v>
      </c>
      <c r="B1348">
        <v>-1</v>
      </c>
      <c r="C1348" t="s">
        <v>10334</v>
      </c>
      <c r="D1348" s="5">
        <v>-377.97</v>
      </c>
    </row>
    <row r="1349" spans="1:4" x14ac:dyDescent="0.25">
      <c r="A1349" t="s">
        <v>8413</v>
      </c>
      <c r="B1349">
        <v>-1</v>
      </c>
      <c r="C1349" t="s">
        <v>10338</v>
      </c>
      <c r="D1349" s="5">
        <v>-1045.3399999999999</v>
      </c>
    </row>
    <row r="1350" spans="1:4" x14ac:dyDescent="0.25">
      <c r="A1350" t="s">
        <v>10262</v>
      </c>
      <c r="B1350">
        <v>-1</v>
      </c>
      <c r="C1350" t="s">
        <v>10339</v>
      </c>
      <c r="D1350" s="5">
        <v>457.39</v>
      </c>
    </row>
    <row r="1351" spans="1:4" x14ac:dyDescent="0.25">
      <c r="A1351" t="s">
        <v>9905</v>
      </c>
      <c r="B1351">
        <v>-1</v>
      </c>
      <c r="C1351" t="s">
        <v>10341</v>
      </c>
      <c r="D1351" s="5">
        <v>603.92999999999995</v>
      </c>
    </row>
    <row r="1352" spans="1:4" x14ac:dyDescent="0.25">
      <c r="A1352" t="s">
        <v>948</v>
      </c>
      <c r="B1352">
        <v>-1</v>
      </c>
      <c r="C1352" t="s">
        <v>10338</v>
      </c>
      <c r="D1352" s="5">
        <v>1855.44</v>
      </c>
    </row>
    <row r="1353" spans="1:4" x14ac:dyDescent="0.25">
      <c r="A1353" t="s">
        <v>921</v>
      </c>
      <c r="B1353">
        <v>-1</v>
      </c>
      <c r="C1353" t="s">
        <v>10337</v>
      </c>
      <c r="D1353" s="5">
        <v>1667.98</v>
      </c>
    </row>
    <row r="1354" spans="1:4" x14ac:dyDescent="0.25">
      <c r="A1354" t="s">
        <v>893</v>
      </c>
      <c r="B1354">
        <v>-1</v>
      </c>
      <c r="C1354" t="s">
        <v>10338</v>
      </c>
      <c r="D1354" s="5">
        <v>303.99</v>
      </c>
    </row>
    <row r="1355" spans="1:4" x14ac:dyDescent="0.25">
      <c r="A1355" t="s">
        <v>924</v>
      </c>
      <c r="B1355">
        <v>-1</v>
      </c>
      <c r="C1355" t="s">
        <v>10334</v>
      </c>
      <c r="D1355" s="5">
        <v>-1765.24</v>
      </c>
    </row>
    <row r="1356" spans="1:4" x14ac:dyDescent="0.25">
      <c r="A1356" t="s">
        <v>9232</v>
      </c>
      <c r="B1356">
        <v>-1</v>
      </c>
      <c r="C1356" t="s">
        <v>10341</v>
      </c>
      <c r="D1356" s="5">
        <v>-2461.13</v>
      </c>
    </row>
    <row r="1357" spans="1:4" x14ac:dyDescent="0.25">
      <c r="A1357" t="s">
        <v>2587</v>
      </c>
      <c r="B1357">
        <v>-1</v>
      </c>
      <c r="C1357" t="s">
        <v>10340</v>
      </c>
      <c r="D1357" s="5">
        <v>-1783.91</v>
      </c>
    </row>
    <row r="1358" spans="1:4" x14ac:dyDescent="0.25">
      <c r="A1358" t="s">
        <v>2436</v>
      </c>
      <c r="B1358">
        <v>-1</v>
      </c>
      <c r="C1358" t="s">
        <v>10335</v>
      </c>
      <c r="D1358" s="5">
        <v>6055.36</v>
      </c>
    </row>
    <row r="1359" spans="1:4" x14ac:dyDescent="0.25">
      <c r="A1359" t="s">
        <v>2450</v>
      </c>
      <c r="B1359">
        <v>-1</v>
      </c>
      <c r="C1359" t="s">
        <v>10338</v>
      </c>
      <c r="D1359" s="5">
        <v>3783.7</v>
      </c>
    </row>
    <row r="1360" spans="1:4" x14ac:dyDescent="0.25">
      <c r="A1360" t="s">
        <v>2925</v>
      </c>
      <c r="B1360">
        <v>-1</v>
      </c>
      <c r="C1360" t="s">
        <v>10340</v>
      </c>
      <c r="D1360" s="5">
        <v>1370.11</v>
      </c>
    </row>
    <row r="1361" spans="1:4" x14ac:dyDescent="0.25">
      <c r="A1361" t="s">
        <v>2905</v>
      </c>
      <c r="B1361">
        <v>-1</v>
      </c>
      <c r="C1361" t="s">
        <v>10344</v>
      </c>
      <c r="D1361" s="5">
        <v>-766.3</v>
      </c>
    </row>
    <row r="1362" spans="1:4" x14ac:dyDescent="0.25">
      <c r="A1362" t="s">
        <v>2909</v>
      </c>
      <c r="B1362">
        <v>-1</v>
      </c>
      <c r="C1362" t="s">
        <v>10339</v>
      </c>
      <c r="D1362" s="5">
        <v>1209.77</v>
      </c>
    </row>
    <row r="1363" spans="1:4" x14ac:dyDescent="0.25">
      <c r="A1363" t="s">
        <v>2594</v>
      </c>
      <c r="B1363">
        <v>-1</v>
      </c>
      <c r="C1363" t="s">
        <v>10340</v>
      </c>
      <c r="D1363" s="5">
        <v>-6742.86</v>
      </c>
    </row>
    <row r="1364" spans="1:4" x14ac:dyDescent="0.25">
      <c r="A1364" t="s">
        <v>2338</v>
      </c>
      <c r="B1364">
        <v>-1</v>
      </c>
      <c r="C1364" t="s">
        <v>10338</v>
      </c>
      <c r="D1364" s="5">
        <v>1226.9000000000001</v>
      </c>
    </row>
    <row r="1365" spans="1:4" x14ac:dyDescent="0.25">
      <c r="A1365" t="s">
        <v>2387</v>
      </c>
      <c r="B1365">
        <v>-1</v>
      </c>
      <c r="C1365" t="s">
        <v>10340</v>
      </c>
      <c r="D1365" s="5">
        <v>-313.14</v>
      </c>
    </row>
    <row r="1366" spans="1:4" x14ac:dyDescent="0.25">
      <c r="A1366" t="s">
        <v>9228</v>
      </c>
      <c r="B1366">
        <v>-1</v>
      </c>
      <c r="C1366" t="s">
        <v>10344</v>
      </c>
      <c r="D1366" s="5">
        <v>81.739999999999995</v>
      </c>
    </row>
    <row r="1367" spans="1:4" x14ac:dyDescent="0.25">
      <c r="A1367" t="s">
        <v>9297</v>
      </c>
      <c r="B1367">
        <v>-1</v>
      </c>
      <c r="C1367" t="s">
        <v>10335</v>
      </c>
      <c r="D1367" s="5">
        <v>1149.44</v>
      </c>
    </row>
    <row r="1368" spans="1:4" x14ac:dyDescent="0.25">
      <c r="A1368" t="s">
        <v>2206</v>
      </c>
      <c r="B1368">
        <v>-1</v>
      </c>
      <c r="C1368" t="s">
        <v>10340</v>
      </c>
      <c r="D1368" s="5">
        <v>2943.91</v>
      </c>
    </row>
    <row r="1369" spans="1:4" x14ac:dyDescent="0.25">
      <c r="A1369" t="s">
        <v>704</v>
      </c>
      <c r="B1369">
        <v>-1</v>
      </c>
      <c r="C1369" t="s">
        <v>10341</v>
      </c>
      <c r="D1369" s="5">
        <v>2878.23</v>
      </c>
    </row>
    <row r="1370" spans="1:4" x14ac:dyDescent="0.25">
      <c r="A1370" t="s">
        <v>762</v>
      </c>
      <c r="B1370">
        <v>-1</v>
      </c>
      <c r="C1370" t="s">
        <v>10340</v>
      </c>
      <c r="D1370" s="5">
        <v>3028.44</v>
      </c>
    </row>
    <row r="1371" spans="1:4" x14ac:dyDescent="0.25">
      <c r="A1371" t="s">
        <v>3179</v>
      </c>
      <c r="B1371">
        <v>-1</v>
      </c>
      <c r="C1371" t="s">
        <v>10344</v>
      </c>
      <c r="D1371" s="5">
        <v>2605.0500000000002</v>
      </c>
    </row>
    <row r="1372" spans="1:4" x14ac:dyDescent="0.25">
      <c r="A1372" t="s">
        <v>3216</v>
      </c>
      <c r="B1372">
        <v>-1</v>
      </c>
      <c r="C1372" t="s">
        <v>10340</v>
      </c>
      <c r="D1372" s="5">
        <v>3824.72</v>
      </c>
    </row>
    <row r="1373" spans="1:4" x14ac:dyDescent="0.25">
      <c r="A1373" t="s">
        <v>9357</v>
      </c>
      <c r="B1373">
        <v>-1</v>
      </c>
      <c r="C1373" t="s">
        <v>10333</v>
      </c>
      <c r="D1373" s="5">
        <v>-4568.5</v>
      </c>
    </row>
    <row r="1374" spans="1:4" x14ac:dyDescent="0.25">
      <c r="A1374" t="s">
        <v>2036</v>
      </c>
      <c r="B1374">
        <v>-1</v>
      </c>
      <c r="C1374" t="s">
        <v>10340</v>
      </c>
      <c r="D1374" s="5">
        <v>-102.9</v>
      </c>
    </row>
    <row r="1375" spans="1:4" x14ac:dyDescent="0.25">
      <c r="A1375" t="s">
        <v>9347</v>
      </c>
      <c r="B1375">
        <v>-1</v>
      </c>
      <c r="C1375" t="s">
        <v>10344</v>
      </c>
      <c r="D1375" s="5">
        <v>190.01</v>
      </c>
    </row>
    <row r="1376" spans="1:4" x14ac:dyDescent="0.25">
      <c r="A1376" t="s">
        <v>9143</v>
      </c>
      <c r="B1376">
        <v>-1</v>
      </c>
      <c r="C1376" t="s">
        <v>10337</v>
      </c>
      <c r="D1376" s="5">
        <v>1131.18</v>
      </c>
    </row>
    <row r="1377" spans="1:4" x14ac:dyDescent="0.25">
      <c r="A1377" t="s">
        <v>1951</v>
      </c>
      <c r="B1377">
        <v>-1</v>
      </c>
      <c r="C1377" t="s">
        <v>10338</v>
      </c>
      <c r="D1377" s="5">
        <v>0</v>
      </c>
    </row>
    <row r="1378" spans="1:4" x14ac:dyDescent="0.25">
      <c r="A1378" t="s">
        <v>9309</v>
      </c>
      <c r="B1378">
        <v>-1</v>
      </c>
      <c r="C1378" t="s">
        <v>10335</v>
      </c>
      <c r="D1378" s="5">
        <v>-5324.69</v>
      </c>
    </row>
    <row r="1379" spans="1:4" x14ac:dyDescent="0.25">
      <c r="A1379" t="s">
        <v>1981</v>
      </c>
      <c r="B1379">
        <v>-1</v>
      </c>
      <c r="C1379" t="s">
        <v>10340</v>
      </c>
      <c r="D1379" s="5">
        <v>1053.06</v>
      </c>
    </row>
    <row r="1380" spans="1:4" x14ac:dyDescent="0.25">
      <c r="A1380" t="s">
        <v>67</v>
      </c>
      <c r="B1380">
        <v>-1</v>
      </c>
      <c r="C1380" t="s">
        <v>10338</v>
      </c>
      <c r="D1380" s="5">
        <v>46814.97</v>
      </c>
    </row>
    <row r="1381" spans="1:4" x14ac:dyDescent="0.25">
      <c r="A1381" t="s">
        <v>3284</v>
      </c>
      <c r="B1381">
        <v>-1</v>
      </c>
      <c r="C1381" t="s">
        <v>10342</v>
      </c>
      <c r="D1381" s="5">
        <v>464.45</v>
      </c>
    </row>
    <row r="1382" spans="1:4" x14ac:dyDescent="0.25">
      <c r="A1382" t="s">
        <v>3335</v>
      </c>
      <c r="B1382">
        <v>-1</v>
      </c>
      <c r="C1382" t="s">
        <v>10338</v>
      </c>
      <c r="D1382" s="5">
        <v>1395.77</v>
      </c>
    </row>
    <row r="1383" spans="1:4" x14ac:dyDescent="0.25">
      <c r="A1383" t="s">
        <v>3254</v>
      </c>
      <c r="B1383">
        <v>-1</v>
      </c>
      <c r="C1383" t="s">
        <v>10338</v>
      </c>
      <c r="D1383" s="5">
        <v>1618.11</v>
      </c>
    </row>
    <row r="1384" spans="1:4" x14ac:dyDescent="0.25">
      <c r="A1384" t="s">
        <v>3410</v>
      </c>
      <c r="B1384">
        <v>-1</v>
      </c>
      <c r="C1384" t="s">
        <v>10338</v>
      </c>
      <c r="D1384" s="5">
        <v>3231.87</v>
      </c>
    </row>
    <row r="1385" spans="1:4" x14ac:dyDescent="0.25">
      <c r="A1385" t="s">
        <v>9201</v>
      </c>
      <c r="B1385">
        <v>-1</v>
      </c>
      <c r="C1385" t="s">
        <v>10337</v>
      </c>
      <c r="D1385" s="5">
        <v>122.43</v>
      </c>
    </row>
    <row r="1386" spans="1:4" x14ac:dyDescent="0.25">
      <c r="A1386" t="s">
        <v>3054</v>
      </c>
      <c r="B1386">
        <v>-1</v>
      </c>
      <c r="C1386" t="s">
        <v>10333</v>
      </c>
      <c r="D1386" s="5">
        <v>-3609.58</v>
      </c>
    </row>
    <row r="1387" spans="1:4" x14ac:dyDescent="0.25">
      <c r="A1387" t="s">
        <v>7057</v>
      </c>
      <c r="B1387">
        <v>-1</v>
      </c>
      <c r="C1387" t="s">
        <v>10340</v>
      </c>
      <c r="D1387" s="5">
        <v>-8140.28</v>
      </c>
    </row>
    <row r="1388" spans="1:4" x14ac:dyDescent="0.25">
      <c r="A1388" t="s">
        <v>6861</v>
      </c>
      <c r="B1388">
        <v>-1</v>
      </c>
      <c r="C1388" t="s">
        <v>10341</v>
      </c>
      <c r="D1388" s="5">
        <v>2211.7199999999998</v>
      </c>
    </row>
    <row r="1389" spans="1:4" x14ac:dyDescent="0.25">
      <c r="A1389" t="s">
        <v>7307</v>
      </c>
      <c r="B1389">
        <v>-1</v>
      </c>
      <c r="C1389" t="s">
        <v>10333</v>
      </c>
      <c r="D1389" s="5">
        <v>-1011.36</v>
      </c>
    </row>
    <row r="1390" spans="1:4" x14ac:dyDescent="0.25">
      <c r="A1390" t="s">
        <v>1061</v>
      </c>
      <c r="B1390">
        <v>-1</v>
      </c>
      <c r="C1390" t="s">
        <v>10337</v>
      </c>
      <c r="D1390" s="5">
        <v>-2411.42</v>
      </c>
    </row>
    <row r="1391" spans="1:4" x14ac:dyDescent="0.25">
      <c r="A1391" t="s">
        <v>5020</v>
      </c>
      <c r="B1391">
        <v>-1</v>
      </c>
      <c r="C1391" t="s">
        <v>10335</v>
      </c>
      <c r="D1391" s="5">
        <v>98.21</v>
      </c>
    </row>
    <row r="1392" spans="1:4" x14ac:dyDescent="0.25">
      <c r="A1392" t="s">
        <v>5993</v>
      </c>
      <c r="B1392">
        <v>-1</v>
      </c>
      <c r="C1392" t="s">
        <v>10340</v>
      </c>
      <c r="D1392" s="5">
        <v>3727.01</v>
      </c>
    </row>
    <row r="1393" spans="1:4" x14ac:dyDescent="0.25">
      <c r="A1393" t="s">
        <v>4182</v>
      </c>
      <c r="B1393">
        <v>-1</v>
      </c>
      <c r="C1393" t="s">
        <v>10333</v>
      </c>
      <c r="D1393" s="5">
        <v>-58855.85</v>
      </c>
    </row>
    <row r="1394" spans="1:4" x14ac:dyDescent="0.25">
      <c r="A1394" t="s">
        <v>4027</v>
      </c>
      <c r="B1394">
        <v>-1</v>
      </c>
      <c r="C1394" t="s">
        <v>10333</v>
      </c>
      <c r="D1394" s="5">
        <v>-6803.89</v>
      </c>
    </row>
    <row r="1395" spans="1:4" x14ac:dyDescent="0.25">
      <c r="A1395" t="s">
        <v>1122</v>
      </c>
      <c r="B1395">
        <v>-1</v>
      </c>
      <c r="C1395" t="s">
        <v>10333</v>
      </c>
      <c r="D1395" s="5">
        <v>-19.760000000000002</v>
      </c>
    </row>
    <row r="1396" spans="1:4" x14ac:dyDescent="0.25">
      <c r="A1396" t="s">
        <v>927</v>
      </c>
      <c r="B1396">
        <v>-1</v>
      </c>
      <c r="C1396" t="s">
        <v>10335</v>
      </c>
      <c r="D1396" s="5">
        <v>-6917.93</v>
      </c>
    </row>
    <row r="1397" spans="1:4" x14ac:dyDescent="0.25">
      <c r="A1397" t="s">
        <v>2515</v>
      </c>
      <c r="B1397">
        <v>-1</v>
      </c>
      <c r="C1397" t="s">
        <v>10338</v>
      </c>
      <c r="D1397" s="5">
        <v>902.9</v>
      </c>
    </row>
    <row r="1398" spans="1:4" x14ac:dyDescent="0.25">
      <c r="A1398" t="s">
        <v>2486</v>
      </c>
      <c r="B1398">
        <v>-1</v>
      </c>
      <c r="C1398" t="s">
        <v>10340</v>
      </c>
      <c r="D1398" s="5">
        <v>2609.12</v>
      </c>
    </row>
    <row r="1399" spans="1:4" x14ac:dyDescent="0.25">
      <c r="A1399" t="s">
        <v>2511</v>
      </c>
      <c r="B1399">
        <v>-1</v>
      </c>
      <c r="C1399" t="s">
        <v>10337</v>
      </c>
      <c r="D1399" s="5">
        <v>172.1</v>
      </c>
    </row>
    <row r="1400" spans="1:4" x14ac:dyDescent="0.25">
      <c r="A1400" t="s">
        <v>2546</v>
      </c>
      <c r="B1400">
        <v>-1</v>
      </c>
      <c r="C1400" t="s">
        <v>10338</v>
      </c>
      <c r="D1400" s="5">
        <v>1706.06</v>
      </c>
    </row>
    <row r="1401" spans="1:4" x14ac:dyDescent="0.25">
      <c r="A1401" t="s">
        <v>2397</v>
      </c>
      <c r="B1401">
        <v>-1</v>
      </c>
      <c r="C1401" t="s">
        <v>10333</v>
      </c>
      <c r="D1401" s="5">
        <v>-2233</v>
      </c>
    </row>
    <row r="1402" spans="1:4" x14ac:dyDescent="0.25">
      <c r="A1402" t="s">
        <v>2633</v>
      </c>
      <c r="B1402">
        <v>-1</v>
      </c>
      <c r="C1402" t="s">
        <v>10344</v>
      </c>
      <c r="D1402" s="5">
        <v>-60.18</v>
      </c>
    </row>
    <row r="1403" spans="1:4" x14ac:dyDescent="0.25">
      <c r="A1403" t="s">
        <v>2628</v>
      </c>
      <c r="B1403">
        <v>-1</v>
      </c>
      <c r="C1403" t="s">
        <v>10336</v>
      </c>
      <c r="D1403" s="5">
        <v>-3335.18</v>
      </c>
    </row>
    <row r="1404" spans="1:4" x14ac:dyDescent="0.25">
      <c r="A1404" t="s">
        <v>2673</v>
      </c>
      <c r="B1404">
        <v>-1</v>
      </c>
      <c r="C1404" t="s">
        <v>10340</v>
      </c>
      <c r="D1404" s="5">
        <v>4334.34</v>
      </c>
    </row>
    <row r="1405" spans="1:4" x14ac:dyDescent="0.25">
      <c r="A1405" t="s">
        <v>2433</v>
      </c>
      <c r="B1405">
        <v>-1</v>
      </c>
      <c r="C1405" t="s">
        <v>10333</v>
      </c>
      <c r="D1405" s="5">
        <v>-2549.33</v>
      </c>
    </row>
    <row r="1406" spans="1:4" x14ac:dyDescent="0.25">
      <c r="A1406" t="s">
        <v>2682</v>
      </c>
      <c r="B1406">
        <v>-1</v>
      </c>
      <c r="C1406" t="s">
        <v>10338</v>
      </c>
      <c r="D1406" s="5">
        <v>2836.31</v>
      </c>
    </row>
    <row r="1407" spans="1:4" x14ac:dyDescent="0.25">
      <c r="A1407" t="s">
        <v>2690</v>
      </c>
      <c r="B1407">
        <v>-1</v>
      </c>
      <c r="C1407" t="s">
        <v>10335</v>
      </c>
      <c r="D1407" s="5">
        <v>644.67999999999995</v>
      </c>
    </row>
    <row r="1408" spans="1:4" x14ac:dyDescent="0.25">
      <c r="A1408" t="s">
        <v>2425</v>
      </c>
      <c r="B1408">
        <v>-1</v>
      </c>
      <c r="C1408" t="s">
        <v>10338</v>
      </c>
      <c r="D1408" s="5">
        <v>1311.13</v>
      </c>
    </row>
    <row r="1409" spans="1:4" x14ac:dyDescent="0.25">
      <c r="A1409" t="s">
        <v>2859</v>
      </c>
      <c r="B1409">
        <v>-1</v>
      </c>
      <c r="C1409" t="s">
        <v>10340</v>
      </c>
      <c r="D1409" s="5">
        <v>2816.92</v>
      </c>
    </row>
    <row r="1410" spans="1:4" x14ac:dyDescent="0.25">
      <c r="A1410" t="s">
        <v>2935</v>
      </c>
      <c r="B1410">
        <v>-1</v>
      </c>
      <c r="C1410" t="s">
        <v>10338</v>
      </c>
      <c r="D1410" s="5">
        <v>343.2</v>
      </c>
    </row>
    <row r="1411" spans="1:4" x14ac:dyDescent="0.25">
      <c r="A1411" t="s">
        <v>2893</v>
      </c>
      <c r="B1411">
        <v>-1</v>
      </c>
      <c r="C1411" t="s">
        <v>10337</v>
      </c>
      <c r="D1411" s="5">
        <v>1987.45</v>
      </c>
    </row>
    <row r="1412" spans="1:4" x14ac:dyDescent="0.25">
      <c r="A1412" t="s">
        <v>594</v>
      </c>
      <c r="B1412">
        <v>-1</v>
      </c>
      <c r="C1412" t="s">
        <v>10340</v>
      </c>
      <c r="D1412" s="5">
        <v>2923.82</v>
      </c>
    </row>
    <row r="1413" spans="1:4" x14ac:dyDescent="0.25">
      <c r="A1413" t="s">
        <v>2761</v>
      </c>
      <c r="B1413">
        <v>-1</v>
      </c>
      <c r="C1413" t="s">
        <v>10338</v>
      </c>
      <c r="D1413" s="5">
        <v>-1349.21</v>
      </c>
    </row>
    <row r="1414" spans="1:4" x14ac:dyDescent="0.25">
      <c r="A1414" t="s">
        <v>2709</v>
      </c>
      <c r="B1414">
        <v>-1</v>
      </c>
      <c r="C1414" t="s">
        <v>10344</v>
      </c>
      <c r="D1414" s="5">
        <v>-1003.57</v>
      </c>
    </row>
    <row r="1415" spans="1:4" x14ac:dyDescent="0.25">
      <c r="A1415" t="s">
        <v>2866</v>
      </c>
      <c r="B1415">
        <v>-1</v>
      </c>
      <c r="C1415" t="s">
        <v>10338</v>
      </c>
      <c r="D1415" s="5">
        <v>6457.85</v>
      </c>
    </row>
    <row r="1416" spans="1:4" x14ac:dyDescent="0.25">
      <c r="A1416" t="s">
        <v>2851</v>
      </c>
      <c r="B1416">
        <v>-1</v>
      </c>
      <c r="C1416" t="s">
        <v>10338</v>
      </c>
      <c r="D1416" s="5">
        <v>-977.9</v>
      </c>
    </row>
    <row r="1417" spans="1:4" x14ac:dyDescent="0.25">
      <c r="A1417" t="s">
        <v>2598</v>
      </c>
      <c r="B1417">
        <v>-1</v>
      </c>
      <c r="C1417" t="s">
        <v>10344</v>
      </c>
      <c r="D1417" s="5">
        <v>-281.27</v>
      </c>
    </row>
    <row r="1418" spans="1:4" x14ac:dyDescent="0.25">
      <c r="A1418" t="s">
        <v>2583</v>
      </c>
      <c r="B1418">
        <v>-1</v>
      </c>
      <c r="C1418" t="s">
        <v>10340</v>
      </c>
      <c r="D1418" s="5">
        <v>1596.19</v>
      </c>
    </row>
    <row r="1419" spans="1:4" x14ac:dyDescent="0.25">
      <c r="A1419" t="s">
        <v>2342</v>
      </c>
      <c r="B1419">
        <v>-1</v>
      </c>
      <c r="C1419" t="s">
        <v>10344</v>
      </c>
      <c r="D1419" s="5">
        <v>-779.43</v>
      </c>
    </row>
    <row r="1420" spans="1:4" x14ac:dyDescent="0.25">
      <c r="A1420" t="s">
        <v>2285</v>
      </c>
      <c r="B1420">
        <v>-1</v>
      </c>
      <c r="C1420" t="s">
        <v>10336</v>
      </c>
      <c r="D1420" s="5">
        <v>-7470.77</v>
      </c>
    </row>
    <row r="1421" spans="1:4" x14ac:dyDescent="0.25">
      <c r="A1421" t="s">
        <v>2296</v>
      </c>
      <c r="B1421">
        <v>-1</v>
      </c>
      <c r="C1421" t="s">
        <v>10337</v>
      </c>
      <c r="D1421" s="5">
        <v>-214.89</v>
      </c>
    </row>
    <row r="1422" spans="1:4" x14ac:dyDescent="0.25">
      <c r="A1422" t="s">
        <v>2314</v>
      </c>
      <c r="B1422">
        <v>-1</v>
      </c>
      <c r="C1422" t="s">
        <v>10340</v>
      </c>
      <c r="D1422" s="5">
        <v>40.880000000000003</v>
      </c>
    </row>
    <row r="1423" spans="1:4" x14ac:dyDescent="0.25">
      <c r="A1423" t="s">
        <v>2310</v>
      </c>
      <c r="B1423">
        <v>-1</v>
      </c>
      <c r="C1423" t="s">
        <v>10336</v>
      </c>
      <c r="D1423" s="5">
        <v>-2350.6</v>
      </c>
    </row>
    <row r="1424" spans="1:4" x14ac:dyDescent="0.25">
      <c r="A1424" t="s">
        <v>2306</v>
      </c>
      <c r="B1424">
        <v>-1</v>
      </c>
      <c r="C1424" t="s">
        <v>10344</v>
      </c>
      <c r="D1424" s="5">
        <v>-16.64</v>
      </c>
    </row>
    <row r="1425" spans="1:4" x14ac:dyDescent="0.25">
      <c r="A1425" t="s">
        <v>2330</v>
      </c>
      <c r="B1425">
        <v>-1</v>
      </c>
      <c r="C1425" t="s">
        <v>10336</v>
      </c>
      <c r="D1425" s="5">
        <v>-5913.47</v>
      </c>
    </row>
    <row r="1426" spans="1:4" x14ac:dyDescent="0.25">
      <c r="A1426" t="s">
        <v>2356</v>
      </c>
      <c r="B1426">
        <v>-1</v>
      </c>
      <c r="C1426" t="s">
        <v>10333</v>
      </c>
      <c r="D1426" s="5">
        <v>-11706.43</v>
      </c>
    </row>
    <row r="1427" spans="1:4" x14ac:dyDescent="0.25">
      <c r="A1427" t="s">
        <v>1339</v>
      </c>
      <c r="B1427">
        <v>-1</v>
      </c>
      <c r="C1427" t="s">
        <v>10336</v>
      </c>
      <c r="D1427" s="5">
        <v>2271.09</v>
      </c>
    </row>
    <row r="1428" spans="1:4" x14ac:dyDescent="0.25">
      <c r="A1428" t="s">
        <v>2360</v>
      </c>
      <c r="B1428">
        <v>-1</v>
      </c>
      <c r="C1428" t="s">
        <v>10336</v>
      </c>
      <c r="D1428" s="5">
        <v>-16964</v>
      </c>
    </row>
    <row r="1429" spans="1:4" x14ac:dyDescent="0.25">
      <c r="A1429" t="s">
        <v>2992</v>
      </c>
      <c r="B1429">
        <v>-1</v>
      </c>
      <c r="C1429" t="s">
        <v>10338</v>
      </c>
      <c r="D1429" s="5">
        <v>279.25</v>
      </c>
    </row>
    <row r="1430" spans="1:4" x14ac:dyDescent="0.25">
      <c r="A1430" t="s">
        <v>3155</v>
      </c>
      <c r="B1430">
        <v>-1</v>
      </c>
      <c r="C1430" t="s">
        <v>10344</v>
      </c>
      <c r="D1430" s="5">
        <v>3634.15</v>
      </c>
    </row>
    <row r="1431" spans="1:4" x14ac:dyDescent="0.25">
      <c r="A1431" t="s">
        <v>3147</v>
      </c>
      <c r="B1431">
        <v>-1</v>
      </c>
      <c r="C1431" t="s">
        <v>10333</v>
      </c>
      <c r="D1431" s="5">
        <v>2635.38</v>
      </c>
    </row>
    <row r="1432" spans="1:4" x14ac:dyDescent="0.25">
      <c r="A1432" t="s">
        <v>3089</v>
      </c>
      <c r="B1432">
        <v>-1</v>
      </c>
      <c r="C1432" t="s">
        <v>10333</v>
      </c>
      <c r="D1432" s="5">
        <v>-3374.75</v>
      </c>
    </row>
    <row r="1433" spans="1:4" x14ac:dyDescent="0.25">
      <c r="A1433" t="s">
        <v>2984</v>
      </c>
      <c r="B1433">
        <v>-1</v>
      </c>
      <c r="C1433" t="s">
        <v>10335</v>
      </c>
      <c r="D1433" s="5">
        <v>2138.14</v>
      </c>
    </row>
    <row r="1434" spans="1:4" x14ac:dyDescent="0.25">
      <c r="A1434" t="s">
        <v>2954</v>
      </c>
      <c r="B1434">
        <v>-1</v>
      </c>
      <c r="C1434" t="s">
        <v>10335</v>
      </c>
      <c r="D1434" s="5">
        <v>-1223.56</v>
      </c>
    </row>
    <row r="1435" spans="1:4" x14ac:dyDescent="0.25">
      <c r="A1435" t="s">
        <v>2951</v>
      </c>
      <c r="B1435">
        <v>-1</v>
      </c>
      <c r="C1435" t="s">
        <v>10333</v>
      </c>
      <c r="D1435" s="5">
        <v>-678.51</v>
      </c>
    </row>
    <row r="1436" spans="1:4" x14ac:dyDescent="0.25">
      <c r="A1436" t="s">
        <v>2943</v>
      </c>
      <c r="B1436">
        <v>-1</v>
      </c>
      <c r="C1436" t="s">
        <v>10340</v>
      </c>
      <c r="D1436" s="5">
        <v>-678.79</v>
      </c>
    </row>
    <row r="1437" spans="1:4" x14ac:dyDescent="0.25">
      <c r="A1437" t="s">
        <v>3171</v>
      </c>
      <c r="B1437">
        <v>-1</v>
      </c>
      <c r="C1437" t="s">
        <v>10340</v>
      </c>
      <c r="D1437" s="5">
        <v>569.66999999999996</v>
      </c>
    </row>
    <row r="1438" spans="1:4" x14ac:dyDescent="0.25">
      <c r="A1438" t="s">
        <v>825</v>
      </c>
      <c r="B1438">
        <v>-1</v>
      </c>
      <c r="C1438" t="s">
        <v>10344</v>
      </c>
      <c r="D1438" s="5">
        <v>6783.73</v>
      </c>
    </row>
    <row r="1439" spans="1:4" x14ac:dyDescent="0.25">
      <c r="A1439" t="s">
        <v>822</v>
      </c>
      <c r="B1439">
        <v>-1</v>
      </c>
      <c r="C1439" t="s">
        <v>10333</v>
      </c>
      <c r="D1439" s="5">
        <v>-12570</v>
      </c>
    </row>
    <row r="1440" spans="1:4" x14ac:dyDescent="0.25">
      <c r="A1440" t="s">
        <v>740</v>
      </c>
      <c r="B1440">
        <v>-1</v>
      </c>
      <c r="C1440" t="s">
        <v>10336</v>
      </c>
      <c r="D1440" s="5">
        <v>-5520.01</v>
      </c>
    </row>
    <row r="1441" spans="1:4" x14ac:dyDescent="0.25">
      <c r="A1441" t="s">
        <v>737</v>
      </c>
      <c r="B1441">
        <v>-1</v>
      </c>
      <c r="C1441" t="s">
        <v>10343</v>
      </c>
      <c r="D1441" s="5">
        <v>645.72</v>
      </c>
    </row>
    <row r="1442" spans="1:4" x14ac:dyDescent="0.25">
      <c r="A1442" t="s">
        <v>783</v>
      </c>
      <c r="B1442">
        <v>-1</v>
      </c>
      <c r="C1442" t="s">
        <v>10335</v>
      </c>
      <c r="D1442" s="5">
        <v>1879.95</v>
      </c>
    </row>
    <row r="1443" spans="1:4" x14ac:dyDescent="0.25">
      <c r="A1443" t="s">
        <v>774</v>
      </c>
      <c r="B1443">
        <v>-1</v>
      </c>
      <c r="C1443" t="s">
        <v>10339</v>
      </c>
      <c r="D1443" s="5">
        <v>915.21</v>
      </c>
    </row>
    <row r="1444" spans="1:4" x14ac:dyDescent="0.25">
      <c r="A1444" t="s">
        <v>3183</v>
      </c>
      <c r="B1444">
        <v>-1</v>
      </c>
      <c r="C1444" t="s">
        <v>10333</v>
      </c>
      <c r="D1444" s="5">
        <v>-6951.95</v>
      </c>
    </row>
    <row r="1445" spans="1:4" x14ac:dyDescent="0.25">
      <c r="A1445" t="s">
        <v>3101</v>
      </c>
      <c r="B1445">
        <v>-1</v>
      </c>
      <c r="C1445" t="s">
        <v>10333</v>
      </c>
      <c r="D1445" s="5">
        <v>1884.22</v>
      </c>
    </row>
    <row r="1446" spans="1:4" x14ac:dyDescent="0.25">
      <c r="A1446" t="s">
        <v>617</v>
      </c>
      <c r="B1446">
        <v>-1</v>
      </c>
      <c r="C1446" t="s">
        <v>10340</v>
      </c>
      <c r="D1446" s="5">
        <v>3793.16</v>
      </c>
    </row>
    <row r="1447" spans="1:4" x14ac:dyDescent="0.25">
      <c r="A1447" t="s">
        <v>686</v>
      </c>
      <c r="B1447">
        <v>-1</v>
      </c>
      <c r="C1447" t="s">
        <v>10340</v>
      </c>
      <c r="D1447" s="5">
        <v>-2909.81</v>
      </c>
    </row>
    <row r="1448" spans="1:4" x14ac:dyDescent="0.25">
      <c r="A1448" t="s">
        <v>611</v>
      </c>
      <c r="B1448">
        <v>-1</v>
      </c>
      <c r="C1448" t="s">
        <v>10336</v>
      </c>
      <c r="D1448" s="5">
        <v>-3653.41</v>
      </c>
    </row>
    <row r="1449" spans="1:4" x14ac:dyDescent="0.25">
      <c r="A1449" t="s">
        <v>614</v>
      </c>
      <c r="B1449">
        <v>-1</v>
      </c>
      <c r="C1449" t="s">
        <v>10333</v>
      </c>
      <c r="D1449" s="5">
        <v>1093.76</v>
      </c>
    </row>
    <row r="1450" spans="1:4" x14ac:dyDescent="0.25">
      <c r="A1450" t="s">
        <v>650</v>
      </c>
      <c r="B1450">
        <v>-1</v>
      </c>
      <c r="C1450" t="s">
        <v>10340</v>
      </c>
      <c r="D1450" s="5">
        <v>1416.45</v>
      </c>
    </row>
    <row r="1451" spans="1:4" x14ac:dyDescent="0.25">
      <c r="A1451" t="s">
        <v>638</v>
      </c>
      <c r="B1451">
        <v>-1</v>
      </c>
      <c r="C1451" t="s">
        <v>10337</v>
      </c>
      <c r="D1451" s="5">
        <v>5113.1099999999997</v>
      </c>
    </row>
    <row r="1452" spans="1:4" x14ac:dyDescent="0.25">
      <c r="A1452" t="s">
        <v>620</v>
      </c>
      <c r="B1452">
        <v>-1</v>
      </c>
      <c r="C1452" t="s">
        <v>10338</v>
      </c>
      <c r="D1452" s="5">
        <v>5433.63</v>
      </c>
    </row>
    <row r="1453" spans="1:4" x14ac:dyDescent="0.25">
      <c r="A1453" t="s">
        <v>644</v>
      </c>
      <c r="B1453">
        <v>-1</v>
      </c>
      <c r="C1453" t="s">
        <v>10333</v>
      </c>
      <c r="D1453" s="5">
        <v>-4658.1899999999996</v>
      </c>
    </row>
    <row r="1454" spans="1:4" x14ac:dyDescent="0.25">
      <c r="A1454" t="s">
        <v>647</v>
      </c>
      <c r="B1454">
        <v>-1</v>
      </c>
      <c r="C1454" t="s">
        <v>10338</v>
      </c>
      <c r="D1454" s="5">
        <v>9587.98</v>
      </c>
    </row>
    <row r="1455" spans="1:4" x14ac:dyDescent="0.25">
      <c r="A1455" t="s">
        <v>1469</v>
      </c>
      <c r="B1455">
        <v>-1</v>
      </c>
      <c r="C1455" t="s">
        <v>10335</v>
      </c>
      <c r="D1455" s="5">
        <v>-6361.23</v>
      </c>
    </row>
    <row r="1456" spans="1:4" x14ac:dyDescent="0.25">
      <c r="A1456" t="s">
        <v>1279</v>
      </c>
      <c r="B1456">
        <v>-1</v>
      </c>
      <c r="C1456" t="s">
        <v>10333</v>
      </c>
      <c r="D1456" s="5">
        <v>-338.17</v>
      </c>
    </row>
    <row r="1457" spans="1:4" x14ac:dyDescent="0.25">
      <c r="A1457" t="s">
        <v>1321</v>
      </c>
      <c r="B1457">
        <v>-1</v>
      </c>
      <c r="C1457" t="s">
        <v>10333</v>
      </c>
      <c r="D1457" s="5">
        <v>-4310.6099999999997</v>
      </c>
    </row>
    <row r="1458" spans="1:4" x14ac:dyDescent="0.25">
      <c r="A1458" t="s">
        <v>1485</v>
      </c>
      <c r="B1458">
        <v>-1</v>
      </c>
      <c r="C1458" t="s">
        <v>10340</v>
      </c>
      <c r="D1458" s="5">
        <v>-1420.56</v>
      </c>
    </row>
    <row r="1459" spans="1:4" x14ac:dyDescent="0.25">
      <c r="A1459" t="s">
        <v>1482</v>
      </c>
      <c r="B1459">
        <v>-1</v>
      </c>
      <c r="C1459" t="s">
        <v>10333</v>
      </c>
      <c r="D1459" s="5">
        <v>-3104.88</v>
      </c>
    </row>
    <row r="1460" spans="1:4" x14ac:dyDescent="0.25">
      <c r="A1460" t="s">
        <v>1479</v>
      </c>
      <c r="B1460">
        <v>-1</v>
      </c>
      <c r="C1460" t="s">
        <v>10340</v>
      </c>
      <c r="D1460" s="5">
        <v>1149.81</v>
      </c>
    </row>
    <row r="1461" spans="1:4" x14ac:dyDescent="0.25">
      <c r="A1461" t="s">
        <v>2039</v>
      </c>
      <c r="B1461">
        <v>-1</v>
      </c>
      <c r="C1461" t="s">
        <v>10342</v>
      </c>
      <c r="D1461" s="5">
        <v>1265.8399999999999</v>
      </c>
    </row>
    <row r="1462" spans="1:4" x14ac:dyDescent="0.25">
      <c r="A1462" t="s">
        <v>2042</v>
      </c>
      <c r="B1462">
        <v>-1</v>
      </c>
      <c r="C1462" t="s">
        <v>10335</v>
      </c>
      <c r="D1462" s="5">
        <v>-324.25</v>
      </c>
    </row>
    <row r="1463" spans="1:4" x14ac:dyDescent="0.25">
      <c r="A1463" t="s">
        <v>3029</v>
      </c>
      <c r="B1463">
        <v>-1</v>
      </c>
      <c r="C1463" t="s">
        <v>10333</v>
      </c>
      <c r="D1463" s="5">
        <v>-1815.59</v>
      </c>
    </row>
    <row r="1464" spans="1:4" x14ac:dyDescent="0.25">
      <c r="A1464" t="s">
        <v>3038</v>
      </c>
      <c r="B1464">
        <v>-1</v>
      </c>
      <c r="C1464" t="s">
        <v>10340</v>
      </c>
      <c r="D1464" s="5">
        <v>2505.6999999999998</v>
      </c>
    </row>
    <row r="1465" spans="1:4" x14ac:dyDescent="0.25">
      <c r="A1465" t="s">
        <v>1960</v>
      </c>
      <c r="B1465">
        <v>-1</v>
      </c>
      <c r="C1465" t="s">
        <v>10344</v>
      </c>
      <c r="D1465" s="5">
        <v>777.46</v>
      </c>
    </row>
    <row r="1466" spans="1:4" x14ac:dyDescent="0.25">
      <c r="A1466" t="s">
        <v>3464</v>
      </c>
      <c r="B1466">
        <v>-1</v>
      </c>
      <c r="C1466" t="s">
        <v>10341</v>
      </c>
      <c r="D1466" s="5">
        <v>-8.34</v>
      </c>
    </row>
    <row r="1467" spans="1:4" x14ac:dyDescent="0.25">
      <c r="A1467" t="s">
        <v>1921</v>
      </c>
      <c r="B1467">
        <v>-1</v>
      </c>
      <c r="C1467" t="s">
        <v>10333</v>
      </c>
      <c r="D1467" s="5">
        <v>-1544.74</v>
      </c>
    </row>
    <row r="1468" spans="1:4" x14ac:dyDescent="0.25">
      <c r="A1468" t="s">
        <v>1954</v>
      </c>
      <c r="B1468">
        <v>-1</v>
      </c>
      <c r="C1468" t="s">
        <v>10340</v>
      </c>
      <c r="D1468" s="5">
        <v>-4505.6400000000003</v>
      </c>
    </row>
    <row r="1469" spans="1:4" x14ac:dyDescent="0.25">
      <c r="A1469" t="s">
        <v>1948</v>
      </c>
      <c r="B1469">
        <v>-1</v>
      </c>
      <c r="C1469" t="s">
        <v>10335</v>
      </c>
      <c r="D1469" s="5">
        <v>1240.8499999999999</v>
      </c>
    </row>
    <row r="1470" spans="1:4" x14ac:dyDescent="0.25">
      <c r="A1470" t="s">
        <v>1945</v>
      </c>
      <c r="B1470">
        <v>-1</v>
      </c>
      <c r="C1470" t="s">
        <v>10333</v>
      </c>
      <c r="D1470" s="5">
        <v>-4857.3500000000004</v>
      </c>
    </row>
    <row r="1471" spans="1:4" x14ac:dyDescent="0.25">
      <c r="A1471" t="s">
        <v>1963</v>
      </c>
      <c r="B1471">
        <v>-1</v>
      </c>
      <c r="C1471" t="s">
        <v>10333</v>
      </c>
      <c r="D1471" s="5">
        <v>-3500.12</v>
      </c>
    </row>
    <row r="1472" spans="1:4" x14ac:dyDescent="0.25">
      <c r="A1472" t="s">
        <v>1930</v>
      </c>
      <c r="B1472">
        <v>-1</v>
      </c>
      <c r="C1472" t="s">
        <v>10333</v>
      </c>
      <c r="D1472" s="5">
        <v>-4336.79</v>
      </c>
    </row>
    <row r="1473" spans="1:4" x14ac:dyDescent="0.25">
      <c r="A1473" t="s">
        <v>3488</v>
      </c>
      <c r="B1473">
        <v>-1</v>
      </c>
      <c r="C1473" t="s">
        <v>10337</v>
      </c>
      <c r="D1473" s="5">
        <v>1109.73</v>
      </c>
    </row>
    <row r="1474" spans="1:4" x14ac:dyDescent="0.25">
      <c r="A1474" t="s">
        <v>3440</v>
      </c>
      <c r="B1474">
        <v>-1</v>
      </c>
      <c r="C1474" t="s">
        <v>10338</v>
      </c>
      <c r="D1474" s="5">
        <v>2237.23</v>
      </c>
    </row>
    <row r="1475" spans="1:4" x14ac:dyDescent="0.25">
      <c r="A1475" t="s">
        <v>3479</v>
      </c>
      <c r="B1475">
        <v>-1</v>
      </c>
      <c r="C1475" t="s">
        <v>10338</v>
      </c>
      <c r="D1475" s="5">
        <v>6738.74</v>
      </c>
    </row>
    <row r="1476" spans="1:4" x14ac:dyDescent="0.25">
      <c r="A1476" t="s">
        <v>1860</v>
      </c>
      <c r="B1476">
        <v>-1</v>
      </c>
      <c r="C1476" t="s">
        <v>10340</v>
      </c>
      <c r="D1476" s="5">
        <v>968.64</v>
      </c>
    </row>
    <row r="1477" spans="1:4" x14ac:dyDescent="0.25">
      <c r="A1477" t="s">
        <v>1848</v>
      </c>
      <c r="B1477">
        <v>-1</v>
      </c>
      <c r="C1477" t="s">
        <v>10333</v>
      </c>
      <c r="D1477" s="5">
        <v>-13691.33</v>
      </c>
    </row>
    <row r="1478" spans="1:4" x14ac:dyDescent="0.25">
      <c r="A1478" t="s">
        <v>1868</v>
      </c>
      <c r="B1478">
        <v>-1</v>
      </c>
      <c r="C1478" t="s">
        <v>10344</v>
      </c>
      <c r="D1478" s="5">
        <v>3682.97</v>
      </c>
    </row>
    <row r="1479" spans="1:4" x14ac:dyDescent="0.25">
      <c r="A1479" t="s">
        <v>1845</v>
      </c>
      <c r="B1479">
        <v>-1</v>
      </c>
      <c r="C1479" t="s">
        <v>10333</v>
      </c>
      <c r="D1479" s="5">
        <v>-6354.83</v>
      </c>
    </row>
    <row r="1480" spans="1:4" x14ac:dyDescent="0.25">
      <c r="A1480" t="s">
        <v>3046</v>
      </c>
      <c r="B1480">
        <v>-1</v>
      </c>
      <c r="C1480" t="s">
        <v>10338</v>
      </c>
      <c r="D1480" s="5">
        <v>10713.49</v>
      </c>
    </row>
    <row r="1481" spans="1:4" x14ac:dyDescent="0.25">
      <c r="A1481" t="s">
        <v>1972</v>
      </c>
      <c r="B1481">
        <v>-1</v>
      </c>
      <c r="C1481" t="s">
        <v>10333</v>
      </c>
      <c r="D1481" s="5">
        <v>-2706.96</v>
      </c>
    </row>
    <row r="1482" spans="1:4" x14ac:dyDescent="0.25">
      <c r="A1482" t="s">
        <v>3443</v>
      </c>
      <c r="B1482">
        <v>-1</v>
      </c>
      <c r="C1482" t="s">
        <v>10340</v>
      </c>
      <c r="D1482" s="5">
        <v>63.16</v>
      </c>
    </row>
    <row r="1483" spans="1:4" x14ac:dyDescent="0.25">
      <c r="A1483" t="s">
        <v>1863</v>
      </c>
      <c r="B1483">
        <v>-1</v>
      </c>
      <c r="C1483" t="s">
        <v>10336</v>
      </c>
      <c r="D1483" s="5">
        <v>-1444.48</v>
      </c>
    </row>
    <row r="1484" spans="1:4" x14ac:dyDescent="0.25">
      <c r="A1484" t="s">
        <v>1957</v>
      </c>
      <c r="B1484">
        <v>-1</v>
      </c>
      <c r="C1484" t="s">
        <v>10339</v>
      </c>
    </row>
    <row r="1485" spans="1:4" x14ac:dyDescent="0.25">
      <c r="A1485" t="s">
        <v>1785</v>
      </c>
      <c r="B1485">
        <v>-1</v>
      </c>
      <c r="C1485" t="s">
        <v>10338</v>
      </c>
      <c r="D1485" s="5">
        <v>2850.16</v>
      </c>
    </row>
    <row r="1486" spans="1:4" x14ac:dyDescent="0.25">
      <c r="A1486" t="s">
        <v>1788</v>
      </c>
      <c r="B1486">
        <v>-1</v>
      </c>
      <c r="C1486" t="s">
        <v>10344</v>
      </c>
      <c r="D1486" s="5">
        <v>6320.87</v>
      </c>
    </row>
    <row r="1487" spans="1:4" x14ac:dyDescent="0.25">
      <c r="A1487" t="s">
        <v>1994</v>
      </c>
      <c r="B1487">
        <v>-1</v>
      </c>
      <c r="C1487" t="s">
        <v>10333</v>
      </c>
      <c r="D1487" s="5">
        <v>-9552.0400000000009</v>
      </c>
    </row>
    <row r="1488" spans="1:4" x14ac:dyDescent="0.25">
      <c r="A1488" t="s">
        <v>1988</v>
      </c>
      <c r="B1488">
        <v>-1</v>
      </c>
      <c r="C1488" t="s">
        <v>10338</v>
      </c>
      <c r="D1488" s="5">
        <v>-357.16</v>
      </c>
    </row>
    <row r="1489" spans="1:4" x14ac:dyDescent="0.25">
      <c r="A1489" t="s">
        <v>3515</v>
      </c>
      <c r="B1489">
        <v>-1</v>
      </c>
      <c r="C1489" t="s">
        <v>10344</v>
      </c>
      <c r="D1489" s="5">
        <v>2963.27</v>
      </c>
    </row>
    <row r="1490" spans="1:4" x14ac:dyDescent="0.25">
      <c r="A1490" t="s">
        <v>42</v>
      </c>
      <c r="B1490">
        <v>-1</v>
      </c>
      <c r="C1490" t="s">
        <v>10335</v>
      </c>
      <c r="D1490" s="5">
        <v>901.79</v>
      </c>
    </row>
    <row r="1491" spans="1:4" x14ac:dyDescent="0.25">
      <c r="A1491" t="s">
        <v>82</v>
      </c>
      <c r="B1491">
        <v>-1</v>
      </c>
      <c r="C1491" t="s">
        <v>10340</v>
      </c>
      <c r="D1491" s="5">
        <v>5933.31</v>
      </c>
    </row>
    <row r="1492" spans="1:4" x14ac:dyDescent="0.25">
      <c r="A1492" t="s">
        <v>1270</v>
      </c>
      <c r="B1492">
        <v>-1</v>
      </c>
      <c r="C1492" t="s">
        <v>10333</v>
      </c>
      <c r="D1492" s="5">
        <v>-5253.17</v>
      </c>
    </row>
    <row r="1493" spans="1:4" x14ac:dyDescent="0.25">
      <c r="A1493" t="s">
        <v>49</v>
      </c>
      <c r="B1493">
        <v>-1</v>
      </c>
      <c r="C1493" t="s">
        <v>10337</v>
      </c>
      <c r="D1493" s="5">
        <v>3348.14</v>
      </c>
    </row>
    <row r="1494" spans="1:4" x14ac:dyDescent="0.25">
      <c r="A1494" t="s">
        <v>76</v>
      </c>
      <c r="B1494">
        <v>-1</v>
      </c>
      <c r="C1494" t="s">
        <v>10344</v>
      </c>
      <c r="D1494" s="5">
        <v>5547.92</v>
      </c>
    </row>
    <row r="1495" spans="1:4" x14ac:dyDescent="0.25">
      <c r="A1495" t="s">
        <v>61</v>
      </c>
      <c r="B1495">
        <v>-1</v>
      </c>
      <c r="C1495" t="s">
        <v>10333</v>
      </c>
      <c r="D1495" s="5">
        <v>1867.3</v>
      </c>
    </row>
    <row r="1496" spans="1:4" x14ac:dyDescent="0.25">
      <c r="A1496" t="s">
        <v>3257</v>
      </c>
      <c r="B1496">
        <v>-1</v>
      </c>
      <c r="C1496" t="s">
        <v>10338</v>
      </c>
      <c r="D1496" s="5">
        <v>3833.82</v>
      </c>
    </row>
    <row r="1497" spans="1:4" x14ac:dyDescent="0.25">
      <c r="A1497" t="s">
        <v>3245</v>
      </c>
      <c r="B1497">
        <v>-1</v>
      </c>
      <c r="C1497" t="s">
        <v>10338</v>
      </c>
      <c r="D1497" s="5">
        <v>4791.66</v>
      </c>
    </row>
    <row r="1498" spans="1:4" x14ac:dyDescent="0.25">
      <c r="A1498" t="s">
        <v>3260</v>
      </c>
      <c r="B1498">
        <v>-1</v>
      </c>
      <c r="C1498" t="s">
        <v>10336</v>
      </c>
      <c r="D1498" s="5">
        <v>-2345.69</v>
      </c>
    </row>
    <row r="1499" spans="1:4" x14ac:dyDescent="0.25">
      <c r="A1499" t="s">
        <v>3239</v>
      </c>
      <c r="B1499">
        <v>-1</v>
      </c>
      <c r="C1499" t="s">
        <v>10333</v>
      </c>
      <c r="D1499" s="5">
        <v>-3814.27</v>
      </c>
    </row>
    <row r="1500" spans="1:4" x14ac:dyDescent="0.25">
      <c r="A1500" t="s">
        <v>3353</v>
      </c>
      <c r="B1500">
        <v>-1</v>
      </c>
      <c r="C1500" t="s">
        <v>10340</v>
      </c>
      <c r="D1500" s="5">
        <v>-4432.9399999999996</v>
      </c>
    </row>
    <row r="1501" spans="1:4" x14ac:dyDescent="0.25">
      <c r="A1501" t="s">
        <v>3398</v>
      </c>
      <c r="B1501">
        <v>-1</v>
      </c>
      <c r="C1501" t="s">
        <v>10335</v>
      </c>
      <c r="D1501" s="5">
        <v>426.47</v>
      </c>
    </row>
    <row r="1502" spans="1:4" x14ac:dyDescent="0.25">
      <c r="A1502" t="s">
        <v>3374</v>
      </c>
      <c r="B1502">
        <v>-1</v>
      </c>
      <c r="C1502" t="s">
        <v>10335</v>
      </c>
      <c r="D1502" s="5">
        <v>85.93</v>
      </c>
    </row>
    <row r="1503" spans="1:4" x14ac:dyDescent="0.25">
      <c r="A1503" t="s">
        <v>3371</v>
      </c>
      <c r="B1503">
        <v>-1</v>
      </c>
      <c r="C1503" t="s">
        <v>10338</v>
      </c>
      <c r="D1503" s="5">
        <v>780.02</v>
      </c>
    </row>
    <row r="1504" spans="1:4" x14ac:dyDescent="0.25">
      <c r="A1504" t="s">
        <v>3392</v>
      </c>
      <c r="B1504">
        <v>-1</v>
      </c>
      <c r="C1504" t="s">
        <v>10338</v>
      </c>
      <c r="D1504" s="5">
        <v>1558.79</v>
      </c>
    </row>
    <row r="1505" spans="1:4" x14ac:dyDescent="0.25">
      <c r="A1505" t="s">
        <v>3383</v>
      </c>
      <c r="B1505">
        <v>-1</v>
      </c>
      <c r="C1505" t="s">
        <v>10337</v>
      </c>
      <c r="D1505" s="5">
        <v>1112.22</v>
      </c>
    </row>
    <row r="1506" spans="1:4" x14ac:dyDescent="0.25">
      <c r="A1506" t="s">
        <v>3386</v>
      </c>
      <c r="B1506">
        <v>-1</v>
      </c>
      <c r="C1506" t="s">
        <v>10344</v>
      </c>
      <c r="D1506" s="5">
        <v>489.46</v>
      </c>
    </row>
    <row r="1507" spans="1:4" x14ac:dyDescent="0.25">
      <c r="A1507" t="s">
        <v>9129</v>
      </c>
      <c r="B1507">
        <v>-1</v>
      </c>
      <c r="C1507" t="s">
        <v>10344</v>
      </c>
      <c r="D1507" s="5">
        <v>236.71</v>
      </c>
    </row>
    <row r="1508" spans="1:4" x14ac:dyDescent="0.25">
      <c r="A1508" t="s">
        <v>3531</v>
      </c>
      <c r="B1508">
        <v>-1</v>
      </c>
      <c r="C1508" t="s">
        <v>10333</v>
      </c>
      <c r="D1508" s="5">
        <v>-9129.58</v>
      </c>
    </row>
    <row r="1509" spans="1:4" x14ac:dyDescent="0.25">
      <c r="A1509" t="s">
        <v>3537</v>
      </c>
      <c r="B1509">
        <v>-1</v>
      </c>
      <c r="C1509" t="s">
        <v>10340</v>
      </c>
      <c r="D1509" s="5">
        <v>-7984.44</v>
      </c>
    </row>
    <row r="1510" spans="1:4" x14ac:dyDescent="0.25">
      <c r="A1510" t="s">
        <v>3521</v>
      </c>
      <c r="B1510">
        <v>-1</v>
      </c>
      <c r="C1510" t="s">
        <v>10340</v>
      </c>
      <c r="D1510" s="5">
        <v>2116.6999999999998</v>
      </c>
    </row>
    <row r="1511" spans="1:4" x14ac:dyDescent="0.25">
      <c r="A1511" t="s">
        <v>3503</v>
      </c>
      <c r="B1511">
        <v>-1</v>
      </c>
      <c r="C1511" t="s">
        <v>10335</v>
      </c>
      <c r="D1511" s="5">
        <v>-10809.8</v>
      </c>
    </row>
    <row r="1512" spans="1:4" x14ac:dyDescent="0.25">
      <c r="A1512" t="s">
        <v>1447</v>
      </c>
      <c r="B1512">
        <v>-1</v>
      </c>
      <c r="C1512" t="s">
        <v>10337</v>
      </c>
      <c r="D1512" s="5">
        <v>2622.96</v>
      </c>
    </row>
    <row r="1513" spans="1:4" x14ac:dyDescent="0.25">
      <c r="A1513" t="s">
        <v>7080</v>
      </c>
      <c r="B1513">
        <v>-1</v>
      </c>
      <c r="C1513" t="s">
        <v>10333</v>
      </c>
      <c r="D1513" s="5">
        <v>-55282.77</v>
      </c>
    </row>
    <row r="1514" spans="1:4" x14ac:dyDescent="0.25">
      <c r="A1514" t="s">
        <v>8135</v>
      </c>
      <c r="B1514">
        <v>-1</v>
      </c>
      <c r="C1514" t="s">
        <v>10333</v>
      </c>
      <c r="D1514" s="5">
        <v>-15749.11</v>
      </c>
    </row>
    <row r="1515" spans="1:4" x14ac:dyDescent="0.25">
      <c r="A1515" t="s">
        <v>8816</v>
      </c>
      <c r="B1515">
        <v>-1</v>
      </c>
      <c r="C1515" t="s">
        <v>10341</v>
      </c>
      <c r="D1515" s="5">
        <v>107.91</v>
      </c>
    </row>
    <row r="1516" spans="1:4" x14ac:dyDescent="0.25">
      <c r="A1516" t="s">
        <v>8725</v>
      </c>
      <c r="B1516">
        <v>-1</v>
      </c>
      <c r="C1516" t="s">
        <v>10333</v>
      </c>
      <c r="D1516" s="5">
        <v>-52723.74</v>
      </c>
    </row>
    <row r="1517" spans="1:4" x14ac:dyDescent="0.25">
      <c r="A1517" t="s">
        <v>5747</v>
      </c>
      <c r="B1517">
        <v>-1</v>
      </c>
      <c r="C1517" t="s">
        <v>10333</v>
      </c>
      <c r="D1517" s="5">
        <v>-130605.6</v>
      </c>
    </row>
    <row r="1518" spans="1:4" x14ac:dyDescent="0.25">
      <c r="A1518" t="s">
        <v>5761</v>
      </c>
      <c r="B1518">
        <v>-1</v>
      </c>
      <c r="C1518" t="s">
        <v>10333</v>
      </c>
      <c r="D1518" s="5">
        <v>-101517.58</v>
      </c>
    </row>
    <row r="1519" spans="1:4" x14ac:dyDescent="0.25">
      <c r="A1519" t="s">
        <v>5368</v>
      </c>
      <c r="B1519">
        <v>-1</v>
      </c>
      <c r="C1519" t="s">
        <v>10333</v>
      </c>
      <c r="D1519" s="5">
        <v>-16520.400000000001</v>
      </c>
    </row>
    <row r="1520" spans="1:4" x14ac:dyDescent="0.25">
      <c r="A1520" t="s">
        <v>8671</v>
      </c>
      <c r="B1520">
        <v>-1</v>
      </c>
      <c r="C1520" t="s">
        <v>10333</v>
      </c>
      <c r="D1520" s="5">
        <v>-111762.24000000001</v>
      </c>
    </row>
    <row r="1521" spans="1:4" x14ac:dyDescent="0.25">
      <c r="A1521" t="s">
        <v>6601</v>
      </c>
      <c r="B1521">
        <v>-1</v>
      </c>
      <c r="C1521" t="s">
        <v>10336</v>
      </c>
      <c r="D1521" s="5">
        <v>-599.51</v>
      </c>
    </row>
    <row r="1522" spans="1:4" x14ac:dyDescent="0.25">
      <c r="A1522" t="s">
        <v>867</v>
      </c>
      <c r="B1522">
        <v>-1</v>
      </c>
      <c r="C1522" t="s">
        <v>10334</v>
      </c>
      <c r="D1522" s="5">
        <v>-2407.0300000000002</v>
      </c>
    </row>
    <row r="1523" spans="1:4" x14ac:dyDescent="0.25">
      <c r="A1523" t="s">
        <v>8685</v>
      </c>
      <c r="B1523">
        <v>-1</v>
      </c>
      <c r="C1523" t="s">
        <v>10333</v>
      </c>
      <c r="D1523" s="5">
        <v>-68387.06</v>
      </c>
    </row>
    <row r="1524" spans="1:4" x14ac:dyDescent="0.25">
      <c r="A1524" t="s">
        <v>5567</v>
      </c>
      <c r="B1524">
        <v>-1</v>
      </c>
      <c r="C1524" t="s">
        <v>10340</v>
      </c>
      <c r="D1524" s="5">
        <v>138.01</v>
      </c>
    </row>
    <row r="1525" spans="1:4" x14ac:dyDescent="0.25">
      <c r="A1525" t="s">
        <v>4382</v>
      </c>
      <c r="B1525">
        <v>-1</v>
      </c>
      <c r="C1525" t="s">
        <v>10333</v>
      </c>
      <c r="D1525" s="5">
        <v>-31032.41</v>
      </c>
    </row>
    <row r="1526" spans="1:4" x14ac:dyDescent="0.25">
      <c r="A1526" t="s">
        <v>6714</v>
      </c>
      <c r="B1526">
        <v>-1</v>
      </c>
      <c r="C1526" t="s">
        <v>10336</v>
      </c>
      <c r="D1526" s="5">
        <v>-9183.8799999999992</v>
      </c>
    </row>
    <row r="1527" spans="1:4" x14ac:dyDescent="0.25">
      <c r="A1527" t="s">
        <v>7004</v>
      </c>
      <c r="B1527">
        <v>-1</v>
      </c>
      <c r="C1527" t="s">
        <v>10335</v>
      </c>
      <c r="D1527" s="5">
        <v>-1416.98</v>
      </c>
    </row>
    <row r="1528" spans="1:4" x14ac:dyDescent="0.25">
      <c r="A1528" t="s">
        <v>7134</v>
      </c>
      <c r="B1528">
        <v>-1</v>
      </c>
      <c r="C1528" t="s">
        <v>10333</v>
      </c>
      <c r="D1528" s="5">
        <v>-76482.509999999995</v>
      </c>
    </row>
    <row r="1529" spans="1:4" x14ac:dyDescent="0.25">
      <c r="A1529" t="s">
        <v>8819</v>
      </c>
      <c r="B1529">
        <v>-1</v>
      </c>
      <c r="C1529" t="s">
        <v>10333</v>
      </c>
      <c r="D1529" s="5">
        <v>-26593.68</v>
      </c>
    </row>
    <row r="1530" spans="1:4" x14ac:dyDescent="0.25">
      <c r="A1530" t="s">
        <v>5502</v>
      </c>
      <c r="B1530">
        <v>-1</v>
      </c>
      <c r="C1530" t="s">
        <v>10335</v>
      </c>
      <c r="D1530" s="5">
        <v>6762.7</v>
      </c>
    </row>
    <row r="1531" spans="1:4" x14ac:dyDescent="0.25">
      <c r="A1531" t="s">
        <v>3947</v>
      </c>
      <c r="B1531">
        <v>-1</v>
      </c>
      <c r="C1531" t="s">
        <v>10343</v>
      </c>
      <c r="D1531" s="5">
        <v>1068.08</v>
      </c>
    </row>
    <row r="1532" spans="1:4" x14ac:dyDescent="0.25">
      <c r="A1532" t="s">
        <v>8796</v>
      </c>
      <c r="B1532">
        <v>-1</v>
      </c>
      <c r="C1532" t="s">
        <v>10333</v>
      </c>
      <c r="D1532" s="5">
        <v>-27889.7</v>
      </c>
    </row>
    <row r="1533" spans="1:4" x14ac:dyDescent="0.25">
      <c r="A1533" t="s">
        <v>8630</v>
      </c>
      <c r="B1533">
        <v>-1</v>
      </c>
      <c r="C1533" t="s">
        <v>10334</v>
      </c>
      <c r="D1533" s="5">
        <v>209.96</v>
      </c>
    </row>
    <row r="1534" spans="1:4" x14ac:dyDescent="0.25">
      <c r="A1534" t="s">
        <v>7779</v>
      </c>
      <c r="B1534">
        <v>-1</v>
      </c>
      <c r="C1534" t="s">
        <v>10336</v>
      </c>
      <c r="D1534" s="5">
        <v>3013.89</v>
      </c>
    </row>
    <row r="1535" spans="1:4" x14ac:dyDescent="0.25">
      <c r="A1535" t="s">
        <v>4164</v>
      </c>
      <c r="B1535">
        <v>-1</v>
      </c>
      <c r="C1535" t="s">
        <v>10333</v>
      </c>
      <c r="D1535" s="5">
        <v>-70517.600000000006</v>
      </c>
    </row>
    <row r="1536" spans="1:4" x14ac:dyDescent="0.25">
      <c r="A1536" t="s">
        <v>346</v>
      </c>
      <c r="B1536">
        <v>-1</v>
      </c>
      <c r="C1536" t="s">
        <v>10333</v>
      </c>
      <c r="D1536" s="5">
        <v>-12885.53</v>
      </c>
    </row>
    <row r="1537" spans="1:4" x14ac:dyDescent="0.25">
      <c r="A1537" t="s">
        <v>8699</v>
      </c>
      <c r="B1537">
        <v>-1</v>
      </c>
      <c r="C1537" t="s">
        <v>10333</v>
      </c>
      <c r="D1537" s="5">
        <v>-66042.7</v>
      </c>
    </row>
    <row r="1538" spans="1:4" x14ac:dyDescent="0.25">
      <c r="A1538" t="s">
        <v>8813</v>
      </c>
      <c r="B1538">
        <v>-1</v>
      </c>
      <c r="C1538" t="s">
        <v>10333</v>
      </c>
      <c r="D1538" s="5">
        <v>-70296.160000000003</v>
      </c>
    </row>
    <row r="1539" spans="1:4" x14ac:dyDescent="0.25">
      <c r="A1539" t="s">
        <v>4938</v>
      </c>
      <c r="B1539">
        <v>-1</v>
      </c>
      <c r="C1539" t="s">
        <v>10335</v>
      </c>
      <c r="D1539" s="5">
        <v>-3832.82</v>
      </c>
    </row>
    <row r="1540" spans="1:4" x14ac:dyDescent="0.25">
      <c r="A1540" t="s">
        <v>8433</v>
      </c>
      <c r="B1540">
        <v>-1</v>
      </c>
      <c r="C1540" t="s">
        <v>10333</v>
      </c>
      <c r="D1540" s="5">
        <v>-31862.68</v>
      </c>
    </row>
    <row r="1541" spans="1:4" x14ac:dyDescent="0.25">
      <c r="A1541" t="s">
        <v>1312</v>
      </c>
      <c r="B1541">
        <v>-1</v>
      </c>
      <c r="C1541" t="s">
        <v>10335</v>
      </c>
      <c r="D1541" s="5">
        <v>373.78</v>
      </c>
    </row>
    <row r="1542" spans="1:4" x14ac:dyDescent="0.25">
      <c r="A1542" t="s">
        <v>9882</v>
      </c>
      <c r="B1542">
        <v>-1</v>
      </c>
      <c r="C1542" t="s">
        <v>10343</v>
      </c>
      <c r="D1542" s="5">
        <v>-956</v>
      </c>
    </row>
    <row r="1543" spans="1:4" x14ac:dyDescent="0.25">
      <c r="A1543" t="s">
        <v>1587</v>
      </c>
      <c r="B1543">
        <v>-1</v>
      </c>
      <c r="C1543" t="s">
        <v>10341</v>
      </c>
      <c r="D1543" s="5">
        <v>988.79</v>
      </c>
    </row>
    <row r="1544" spans="1:4" x14ac:dyDescent="0.25">
      <c r="A1544" t="s">
        <v>2657</v>
      </c>
      <c r="B1544">
        <v>-1</v>
      </c>
      <c r="C1544" t="s">
        <v>10335</v>
      </c>
      <c r="D1544" s="5">
        <v>-17075.47</v>
      </c>
    </row>
    <row r="1545" spans="1:4" x14ac:dyDescent="0.25">
      <c r="A1545" t="s">
        <v>6993</v>
      </c>
      <c r="B1545">
        <v>-1</v>
      </c>
      <c r="C1545" t="s">
        <v>10334</v>
      </c>
      <c r="D1545" s="5">
        <v>6972.08</v>
      </c>
    </row>
    <row r="1546" spans="1:4" x14ac:dyDescent="0.25">
      <c r="A1546" t="s">
        <v>4327</v>
      </c>
      <c r="B1546">
        <v>-1</v>
      </c>
      <c r="C1546" t="s">
        <v>10333</v>
      </c>
      <c r="D1546" s="5">
        <v>-34714.050000000003</v>
      </c>
    </row>
    <row r="1547" spans="1:4" x14ac:dyDescent="0.25">
      <c r="A1547" t="s">
        <v>8827</v>
      </c>
      <c r="B1547">
        <v>-1</v>
      </c>
      <c r="C1547" t="s">
        <v>10333</v>
      </c>
      <c r="D1547" s="5">
        <v>-102892.63</v>
      </c>
    </row>
    <row r="1548" spans="1:4" x14ac:dyDescent="0.25">
      <c r="A1548" t="s">
        <v>3209</v>
      </c>
      <c r="B1548">
        <v>-1</v>
      </c>
      <c r="C1548" t="s">
        <v>10336</v>
      </c>
      <c r="D1548" s="5">
        <v>-21640.95</v>
      </c>
    </row>
    <row r="1549" spans="1:4" x14ac:dyDescent="0.25">
      <c r="A1549" t="s">
        <v>8771</v>
      </c>
      <c r="B1549">
        <v>-1</v>
      </c>
      <c r="C1549" t="s">
        <v>10333</v>
      </c>
      <c r="D1549" s="5">
        <v>-40064.339999999997</v>
      </c>
    </row>
    <row r="1550" spans="1:4" x14ac:dyDescent="0.25">
      <c r="A1550" t="s">
        <v>3266</v>
      </c>
      <c r="B1550">
        <v>-1</v>
      </c>
      <c r="C1550" t="s">
        <v>10336</v>
      </c>
      <c r="D1550" s="5">
        <v>10202.08</v>
      </c>
    </row>
    <row r="1551" spans="1:4" x14ac:dyDescent="0.25">
      <c r="A1551" t="s">
        <v>9436</v>
      </c>
      <c r="B1551">
        <v>-1</v>
      </c>
      <c r="C1551" t="s">
        <v>10338</v>
      </c>
      <c r="D1551" s="5">
        <v>1099.01</v>
      </c>
    </row>
    <row r="1552" spans="1:4" x14ac:dyDescent="0.25">
      <c r="A1552" t="s">
        <v>8529</v>
      </c>
      <c r="B1552">
        <v>-1</v>
      </c>
      <c r="C1552" t="s">
        <v>10340</v>
      </c>
      <c r="D1552" s="5">
        <v>576.29</v>
      </c>
    </row>
    <row r="1553" spans="1:4" x14ac:dyDescent="0.25">
      <c r="A1553" t="s">
        <v>8722</v>
      </c>
      <c r="B1553">
        <v>-1</v>
      </c>
      <c r="C1553" t="s">
        <v>10333</v>
      </c>
      <c r="D1553" s="5">
        <v>-25606.400000000001</v>
      </c>
    </row>
    <row r="1554" spans="1:4" x14ac:dyDescent="0.25">
      <c r="A1554" t="s">
        <v>902</v>
      </c>
      <c r="B1554">
        <v>-1</v>
      </c>
      <c r="C1554" t="s">
        <v>10333</v>
      </c>
      <c r="D1554" s="5">
        <v>-11164.8</v>
      </c>
    </row>
    <row r="1555" spans="1:4" x14ac:dyDescent="0.25">
      <c r="A1555" t="s">
        <v>476</v>
      </c>
      <c r="B1555">
        <v>-1</v>
      </c>
      <c r="C1555" t="s">
        <v>10344</v>
      </c>
      <c r="D1555" s="5">
        <v>3498.86</v>
      </c>
    </row>
    <row r="1556" spans="1:4" x14ac:dyDescent="0.25">
      <c r="A1556" t="s">
        <v>8758</v>
      </c>
      <c r="B1556">
        <v>-1</v>
      </c>
      <c r="C1556" t="s">
        <v>10333</v>
      </c>
      <c r="D1556" s="5">
        <v>-4244.3900000000003</v>
      </c>
    </row>
    <row r="1557" spans="1:4" x14ac:dyDescent="0.25">
      <c r="A1557" t="s">
        <v>10040</v>
      </c>
      <c r="B1557">
        <v>-1</v>
      </c>
      <c r="C1557" t="s">
        <v>10333</v>
      </c>
      <c r="D1557" s="5">
        <v>-7042.8</v>
      </c>
    </row>
    <row r="1558" spans="1:4" x14ac:dyDescent="0.25">
      <c r="A1558" t="s">
        <v>8216</v>
      </c>
      <c r="B1558">
        <v>-1</v>
      </c>
      <c r="C1558" t="s">
        <v>10333</v>
      </c>
      <c r="D1558" s="5">
        <v>-15495.45</v>
      </c>
    </row>
    <row r="1559" spans="1:4" x14ac:dyDescent="0.25">
      <c r="A1559" t="s">
        <v>7746</v>
      </c>
      <c r="B1559">
        <v>-1</v>
      </c>
      <c r="C1559" t="s">
        <v>10333</v>
      </c>
      <c r="D1559" s="5">
        <v>3200.43</v>
      </c>
    </row>
    <row r="1560" spans="1:4" x14ac:dyDescent="0.25">
      <c r="A1560" t="s">
        <v>8147</v>
      </c>
      <c r="B1560">
        <v>-1</v>
      </c>
      <c r="C1560" t="s">
        <v>10333</v>
      </c>
      <c r="D1560" s="5">
        <v>1440.29</v>
      </c>
    </row>
    <row r="1561" spans="1:4" x14ac:dyDescent="0.25">
      <c r="A1561" t="s">
        <v>8840</v>
      </c>
      <c r="B1561">
        <v>-1</v>
      </c>
      <c r="C1561" t="s">
        <v>10333</v>
      </c>
      <c r="D1561" s="5">
        <v>-57085.75</v>
      </c>
    </row>
    <row r="1562" spans="1:4" x14ac:dyDescent="0.25">
      <c r="A1562" t="s">
        <v>8784</v>
      </c>
      <c r="B1562">
        <v>-1</v>
      </c>
      <c r="C1562" t="s">
        <v>10333</v>
      </c>
      <c r="D1562" s="5">
        <v>-15644.33</v>
      </c>
    </row>
    <row r="1563" spans="1:4" x14ac:dyDescent="0.25">
      <c r="A1563" t="s">
        <v>8734</v>
      </c>
      <c r="B1563">
        <v>-1</v>
      </c>
      <c r="C1563" t="s">
        <v>10333</v>
      </c>
      <c r="D1563" s="5">
        <v>-103959.39</v>
      </c>
    </row>
    <row r="1564" spans="1:4" x14ac:dyDescent="0.25">
      <c r="A1564" t="s">
        <v>9582</v>
      </c>
      <c r="B1564">
        <v>-1</v>
      </c>
      <c r="C1564" t="s">
        <v>10338</v>
      </c>
      <c r="D1564" s="5">
        <v>2582.12</v>
      </c>
    </row>
    <row r="1565" spans="1:4" x14ac:dyDescent="0.25">
      <c r="A1565" t="s">
        <v>3112</v>
      </c>
      <c r="B1565">
        <v>-1</v>
      </c>
      <c r="C1565" t="s">
        <v>10338</v>
      </c>
      <c r="D1565" s="5">
        <v>4007.42</v>
      </c>
    </row>
    <row r="1566" spans="1:4" x14ac:dyDescent="0.25">
      <c r="A1566" t="s">
        <v>7774</v>
      </c>
      <c r="B1566">
        <v>-1</v>
      </c>
      <c r="C1566" t="s">
        <v>10334</v>
      </c>
      <c r="D1566" s="5">
        <v>753.07</v>
      </c>
    </row>
    <row r="1567" spans="1:4" x14ac:dyDescent="0.25">
      <c r="A1567" t="s">
        <v>6297</v>
      </c>
      <c r="B1567">
        <v>-1</v>
      </c>
      <c r="C1567" t="s">
        <v>10333</v>
      </c>
      <c r="D1567" s="5">
        <v>-44168.03</v>
      </c>
    </row>
    <row r="1568" spans="1:4" x14ac:dyDescent="0.25">
      <c r="A1568" t="s">
        <v>426</v>
      </c>
      <c r="B1568">
        <v>-1</v>
      </c>
      <c r="C1568" t="s">
        <v>10336</v>
      </c>
      <c r="D1568" s="5">
        <v>4258.3</v>
      </c>
    </row>
    <row r="1569" spans="1:4" x14ac:dyDescent="0.25">
      <c r="A1569" t="s">
        <v>6238</v>
      </c>
      <c r="B1569">
        <v>-1</v>
      </c>
      <c r="C1569" t="s">
        <v>10336</v>
      </c>
      <c r="D1569" s="5">
        <v>2006.89</v>
      </c>
    </row>
    <row r="1570" spans="1:4" x14ac:dyDescent="0.25">
      <c r="A1570" t="s">
        <v>4094</v>
      </c>
      <c r="B1570">
        <v>-1</v>
      </c>
      <c r="C1570" t="s">
        <v>10333</v>
      </c>
      <c r="D1570" s="5">
        <v>-9050.9</v>
      </c>
    </row>
    <row r="1571" spans="1:4" x14ac:dyDescent="0.25">
      <c r="A1571" t="s">
        <v>9402</v>
      </c>
      <c r="B1571">
        <v>-1</v>
      </c>
      <c r="C1571" t="s">
        <v>10333</v>
      </c>
      <c r="D1571" s="5">
        <v>-28084.05</v>
      </c>
    </row>
    <row r="1572" spans="1:4" x14ac:dyDescent="0.25">
      <c r="A1572" t="s">
        <v>10127</v>
      </c>
      <c r="B1572">
        <v>-1</v>
      </c>
      <c r="C1572" t="s">
        <v>10336</v>
      </c>
      <c r="D1572" s="5">
        <v>-17008.2</v>
      </c>
    </row>
    <row r="1573" spans="1:4" x14ac:dyDescent="0.25">
      <c r="A1573" t="s">
        <v>8140</v>
      </c>
      <c r="B1573">
        <v>-1</v>
      </c>
      <c r="C1573" t="s">
        <v>10340</v>
      </c>
      <c r="D1573" s="5">
        <v>-3004.97</v>
      </c>
    </row>
    <row r="1574" spans="1:4" x14ac:dyDescent="0.25">
      <c r="A1574" t="s">
        <v>423</v>
      </c>
      <c r="B1574">
        <v>-1</v>
      </c>
      <c r="C1574" t="s">
        <v>10336</v>
      </c>
      <c r="D1574" s="5">
        <v>-8260.75</v>
      </c>
    </row>
    <row r="1575" spans="1:4" x14ac:dyDescent="0.25">
      <c r="A1575" t="s">
        <v>8868</v>
      </c>
      <c r="B1575">
        <v>-1</v>
      </c>
      <c r="C1575" t="s">
        <v>10333</v>
      </c>
      <c r="D1575" s="5">
        <v>-31719.64</v>
      </c>
    </row>
    <row r="1576" spans="1:4" x14ac:dyDescent="0.25">
      <c r="A1576" t="s">
        <v>6318</v>
      </c>
      <c r="B1576">
        <v>-1</v>
      </c>
      <c r="C1576" t="s">
        <v>10337</v>
      </c>
      <c r="D1576" s="5">
        <v>446.18</v>
      </c>
    </row>
    <row r="1577" spans="1:4" x14ac:dyDescent="0.25">
      <c r="A1577" t="s">
        <v>7119</v>
      </c>
      <c r="B1577">
        <v>-1</v>
      </c>
      <c r="C1577" t="s">
        <v>10333</v>
      </c>
      <c r="D1577" s="5">
        <v>-90021.4</v>
      </c>
    </row>
    <row r="1578" spans="1:4" x14ac:dyDescent="0.25">
      <c r="A1578" t="s">
        <v>6767</v>
      </c>
      <c r="B1578">
        <v>-1</v>
      </c>
      <c r="C1578" t="s">
        <v>10333</v>
      </c>
      <c r="D1578" s="5">
        <v>-20179.29</v>
      </c>
    </row>
    <row r="1579" spans="1:4" x14ac:dyDescent="0.25">
      <c r="A1579" t="s">
        <v>8702</v>
      </c>
      <c r="B1579">
        <v>-1</v>
      </c>
      <c r="C1579" t="s">
        <v>10333</v>
      </c>
      <c r="D1579" s="5">
        <v>-49840.95</v>
      </c>
    </row>
    <row r="1580" spans="1:4" x14ac:dyDescent="0.25">
      <c r="A1580" t="s">
        <v>8225</v>
      </c>
      <c r="B1580">
        <v>-1</v>
      </c>
      <c r="C1580" t="s">
        <v>10336</v>
      </c>
      <c r="D1580" s="5">
        <v>-20721.830000000002</v>
      </c>
    </row>
    <row r="1581" spans="1:4" x14ac:dyDescent="0.25">
      <c r="A1581" t="s">
        <v>8716</v>
      </c>
      <c r="B1581">
        <v>-1</v>
      </c>
      <c r="C1581" t="s">
        <v>10333</v>
      </c>
      <c r="D1581" s="5">
        <v>-23081.54</v>
      </c>
    </row>
    <row r="1582" spans="1:4" x14ac:dyDescent="0.25">
      <c r="A1582" t="s">
        <v>959</v>
      </c>
      <c r="B1582">
        <v>-1</v>
      </c>
      <c r="C1582" t="s">
        <v>10344</v>
      </c>
      <c r="D1582" s="5">
        <v>-3671.22</v>
      </c>
    </row>
    <row r="1583" spans="1:4" x14ac:dyDescent="0.25">
      <c r="A1583" t="s">
        <v>4318</v>
      </c>
      <c r="B1583">
        <v>-1</v>
      </c>
      <c r="C1583" t="s">
        <v>10333</v>
      </c>
      <c r="D1583" s="5">
        <v>-62247.05</v>
      </c>
    </row>
    <row r="1584" spans="1:4" x14ac:dyDescent="0.25">
      <c r="A1584" t="s">
        <v>5178</v>
      </c>
      <c r="B1584">
        <v>-1</v>
      </c>
      <c r="C1584" t="s">
        <v>10333</v>
      </c>
      <c r="D1584" s="5">
        <v>-3701.3</v>
      </c>
    </row>
    <row r="1585" spans="1:4" x14ac:dyDescent="0.25">
      <c r="A1585" t="s">
        <v>4203</v>
      </c>
      <c r="B1585">
        <v>-1</v>
      </c>
      <c r="C1585" t="s">
        <v>10333</v>
      </c>
      <c r="D1585" s="5">
        <v>-116035.51</v>
      </c>
    </row>
    <row r="1586" spans="1:4" x14ac:dyDescent="0.25">
      <c r="A1586" t="s">
        <v>8376</v>
      </c>
      <c r="B1586">
        <v>-1</v>
      </c>
      <c r="C1586" t="s">
        <v>10336</v>
      </c>
      <c r="D1586" s="5">
        <v>-1179.67</v>
      </c>
    </row>
    <row r="1587" spans="1:4" x14ac:dyDescent="0.25">
      <c r="A1587" t="s">
        <v>5132</v>
      </c>
      <c r="B1587">
        <v>-1</v>
      </c>
      <c r="C1587" t="s">
        <v>10333</v>
      </c>
      <c r="D1587" s="5">
        <v>-26994.66</v>
      </c>
    </row>
    <row r="1588" spans="1:4" x14ac:dyDescent="0.25">
      <c r="A1588" t="s">
        <v>4226</v>
      </c>
      <c r="B1588">
        <v>-1</v>
      </c>
      <c r="C1588" t="s">
        <v>10333</v>
      </c>
      <c r="D1588" s="5">
        <v>-1842.96</v>
      </c>
    </row>
    <row r="1589" spans="1:4" x14ac:dyDescent="0.25">
      <c r="A1589" t="s">
        <v>87</v>
      </c>
      <c r="B1589">
        <v>-1</v>
      </c>
      <c r="C1589" t="s">
        <v>10341</v>
      </c>
      <c r="D1589" s="5">
        <v>79.05</v>
      </c>
    </row>
    <row r="1590" spans="1:4" x14ac:dyDescent="0.25">
      <c r="A1590" t="s">
        <v>9675</v>
      </c>
      <c r="B1590">
        <v>-1</v>
      </c>
      <c r="C1590" t="s">
        <v>10334</v>
      </c>
      <c r="D1590" s="5">
        <v>-2149.0300000000002</v>
      </c>
    </row>
    <row r="1591" spans="1:4" x14ac:dyDescent="0.25">
      <c r="A1591" t="s">
        <v>7477</v>
      </c>
      <c r="B1591">
        <v>-1</v>
      </c>
      <c r="C1591" t="s">
        <v>10338</v>
      </c>
      <c r="D1591" s="5">
        <v>3721.95</v>
      </c>
    </row>
    <row r="1592" spans="1:4" x14ac:dyDescent="0.25">
      <c r="A1592" t="s">
        <v>7243</v>
      </c>
      <c r="B1592">
        <v>-1</v>
      </c>
      <c r="C1592" t="s">
        <v>10340</v>
      </c>
      <c r="D1592" s="5">
        <v>-6028.74</v>
      </c>
    </row>
    <row r="1593" spans="1:4" x14ac:dyDescent="0.25">
      <c r="A1593" t="s">
        <v>4223</v>
      </c>
      <c r="B1593">
        <v>-1</v>
      </c>
      <c r="C1593" t="s">
        <v>10339</v>
      </c>
      <c r="D1593" s="5">
        <v>6562.77</v>
      </c>
    </row>
    <row r="1594" spans="1:4" x14ac:dyDescent="0.25">
      <c r="A1594" t="s">
        <v>4000</v>
      </c>
      <c r="B1594">
        <v>-1</v>
      </c>
      <c r="C1594" t="s">
        <v>10340</v>
      </c>
      <c r="D1594" s="5">
        <v>-1562.7</v>
      </c>
    </row>
    <row r="1595" spans="1:4" x14ac:dyDescent="0.25">
      <c r="A1595" t="s">
        <v>899</v>
      </c>
      <c r="B1595">
        <v>-1</v>
      </c>
      <c r="C1595" t="s">
        <v>10340</v>
      </c>
      <c r="D1595" s="5">
        <v>-1200.06</v>
      </c>
    </row>
    <row r="1596" spans="1:4" x14ac:dyDescent="0.25">
      <c r="A1596" t="s">
        <v>918</v>
      </c>
      <c r="B1596">
        <v>-1</v>
      </c>
      <c r="C1596" t="s">
        <v>10340</v>
      </c>
      <c r="D1596" s="5">
        <v>-1592.15</v>
      </c>
    </row>
    <row r="1597" spans="1:4" x14ac:dyDescent="0.25">
      <c r="A1597" t="s">
        <v>2932</v>
      </c>
      <c r="B1597">
        <v>-1</v>
      </c>
      <c r="C1597" t="s">
        <v>10338</v>
      </c>
      <c r="D1597" s="5">
        <v>-8716.06</v>
      </c>
    </row>
    <row r="1598" spans="1:4" x14ac:dyDescent="0.25">
      <c r="A1598" t="s">
        <v>2781</v>
      </c>
      <c r="B1598">
        <v>-1</v>
      </c>
      <c r="C1598" t="s">
        <v>10344</v>
      </c>
      <c r="D1598" s="5">
        <v>4016.7</v>
      </c>
    </row>
    <row r="1599" spans="1:4" x14ac:dyDescent="0.25">
      <c r="A1599" t="s">
        <v>4279</v>
      </c>
      <c r="B1599">
        <v>-1</v>
      </c>
      <c r="C1599" t="s">
        <v>10333</v>
      </c>
      <c r="D1599" s="5">
        <v>-29596.54</v>
      </c>
    </row>
    <row r="1600" spans="1:4" x14ac:dyDescent="0.25">
      <c r="A1600" t="s">
        <v>3186</v>
      </c>
      <c r="B1600">
        <v>-1</v>
      </c>
      <c r="C1600" t="s">
        <v>10335</v>
      </c>
      <c r="D1600" s="5">
        <v>1787.97</v>
      </c>
    </row>
    <row r="1601" spans="1:4" x14ac:dyDescent="0.25">
      <c r="A1601" t="s">
        <v>6179</v>
      </c>
      <c r="B1601">
        <v>-1</v>
      </c>
      <c r="C1601" t="s">
        <v>10336</v>
      </c>
      <c r="D1601" s="5">
        <v>6617.72</v>
      </c>
    </row>
    <row r="1602" spans="1:4" x14ac:dyDescent="0.25">
      <c r="A1602" t="s">
        <v>4984</v>
      </c>
      <c r="B1602">
        <v>-1</v>
      </c>
      <c r="C1602" t="s">
        <v>10335</v>
      </c>
      <c r="D1602" s="5">
        <v>-1251.54</v>
      </c>
    </row>
    <row r="1603" spans="1:4" x14ac:dyDescent="0.25">
      <c r="A1603" t="s">
        <v>1984</v>
      </c>
      <c r="B1603">
        <v>-1</v>
      </c>
      <c r="C1603" t="s">
        <v>10340</v>
      </c>
      <c r="D1603" s="5">
        <v>-10746.9</v>
      </c>
    </row>
    <row r="1604" spans="1:4" x14ac:dyDescent="0.25">
      <c r="A1604" t="s">
        <v>8406</v>
      </c>
      <c r="B1604">
        <v>-1</v>
      </c>
      <c r="C1604" t="s">
        <v>10336</v>
      </c>
      <c r="D1604" s="5">
        <v>-3558.78</v>
      </c>
    </row>
    <row r="1605" spans="1:4" x14ac:dyDescent="0.25">
      <c r="A1605" t="s">
        <v>5773</v>
      </c>
      <c r="B1605">
        <v>-1</v>
      </c>
      <c r="C1605" t="s">
        <v>10333</v>
      </c>
      <c r="D1605" s="5">
        <v>-7378.86</v>
      </c>
    </row>
    <row r="1606" spans="1:4" x14ac:dyDescent="0.25">
      <c r="A1606" t="s">
        <v>8287</v>
      </c>
      <c r="B1606">
        <v>-1</v>
      </c>
      <c r="C1606" t="s">
        <v>10338</v>
      </c>
      <c r="D1606" s="5">
        <v>773.09</v>
      </c>
    </row>
    <row r="1607" spans="1:4" x14ac:dyDescent="0.25">
      <c r="A1607" t="s">
        <v>765</v>
      </c>
      <c r="B1607">
        <v>-1</v>
      </c>
      <c r="C1607" t="s">
        <v>10333</v>
      </c>
      <c r="D1607" s="5">
        <v>-24696.03</v>
      </c>
    </row>
    <row r="1608" spans="1:4" x14ac:dyDescent="0.25">
      <c r="A1608" t="s">
        <v>810</v>
      </c>
      <c r="B1608">
        <v>-1</v>
      </c>
      <c r="C1608" t="s">
        <v>10335</v>
      </c>
      <c r="D1608" s="5">
        <v>6767.84</v>
      </c>
    </row>
    <row r="1609" spans="1:4" x14ac:dyDescent="0.25">
      <c r="A1609" t="s">
        <v>2562</v>
      </c>
      <c r="B1609">
        <v>-1</v>
      </c>
      <c r="C1609" t="s">
        <v>10333</v>
      </c>
      <c r="D1609" s="5">
        <v>-1372.27</v>
      </c>
    </row>
    <row r="1610" spans="1:4" x14ac:dyDescent="0.25">
      <c r="A1610" t="s">
        <v>1476</v>
      </c>
      <c r="B1610">
        <v>-1</v>
      </c>
      <c r="C1610" t="s">
        <v>10337</v>
      </c>
      <c r="D1610" s="5">
        <v>1592.12</v>
      </c>
    </row>
    <row r="1611" spans="1:4" x14ac:dyDescent="0.25">
      <c r="A1611" t="s">
        <v>1297</v>
      </c>
      <c r="B1611">
        <v>-1</v>
      </c>
      <c r="C1611" t="s">
        <v>10338</v>
      </c>
      <c r="D1611" s="5">
        <v>4759.1899999999996</v>
      </c>
    </row>
    <row r="1612" spans="1:4" x14ac:dyDescent="0.25">
      <c r="A1612" t="s">
        <v>896</v>
      </c>
      <c r="B1612">
        <v>-1</v>
      </c>
      <c r="C1612" t="s">
        <v>10335</v>
      </c>
      <c r="D1612" s="5">
        <v>324.16000000000003</v>
      </c>
    </row>
    <row r="1613" spans="1:4" x14ac:dyDescent="0.25">
      <c r="A1613" t="s">
        <v>3389</v>
      </c>
      <c r="B1613">
        <v>-1</v>
      </c>
      <c r="C1613" t="s">
        <v>10340</v>
      </c>
      <c r="D1613" s="5">
        <v>-2843.42</v>
      </c>
    </row>
    <row r="1614" spans="1:4" x14ac:dyDescent="0.25">
      <c r="A1614" t="s">
        <v>3248</v>
      </c>
      <c r="B1614">
        <v>-1</v>
      </c>
      <c r="C1614" t="s">
        <v>10335</v>
      </c>
      <c r="D1614" s="5">
        <v>-705.9</v>
      </c>
    </row>
    <row r="1615" spans="1:4" x14ac:dyDescent="0.25">
      <c r="A1615" t="s">
        <v>689</v>
      </c>
      <c r="B1615">
        <v>-1</v>
      </c>
      <c r="C1615" t="s">
        <v>10340</v>
      </c>
      <c r="D1615" s="5">
        <v>729.47</v>
      </c>
    </row>
    <row r="1616" spans="1:4" x14ac:dyDescent="0.25">
      <c r="A1616" t="s">
        <v>1936</v>
      </c>
      <c r="B1616">
        <v>-1</v>
      </c>
      <c r="C1616" t="s">
        <v>10338</v>
      </c>
      <c r="D1616" s="5">
        <v>-1855.12</v>
      </c>
    </row>
    <row r="1617" spans="1:4" x14ac:dyDescent="0.25">
      <c r="A1617" t="s">
        <v>3326</v>
      </c>
      <c r="B1617">
        <v>-1</v>
      </c>
      <c r="C1617" t="s">
        <v>10335</v>
      </c>
      <c r="D1617" s="5">
        <v>-1152.77</v>
      </c>
    </row>
    <row r="1618" spans="1:4" x14ac:dyDescent="0.25">
      <c r="A1618" t="s">
        <v>1575</v>
      </c>
      <c r="B1618">
        <v>-1</v>
      </c>
      <c r="C1618" t="s">
        <v>10334</v>
      </c>
      <c r="D1618" s="5">
        <v>-5467.5</v>
      </c>
    </row>
    <row r="1619" spans="1:4" x14ac:dyDescent="0.25">
      <c r="A1619" t="s">
        <v>2476</v>
      </c>
      <c r="B1619">
        <v>-1</v>
      </c>
      <c r="C1619" t="s">
        <v>10345</v>
      </c>
      <c r="D1619" s="5">
        <v>0</v>
      </c>
    </row>
    <row r="1620" spans="1:4" x14ac:dyDescent="0.25">
      <c r="A1620" t="s">
        <v>1294</v>
      </c>
      <c r="B1620">
        <v>-1</v>
      </c>
      <c r="C1620" t="s">
        <v>10340</v>
      </c>
      <c r="D1620" s="5">
        <v>1404.94</v>
      </c>
    </row>
    <row r="1621" spans="1:4" x14ac:dyDescent="0.25">
      <c r="A1621" t="s">
        <v>2717</v>
      </c>
      <c r="B1621">
        <v>-1</v>
      </c>
      <c r="C1621" t="s">
        <v>10337</v>
      </c>
      <c r="D1621" s="5">
        <v>561.41</v>
      </c>
    </row>
    <row r="1622" spans="1:4" x14ac:dyDescent="0.25">
      <c r="A1622" t="s">
        <v>2232</v>
      </c>
      <c r="B1622">
        <v>-1</v>
      </c>
      <c r="C1622" t="s">
        <v>10333</v>
      </c>
      <c r="D1622" s="5">
        <v>-4670.21</v>
      </c>
    </row>
    <row r="1623" spans="1:4" x14ac:dyDescent="0.25">
      <c r="A1623" t="s">
        <v>3230</v>
      </c>
      <c r="B1623">
        <v>-1</v>
      </c>
      <c r="C1623" t="s">
        <v>10340</v>
      </c>
      <c r="D1623" s="5">
        <v>1167.5899999999999</v>
      </c>
    </row>
    <row r="1624" spans="1:4" x14ac:dyDescent="0.25">
      <c r="A1624" t="s">
        <v>2947</v>
      </c>
      <c r="B1624">
        <v>-1</v>
      </c>
      <c r="C1624" t="s">
        <v>10339</v>
      </c>
      <c r="D1624" s="5">
        <v>-1041.6400000000001</v>
      </c>
    </row>
    <row r="1625" spans="1:4" x14ac:dyDescent="0.25">
      <c r="A1625" t="s">
        <v>780</v>
      </c>
      <c r="B1625">
        <v>-1</v>
      </c>
      <c r="C1625" t="s">
        <v>10333</v>
      </c>
      <c r="D1625" s="5">
        <v>-827.64</v>
      </c>
    </row>
    <row r="1626" spans="1:4" x14ac:dyDescent="0.25">
      <c r="A1626" t="s">
        <v>2460</v>
      </c>
      <c r="B1626">
        <v>-1</v>
      </c>
      <c r="C1626" t="s">
        <v>10346</v>
      </c>
      <c r="D1626" s="5">
        <v>-24413.49</v>
      </c>
    </row>
    <row r="1627" spans="1:4" x14ac:dyDescent="0.25">
      <c r="A1627" t="s">
        <v>2413</v>
      </c>
      <c r="B1627">
        <v>-1</v>
      </c>
      <c r="C1627" t="s">
        <v>10335</v>
      </c>
      <c r="D1627" s="5">
        <v>-11875.12</v>
      </c>
    </row>
    <row r="1628" spans="1:4" x14ac:dyDescent="0.25">
      <c r="A1628" t="s">
        <v>1261</v>
      </c>
      <c r="B1628">
        <v>-1</v>
      </c>
      <c r="C1628" t="s">
        <v>10338</v>
      </c>
      <c r="D1628" s="5">
        <v>-410.15</v>
      </c>
    </row>
    <row r="1629" spans="1:4" x14ac:dyDescent="0.25">
      <c r="A1629" t="s">
        <v>1461</v>
      </c>
      <c r="B1629">
        <v>-1</v>
      </c>
      <c r="C1629" t="s">
        <v>10344</v>
      </c>
      <c r="D1629" s="5">
        <v>3466.51</v>
      </c>
    </row>
    <row r="1630" spans="1:4" x14ac:dyDescent="0.25">
      <c r="A1630" t="s">
        <v>1821</v>
      </c>
      <c r="B1630">
        <v>-1</v>
      </c>
      <c r="C1630" t="s">
        <v>10333</v>
      </c>
      <c r="D1630" s="5">
        <v>-6980.77</v>
      </c>
    </row>
    <row r="1631" spans="1:4" x14ac:dyDescent="0.25">
      <c r="A1631" t="s">
        <v>2713</v>
      </c>
      <c r="B1631">
        <v>-1</v>
      </c>
      <c r="C1631" t="s">
        <v>10338</v>
      </c>
      <c r="D1631" s="5">
        <v>1361.33</v>
      </c>
    </row>
    <row r="1632" spans="1:4" x14ac:dyDescent="0.25">
      <c r="A1632" t="s">
        <v>3506</v>
      </c>
      <c r="B1632">
        <v>-1</v>
      </c>
      <c r="C1632" t="s">
        <v>10333</v>
      </c>
      <c r="D1632" s="5">
        <v>-3871.48</v>
      </c>
    </row>
    <row r="1633" spans="1:4" x14ac:dyDescent="0.25">
      <c r="A1633" t="s">
        <v>1330</v>
      </c>
      <c r="B1633">
        <v>-1</v>
      </c>
      <c r="C1633" t="s">
        <v>10333</v>
      </c>
      <c r="D1633" s="5">
        <v>-9277.6299999999992</v>
      </c>
    </row>
    <row r="1634" spans="1:4" x14ac:dyDescent="0.25">
      <c r="A1634" t="s">
        <v>1827</v>
      </c>
      <c r="B1634">
        <v>-1</v>
      </c>
      <c r="C1634" t="s">
        <v>10340</v>
      </c>
      <c r="D1634" s="5">
        <v>4609.4799999999996</v>
      </c>
    </row>
    <row r="1635" spans="1:4" x14ac:dyDescent="0.25">
      <c r="A1635" t="s">
        <v>2811</v>
      </c>
      <c r="B1635">
        <v>-1</v>
      </c>
      <c r="C1635" t="s">
        <v>10344</v>
      </c>
      <c r="D1635" s="5">
        <v>4158.8100000000004</v>
      </c>
    </row>
    <row r="1636" spans="1:4" x14ac:dyDescent="0.25">
      <c r="A1636" t="s">
        <v>7499</v>
      </c>
      <c r="B1636">
        <v>-1</v>
      </c>
      <c r="C1636" t="s">
        <v>10336</v>
      </c>
      <c r="D1636" s="5">
        <v>-122132.08</v>
      </c>
    </row>
    <row r="1637" spans="1:4" x14ac:dyDescent="0.25">
      <c r="A1637" t="s">
        <v>7128</v>
      </c>
      <c r="B1637">
        <v>-1</v>
      </c>
      <c r="C1637" t="s">
        <v>10333</v>
      </c>
      <c r="D1637" s="5">
        <v>-47401.47</v>
      </c>
    </row>
    <row r="1638" spans="1:4" x14ac:dyDescent="0.25">
      <c r="A1638" t="s">
        <v>753</v>
      </c>
      <c r="B1638">
        <v>-1</v>
      </c>
      <c r="C1638" t="s">
        <v>10333</v>
      </c>
      <c r="D1638" s="5">
        <v>-100554.2</v>
      </c>
    </row>
    <row r="1639" spans="1:4" x14ac:dyDescent="0.25">
      <c r="A1639" t="s">
        <v>2490</v>
      </c>
      <c r="B1639">
        <v>-1</v>
      </c>
      <c r="C1639" t="s">
        <v>10340</v>
      </c>
      <c r="D1639" s="5">
        <v>6162.8</v>
      </c>
    </row>
    <row r="1640" spans="1:4" x14ac:dyDescent="0.25">
      <c r="A1640" t="s">
        <v>2661</v>
      </c>
      <c r="B1640">
        <v>-1</v>
      </c>
      <c r="C1640" t="s">
        <v>10333</v>
      </c>
      <c r="D1640" s="5">
        <v>-4577.08</v>
      </c>
    </row>
    <row r="1641" spans="1:4" x14ac:dyDescent="0.25">
      <c r="A1641" t="s">
        <v>7723</v>
      </c>
      <c r="B1641">
        <v>-1</v>
      </c>
      <c r="C1641" t="s">
        <v>10338</v>
      </c>
      <c r="D1641" s="5">
        <v>7157.1</v>
      </c>
    </row>
    <row r="1642" spans="1:4" x14ac:dyDescent="0.25">
      <c r="A1642" t="s">
        <v>2765</v>
      </c>
      <c r="B1642">
        <v>-1</v>
      </c>
      <c r="C1642" t="s">
        <v>10344</v>
      </c>
      <c r="D1642" s="5">
        <v>-89.78</v>
      </c>
    </row>
    <row r="1643" spans="1:4" x14ac:dyDescent="0.25">
      <c r="A1643" t="s">
        <v>1632</v>
      </c>
      <c r="B1643">
        <v>-1</v>
      </c>
      <c r="C1643" t="s">
        <v>10333</v>
      </c>
      <c r="D1643" s="5">
        <v>-19659.18</v>
      </c>
    </row>
    <row r="1644" spans="1:4" x14ac:dyDescent="0.25">
      <c r="A1644" t="s">
        <v>64</v>
      </c>
      <c r="B1644">
        <v>-1</v>
      </c>
      <c r="C1644" t="s">
        <v>10343</v>
      </c>
      <c r="D1644" s="5">
        <v>-571.58000000000004</v>
      </c>
    </row>
    <row r="1645" spans="1:4" x14ac:dyDescent="0.25">
      <c r="A1645" t="s">
        <v>930</v>
      </c>
      <c r="B1645">
        <v>-1</v>
      </c>
      <c r="C1645" t="s">
        <v>10344</v>
      </c>
      <c r="D1645" s="5">
        <v>1369.42</v>
      </c>
    </row>
    <row r="1646" spans="1:4" x14ac:dyDescent="0.25">
      <c r="A1646" t="s">
        <v>597</v>
      </c>
      <c r="B1646">
        <v>-1</v>
      </c>
      <c r="C1646" t="s">
        <v>10336</v>
      </c>
      <c r="D1646" s="5">
        <v>-6302.83</v>
      </c>
    </row>
    <row r="1647" spans="1:4" x14ac:dyDescent="0.25">
      <c r="A1647" t="s">
        <v>2552</v>
      </c>
      <c r="B1647">
        <v>-1</v>
      </c>
      <c r="C1647" t="s">
        <v>10336</v>
      </c>
    </row>
    <row r="1648" spans="1:4" x14ac:dyDescent="0.25">
      <c r="A1648" t="s">
        <v>1291</v>
      </c>
      <c r="B1648">
        <v>-1</v>
      </c>
      <c r="C1648" t="s">
        <v>10337</v>
      </c>
      <c r="D1648" s="5">
        <v>2713.01</v>
      </c>
    </row>
    <row r="1649" spans="1:4" x14ac:dyDescent="0.25">
      <c r="A1649" t="s">
        <v>3043</v>
      </c>
      <c r="B1649">
        <v>-1</v>
      </c>
      <c r="C1649" t="s">
        <v>10340</v>
      </c>
      <c r="D1649" s="5">
        <v>-404.79</v>
      </c>
    </row>
    <row r="1650" spans="1:4" x14ac:dyDescent="0.25">
      <c r="A1650" t="s">
        <v>2494</v>
      </c>
      <c r="B1650">
        <v>-1</v>
      </c>
      <c r="C1650" t="s">
        <v>10341</v>
      </c>
      <c r="D1650" s="5">
        <v>-2437.77</v>
      </c>
    </row>
    <row r="1651" spans="1:4" x14ac:dyDescent="0.25">
      <c r="A1651" t="s">
        <v>2897</v>
      </c>
      <c r="B1651">
        <v>-1</v>
      </c>
      <c r="C1651" t="s">
        <v>10340</v>
      </c>
      <c r="D1651" s="5">
        <v>-800.63</v>
      </c>
    </row>
    <row r="1652" spans="1:4" x14ac:dyDescent="0.25">
      <c r="A1652" t="s">
        <v>3470</v>
      </c>
      <c r="B1652">
        <v>-1</v>
      </c>
      <c r="C1652" t="s">
        <v>10346</v>
      </c>
      <c r="D1652" s="5">
        <v>1279.3399999999999</v>
      </c>
    </row>
    <row r="1653" spans="1:4" x14ac:dyDescent="0.25">
      <c r="A1653" t="s">
        <v>771</v>
      </c>
      <c r="B1653">
        <v>-1</v>
      </c>
      <c r="C1653" t="s">
        <v>10340</v>
      </c>
      <c r="D1653" s="5">
        <v>-815.7</v>
      </c>
    </row>
    <row r="1654" spans="1:4" x14ac:dyDescent="0.25">
      <c r="A1654" t="s">
        <v>2874</v>
      </c>
      <c r="B1654">
        <v>-1</v>
      </c>
      <c r="C1654" t="s">
        <v>10336</v>
      </c>
      <c r="D1654" s="5">
        <v>-2078.16</v>
      </c>
    </row>
    <row r="1655" spans="1:4" x14ac:dyDescent="0.25">
      <c r="A1655" t="s">
        <v>1443</v>
      </c>
      <c r="B1655">
        <v>-1</v>
      </c>
      <c r="C1655" t="s">
        <v>10333</v>
      </c>
      <c r="D1655" s="5">
        <v>-8154.18</v>
      </c>
    </row>
    <row r="1656" spans="1:4" x14ac:dyDescent="0.25">
      <c r="A1656" t="s">
        <v>2958</v>
      </c>
      <c r="B1656">
        <v>-1</v>
      </c>
      <c r="C1656" t="s">
        <v>10344</v>
      </c>
      <c r="D1656" s="5">
        <v>570.13</v>
      </c>
    </row>
    <row r="1657" spans="1:4" x14ac:dyDescent="0.25">
      <c r="A1657" t="s">
        <v>1324</v>
      </c>
      <c r="B1657">
        <v>-1</v>
      </c>
      <c r="C1657" t="s">
        <v>10335</v>
      </c>
      <c r="D1657" s="5">
        <v>-8122.08</v>
      </c>
    </row>
    <row r="1658" spans="1:4" x14ac:dyDescent="0.25">
      <c r="A1658" t="s">
        <v>1839</v>
      </c>
      <c r="B1658">
        <v>-1</v>
      </c>
      <c r="C1658" t="s">
        <v>10339</v>
      </c>
      <c r="D1658" s="5">
        <v>3024.94</v>
      </c>
    </row>
    <row r="1659" spans="1:4" x14ac:dyDescent="0.25">
      <c r="A1659" t="s">
        <v>3329</v>
      </c>
      <c r="B1659">
        <v>-1</v>
      </c>
      <c r="C1659" t="s">
        <v>10340</v>
      </c>
      <c r="D1659" s="5">
        <v>-796.27</v>
      </c>
    </row>
    <row r="1660" spans="1:4" x14ac:dyDescent="0.25">
      <c r="A1660" t="s">
        <v>3032</v>
      </c>
      <c r="B1660">
        <v>-1</v>
      </c>
      <c r="C1660" t="s">
        <v>10344</v>
      </c>
      <c r="D1660" s="5">
        <v>2387.48</v>
      </c>
    </row>
    <row r="1661" spans="1:4" x14ac:dyDescent="0.25">
      <c r="A1661" t="s">
        <v>3242</v>
      </c>
      <c r="B1661">
        <v>-1</v>
      </c>
      <c r="C1661" t="s">
        <v>10340</v>
      </c>
      <c r="D1661" s="5">
        <v>-2282.56</v>
      </c>
    </row>
    <row r="1662" spans="1:4" x14ac:dyDescent="0.25">
      <c r="A1662" t="s">
        <v>1857</v>
      </c>
      <c r="B1662">
        <v>-1</v>
      </c>
      <c r="C1662" t="s">
        <v>10333</v>
      </c>
      <c r="D1662" s="5">
        <v>-862.97</v>
      </c>
    </row>
    <row r="1663" spans="1:4" x14ac:dyDescent="0.25">
      <c r="A1663" t="s">
        <v>3175</v>
      </c>
      <c r="B1663">
        <v>-1</v>
      </c>
      <c r="C1663" t="s">
        <v>10340</v>
      </c>
      <c r="D1663" s="5">
        <v>147.05000000000001</v>
      </c>
    </row>
    <row r="1664" spans="1:4" x14ac:dyDescent="0.25">
      <c r="A1664" t="s">
        <v>3143</v>
      </c>
      <c r="B1664">
        <v>-1</v>
      </c>
      <c r="C1664" t="s">
        <v>10333</v>
      </c>
      <c r="D1664" s="5">
        <v>172.79</v>
      </c>
    </row>
    <row r="1665" spans="1:4" x14ac:dyDescent="0.25">
      <c r="A1665" t="s">
        <v>2881</v>
      </c>
      <c r="B1665">
        <v>-1</v>
      </c>
      <c r="C1665" t="s">
        <v>10344</v>
      </c>
      <c r="D1665" s="5">
        <v>294.52999999999997</v>
      </c>
    </row>
    <row r="1666" spans="1:4" x14ac:dyDescent="0.25">
      <c r="A1666" t="s">
        <v>2757</v>
      </c>
      <c r="B1666">
        <v>-1</v>
      </c>
      <c r="C1666" t="s">
        <v>10340</v>
      </c>
      <c r="D1666" s="5">
        <v>-1935.73</v>
      </c>
    </row>
    <row r="1667" spans="1:4" x14ac:dyDescent="0.25">
      <c r="A1667" t="s">
        <v>1303</v>
      </c>
      <c r="B1667">
        <v>-1</v>
      </c>
      <c r="C1667" t="s">
        <v>10340</v>
      </c>
      <c r="D1667" s="5">
        <v>-2830.18</v>
      </c>
    </row>
    <row r="1668" spans="1:4" x14ac:dyDescent="0.25">
      <c r="A1668" t="s">
        <v>2703</v>
      </c>
      <c r="B1668">
        <v>-1</v>
      </c>
      <c r="C1668" t="s">
        <v>10344</v>
      </c>
      <c r="D1668" s="5">
        <v>-1163.19</v>
      </c>
    </row>
    <row r="1669" spans="1:4" x14ac:dyDescent="0.25">
      <c r="A1669" t="s">
        <v>2921</v>
      </c>
      <c r="B1669">
        <v>-1</v>
      </c>
      <c r="C1669" t="s">
        <v>10338</v>
      </c>
      <c r="D1669" s="5">
        <v>452.02</v>
      </c>
    </row>
    <row r="1670" spans="1:4" x14ac:dyDescent="0.25">
      <c r="A1670" t="s">
        <v>2246</v>
      </c>
      <c r="B1670">
        <v>-1</v>
      </c>
      <c r="C1670" t="s">
        <v>10336</v>
      </c>
      <c r="D1670" s="5">
        <v>-2626.38</v>
      </c>
    </row>
    <row r="1671" spans="1:4" x14ac:dyDescent="0.25">
      <c r="A1671" t="s">
        <v>1803</v>
      </c>
      <c r="B1671">
        <v>-1</v>
      </c>
      <c r="C1671" t="s">
        <v>10333</v>
      </c>
      <c r="D1671" s="5">
        <v>-131.16999999999999</v>
      </c>
    </row>
    <row r="1672" spans="1:4" x14ac:dyDescent="0.25">
      <c r="A1672" t="s">
        <v>7054</v>
      </c>
      <c r="B1672">
        <v>-1</v>
      </c>
      <c r="C1672" t="s">
        <v>10333</v>
      </c>
      <c r="D1672" s="5">
        <v>-9650.94</v>
      </c>
    </row>
    <row r="1673" spans="1:4" x14ac:dyDescent="0.25">
      <c r="A1673" t="s">
        <v>2863</v>
      </c>
      <c r="B1673">
        <v>-1</v>
      </c>
      <c r="C1673" t="s">
        <v>10335</v>
      </c>
      <c r="D1673" s="5">
        <v>455.33</v>
      </c>
    </row>
    <row r="1674" spans="1:4" x14ac:dyDescent="0.25">
      <c r="A1674" t="s">
        <v>2686</v>
      </c>
      <c r="B1674">
        <v>-1</v>
      </c>
      <c r="C1674" t="s">
        <v>10336</v>
      </c>
      <c r="D1674" s="5">
        <v>2041.26</v>
      </c>
    </row>
    <row r="1675" spans="1:4" x14ac:dyDescent="0.25">
      <c r="A1675" t="s">
        <v>1300</v>
      </c>
      <c r="B1675">
        <v>-1</v>
      </c>
      <c r="C1675" t="s">
        <v>10333</v>
      </c>
      <c r="D1675" s="5">
        <v>-5095.58</v>
      </c>
    </row>
    <row r="1676" spans="1:4" x14ac:dyDescent="0.25">
      <c r="A1676" t="s">
        <v>1812</v>
      </c>
      <c r="B1676">
        <v>-1</v>
      </c>
      <c r="C1676" t="s">
        <v>10340</v>
      </c>
      <c r="D1676" s="5">
        <v>10427.1</v>
      </c>
    </row>
    <row r="1677" spans="1:4" x14ac:dyDescent="0.25">
      <c r="A1677" t="s">
        <v>816</v>
      </c>
      <c r="B1677">
        <v>-1</v>
      </c>
      <c r="C1677" t="s">
        <v>10333</v>
      </c>
      <c r="D1677" s="5">
        <v>-4640.34</v>
      </c>
    </row>
    <row r="1678" spans="1:4" x14ac:dyDescent="0.25">
      <c r="A1678" t="s">
        <v>1455</v>
      </c>
      <c r="B1678">
        <v>-1</v>
      </c>
      <c r="C1678" t="s">
        <v>10341</v>
      </c>
      <c r="D1678" s="5">
        <v>3082.66</v>
      </c>
    </row>
    <row r="1679" spans="1:4" x14ac:dyDescent="0.25">
      <c r="A1679" t="s">
        <v>45</v>
      </c>
      <c r="B1679">
        <v>-1</v>
      </c>
      <c r="C1679" t="s">
        <v>10333</v>
      </c>
      <c r="D1679" s="5">
        <v>-5300.33</v>
      </c>
    </row>
    <row r="1680" spans="1:4" x14ac:dyDescent="0.25">
      <c r="A1680" t="s">
        <v>1991</v>
      </c>
      <c r="B1680">
        <v>-1</v>
      </c>
      <c r="C1680" t="s">
        <v>10333</v>
      </c>
      <c r="D1680" s="5">
        <v>-16052.24</v>
      </c>
    </row>
    <row r="1681" spans="1:4" x14ac:dyDescent="0.25">
      <c r="A1681" t="s">
        <v>2278</v>
      </c>
      <c r="B1681">
        <v>-1</v>
      </c>
      <c r="C1681" t="s">
        <v>10338</v>
      </c>
      <c r="D1681" s="5">
        <v>1887.8</v>
      </c>
    </row>
    <row r="1682" spans="1:4" x14ac:dyDescent="0.25">
      <c r="A1682" t="s">
        <v>2740</v>
      </c>
      <c r="B1682">
        <v>-1</v>
      </c>
      <c r="C1682" t="s">
        <v>10343</v>
      </c>
      <c r="D1682" s="5">
        <v>289.47000000000003</v>
      </c>
    </row>
    <row r="1683" spans="1:4" x14ac:dyDescent="0.25">
      <c r="A1683" t="s">
        <v>2215</v>
      </c>
      <c r="B1683">
        <v>-1</v>
      </c>
      <c r="C1683" t="s">
        <v>10339</v>
      </c>
      <c r="D1683" s="5">
        <v>331.46</v>
      </c>
    </row>
    <row r="1684" spans="1:4" x14ac:dyDescent="0.25">
      <c r="A1684" t="s">
        <v>2743</v>
      </c>
      <c r="B1684">
        <v>-1</v>
      </c>
      <c r="C1684" t="s">
        <v>10344</v>
      </c>
      <c r="D1684" s="5">
        <v>-649.46</v>
      </c>
    </row>
    <row r="1685" spans="1:4" x14ac:dyDescent="0.25">
      <c r="A1685" t="s">
        <v>4953</v>
      </c>
      <c r="B1685">
        <v>-1</v>
      </c>
      <c r="C1685" t="s">
        <v>10338</v>
      </c>
      <c r="D1685" s="5">
        <v>-74.900000000000006</v>
      </c>
    </row>
    <row r="1686" spans="1:4" x14ac:dyDescent="0.25">
      <c r="A1686" t="s">
        <v>2803</v>
      </c>
      <c r="B1686">
        <v>-1</v>
      </c>
      <c r="C1686" t="s">
        <v>10336</v>
      </c>
      <c r="D1686" s="5">
        <v>17521.77</v>
      </c>
    </row>
    <row r="1687" spans="1:4" x14ac:dyDescent="0.25">
      <c r="A1687" t="s">
        <v>6251</v>
      </c>
      <c r="B1687">
        <v>-1</v>
      </c>
      <c r="C1687" t="s">
        <v>10342</v>
      </c>
      <c r="D1687" s="5">
        <v>2107.36</v>
      </c>
    </row>
    <row r="1688" spans="1:4" x14ac:dyDescent="0.25">
      <c r="A1688" t="s">
        <v>7510</v>
      </c>
      <c r="B1688">
        <v>-1</v>
      </c>
      <c r="C1688" t="s">
        <v>10344</v>
      </c>
      <c r="D1688" s="5">
        <v>-2090.9499999999998</v>
      </c>
    </row>
    <row r="1689" spans="1:4" x14ac:dyDescent="0.25">
      <c r="A1689" t="s">
        <v>5002</v>
      </c>
      <c r="B1689">
        <v>-1</v>
      </c>
      <c r="C1689" t="s">
        <v>10344</v>
      </c>
      <c r="D1689" s="5">
        <v>-167.24</v>
      </c>
    </row>
    <row r="1690" spans="1:4" x14ac:dyDescent="0.25">
      <c r="A1690" t="s">
        <v>7124</v>
      </c>
      <c r="B1690">
        <v>-1</v>
      </c>
      <c r="C1690" t="s">
        <v>10336</v>
      </c>
      <c r="D1690" s="5">
        <v>-113400.34</v>
      </c>
    </row>
    <row r="1691" spans="1:4" x14ac:dyDescent="0.25">
      <c r="A1691" t="s">
        <v>532</v>
      </c>
      <c r="B1691">
        <v>-1</v>
      </c>
      <c r="C1691" t="s">
        <v>10339</v>
      </c>
      <c r="D1691" s="5">
        <v>-3925.63</v>
      </c>
    </row>
    <row r="1692" spans="1:4" x14ac:dyDescent="0.25">
      <c r="A1692" t="s">
        <v>7283</v>
      </c>
      <c r="B1692">
        <v>-1</v>
      </c>
      <c r="C1692" t="s">
        <v>10335</v>
      </c>
      <c r="D1692" s="5">
        <v>-2744.78</v>
      </c>
    </row>
    <row r="1693" spans="1:4" x14ac:dyDescent="0.25">
      <c r="A1693" t="s">
        <v>1675</v>
      </c>
      <c r="B1693">
        <v>-1</v>
      </c>
      <c r="C1693" t="s">
        <v>10333</v>
      </c>
      <c r="D1693" s="5">
        <v>-3028.59</v>
      </c>
    </row>
    <row r="1694" spans="1:4" x14ac:dyDescent="0.25">
      <c r="A1694" t="s">
        <v>2732</v>
      </c>
      <c r="B1694">
        <v>-1</v>
      </c>
      <c r="C1694" t="s">
        <v>10340</v>
      </c>
      <c r="D1694" s="5">
        <v>2396.7399999999998</v>
      </c>
    </row>
    <row r="1695" spans="1:4" x14ac:dyDescent="0.25">
      <c r="A1695" t="s">
        <v>2847</v>
      </c>
      <c r="B1695">
        <v>-1</v>
      </c>
      <c r="C1695" t="s">
        <v>10333</v>
      </c>
      <c r="D1695" s="5">
        <v>-2994.75</v>
      </c>
    </row>
    <row r="1696" spans="1:4" x14ac:dyDescent="0.25">
      <c r="A1696" t="s">
        <v>3085</v>
      </c>
      <c r="B1696">
        <v>-1</v>
      </c>
      <c r="C1696" t="s">
        <v>10340</v>
      </c>
      <c r="D1696" s="5">
        <v>-4977.42</v>
      </c>
    </row>
    <row r="1697" spans="1:4" x14ac:dyDescent="0.25">
      <c r="A1697" t="s">
        <v>3163</v>
      </c>
      <c r="B1697">
        <v>-1</v>
      </c>
      <c r="C1697" t="s">
        <v>10333</v>
      </c>
      <c r="D1697" s="5">
        <v>-3671.58</v>
      </c>
    </row>
    <row r="1698" spans="1:4" x14ac:dyDescent="0.25">
      <c r="A1698" t="s">
        <v>2968</v>
      </c>
      <c r="B1698">
        <v>-1</v>
      </c>
      <c r="C1698" t="s">
        <v>10341</v>
      </c>
      <c r="D1698" s="5">
        <v>928.99</v>
      </c>
    </row>
    <row r="1699" spans="1:4" x14ac:dyDescent="0.25">
      <c r="A1699" t="s">
        <v>2000</v>
      </c>
      <c r="B1699">
        <v>-1</v>
      </c>
      <c r="C1699" t="s">
        <v>10343</v>
      </c>
      <c r="D1699" s="5">
        <v>7684.81</v>
      </c>
    </row>
    <row r="1700" spans="1:4" x14ac:dyDescent="0.25">
      <c r="A1700" t="s">
        <v>73</v>
      </c>
      <c r="B1700">
        <v>-1</v>
      </c>
      <c r="C1700" t="s">
        <v>10344</v>
      </c>
      <c r="D1700" s="5">
        <v>3562.12</v>
      </c>
    </row>
    <row r="1701" spans="1:4" x14ac:dyDescent="0.25">
      <c r="A1701" t="s">
        <v>1232</v>
      </c>
      <c r="B1701">
        <v>-1</v>
      </c>
      <c r="C1701" t="s">
        <v>10341</v>
      </c>
      <c r="D1701" s="5">
        <v>-707.59</v>
      </c>
    </row>
    <row r="1702" spans="1:4" x14ac:dyDescent="0.25">
      <c r="A1702" t="s">
        <v>1235</v>
      </c>
      <c r="B1702">
        <v>-1</v>
      </c>
      <c r="C1702" t="s">
        <v>10340</v>
      </c>
      <c r="D1702" s="5">
        <v>1461.03</v>
      </c>
    </row>
    <row r="1703" spans="1:4" x14ac:dyDescent="0.25">
      <c r="A1703" t="s">
        <v>7047</v>
      </c>
      <c r="B1703">
        <v>-1</v>
      </c>
      <c r="C1703" t="s">
        <v>10344</v>
      </c>
      <c r="D1703" s="5">
        <v>-1719.66</v>
      </c>
    </row>
    <row r="1704" spans="1:4" x14ac:dyDescent="0.25">
      <c r="A1704" t="s">
        <v>7063</v>
      </c>
      <c r="B1704">
        <v>-1</v>
      </c>
      <c r="C1704" t="s">
        <v>10338</v>
      </c>
      <c r="D1704" s="5">
        <v>2580.75</v>
      </c>
    </row>
    <row r="1705" spans="1:4" x14ac:dyDescent="0.25">
      <c r="A1705" t="s">
        <v>7060</v>
      </c>
      <c r="B1705">
        <v>-1</v>
      </c>
      <c r="C1705" t="s">
        <v>10337</v>
      </c>
      <c r="D1705" s="5">
        <v>434.95</v>
      </c>
    </row>
    <row r="1706" spans="1:4" x14ac:dyDescent="0.25">
      <c r="A1706" t="s">
        <v>5335</v>
      </c>
      <c r="B1706">
        <v>-1</v>
      </c>
      <c r="C1706" t="s">
        <v>10337</v>
      </c>
      <c r="D1706" s="5">
        <v>2269.52</v>
      </c>
    </row>
    <row r="1707" spans="1:4" x14ac:dyDescent="0.25">
      <c r="A1707" t="s">
        <v>7808</v>
      </c>
      <c r="B1707">
        <v>-1</v>
      </c>
      <c r="C1707" t="s">
        <v>10338</v>
      </c>
      <c r="D1707" s="5">
        <v>1529.4</v>
      </c>
    </row>
    <row r="1708" spans="1:4" x14ac:dyDescent="0.25">
      <c r="A1708" t="s">
        <v>6405</v>
      </c>
      <c r="B1708">
        <v>-1</v>
      </c>
      <c r="C1708" t="s">
        <v>10338</v>
      </c>
      <c r="D1708" s="5">
        <v>929.15</v>
      </c>
    </row>
    <row r="1709" spans="1:4" x14ac:dyDescent="0.25">
      <c r="A1709" t="s">
        <v>4298</v>
      </c>
      <c r="B1709">
        <v>-1</v>
      </c>
      <c r="C1709" t="s">
        <v>10333</v>
      </c>
      <c r="D1709" s="5">
        <v>-1746.78</v>
      </c>
    </row>
    <row r="1710" spans="1:4" x14ac:dyDescent="0.25">
      <c r="A1710" t="s">
        <v>3104</v>
      </c>
      <c r="B1710">
        <v>-1</v>
      </c>
      <c r="C1710" t="s">
        <v>10338</v>
      </c>
      <c r="D1710" s="5">
        <v>5404.88</v>
      </c>
    </row>
    <row r="1711" spans="1:4" x14ac:dyDescent="0.25">
      <c r="A1711" t="s">
        <v>3546</v>
      </c>
      <c r="B1711">
        <v>-1</v>
      </c>
      <c r="C1711" t="s">
        <v>10339</v>
      </c>
      <c r="D1711" s="5">
        <v>2110.44</v>
      </c>
    </row>
    <row r="1712" spans="1:4" x14ac:dyDescent="0.25">
      <c r="A1712" t="s">
        <v>4846</v>
      </c>
      <c r="B1712">
        <v>-1</v>
      </c>
      <c r="C1712" t="s">
        <v>10338</v>
      </c>
      <c r="D1712" s="5">
        <v>-286.83999999999997</v>
      </c>
    </row>
    <row r="1713" spans="1:4" x14ac:dyDescent="0.25">
      <c r="A1713" t="s">
        <v>6402</v>
      </c>
      <c r="B1713">
        <v>-1</v>
      </c>
      <c r="C1713" t="s">
        <v>10338</v>
      </c>
      <c r="D1713" s="5">
        <v>839.15</v>
      </c>
    </row>
    <row r="1714" spans="1:4" x14ac:dyDescent="0.25">
      <c r="A1714" t="s">
        <v>4523</v>
      </c>
      <c r="B1714">
        <v>-1</v>
      </c>
      <c r="C1714" t="s">
        <v>10338</v>
      </c>
    </row>
    <row r="1715" spans="1:4" x14ac:dyDescent="0.25">
      <c r="A1715" t="s">
        <v>4761</v>
      </c>
      <c r="B1715">
        <v>-1</v>
      </c>
      <c r="C1715" t="s">
        <v>10338</v>
      </c>
    </row>
    <row r="1716" spans="1:4" x14ac:dyDescent="0.25">
      <c r="A1716" t="s">
        <v>2605</v>
      </c>
      <c r="B1716">
        <v>-1</v>
      </c>
      <c r="C1716" t="s">
        <v>10338</v>
      </c>
      <c r="D1716" s="5">
        <v>-3187.01</v>
      </c>
    </row>
    <row r="1717" spans="1:4" x14ac:dyDescent="0.25">
      <c r="A1717" t="s">
        <v>728</v>
      </c>
      <c r="B1717">
        <v>-1</v>
      </c>
      <c r="C1717" t="s">
        <v>10340</v>
      </c>
      <c r="D1717" s="5">
        <v>-736.54</v>
      </c>
    </row>
    <row r="1718" spans="1:4" x14ac:dyDescent="0.25">
      <c r="A1718" t="s">
        <v>2962</v>
      </c>
      <c r="B1718">
        <v>-1</v>
      </c>
      <c r="C1718" t="s">
        <v>10338</v>
      </c>
      <c r="D1718" s="5">
        <v>-2465.37</v>
      </c>
    </row>
    <row r="1719" spans="1:4" x14ac:dyDescent="0.25">
      <c r="A1719" t="s">
        <v>10235</v>
      </c>
      <c r="B1719">
        <v>-1</v>
      </c>
      <c r="C1719" t="s">
        <v>10337</v>
      </c>
      <c r="D1719" s="5">
        <v>-902.6</v>
      </c>
    </row>
    <row r="1720" spans="1:4" x14ac:dyDescent="0.25">
      <c r="A1720" t="s">
        <v>9635</v>
      </c>
      <c r="B1720">
        <v>-1</v>
      </c>
      <c r="C1720" t="s">
        <v>10338</v>
      </c>
      <c r="D1720" s="5">
        <v>101.19</v>
      </c>
    </row>
    <row r="1721" spans="1:4" x14ac:dyDescent="0.25">
      <c r="A1721" t="s">
        <v>1066</v>
      </c>
      <c r="B1721">
        <v>-1</v>
      </c>
      <c r="C1721" t="s">
        <v>10337</v>
      </c>
      <c r="D1721" s="5">
        <v>2119.27</v>
      </c>
    </row>
    <row r="1722" spans="1:4" x14ac:dyDescent="0.25">
      <c r="A1722" t="s">
        <v>9457</v>
      </c>
      <c r="B1722">
        <v>-1</v>
      </c>
      <c r="C1722" t="s">
        <v>10338</v>
      </c>
      <c r="D1722" s="5">
        <v>590.88</v>
      </c>
    </row>
    <row r="1723" spans="1:4" x14ac:dyDescent="0.25">
      <c r="A1723" t="s">
        <v>9453</v>
      </c>
      <c r="B1723">
        <v>-1</v>
      </c>
      <c r="C1723" t="s">
        <v>10338</v>
      </c>
      <c r="D1723" s="5">
        <v>-325</v>
      </c>
    </row>
    <row r="1724" spans="1:4" x14ac:dyDescent="0.25">
      <c r="A1724" t="s">
        <v>7346</v>
      </c>
      <c r="B1724">
        <v>-1</v>
      </c>
      <c r="C1724" t="s">
        <v>10337</v>
      </c>
      <c r="D1724" s="5">
        <v>1121.3900000000001</v>
      </c>
    </row>
    <row r="1725" spans="1:4" x14ac:dyDescent="0.25">
      <c r="A1725" t="s">
        <v>7566</v>
      </c>
      <c r="B1725">
        <v>-1</v>
      </c>
      <c r="C1725" t="s">
        <v>10339</v>
      </c>
      <c r="D1725" s="5">
        <v>3356.36</v>
      </c>
    </row>
    <row r="1726" spans="1:4" x14ac:dyDescent="0.25">
      <c r="A1726" t="s">
        <v>7981</v>
      </c>
      <c r="B1726">
        <v>-1</v>
      </c>
      <c r="C1726" t="s">
        <v>10340</v>
      </c>
      <c r="D1726" s="5">
        <v>0</v>
      </c>
    </row>
    <row r="1727" spans="1:4" x14ac:dyDescent="0.25">
      <c r="A1727" t="s">
        <v>7216</v>
      </c>
      <c r="B1727">
        <v>-1</v>
      </c>
      <c r="C1727" t="s">
        <v>10337</v>
      </c>
      <c r="D1727" s="5">
        <v>544.17999999999995</v>
      </c>
    </row>
    <row r="1728" spans="1:4" x14ac:dyDescent="0.25">
      <c r="A1728" t="s">
        <v>7935</v>
      </c>
      <c r="B1728">
        <v>-1</v>
      </c>
      <c r="C1728" t="s">
        <v>10334</v>
      </c>
      <c r="D1728" s="5">
        <v>-5090.47</v>
      </c>
    </row>
    <row r="1729" spans="1:4" x14ac:dyDescent="0.25">
      <c r="A1729" t="s">
        <v>7574</v>
      </c>
      <c r="B1729">
        <v>-1</v>
      </c>
      <c r="C1729" t="s">
        <v>10344</v>
      </c>
      <c r="D1729" s="5">
        <v>2564.12</v>
      </c>
    </row>
    <row r="1730" spans="1:4" x14ac:dyDescent="0.25">
      <c r="A1730" t="s">
        <v>7259</v>
      </c>
      <c r="B1730">
        <v>-1</v>
      </c>
      <c r="C1730" t="s">
        <v>10338</v>
      </c>
      <c r="D1730" s="5">
        <v>2122.77</v>
      </c>
    </row>
    <row r="1731" spans="1:4" x14ac:dyDescent="0.25">
      <c r="A1731" t="s">
        <v>7270</v>
      </c>
      <c r="B1731">
        <v>-1</v>
      </c>
      <c r="C1731" t="s">
        <v>10338</v>
      </c>
      <c r="D1731" s="5">
        <v>2451.1999999999998</v>
      </c>
    </row>
    <row r="1732" spans="1:4" x14ac:dyDescent="0.25">
      <c r="A1732" t="s">
        <v>7920</v>
      </c>
      <c r="B1732">
        <v>-1</v>
      </c>
      <c r="C1732" t="s">
        <v>10338</v>
      </c>
      <c r="D1732" s="5">
        <v>4652.72</v>
      </c>
    </row>
    <row r="1733" spans="1:4" x14ac:dyDescent="0.25">
      <c r="A1733" t="s">
        <v>5741</v>
      </c>
      <c r="B1733">
        <v>-1</v>
      </c>
      <c r="C1733" t="s">
        <v>10338</v>
      </c>
      <c r="D1733" s="5">
        <v>494.16</v>
      </c>
    </row>
    <row r="1734" spans="1:4" x14ac:dyDescent="0.25">
      <c r="A1734" t="s">
        <v>6051</v>
      </c>
      <c r="B1734">
        <v>-1</v>
      </c>
      <c r="C1734" t="s">
        <v>10340</v>
      </c>
      <c r="D1734" s="5">
        <v>-4084.69</v>
      </c>
    </row>
    <row r="1735" spans="1:4" x14ac:dyDescent="0.25">
      <c r="A1735" t="s">
        <v>4476</v>
      </c>
      <c r="B1735">
        <v>-1</v>
      </c>
      <c r="C1735" t="s">
        <v>10338</v>
      </c>
      <c r="D1735" s="5">
        <v>1967.23</v>
      </c>
    </row>
    <row r="1736" spans="1:4" x14ac:dyDescent="0.25">
      <c r="A1736" t="s">
        <v>4926</v>
      </c>
      <c r="B1736">
        <v>-1</v>
      </c>
      <c r="C1736" t="s">
        <v>10335</v>
      </c>
      <c r="D1736" s="5">
        <v>5271.07</v>
      </c>
    </row>
    <row r="1737" spans="1:4" x14ac:dyDescent="0.25">
      <c r="A1737" t="s">
        <v>4950</v>
      </c>
      <c r="B1737">
        <v>-1</v>
      </c>
      <c r="C1737" t="s">
        <v>10337</v>
      </c>
      <c r="D1737" s="5">
        <v>713.41</v>
      </c>
    </row>
    <row r="1738" spans="1:4" x14ac:dyDescent="0.25">
      <c r="A1738" t="s">
        <v>4969</v>
      </c>
      <c r="B1738">
        <v>-1</v>
      </c>
      <c r="C1738" t="s">
        <v>10335</v>
      </c>
      <c r="D1738" s="5">
        <v>1169.94</v>
      </c>
    </row>
    <row r="1739" spans="1:4" x14ac:dyDescent="0.25">
      <c r="A1739" t="s">
        <v>4996</v>
      </c>
      <c r="B1739">
        <v>-1</v>
      </c>
      <c r="C1739" t="s">
        <v>10338</v>
      </c>
      <c r="D1739" s="5">
        <v>468.46</v>
      </c>
    </row>
    <row r="1740" spans="1:4" x14ac:dyDescent="0.25">
      <c r="A1740" t="s">
        <v>4999</v>
      </c>
      <c r="B1740">
        <v>-1</v>
      </c>
      <c r="C1740" t="s">
        <v>10338</v>
      </c>
      <c r="D1740" s="5">
        <v>522.83000000000004</v>
      </c>
    </row>
    <row r="1741" spans="1:4" x14ac:dyDescent="0.25">
      <c r="A1741" t="s">
        <v>5029</v>
      </c>
      <c r="B1741">
        <v>-1</v>
      </c>
      <c r="C1741" t="s">
        <v>10335</v>
      </c>
      <c r="D1741" s="5">
        <v>-74.44</v>
      </c>
    </row>
    <row r="1742" spans="1:4" x14ac:dyDescent="0.25">
      <c r="A1742" t="s">
        <v>5050</v>
      </c>
      <c r="B1742">
        <v>-1</v>
      </c>
      <c r="C1742" t="s">
        <v>10339</v>
      </c>
      <c r="D1742" s="5">
        <v>-623.29999999999995</v>
      </c>
    </row>
    <row r="1743" spans="1:4" x14ac:dyDescent="0.25">
      <c r="A1743" t="s">
        <v>5044</v>
      </c>
      <c r="B1743">
        <v>-1</v>
      </c>
      <c r="C1743" t="s">
        <v>10338</v>
      </c>
      <c r="D1743" s="5">
        <v>-122.84</v>
      </c>
    </row>
    <row r="1744" spans="1:4" x14ac:dyDescent="0.25">
      <c r="A1744" t="s">
        <v>5041</v>
      </c>
      <c r="B1744">
        <v>-1</v>
      </c>
      <c r="C1744" t="s">
        <v>10338</v>
      </c>
      <c r="D1744" s="5">
        <v>24.45</v>
      </c>
    </row>
    <row r="1745" spans="1:4" x14ac:dyDescent="0.25">
      <c r="A1745" t="s">
        <v>5982</v>
      </c>
      <c r="B1745">
        <v>-1</v>
      </c>
      <c r="C1745" t="s">
        <v>10335</v>
      </c>
      <c r="D1745" s="5">
        <v>2184.94</v>
      </c>
    </row>
    <row r="1746" spans="1:4" x14ac:dyDescent="0.25">
      <c r="A1746" t="s">
        <v>4857</v>
      </c>
      <c r="B1746">
        <v>-1</v>
      </c>
      <c r="C1746" t="s">
        <v>10338</v>
      </c>
      <c r="D1746" s="5">
        <v>1062.3800000000001</v>
      </c>
    </row>
    <row r="1747" spans="1:4" x14ac:dyDescent="0.25">
      <c r="A1747" t="s">
        <v>6507</v>
      </c>
      <c r="B1747">
        <v>-1</v>
      </c>
      <c r="C1747" t="s">
        <v>10337</v>
      </c>
      <c r="D1747" s="5">
        <v>-3.5</v>
      </c>
    </row>
    <row r="1748" spans="1:4" x14ac:dyDescent="0.25">
      <c r="A1748" t="s">
        <v>6657</v>
      </c>
      <c r="B1748">
        <v>-1</v>
      </c>
      <c r="C1748" t="s">
        <v>10338</v>
      </c>
      <c r="D1748" s="5">
        <v>2019.41</v>
      </c>
    </row>
    <row r="1749" spans="1:4" x14ac:dyDescent="0.25">
      <c r="A1749" t="s">
        <v>1680</v>
      </c>
      <c r="B1749">
        <v>-1</v>
      </c>
      <c r="C1749" t="s">
        <v>10340</v>
      </c>
      <c r="D1749" s="5">
        <v>371.09</v>
      </c>
    </row>
    <row r="1750" spans="1:4" x14ac:dyDescent="0.25">
      <c r="A1750" t="s">
        <v>4315</v>
      </c>
      <c r="B1750">
        <v>-1</v>
      </c>
      <c r="C1750" t="s">
        <v>10342</v>
      </c>
      <c r="D1750" s="5">
        <v>-488.32</v>
      </c>
    </row>
    <row r="1751" spans="1:4" x14ac:dyDescent="0.25">
      <c r="A1751" t="s">
        <v>1658</v>
      </c>
      <c r="B1751">
        <v>-1</v>
      </c>
      <c r="C1751" t="s">
        <v>10338</v>
      </c>
      <c r="D1751" s="5">
        <v>-2621.39</v>
      </c>
    </row>
    <row r="1752" spans="1:4" x14ac:dyDescent="0.25">
      <c r="A1752" t="s">
        <v>4330</v>
      </c>
      <c r="B1752">
        <v>-1</v>
      </c>
      <c r="C1752" t="s">
        <v>10343</v>
      </c>
      <c r="D1752" s="5">
        <v>1490.17</v>
      </c>
    </row>
    <row r="1753" spans="1:4" x14ac:dyDescent="0.25">
      <c r="A1753" t="s">
        <v>3925</v>
      </c>
      <c r="B1753">
        <v>-1</v>
      </c>
      <c r="C1753" t="s">
        <v>10344</v>
      </c>
      <c r="D1753" s="5">
        <v>4667.4799999999996</v>
      </c>
    </row>
    <row r="1754" spans="1:4" x14ac:dyDescent="0.25">
      <c r="A1754" t="s">
        <v>4551</v>
      </c>
      <c r="B1754">
        <v>-1</v>
      </c>
      <c r="C1754" t="s">
        <v>10340</v>
      </c>
      <c r="D1754" s="5">
        <v>798.39</v>
      </c>
    </row>
    <row r="1755" spans="1:4" x14ac:dyDescent="0.25">
      <c r="A1755" t="s">
        <v>5314</v>
      </c>
      <c r="B1755">
        <v>-1</v>
      </c>
      <c r="C1755" t="s">
        <v>10333</v>
      </c>
      <c r="D1755" s="5">
        <v>81.040000000000006</v>
      </c>
    </row>
    <row r="1756" spans="1:4" x14ac:dyDescent="0.25">
      <c r="A1756" t="s">
        <v>4633</v>
      </c>
      <c r="B1756">
        <v>-1</v>
      </c>
      <c r="C1756" t="s">
        <v>10337</v>
      </c>
      <c r="D1756" s="5">
        <v>1152.45</v>
      </c>
    </row>
    <row r="1757" spans="1:4" x14ac:dyDescent="0.25">
      <c r="A1757" t="s">
        <v>3828</v>
      </c>
      <c r="B1757">
        <v>-1</v>
      </c>
      <c r="C1757" t="s">
        <v>10338</v>
      </c>
      <c r="D1757" s="5">
        <v>1498.2</v>
      </c>
    </row>
    <row r="1758" spans="1:4" x14ac:dyDescent="0.25">
      <c r="A1758" t="s">
        <v>3620</v>
      </c>
      <c r="B1758">
        <v>-1</v>
      </c>
      <c r="C1758" t="s">
        <v>10340</v>
      </c>
      <c r="D1758" s="5">
        <v>-389.14</v>
      </c>
    </row>
    <row r="1759" spans="1:4" x14ac:dyDescent="0.25">
      <c r="A1759" t="s">
        <v>4717</v>
      </c>
      <c r="B1759">
        <v>-1</v>
      </c>
      <c r="C1759" t="s">
        <v>10341</v>
      </c>
      <c r="D1759" s="5">
        <v>-28.47</v>
      </c>
    </row>
    <row r="1760" spans="1:4" x14ac:dyDescent="0.25">
      <c r="A1760" t="s">
        <v>5236</v>
      </c>
      <c r="B1760">
        <v>-1</v>
      </c>
      <c r="C1760" t="s">
        <v>10344</v>
      </c>
      <c r="D1760" s="5">
        <v>1667.12</v>
      </c>
    </row>
    <row r="1761" spans="1:4" x14ac:dyDescent="0.25">
      <c r="A1761" t="s">
        <v>5267</v>
      </c>
      <c r="B1761">
        <v>-1</v>
      </c>
      <c r="C1761" t="s">
        <v>10340</v>
      </c>
      <c r="D1761" s="5">
        <v>-5947.2</v>
      </c>
    </row>
    <row r="1762" spans="1:4" x14ac:dyDescent="0.25">
      <c r="A1762" t="s">
        <v>4748</v>
      </c>
      <c r="B1762">
        <v>-1</v>
      </c>
      <c r="C1762" t="s">
        <v>10338</v>
      </c>
      <c r="D1762" s="5">
        <v>2146.7399999999998</v>
      </c>
    </row>
    <row r="1763" spans="1:4" x14ac:dyDescent="0.25">
      <c r="A1763" t="s">
        <v>5871</v>
      </c>
      <c r="B1763">
        <v>-1</v>
      </c>
      <c r="C1763" t="s">
        <v>10338</v>
      </c>
    </row>
    <row r="1764" spans="1:4" x14ac:dyDescent="0.25">
      <c r="A1764" t="s">
        <v>939</v>
      </c>
      <c r="B1764">
        <v>-1</v>
      </c>
      <c r="C1764" t="s">
        <v>10340</v>
      </c>
      <c r="D1764" s="5">
        <v>-1529.03</v>
      </c>
    </row>
    <row r="1765" spans="1:4" x14ac:dyDescent="0.25">
      <c r="A1765" t="s">
        <v>2501</v>
      </c>
      <c r="B1765">
        <v>-1</v>
      </c>
      <c r="C1765" t="s">
        <v>10339</v>
      </c>
      <c r="D1765" s="5">
        <v>-1036.5899999999999</v>
      </c>
    </row>
    <row r="1766" spans="1:4" x14ac:dyDescent="0.25">
      <c r="A1766" t="s">
        <v>2538</v>
      </c>
      <c r="B1766">
        <v>-1</v>
      </c>
      <c r="C1766" t="s">
        <v>10344</v>
      </c>
      <c r="D1766" s="5">
        <v>-3611.37</v>
      </c>
    </row>
    <row r="1767" spans="1:4" x14ac:dyDescent="0.25">
      <c r="A1767" t="s">
        <v>2401</v>
      </c>
      <c r="B1767">
        <v>-1</v>
      </c>
      <c r="C1767" t="s">
        <v>10333</v>
      </c>
      <c r="D1767" s="5">
        <v>205.87</v>
      </c>
    </row>
    <row r="1768" spans="1:4" x14ac:dyDescent="0.25">
      <c r="A1768" t="s">
        <v>2807</v>
      </c>
      <c r="B1768">
        <v>-1</v>
      </c>
      <c r="C1768" t="s">
        <v>10340</v>
      </c>
      <c r="D1768" s="5">
        <v>2609.1999999999998</v>
      </c>
    </row>
    <row r="1769" spans="1:4" x14ac:dyDescent="0.25">
      <c r="A1769" t="s">
        <v>2855</v>
      </c>
      <c r="B1769">
        <v>-1</v>
      </c>
      <c r="C1769" t="s">
        <v>10344</v>
      </c>
      <c r="D1769" s="5">
        <v>4011.7</v>
      </c>
    </row>
    <row r="1770" spans="1:4" x14ac:dyDescent="0.25">
      <c r="A1770" t="s">
        <v>9235</v>
      </c>
      <c r="B1770">
        <v>-1</v>
      </c>
      <c r="C1770" t="s">
        <v>10338</v>
      </c>
      <c r="D1770" s="5">
        <v>-17687.66</v>
      </c>
    </row>
    <row r="1771" spans="1:4" x14ac:dyDescent="0.25">
      <c r="A1771" t="s">
        <v>2224</v>
      </c>
      <c r="B1771">
        <v>-1</v>
      </c>
      <c r="C1771" t="s">
        <v>10344</v>
      </c>
      <c r="D1771" s="5">
        <v>4467.2</v>
      </c>
    </row>
    <row r="1772" spans="1:4" x14ac:dyDescent="0.25">
      <c r="A1772" t="s">
        <v>2220</v>
      </c>
      <c r="B1772">
        <v>-1</v>
      </c>
      <c r="C1772" t="s">
        <v>10344</v>
      </c>
    </row>
    <row r="1773" spans="1:4" x14ac:dyDescent="0.25">
      <c r="A1773" t="s">
        <v>2346</v>
      </c>
      <c r="B1773">
        <v>-1</v>
      </c>
      <c r="C1773" t="s">
        <v>10340</v>
      </c>
      <c r="D1773" s="5">
        <v>4781.43</v>
      </c>
    </row>
    <row r="1774" spans="1:4" x14ac:dyDescent="0.25">
      <c r="A1774" t="s">
        <v>743</v>
      </c>
      <c r="B1774">
        <v>-1</v>
      </c>
      <c r="C1774" t="s">
        <v>10335</v>
      </c>
    </row>
    <row r="1775" spans="1:4" x14ac:dyDescent="0.25">
      <c r="A1775" t="s">
        <v>9099</v>
      </c>
      <c r="B1775">
        <v>-1</v>
      </c>
      <c r="C1775" t="s">
        <v>10338</v>
      </c>
      <c r="D1775" s="5">
        <v>0</v>
      </c>
    </row>
    <row r="1776" spans="1:4" x14ac:dyDescent="0.25">
      <c r="A1776" t="s">
        <v>600</v>
      </c>
      <c r="B1776">
        <v>-1</v>
      </c>
      <c r="C1776" t="s">
        <v>10344</v>
      </c>
      <c r="D1776" s="5">
        <v>3579.66</v>
      </c>
    </row>
    <row r="1777" spans="1:4" x14ac:dyDescent="0.25">
      <c r="A1777" t="s">
        <v>1171</v>
      </c>
      <c r="B1777">
        <v>-1</v>
      </c>
      <c r="C1777" t="s">
        <v>10338</v>
      </c>
      <c r="D1777" s="5">
        <v>0</v>
      </c>
    </row>
    <row r="1778" spans="1:4" x14ac:dyDescent="0.25">
      <c r="A1778" t="s">
        <v>1183</v>
      </c>
      <c r="B1778">
        <v>-1</v>
      </c>
      <c r="C1778" t="s">
        <v>10338</v>
      </c>
      <c r="D1778" s="5">
        <v>0</v>
      </c>
    </row>
    <row r="1779" spans="1:4" x14ac:dyDescent="0.25">
      <c r="A1779" t="s">
        <v>2142</v>
      </c>
      <c r="B1779">
        <v>-1</v>
      </c>
      <c r="C1779" t="s">
        <v>10344</v>
      </c>
      <c r="D1779" s="5">
        <v>134.09</v>
      </c>
    </row>
    <row r="1780" spans="1:4" x14ac:dyDescent="0.25">
      <c r="A1780" t="s">
        <v>2071</v>
      </c>
      <c r="B1780">
        <v>-1</v>
      </c>
      <c r="C1780" t="s">
        <v>10338</v>
      </c>
      <c r="D1780" s="5">
        <v>993.09</v>
      </c>
    </row>
    <row r="1781" spans="1:4" x14ac:dyDescent="0.25">
      <c r="A1781" t="s">
        <v>1432</v>
      </c>
      <c r="B1781">
        <v>-1</v>
      </c>
      <c r="C1781" t="s">
        <v>10344</v>
      </c>
      <c r="D1781" s="5">
        <v>2281.84</v>
      </c>
    </row>
    <row r="1782" spans="1:4" x14ac:dyDescent="0.25">
      <c r="A1782" t="s">
        <v>1426</v>
      </c>
      <c r="B1782">
        <v>-1</v>
      </c>
      <c r="C1782" t="s">
        <v>10344</v>
      </c>
      <c r="D1782" s="5">
        <v>1098.32</v>
      </c>
    </row>
    <row r="1783" spans="1:4" x14ac:dyDescent="0.25">
      <c r="A1783" t="s">
        <v>1791</v>
      </c>
      <c r="B1783">
        <v>-1</v>
      </c>
      <c r="C1783" t="s">
        <v>10337</v>
      </c>
      <c r="D1783" s="5">
        <v>2735.61</v>
      </c>
    </row>
    <row r="1784" spans="1:4" x14ac:dyDescent="0.25">
      <c r="A1784" t="s">
        <v>3317</v>
      </c>
      <c r="B1784">
        <v>-1</v>
      </c>
      <c r="C1784" t="s">
        <v>10335</v>
      </c>
      <c r="D1784" s="5">
        <v>730</v>
      </c>
    </row>
    <row r="1785" spans="1:4" x14ac:dyDescent="0.25">
      <c r="A1785" t="s">
        <v>3227</v>
      </c>
      <c r="B1785">
        <v>-1</v>
      </c>
      <c r="C1785" t="s">
        <v>10338</v>
      </c>
      <c r="D1785" s="5">
        <v>5665.56</v>
      </c>
    </row>
    <row r="1786" spans="1:4" x14ac:dyDescent="0.25">
      <c r="A1786" t="s">
        <v>3401</v>
      </c>
      <c r="B1786">
        <v>-1</v>
      </c>
      <c r="C1786" t="s">
        <v>10337</v>
      </c>
      <c r="D1786" s="5">
        <v>-585.04</v>
      </c>
    </row>
    <row r="1787" spans="1:4" x14ac:dyDescent="0.25">
      <c r="A1787" t="s">
        <v>3518</v>
      </c>
      <c r="B1787">
        <v>-1</v>
      </c>
      <c r="C1787" t="s">
        <v>10340</v>
      </c>
      <c r="D1787" s="5">
        <v>2078.0700000000002</v>
      </c>
    </row>
    <row r="1788" spans="1:4" x14ac:dyDescent="0.25">
      <c r="A1788" t="s">
        <v>1496</v>
      </c>
      <c r="B1788">
        <v>-1</v>
      </c>
      <c r="C1788" t="s">
        <v>10338</v>
      </c>
      <c r="D1788" s="5">
        <v>1296.75</v>
      </c>
    </row>
    <row r="1789" spans="1:4" x14ac:dyDescent="0.25">
      <c r="A1789" t="s">
        <v>7044</v>
      </c>
      <c r="B1789">
        <v>-1</v>
      </c>
      <c r="C1789" t="s">
        <v>10337</v>
      </c>
      <c r="D1789" s="5">
        <v>2668.38</v>
      </c>
    </row>
    <row r="1790" spans="1:4" x14ac:dyDescent="0.25">
      <c r="A1790" t="s">
        <v>9800</v>
      </c>
      <c r="B1790">
        <v>-1</v>
      </c>
      <c r="C1790" t="s">
        <v>10335</v>
      </c>
      <c r="D1790" s="5">
        <v>2443.4499999999998</v>
      </c>
    </row>
    <row r="1791" spans="1:4" x14ac:dyDescent="0.25">
      <c r="A1791" t="s">
        <v>1045</v>
      </c>
      <c r="B1791">
        <v>-1</v>
      </c>
      <c r="C1791" t="s">
        <v>10337</v>
      </c>
      <c r="D1791" s="5">
        <v>453.12</v>
      </c>
    </row>
    <row r="1792" spans="1:4" x14ac:dyDescent="0.25">
      <c r="A1792" t="s">
        <v>7826</v>
      </c>
      <c r="B1792">
        <v>-1</v>
      </c>
      <c r="C1792" t="s">
        <v>10334</v>
      </c>
      <c r="D1792" s="5">
        <v>-14765.9</v>
      </c>
    </row>
    <row r="1793" spans="1:4" x14ac:dyDescent="0.25">
      <c r="A1793" t="s">
        <v>3638</v>
      </c>
      <c r="B1793">
        <v>-1</v>
      </c>
      <c r="C1793" t="s">
        <v>10335</v>
      </c>
      <c r="D1793" s="5">
        <v>-1179.1300000000001</v>
      </c>
    </row>
    <row r="1794" spans="1:4" x14ac:dyDescent="0.25">
      <c r="A1794" t="s">
        <v>6625</v>
      </c>
      <c r="B1794">
        <v>-1</v>
      </c>
      <c r="C1794" t="s">
        <v>10336</v>
      </c>
      <c r="D1794" s="5">
        <v>-2294.0300000000002</v>
      </c>
    </row>
    <row r="1795" spans="1:4" x14ac:dyDescent="0.25">
      <c r="A1795" t="s">
        <v>7299</v>
      </c>
      <c r="B1795">
        <v>-1</v>
      </c>
      <c r="C1795" t="s">
        <v>10344</v>
      </c>
      <c r="D1795" s="5">
        <v>0</v>
      </c>
    </row>
    <row r="1796" spans="1:4" x14ac:dyDescent="0.25">
      <c r="A1796" t="s">
        <v>243</v>
      </c>
      <c r="B1796">
        <v>-1</v>
      </c>
      <c r="C1796" t="s">
        <v>10336</v>
      </c>
      <c r="D1796" s="5">
        <v>549.11</v>
      </c>
    </row>
    <row r="1797" spans="1:4" x14ac:dyDescent="0.25">
      <c r="A1797" t="s">
        <v>6323</v>
      </c>
      <c r="B1797">
        <v>-1</v>
      </c>
      <c r="C1797" t="s">
        <v>10340</v>
      </c>
      <c r="D1797" s="5">
        <v>3409.14</v>
      </c>
    </row>
    <row r="1798" spans="1:4" x14ac:dyDescent="0.25">
      <c r="A1798" t="s">
        <v>6362</v>
      </c>
      <c r="B1798">
        <v>-1</v>
      </c>
      <c r="C1798" t="s">
        <v>10336</v>
      </c>
      <c r="D1798" s="5">
        <v>-1106.68</v>
      </c>
    </row>
    <row r="1799" spans="1:4" x14ac:dyDescent="0.25">
      <c r="A1799" t="s">
        <v>3308</v>
      </c>
      <c r="B1799">
        <v>-1</v>
      </c>
      <c r="C1799" t="s">
        <v>10336</v>
      </c>
      <c r="D1799" s="5">
        <v>-14015.23</v>
      </c>
    </row>
    <row r="1800" spans="1:4" x14ac:dyDescent="0.25">
      <c r="A1800" t="s">
        <v>175</v>
      </c>
      <c r="B1800">
        <v>-1</v>
      </c>
      <c r="C1800" t="s">
        <v>10337</v>
      </c>
      <c r="D1800" s="5">
        <v>-5220.7299999999996</v>
      </c>
    </row>
    <row r="1801" spans="1:4" x14ac:dyDescent="0.25">
      <c r="A1801" t="s">
        <v>5521</v>
      </c>
      <c r="B1801">
        <v>-1</v>
      </c>
      <c r="C1801" t="s">
        <v>10335</v>
      </c>
      <c r="D1801" s="5">
        <v>706.45</v>
      </c>
    </row>
    <row r="1802" spans="1:4" x14ac:dyDescent="0.25">
      <c r="A1802" t="s">
        <v>7822</v>
      </c>
      <c r="B1802">
        <v>-1</v>
      </c>
      <c r="C1802" t="s">
        <v>10338</v>
      </c>
      <c r="D1802" s="5">
        <v>8396.93</v>
      </c>
    </row>
    <row r="1803" spans="1:4" x14ac:dyDescent="0.25">
      <c r="A1803" t="s">
        <v>7843</v>
      </c>
      <c r="B1803">
        <v>-1</v>
      </c>
      <c r="C1803" t="s">
        <v>10344</v>
      </c>
      <c r="D1803" s="5">
        <v>4958.32</v>
      </c>
    </row>
    <row r="1804" spans="1:4" x14ac:dyDescent="0.25">
      <c r="A1804" t="s">
        <v>7929</v>
      </c>
      <c r="B1804">
        <v>-1</v>
      </c>
      <c r="C1804" t="s">
        <v>10338</v>
      </c>
      <c r="D1804" s="5">
        <v>2132.62</v>
      </c>
    </row>
    <row r="1805" spans="1:4" x14ac:dyDescent="0.25">
      <c r="A1805" t="s">
        <v>7925</v>
      </c>
      <c r="B1805">
        <v>-1</v>
      </c>
      <c r="C1805" t="s">
        <v>10336</v>
      </c>
      <c r="D1805" s="5">
        <v>443.06</v>
      </c>
    </row>
    <row r="1806" spans="1:4" x14ac:dyDescent="0.25">
      <c r="A1806" t="s">
        <v>7409</v>
      </c>
      <c r="B1806">
        <v>-1</v>
      </c>
      <c r="C1806" t="s">
        <v>10339</v>
      </c>
      <c r="D1806" s="5">
        <v>4124.79</v>
      </c>
    </row>
    <row r="1807" spans="1:4" x14ac:dyDescent="0.25">
      <c r="A1807" t="s">
        <v>7716</v>
      </c>
      <c r="B1807">
        <v>-1</v>
      </c>
      <c r="C1807" t="s">
        <v>10335</v>
      </c>
      <c r="D1807" s="5">
        <v>2513.41</v>
      </c>
    </row>
    <row r="1808" spans="1:4" x14ac:dyDescent="0.25">
      <c r="A1808" t="s">
        <v>7719</v>
      </c>
      <c r="B1808">
        <v>-1</v>
      </c>
      <c r="C1808" t="s">
        <v>10334</v>
      </c>
      <c r="D1808" s="5">
        <v>-6778.07</v>
      </c>
    </row>
    <row r="1809" spans="1:4" x14ac:dyDescent="0.25">
      <c r="A1809" t="s">
        <v>7226</v>
      </c>
      <c r="B1809">
        <v>-1</v>
      </c>
      <c r="C1809" t="s">
        <v>10334</v>
      </c>
      <c r="D1809" s="5">
        <v>-3557.95</v>
      </c>
    </row>
    <row r="1810" spans="1:4" x14ac:dyDescent="0.25">
      <c r="A1810" t="s">
        <v>7561</v>
      </c>
      <c r="B1810">
        <v>-1</v>
      </c>
      <c r="C1810" t="s">
        <v>10338</v>
      </c>
      <c r="D1810" s="5">
        <v>7408.72</v>
      </c>
    </row>
    <row r="1811" spans="1:4" x14ac:dyDescent="0.25">
      <c r="A1811" t="s">
        <v>7834</v>
      </c>
      <c r="B1811">
        <v>-1</v>
      </c>
      <c r="C1811" t="s">
        <v>10341</v>
      </c>
      <c r="D1811" s="5">
        <v>-286.25</v>
      </c>
    </row>
    <row r="1812" spans="1:4" x14ac:dyDescent="0.25">
      <c r="A1812" t="s">
        <v>7209</v>
      </c>
      <c r="B1812">
        <v>-1</v>
      </c>
      <c r="C1812" t="s">
        <v>10335</v>
      </c>
      <c r="D1812" s="5">
        <v>804.09</v>
      </c>
    </row>
    <row r="1813" spans="1:4" x14ac:dyDescent="0.25">
      <c r="A1813" t="s">
        <v>7390</v>
      </c>
      <c r="B1813">
        <v>-1</v>
      </c>
      <c r="C1813" t="s">
        <v>10338</v>
      </c>
      <c r="D1813" s="5">
        <v>3155.53</v>
      </c>
    </row>
    <row r="1814" spans="1:4" x14ac:dyDescent="0.25">
      <c r="A1814" t="s">
        <v>7633</v>
      </c>
      <c r="B1814">
        <v>-1</v>
      </c>
      <c r="C1814" t="s">
        <v>10338</v>
      </c>
      <c r="D1814" s="5">
        <v>791.43</v>
      </c>
    </row>
    <row r="1815" spans="1:4" x14ac:dyDescent="0.25">
      <c r="A1815" t="s">
        <v>7811</v>
      </c>
      <c r="B1815">
        <v>-1</v>
      </c>
      <c r="C1815" t="s">
        <v>10334</v>
      </c>
      <c r="D1815" s="5">
        <v>833.62</v>
      </c>
    </row>
    <row r="1816" spans="1:4" x14ac:dyDescent="0.25">
      <c r="A1816" t="s">
        <v>7386</v>
      </c>
      <c r="B1816">
        <v>-1</v>
      </c>
      <c r="C1816" t="s">
        <v>10339</v>
      </c>
      <c r="D1816" s="5">
        <v>-2829.38</v>
      </c>
    </row>
    <row r="1817" spans="1:4" x14ac:dyDescent="0.25">
      <c r="A1817" t="s">
        <v>7596</v>
      </c>
      <c r="B1817">
        <v>-1</v>
      </c>
      <c r="C1817" t="s">
        <v>10338</v>
      </c>
      <c r="D1817" s="5">
        <v>4161.51</v>
      </c>
    </row>
    <row r="1818" spans="1:4" x14ac:dyDescent="0.25">
      <c r="A1818" t="s">
        <v>7549</v>
      </c>
      <c r="B1818">
        <v>-1</v>
      </c>
      <c r="C1818" t="s">
        <v>10334</v>
      </c>
      <c r="D1818" s="5">
        <v>-1469.32</v>
      </c>
    </row>
    <row r="1819" spans="1:4" x14ac:dyDescent="0.25">
      <c r="A1819" t="s">
        <v>7245</v>
      </c>
      <c r="B1819">
        <v>-1</v>
      </c>
      <c r="C1819" t="s">
        <v>10338</v>
      </c>
      <c r="D1819" s="5">
        <v>5104.42</v>
      </c>
    </row>
    <row r="1820" spans="1:4" x14ac:dyDescent="0.25">
      <c r="A1820" t="s">
        <v>120</v>
      </c>
      <c r="B1820">
        <v>-1</v>
      </c>
      <c r="C1820" t="s">
        <v>10334</v>
      </c>
      <c r="D1820" s="5">
        <v>931.04</v>
      </c>
    </row>
    <row r="1821" spans="1:4" x14ac:dyDescent="0.25">
      <c r="A1821" t="s">
        <v>112</v>
      </c>
      <c r="B1821">
        <v>-1</v>
      </c>
      <c r="C1821" t="s">
        <v>10336</v>
      </c>
      <c r="D1821" s="5">
        <v>6542.33</v>
      </c>
    </row>
    <row r="1822" spans="1:4" x14ac:dyDescent="0.25">
      <c r="A1822" t="s">
        <v>3633</v>
      </c>
      <c r="B1822">
        <v>-1</v>
      </c>
      <c r="C1822" t="s">
        <v>10338</v>
      </c>
      <c r="D1822" s="5">
        <v>394.53</v>
      </c>
    </row>
    <row r="1823" spans="1:4" x14ac:dyDescent="0.25">
      <c r="A1823" t="s">
        <v>4371</v>
      </c>
      <c r="B1823">
        <v>-1</v>
      </c>
      <c r="C1823" t="s">
        <v>10335</v>
      </c>
      <c r="D1823" s="5">
        <v>1348.17</v>
      </c>
    </row>
    <row r="1824" spans="1:4" x14ac:dyDescent="0.25">
      <c r="A1824" t="s">
        <v>4428</v>
      </c>
      <c r="B1824">
        <v>-1</v>
      </c>
      <c r="C1824" t="s">
        <v>10333</v>
      </c>
      <c r="D1824" s="5">
        <v>-3838.07</v>
      </c>
    </row>
    <row r="1825" spans="1:4" x14ac:dyDescent="0.25">
      <c r="A1825" t="s">
        <v>9028</v>
      </c>
      <c r="B1825">
        <v>-1</v>
      </c>
      <c r="C1825" t="s">
        <v>10338</v>
      </c>
      <c r="D1825" s="5">
        <v>1545.67</v>
      </c>
    </row>
    <row r="1826" spans="1:4" x14ac:dyDescent="0.25">
      <c r="A1826" t="s">
        <v>6841</v>
      </c>
      <c r="B1826">
        <v>-1</v>
      </c>
      <c r="C1826" t="s">
        <v>10339</v>
      </c>
      <c r="D1826" s="5">
        <v>-250.65</v>
      </c>
    </row>
    <row r="1827" spans="1:4" x14ac:dyDescent="0.25">
      <c r="A1827" t="s">
        <v>6450</v>
      </c>
      <c r="B1827">
        <v>-1</v>
      </c>
      <c r="C1827" t="s">
        <v>10338</v>
      </c>
      <c r="D1827" s="5">
        <v>2227</v>
      </c>
    </row>
    <row r="1828" spans="1:4" x14ac:dyDescent="0.25">
      <c r="A1828" t="s">
        <v>4489</v>
      </c>
      <c r="B1828">
        <v>-1</v>
      </c>
      <c r="C1828" t="s">
        <v>10340</v>
      </c>
      <c r="D1828" s="5">
        <v>-2882.67</v>
      </c>
    </row>
    <row r="1829" spans="1:4" x14ac:dyDescent="0.25">
      <c r="A1829" t="s">
        <v>1390</v>
      </c>
      <c r="B1829">
        <v>-1</v>
      </c>
      <c r="C1829" t="s">
        <v>10344</v>
      </c>
      <c r="D1829" s="5">
        <v>133</v>
      </c>
    </row>
    <row r="1830" spans="1:4" x14ac:dyDescent="0.25">
      <c r="A1830" t="s">
        <v>4292</v>
      </c>
      <c r="B1830">
        <v>-1</v>
      </c>
      <c r="C1830" t="s">
        <v>10339</v>
      </c>
      <c r="D1830" s="5">
        <v>595.75</v>
      </c>
    </row>
    <row r="1831" spans="1:4" x14ac:dyDescent="0.25">
      <c r="A1831" t="s">
        <v>9023</v>
      </c>
      <c r="B1831">
        <v>-1</v>
      </c>
      <c r="C1831" t="s">
        <v>10338</v>
      </c>
      <c r="D1831" s="5">
        <v>963.11</v>
      </c>
    </row>
    <row r="1832" spans="1:4" x14ac:dyDescent="0.25">
      <c r="A1832" t="s">
        <v>6335</v>
      </c>
      <c r="B1832">
        <v>-1</v>
      </c>
      <c r="C1832" t="s">
        <v>10338</v>
      </c>
      <c r="D1832" s="5">
        <v>8163.81</v>
      </c>
    </row>
    <row r="1833" spans="1:4" x14ac:dyDescent="0.25">
      <c r="A1833" t="s">
        <v>1101</v>
      </c>
      <c r="B1833">
        <v>-1</v>
      </c>
      <c r="C1833" t="s">
        <v>10341</v>
      </c>
      <c r="D1833" s="5">
        <v>-600.09</v>
      </c>
    </row>
    <row r="1834" spans="1:4" x14ac:dyDescent="0.25">
      <c r="A1834" t="s">
        <v>1147</v>
      </c>
      <c r="B1834">
        <v>-1</v>
      </c>
      <c r="C1834" t="s">
        <v>10339</v>
      </c>
      <c r="D1834" s="5">
        <v>474.8</v>
      </c>
    </row>
    <row r="1835" spans="1:4" x14ac:dyDescent="0.25">
      <c r="A1835" t="s">
        <v>8184</v>
      </c>
      <c r="B1835">
        <v>-1</v>
      </c>
      <c r="C1835" t="s">
        <v>10338</v>
      </c>
      <c r="D1835" s="5">
        <v>1055.08</v>
      </c>
    </row>
    <row r="1836" spans="1:4" x14ac:dyDescent="0.25">
      <c r="A1836" t="s">
        <v>8188</v>
      </c>
      <c r="B1836">
        <v>-1</v>
      </c>
      <c r="C1836" t="s">
        <v>10340</v>
      </c>
      <c r="D1836" s="5">
        <v>-2128.6799999999998</v>
      </c>
    </row>
    <row r="1837" spans="1:4" x14ac:dyDescent="0.25">
      <c r="A1837" t="s">
        <v>8196</v>
      </c>
      <c r="B1837">
        <v>-1</v>
      </c>
      <c r="C1837" t="s">
        <v>10338</v>
      </c>
      <c r="D1837" s="5">
        <v>-954.67</v>
      </c>
    </row>
    <row r="1838" spans="1:4" x14ac:dyDescent="0.25">
      <c r="A1838" t="s">
        <v>8205</v>
      </c>
      <c r="B1838">
        <v>-1</v>
      </c>
      <c r="C1838" t="s">
        <v>10338</v>
      </c>
      <c r="D1838" s="5">
        <v>2165.62</v>
      </c>
    </row>
    <row r="1839" spans="1:4" x14ac:dyDescent="0.25">
      <c r="A1839" t="s">
        <v>8199</v>
      </c>
      <c r="B1839">
        <v>-1</v>
      </c>
      <c r="C1839" t="s">
        <v>10344</v>
      </c>
      <c r="D1839" s="5">
        <v>-88.08</v>
      </c>
    </row>
    <row r="1840" spans="1:4" x14ac:dyDescent="0.25">
      <c r="A1840" t="s">
        <v>8211</v>
      </c>
      <c r="B1840">
        <v>-1</v>
      </c>
      <c r="C1840" t="s">
        <v>10337</v>
      </c>
      <c r="D1840" s="5">
        <v>1800.03</v>
      </c>
    </row>
    <row r="1841" spans="1:4" x14ac:dyDescent="0.25">
      <c r="A1841" t="s">
        <v>8270</v>
      </c>
      <c r="B1841">
        <v>-1</v>
      </c>
      <c r="C1841" t="s">
        <v>10338</v>
      </c>
      <c r="D1841" s="5">
        <v>5095.88</v>
      </c>
    </row>
    <row r="1842" spans="1:4" x14ac:dyDescent="0.25">
      <c r="A1842" t="s">
        <v>8208</v>
      </c>
      <c r="B1842">
        <v>-1</v>
      </c>
      <c r="C1842" t="s">
        <v>10338</v>
      </c>
      <c r="D1842" s="5">
        <v>1178.75</v>
      </c>
    </row>
    <row r="1843" spans="1:4" x14ac:dyDescent="0.25">
      <c r="A1843" t="s">
        <v>6263</v>
      </c>
      <c r="B1843">
        <v>-1</v>
      </c>
      <c r="C1843" t="s">
        <v>10341</v>
      </c>
      <c r="D1843" s="5">
        <v>2287.1</v>
      </c>
    </row>
    <row r="1844" spans="1:4" x14ac:dyDescent="0.25">
      <c r="A1844" t="s">
        <v>6780</v>
      </c>
      <c r="B1844">
        <v>-1</v>
      </c>
      <c r="C1844" t="s">
        <v>10338</v>
      </c>
      <c r="D1844" s="5">
        <v>2298.7800000000002</v>
      </c>
    </row>
    <row r="1845" spans="1:4" x14ac:dyDescent="0.25">
      <c r="A1845" t="s">
        <v>2736</v>
      </c>
      <c r="B1845">
        <v>-1</v>
      </c>
      <c r="C1845" t="s">
        <v>10340</v>
      </c>
      <c r="D1845" s="5">
        <v>-438.4</v>
      </c>
    </row>
    <row r="1846" spans="1:4" x14ac:dyDescent="0.25">
      <c r="A1846" t="s">
        <v>1975</v>
      </c>
      <c r="B1846">
        <v>-1</v>
      </c>
      <c r="C1846" t="s">
        <v>10338</v>
      </c>
      <c r="D1846" s="5">
        <v>2314.71</v>
      </c>
    </row>
    <row r="1847" spans="1:4" x14ac:dyDescent="0.25">
      <c r="A1847" t="s">
        <v>7320</v>
      </c>
      <c r="B1847">
        <v>-1</v>
      </c>
      <c r="C1847" t="s">
        <v>10339</v>
      </c>
      <c r="D1847" s="5">
        <v>353.86</v>
      </c>
    </row>
    <row r="1848" spans="1:4" x14ac:dyDescent="0.25">
      <c r="A1848" t="s">
        <v>6864</v>
      </c>
      <c r="B1848">
        <v>-1</v>
      </c>
      <c r="C1848" t="s">
        <v>10339</v>
      </c>
      <c r="D1848" s="5">
        <v>4828.95</v>
      </c>
    </row>
    <row r="1849" spans="1:4" x14ac:dyDescent="0.25">
      <c r="A1849" t="s">
        <v>7551</v>
      </c>
      <c r="B1849">
        <v>-1</v>
      </c>
      <c r="C1849" t="s">
        <v>10338</v>
      </c>
    </row>
    <row r="1850" spans="1:4" x14ac:dyDescent="0.25">
      <c r="A1850" t="s">
        <v>7812</v>
      </c>
      <c r="B1850">
        <v>-1</v>
      </c>
      <c r="C1850" t="s">
        <v>10338</v>
      </c>
    </row>
    <row r="1851" spans="1:4" x14ac:dyDescent="0.25">
      <c r="A1851" t="s">
        <v>6452</v>
      </c>
      <c r="B1851">
        <v>-1</v>
      </c>
      <c r="C1851" t="s">
        <v>10338</v>
      </c>
    </row>
    <row r="1852" spans="1:4" x14ac:dyDescent="0.25">
      <c r="A1852" t="s">
        <v>3625</v>
      </c>
      <c r="B1852">
        <v>-1</v>
      </c>
      <c r="C1852" t="s">
        <v>10333</v>
      </c>
      <c r="D1852" s="5">
        <v>-3044.47</v>
      </c>
    </row>
    <row r="1853" spans="1:4" x14ac:dyDescent="0.25">
      <c r="A1853" t="s">
        <v>1238</v>
      </c>
      <c r="B1853">
        <v>-1</v>
      </c>
      <c r="C1853" t="s">
        <v>10338</v>
      </c>
      <c r="D1853" s="5">
        <v>1168.56</v>
      </c>
    </row>
    <row r="1854" spans="1:4" x14ac:dyDescent="0.25">
      <c r="A1854" t="s">
        <v>3368</v>
      </c>
      <c r="B1854">
        <v>-1</v>
      </c>
      <c r="C1854" t="s">
        <v>10340</v>
      </c>
      <c r="D1854" s="5">
        <v>-2907.08</v>
      </c>
    </row>
    <row r="1855" spans="1:4" x14ac:dyDescent="0.25">
      <c r="A1855" t="s">
        <v>5763</v>
      </c>
      <c r="B1855">
        <v>-1</v>
      </c>
      <c r="C1855" t="s">
        <v>10337</v>
      </c>
      <c r="D1855" s="5">
        <v>1949.04</v>
      </c>
    </row>
    <row r="1856" spans="1:4" x14ac:dyDescent="0.25">
      <c r="A1856" t="s">
        <v>2062</v>
      </c>
      <c r="B1856">
        <v>-1</v>
      </c>
      <c r="C1856" t="s">
        <v>10340</v>
      </c>
      <c r="D1856" s="5">
        <v>584.97</v>
      </c>
    </row>
    <row r="1857" spans="1:4" x14ac:dyDescent="0.25">
      <c r="A1857" t="s">
        <v>2697</v>
      </c>
      <c r="B1857">
        <v>-1</v>
      </c>
      <c r="C1857" t="s">
        <v>10337</v>
      </c>
      <c r="D1857" s="5">
        <v>5907.96</v>
      </c>
    </row>
    <row r="1858" spans="1:4" x14ac:dyDescent="0.25">
      <c r="A1858" t="s">
        <v>1818</v>
      </c>
      <c r="B1858">
        <v>-1</v>
      </c>
      <c r="C1858" t="s">
        <v>10338</v>
      </c>
      <c r="D1858" s="5">
        <v>4790.9399999999996</v>
      </c>
    </row>
    <row r="1859" spans="1:4" x14ac:dyDescent="0.25">
      <c r="A1859" t="s">
        <v>2268</v>
      </c>
      <c r="B1859">
        <v>-1</v>
      </c>
      <c r="C1859" t="s">
        <v>10344</v>
      </c>
      <c r="D1859" s="5">
        <v>3669.37</v>
      </c>
    </row>
    <row r="1860" spans="1:4" x14ac:dyDescent="0.25">
      <c r="A1860" t="s">
        <v>746</v>
      </c>
      <c r="B1860">
        <v>-1</v>
      </c>
      <c r="C1860" t="s">
        <v>10338</v>
      </c>
      <c r="D1860" s="5">
        <v>2292.7600000000002</v>
      </c>
    </row>
    <row r="1861" spans="1:4" x14ac:dyDescent="0.25">
      <c r="A1861" t="s">
        <v>656</v>
      </c>
      <c r="B1861">
        <v>-1</v>
      </c>
      <c r="C1861" t="s">
        <v>10333</v>
      </c>
      <c r="D1861" s="5">
        <v>-1662.44</v>
      </c>
    </row>
    <row r="1862" spans="1:4" x14ac:dyDescent="0.25">
      <c r="A1862" t="s">
        <v>3332</v>
      </c>
      <c r="B1862">
        <v>-1</v>
      </c>
      <c r="C1862" t="s">
        <v>10335</v>
      </c>
      <c r="D1862" s="5">
        <v>1650.16</v>
      </c>
    </row>
    <row r="1863" spans="1:4" x14ac:dyDescent="0.25">
      <c r="A1863" t="s">
        <v>3159</v>
      </c>
      <c r="B1863">
        <v>-1</v>
      </c>
      <c r="C1863" t="s">
        <v>10333</v>
      </c>
      <c r="D1863" s="5">
        <v>-1496.96</v>
      </c>
    </row>
    <row r="1864" spans="1:4" x14ac:dyDescent="0.25">
      <c r="A1864" t="s">
        <v>1978</v>
      </c>
      <c r="B1864">
        <v>-1</v>
      </c>
      <c r="C1864" t="s">
        <v>10337</v>
      </c>
      <c r="D1864" s="5">
        <v>-21.35</v>
      </c>
    </row>
    <row r="1865" spans="1:4" x14ac:dyDescent="0.25">
      <c r="A1865" t="s">
        <v>795</v>
      </c>
      <c r="B1865">
        <v>-1</v>
      </c>
      <c r="C1865" t="s">
        <v>10338</v>
      </c>
      <c r="D1865" s="5">
        <v>388.15</v>
      </c>
    </row>
    <row r="1866" spans="1:4" x14ac:dyDescent="0.25">
      <c r="A1866" t="s">
        <v>1824</v>
      </c>
      <c r="B1866">
        <v>-1</v>
      </c>
      <c r="C1866" t="s">
        <v>10340</v>
      </c>
      <c r="D1866" s="5">
        <v>-7360.11</v>
      </c>
    </row>
    <row r="1867" spans="1:4" x14ac:dyDescent="0.25">
      <c r="A1867" t="s">
        <v>1226</v>
      </c>
      <c r="B1867">
        <v>-1</v>
      </c>
      <c r="C1867" t="s">
        <v>10340</v>
      </c>
      <c r="D1867" s="5">
        <v>-1421.98</v>
      </c>
    </row>
    <row r="1868" spans="1:4" x14ac:dyDescent="0.25">
      <c r="A1868" t="s">
        <v>2591</v>
      </c>
      <c r="B1868">
        <v>-1</v>
      </c>
      <c r="C1868" t="s">
        <v>10333</v>
      </c>
      <c r="D1868" s="5">
        <v>266.95999999999998</v>
      </c>
    </row>
    <row r="1869" spans="1:4" x14ac:dyDescent="0.25">
      <c r="A1869" t="s">
        <v>1179</v>
      </c>
      <c r="B1869">
        <v>-1</v>
      </c>
      <c r="C1869" t="s">
        <v>10340</v>
      </c>
      <c r="D1869" s="5">
        <v>-223.87</v>
      </c>
    </row>
    <row r="1870" spans="1:4" x14ac:dyDescent="0.25">
      <c r="A1870" t="s">
        <v>2651</v>
      </c>
      <c r="B1870">
        <v>-1</v>
      </c>
      <c r="C1870" t="s">
        <v>10338</v>
      </c>
      <c r="D1870" s="5">
        <v>7591.92</v>
      </c>
    </row>
    <row r="1871" spans="1:4" x14ac:dyDescent="0.25">
      <c r="A1871" t="s">
        <v>2769</v>
      </c>
      <c r="B1871">
        <v>-1</v>
      </c>
      <c r="C1871" t="s">
        <v>10340</v>
      </c>
      <c r="D1871" s="5">
        <v>-1510.82</v>
      </c>
    </row>
    <row r="1872" spans="1:4" x14ac:dyDescent="0.25">
      <c r="A1872" t="s">
        <v>3269</v>
      </c>
      <c r="B1872">
        <v>-1</v>
      </c>
      <c r="C1872" t="s">
        <v>10338</v>
      </c>
      <c r="D1872" s="5">
        <v>2273.77</v>
      </c>
    </row>
    <row r="1873" spans="1:4" x14ac:dyDescent="0.25">
      <c r="A1873" t="s">
        <v>3013</v>
      </c>
      <c r="B1873">
        <v>-1</v>
      </c>
      <c r="C1873" t="s">
        <v>10337</v>
      </c>
      <c r="D1873" s="5">
        <v>13864.82</v>
      </c>
    </row>
    <row r="1874" spans="1:4" x14ac:dyDescent="0.25">
      <c r="A1874" t="s">
        <v>668</v>
      </c>
      <c r="B1874">
        <v>-1</v>
      </c>
      <c r="C1874" t="s">
        <v>10340</v>
      </c>
      <c r="D1874" s="5">
        <v>451.36</v>
      </c>
    </row>
    <row r="1875" spans="1:4" x14ac:dyDescent="0.25">
      <c r="A1875" t="s">
        <v>1464</v>
      </c>
      <c r="B1875">
        <v>-1</v>
      </c>
      <c r="C1875" t="s">
        <v>10335</v>
      </c>
      <c r="D1875" s="5">
        <v>-2701.91</v>
      </c>
    </row>
    <row r="1876" spans="1:4" x14ac:dyDescent="0.25">
      <c r="A1876" t="s">
        <v>2049</v>
      </c>
      <c r="B1876">
        <v>-1</v>
      </c>
      <c r="C1876" t="s">
        <v>10334</v>
      </c>
      <c r="D1876" s="5">
        <v>93.32</v>
      </c>
    </row>
    <row r="1877" spans="1:4" x14ac:dyDescent="0.25">
      <c r="A1877" t="s">
        <v>1794</v>
      </c>
      <c r="B1877">
        <v>-1</v>
      </c>
      <c r="C1877" t="s">
        <v>10337</v>
      </c>
      <c r="D1877" s="5">
        <v>2735.87</v>
      </c>
    </row>
    <row r="1878" spans="1:4" x14ac:dyDescent="0.25">
      <c r="A1878" t="s">
        <v>1458</v>
      </c>
      <c r="B1878">
        <v>-1</v>
      </c>
      <c r="C1878" t="s">
        <v>10338</v>
      </c>
      <c r="D1878" s="5">
        <v>3533.46</v>
      </c>
    </row>
    <row r="1879" spans="1:4" x14ac:dyDescent="0.25">
      <c r="A1879" t="s">
        <v>3482</v>
      </c>
      <c r="B1879">
        <v>-1</v>
      </c>
      <c r="C1879" t="s">
        <v>10340</v>
      </c>
      <c r="D1879" s="5">
        <v>1508.51</v>
      </c>
    </row>
    <row r="1880" spans="1:4" x14ac:dyDescent="0.25">
      <c r="A1880" t="s">
        <v>831</v>
      </c>
      <c r="B1880">
        <v>-1</v>
      </c>
      <c r="C1880" t="s">
        <v>10340</v>
      </c>
      <c r="D1880" s="5">
        <v>463.96</v>
      </c>
    </row>
    <row r="1881" spans="1:4" x14ac:dyDescent="0.25">
      <c r="A1881" t="s">
        <v>1220</v>
      </c>
      <c r="B1881">
        <v>-1</v>
      </c>
      <c r="C1881" t="s">
        <v>10340</v>
      </c>
      <c r="D1881" s="5">
        <v>-2614.69</v>
      </c>
    </row>
    <row r="1882" spans="1:4" x14ac:dyDescent="0.25">
      <c r="A1882" t="s">
        <v>6764</v>
      </c>
      <c r="B1882">
        <v>-1</v>
      </c>
      <c r="C1882" t="s">
        <v>10334</v>
      </c>
      <c r="D1882" s="5">
        <v>-1541.44</v>
      </c>
    </row>
    <row r="1883" spans="1:4" x14ac:dyDescent="0.25">
      <c r="A1883" t="s">
        <v>1267</v>
      </c>
      <c r="B1883">
        <v>-1</v>
      </c>
      <c r="C1883" t="s">
        <v>10344</v>
      </c>
      <c r="D1883" s="5">
        <v>2326.0500000000002</v>
      </c>
    </row>
    <row r="1884" spans="1:4" x14ac:dyDescent="0.25">
      <c r="A1884" t="s">
        <v>3497</v>
      </c>
      <c r="B1884">
        <v>-1</v>
      </c>
      <c r="C1884" t="s">
        <v>10339</v>
      </c>
      <c r="D1884" s="5">
        <v>1676.04</v>
      </c>
    </row>
    <row r="1885" spans="1:4" x14ac:dyDescent="0.25">
      <c r="A1885" t="s">
        <v>665</v>
      </c>
      <c r="B1885">
        <v>-1</v>
      </c>
      <c r="C1885" t="s">
        <v>10340</v>
      </c>
      <c r="D1885" s="5">
        <v>-145.41999999999999</v>
      </c>
    </row>
    <row r="1886" spans="1:4" x14ac:dyDescent="0.25">
      <c r="A1886" t="s">
        <v>2917</v>
      </c>
      <c r="B1886">
        <v>-1</v>
      </c>
      <c r="C1886" t="s">
        <v>10343</v>
      </c>
      <c r="D1886" s="5">
        <v>447.24</v>
      </c>
    </row>
    <row r="1887" spans="1:4" x14ac:dyDescent="0.25">
      <c r="A1887" t="s">
        <v>55</v>
      </c>
      <c r="B1887">
        <v>-1</v>
      </c>
      <c r="C1887" t="s">
        <v>10340</v>
      </c>
      <c r="D1887" s="5">
        <v>343.81</v>
      </c>
    </row>
    <row r="1888" spans="1:4" x14ac:dyDescent="0.25">
      <c r="A1888" t="s">
        <v>1797</v>
      </c>
      <c r="B1888">
        <v>-1</v>
      </c>
      <c r="C1888" t="s">
        <v>10344</v>
      </c>
      <c r="D1888" s="5">
        <v>1942.64</v>
      </c>
    </row>
    <row r="1889" spans="1:4" x14ac:dyDescent="0.25">
      <c r="A1889" t="s">
        <v>1175</v>
      </c>
      <c r="B1889">
        <v>-1</v>
      </c>
      <c r="C1889" t="s">
        <v>10333</v>
      </c>
      <c r="D1889" s="5">
        <v>-3610.13</v>
      </c>
    </row>
    <row r="1890" spans="1:4" x14ac:dyDescent="0.25">
      <c r="A1890" t="s">
        <v>725</v>
      </c>
      <c r="B1890">
        <v>-1</v>
      </c>
      <c r="C1890" t="s">
        <v>10337</v>
      </c>
      <c r="D1890" s="5">
        <v>1690.83</v>
      </c>
    </row>
    <row r="1891" spans="1:4" x14ac:dyDescent="0.25">
      <c r="A1891" t="s">
        <v>2749</v>
      </c>
      <c r="B1891">
        <v>-1</v>
      </c>
      <c r="C1891" t="s">
        <v>10340</v>
      </c>
      <c r="D1891" s="5">
        <v>-53.31</v>
      </c>
    </row>
    <row r="1892" spans="1:4" x14ac:dyDescent="0.25">
      <c r="A1892" t="s">
        <v>3035</v>
      </c>
      <c r="B1892">
        <v>-1</v>
      </c>
      <c r="C1892" t="s">
        <v>10338</v>
      </c>
      <c r="D1892" s="5">
        <v>3915.92</v>
      </c>
    </row>
    <row r="1893" spans="1:4" x14ac:dyDescent="0.25">
      <c r="A1893" t="s">
        <v>2120</v>
      </c>
      <c r="B1893">
        <v>-1</v>
      </c>
      <c r="C1893" t="s">
        <v>10338</v>
      </c>
    </row>
    <row r="1894" spans="1:4" x14ac:dyDescent="0.25">
      <c r="A1894" t="s">
        <v>1806</v>
      </c>
      <c r="B1894">
        <v>-1</v>
      </c>
      <c r="C1894" t="s">
        <v>10339</v>
      </c>
      <c r="D1894" s="5">
        <v>3873.13</v>
      </c>
    </row>
    <row r="1895" spans="1:4" x14ac:dyDescent="0.25">
      <c r="A1895" t="s">
        <v>2828</v>
      </c>
      <c r="B1895">
        <v>-1</v>
      </c>
      <c r="C1895" t="s">
        <v>10338</v>
      </c>
      <c r="D1895" s="5">
        <v>859.53</v>
      </c>
    </row>
    <row r="1896" spans="1:4" x14ac:dyDescent="0.25">
      <c r="A1896" t="s">
        <v>719</v>
      </c>
      <c r="B1896">
        <v>-1</v>
      </c>
      <c r="C1896" t="s">
        <v>10344</v>
      </c>
      <c r="D1896" s="5">
        <v>2286.9</v>
      </c>
    </row>
    <row r="1897" spans="1:4" x14ac:dyDescent="0.25">
      <c r="A1897" t="s">
        <v>1017</v>
      </c>
      <c r="B1897">
        <v>-1</v>
      </c>
      <c r="C1897" t="s">
        <v>10338</v>
      </c>
      <c r="D1897" s="5">
        <v>2124.1799999999998</v>
      </c>
    </row>
    <row r="1898" spans="1:4" x14ac:dyDescent="0.25">
      <c r="A1898" t="s">
        <v>1933</v>
      </c>
      <c r="B1898">
        <v>-1</v>
      </c>
      <c r="C1898" t="s">
        <v>10336</v>
      </c>
      <c r="D1898" s="5">
        <v>-34.28</v>
      </c>
    </row>
    <row r="1899" spans="1:4" x14ac:dyDescent="0.25">
      <c r="A1899" t="s">
        <v>819</v>
      </c>
      <c r="B1899">
        <v>-1</v>
      </c>
      <c r="C1899" t="s">
        <v>10333</v>
      </c>
      <c r="D1899" s="5">
        <v>-5064.88</v>
      </c>
    </row>
    <row r="1900" spans="1:4" x14ac:dyDescent="0.25">
      <c r="A1900" t="s">
        <v>3395</v>
      </c>
      <c r="B1900">
        <v>-1</v>
      </c>
      <c r="C1900" t="s">
        <v>10341</v>
      </c>
      <c r="D1900" s="5">
        <v>-2319.71</v>
      </c>
    </row>
    <row r="1901" spans="1:4" x14ac:dyDescent="0.25">
      <c r="A1901" t="s">
        <v>1318</v>
      </c>
      <c r="B1901">
        <v>-1</v>
      </c>
      <c r="C1901" t="s">
        <v>10338</v>
      </c>
      <c r="D1901" s="5">
        <v>-757.45</v>
      </c>
    </row>
    <row r="1902" spans="1:4" x14ac:dyDescent="0.25">
      <c r="A1902" t="s">
        <v>2620</v>
      </c>
      <c r="B1902">
        <v>-1</v>
      </c>
      <c r="C1902" t="s">
        <v>10338</v>
      </c>
      <c r="D1902" s="5">
        <v>2726.27</v>
      </c>
    </row>
    <row r="1903" spans="1:4" x14ac:dyDescent="0.25">
      <c r="A1903" t="s">
        <v>2776</v>
      </c>
      <c r="B1903">
        <v>-1</v>
      </c>
      <c r="C1903" t="s">
        <v>10335</v>
      </c>
      <c r="D1903" s="5">
        <v>4350.05</v>
      </c>
    </row>
    <row r="1904" spans="1:4" x14ac:dyDescent="0.25">
      <c r="A1904" t="s">
        <v>203</v>
      </c>
      <c r="B1904">
        <v>-1</v>
      </c>
      <c r="C1904" t="s">
        <v>10334</v>
      </c>
      <c r="D1904" s="5">
        <v>-2308.0300000000002</v>
      </c>
    </row>
    <row r="1905" spans="1:4" x14ac:dyDescent="0.25">
      <c r="A1905" t="s">
        <v>2878</v>
      </c>
      <c r="B1905">
        <v>-1</v>
      </c>
      <c r="C1905" t="s">
        <v>10334</v>
      </c>
      <c r="D1905" s="5">
        <v>-8147.84</v>
      </c>
    </row>
    <row r="1906" spans="1:4" x14ac:dyDescent="0.25">
      <c r="A1906" t="s">
        <v>2363</v>
      </c>
      <c r="B1906">
        <v>-1</v>
      </c>
      <c r="C1906" t="s">
        <v>10337</v>
      </c>
      <c r="D1906" s="5">
        <v>758.52</v>
      </c>
    </row>
    <row r="1907" spans="1:4" x14ac:dyDescent="0.25">
      <c r="A1907" t="s">
        <v>3236</v>
      </c>
      <c r="B1907">
        <v>-1</v>
      </c>
      <c r="C1907" t="s">
        <v>10338</v>
      </c>
      <c r="D1907" s="5">
        <v>2208.85</v>
      </c>
    </row>
    <row r="1908" spans="1:4" x14ac:dyDescent="0.25">
      <c r="A1908" t="s">
        <v>588</v>
      </c>
      <c r="B1908">
        <v>-1</v>
      </c>
      <c r="C1908" t="s">
        <v>10339</v>
      </c>
      <c r="D1908" s="5">
        <v>2.16</v>
      </c>
    </row>
    <row r="1909" spans="1:4" x14ac:dyDescent="0.25">
      <c r="A1909" t="s">
        <v>626</v>
      </c>
      <c r="B1909">
        <v>-1</v>
      </c>
      <c r="C1909" t="s">
        <v>10338</v>
      </c>
      <c r="D1909" s="5">
        <v>3933.91</v>
      </c>
    </row>
    <row r="1910" spans="1:4" x14ac:dyDescent="0.25">
      <c r="A1910" t="s">
        <v>5055</v>
      </c>
      <c r="B1910">
        <v>-1</v>
      </c>
      <c r="C1910" t="s">
        <v>10333</v>
      </c>
      <c r="D1910" s="5">
        <v>-8154.07</v>
      </c>
    </row>
    <row r="1911" spans="1:4" x14ac:dyDescent="0.25">
      <c r="A1911" t="s">
        <v>4185</v>
      </c>
      <c r="B1911">
        <v>-1</v>
      </c>
      <c r="C1911" t="s">
        <v>10344</v>
      </c>
      <c r="D1911" s="5">
        <v>2898.52</v>
      </c>
    </row>
    <row r="1912" spans="1:4" x14ac:dyDescent="0.25">
      <c r="A1912" t="s">
        <v>3658</v>
      </c>
      <c r="B1912">
        <v>-1</v>
      </c>
      <c r="C1912" t="s">
        <v>10334</v>
      </c>
      <c r="D1912" s="5">
        <v>1551.71</v>
      </c>
    </row>
    <row r="1913" spans="1:4" x14ac:dyDescent="0.25">
      <c r="A1913" t="s">
        <v>2637</v>
      </c>
      <c r="B1913">
        <v>-1</v>
      </c>
      <c r="C1913" t="s">
        <v>10333</v>
      </c>
      <c r="D1913" s="5">
        <v>2909.24</v>
      </c>
    </row>
    <row r="1914" spans="1:4" x14ac:dyDescent="0.25">
      <c r="A1914" t="s">
        <v>641</v>
      </c>
      <c r="B1914">
        <v>-1</v>
      </c>
      <c r="C1914" t="s">
        <v>10337</v>
      </c>
      <c r="D1914" s="5">
        <v>2263.4299999999998</v>
      </c>
    </row>
    <row r="1915" spans="1:4" x14ac:dyDescent="0.25">
      <c r="A1915" t="s">
        <v>3561</v>
      </c>
      <c r="B1915">
        <v>-1</v>
      </c>
      <c r="C1915" t="s">
        <v>10335</v>
      </c>
      <c r="D1915" s="5">
        <v>488.15</v>
      </c>
    </row>
    <row r="1916" spans="1:4" x14ac:dyDescent="0.25">
      <c r="A1916" t="s">
        <v>804</v>
      </c>
      <c r="B1916">
        <v>-1</v>
      </c>
      <c r="C1916" t="s">
        <v>10344</v>
      </c>
      <c r="D1916" s="5">
        <v>2847.63</v>
      </c>
    </row>
    <row r="1917" spans="1:4" x14ac:dyDescent="0.25">
      <c r="A1917" t="s">
        <v>4378</v>
      </c>
      <c r="B1917">
        <v>-1</v>
      </c>
      <c r="C1917" t="s">
        <v>10344</v>
      </c>
      <c r="D1917" s="5">
        <v>616.32000000000005</v>
      </c>
    </row>
    <row r="1918" spans="1:4" x14ac:dyDescent="0.25">
      <c r="A1918" t="s">
        <v>671</v>
      </c>
      <c r="B1918">
        <v>-1</v>
      </c>
      <c r="C1918" t="s">
        <v>10340</v>
      </c>
      <c r="D1918" s="5">
        <v>-1648.73</v>
      </c>
    </row>
    <row r="1919" spans="1:4" x14ac:dyDescent="0.25">
      <c r="A1919" t="s">
        <v>18</v>
      </c>
      <c r="B1919">
        <v>-1</v>
      </c>
      <c r="C1919" t="s">
        <v>10335</v>
      </c>
      <c r="D1919" s="5">
        <v>409.21</v>
      </c>
    </row>
    <row r="1920" spans="1:4" x14ac:dyDescent="0.25">
      <c r="A1920" t="s">
        <v>1381</v>
      </c>
      <c r="B1920">
        <v>-1</v>
      </c>
      <c r="C1920" t="s">
        <v>10333</v>
      </c>
      <c r="D1920" s="5">
        <v>-2203.58</v>
      </c>
    </row>
    <row r="1921" spans="1:4" x14ac:dyDescent="0.25">
      <c r="A1921" t="s">
        <v>734</v>
      </c>
      <c r="B1921">
        <v>-1</v>
      </c>
      <c r="C1921" t="s">
        <v>10340</v>
      </c>
      <c r="D1921" s="5">
        <v>1589.42</v>
      </c>
    </row>
    <row r="1922" spans="1:4" x14ac:dyDescent="0.25">
      <c r="A1922" t="s">
        <v>2302</v>
      </c>
      <c r="B1922">
        <v>-1</v>
      </c>
      <c r="C1922" t="s">
        <v>10333</v>
      </c>
      <c r="D1922" s="5">
        <v>-314.01</v>
      </c>
    </row>
    <row r="1923" spans="1:4" x14ac:dyDescent="0.25">
      <c r="A1923" t="s">
        <v>2482</v>
      </c>
      <c r="B1923">
        <v>-1</v>
      </c>
      <c r="C1923" t="s">
        <v>10338</v>
      </c>
      <c r="D1923" s="5">
        <v>905.38</v>
      </c>
    </row>
    <row r="1924" spans="1:4" x14ac:dyDescent="0.25">
      <c r="A1924" t="s">
        <v>1195</v>
      </c>
      <c r="B1924">
        <v>-1</v>
      </c>
      <c r="C1924" t="s">
        <v>10340</v>
      </c>
      <c r="D1924" s="5">
        <v>224.19</v>
      </c>
    </row>
    <row r="1925" spans="1:4" x14ac:dyDescent="0.25">
      <c r="A1925" t="s">
        <v>1288</v>
      </c>
      <c r="B1925">
        <v>-1</v>
      </c>
      <c r="C1925" t="s">
        <v>10338</v>
      </c>
      <c r="D1925" s="5">
        <v>2830.6</v>
      </c>
    </row>
    <row r="1926" spans="1:4" x14ac:dyDescent="0.25">
      <c r="A1926" t="s">
        <v>653</v>
      </c>
      <c r="B1926">
        <v>-1</v>
      </c>
      <c r="C1926" t="s">
        <v>10344</v>
      </c>
      <c r="D1926" s="5">
        <v>6795.29</v>
      </c>
    </row>
    <row r="1927" spans="1:4" x14ac:dyDescent="0.25">
      <c r="A1927" t="s">
        <v>3093</v>
      </c>
      <c r="B1927">
        <v>-1</v>
      </c>
      <c r="C1927" t="s">
        <v>10338</v>
      </c>
      <c r="D1927" s="5">
        <v>9757.66</v>
      </c>
    </row>
    <row r="1928" spans="1:4" x14ac:dyDescent="0.25">
      <c r="A1928" t="s">
        <v>6187</v>
      </c>
      <c r="B1928">
        <v>-1</v>
      </c>
      <c r="C1928" t="s">
        <v>10340</v>
      </c>
      <c r="D1928" s="5">
        <v>-2589.7800000000002</v>
      </c>
    </row>
    <row r="1929" spans="1:4" x14ac:dyDescent="0.25">
      <c r="A1929" t="s">
        <v>6914</v>
      </c>
      <c r="B1929">
        <v>-1</v>
      </c>
      <c r="C1929" t="s">
        <v>10344</v>
      </c>
      <c r="D1929" s="5">
        <v>360.92</v>
      </c>
    </row>
    <row r="1930" spans="1:4" x14ac:dyDescent="0.25">
      <c r="A1930" t="s">
        <v>6756</v>
      </c>
      <c r="B1930">
        <v>-1</v>
      </c>
      <c r="C1930" t="s">
        <v>10336</v>
      </c>
      <c r="D1930" s="5">
        <v>5670.11</v>
      </c>
    </row>
    <row r="1931" spans="1:4" x14ac:dyDescent="0.25">
      <c r="A1931" t="s">
        <v>180</v>
      </c>
      <c r="B1931">
        <v>-1</v>
      </c>
      <c r="C1931" t="s">
        <v>10333</v>
      </c>
      <c r="D1931" s="5">
        <v>-2030.19</v>
      </c>
    </row>
    <row r="1932" spans="1:4" x14ac:dyDescent="0.25">
      <c r="A1932" t="s">
        <v>136</v>
      </c>
      <c r="B1932">
        <v>-1</v>
      </c>
      <c r="C1932" t="s">
        <v>10333</v>
      </c>
      <c r="D1932" s="5">
        <v>-25139.74</v>
      </c>
    </row>
    <row r="1933" spans="1:4" x14ac:dyDescent="0.25">
      <c r="A1933" t="s">
        <v>261</v>
      </c>
      <c r="B1933">
        <v>-1</v>
      </c>
      <c r="C1933" t="s">
        <v>10338</v>
      </c>
      <c r="D1933" s="5">
        <v>2927.37</v>
      </c>
    </row>
    <row r="1934" spans="1:4" x14ac:dyDescent="0.25">
      <c r="A1934" t="s">
        <v>1051</v>
      </c>
      <c r="B1934">
        <v>-1</v>
      </c>
      <c r="C1934" t="s">
        <v>10338</v>
      </c>
      <c r="D1934" s="5">
        <v>8461.58</v>
      </c>
    </row>
    <row r="1935" spans="1:4" x14ac:dyDescent="0.25">
      <c r="A1935" t="s">
        <v>1040</v>
      </c>
      <c r="B1935">
        <v>-1</v>
      </c>
      <c r="C1935" t="s">
        <v>10333</v>
      </c>
      <c r="D1935" s="5">
        <v>-286.56</v>
      </c>
    </row>
    <row r="1936" spans="1:4" x14ac:dyDescent="0.25">
      <c r="A1936" t="s">
        <v>5420</v>
      </c>
      <c r="B1936">
        <v>-1</v>
      </c>
      <c r="C1936" t="s">
        <v>10339</v>
      </c>
      <c r="D1936" s="5">
        <v>3592.64</v>
      </c>
    </row>
    <row r="1937" spans="1:4" x14ac:dyDescent="0.25">
      <c r="A1937" t="s">
        <v>5536</v>
      </c>
      <c r="B1937">
        <v>-1</v>
      </c>
      <c r="C1937" t="s">
        <v>10334</v>
      </c>
      <c r="D1937" s="5">
        <v>-216.25</v>
      </c>
    </row>
    <row r="1938" spans="1:4" x14ac:dyDescent="0.25">
      <c r="A1938" t="s">
        <v>4894</v>
      </c>
      <c r="B1938">
        <v>-1</v>
      </c>
      <c r="C1938" t="s">
        <v>10334</v>
      </c>
      <c r="D1938" s="5">
        <v>-437.6</v>
      </c>
    </row>
    <row r="1939" spans="1:4" x14ac:dyDescent="0.25">
      <c r="A1939" t="s">
        <v>4891</v>
      </c>
      <c r="B1939">
        <v>-1</v>
      </c>
      <c r="C1939" t="s">
        <v>10333</v>
      </c>
      <c r="D1939" s="5">
        <v>-7093.22</v>
      </c>
    </row>
    <row r="1940" spans="1:4" x14ac:dyDescent="0.25">
      <c r="A1940" t="s">
        <v>6014</v>
      </c>
      <c r="B1940">
        <v>-1</v>
      </c>
      <c r="C1940" t="s">
        <v>10340</v>
      </c>
      <c r="D1940" s="5">
        <v>-2369.2199999999998</v>
      </c>
    </row>
    <row r="1941" spans="1:4" x14ac:dyDescent="0.25">
      <c r="A1941" t="s">
        <v>7626</v>
      </c>
      <c r="B1941">
        <v>-1</v>
      </c>
      <c r="C1941" t="s">
        <v>10333</v>
      </c>
      <c r="D1941" s="5">
        <v>-2818.14</v>
      </c>
    </row>
    <row r="1942" spans="1:4" x14ac:dyDescent="0.25">
      <c r="A1942" t="s">
        <v>7612</v>
      </c>
      <c r="B1942">
        <v>-1</v>
      </c>
      <c r="C1942" t="s">
        <v>10334</v>
      </c>
      <c r="D1942" s="5">
        <v>-333.4</v>
      </c>
    </row>
    <row r="1943" spans="1:4" x14ac:dyDescent="0.25">
      <c r="A1943" t="s">
        <v>7944</v>
      </c>
      <c r="B1943">
        <v>-1</v>
      </c>
      <c r="C1943" t="s">
        <v>10333</v>
      </c>
      <c r="D1943" s="5">
        <v>-524.24</v>
      </c>
    </row>
    <row r="1944" spans="1:4" x14ac:dyDescent="0.25">
      <c r="A1944" t="s">
        <v>7137</v>
      </c>
      <c r="B1944">
        <v>-1</v>
      </c>
      <c r="C1944" t="s">
        <v>10333</v>
      </c>
      <c r="D1944" s="5">
        <v>-358.96</v>
      </c>
    </row>
    <row r="1945" spans="1:4" x14ac:dyDescent="0.25">
      <c r="A1945" t="s">
        <v>7446</v>
      </c>
      <c r="B1945">
        <v>-1</v>
      </c>
      <c r="C1945" t="s">
        <v>10337</v>
      </c>
    </row>
    <row r="1946" spans="1:4" x14ac:dyDescent="0.25">
      <c r="A1946" t="s">
        <v>7442</v>
      </c>
      <c r="B1946">
        <v>-1</v>
      </c>
      <c r="C1946" t="s">
        <v>10333</v>
      </c>
      <c r="D1946" s="5">
        <v>-750.24</v>
      </c>
    </row>
    <row r="1947" spans="1:4" x14ac:dyDescent="0.25">
      <c r="A1947" t="s">
        <v>7433</v>
      </c>
      <c r="B1947">
        <v>-1</v>
      </c>
      <c r="C1947" t="s">
        <v>10333</v>
      </c>
      <c r="D1947" s="5">
        <v>-33975.019999999997</v>
      </c>
    </row>
    <row r="1948" spans="1:4" x14ac:dyDescent="0.25">
      <c r="A1948" t="s">
        <v>7654</v>
      </c>
      <c r="B1948">
        <v>-1</v>
      </c>
      <c r="C1948" t="s">
        <v>10334</v>
      </c>
      <c r="D1948" s="5">
        <v>-550.79999999999995</v>
      </c>
    </row>
    <row r="1949" spans="1:4" x14ac:dyDescent="0.25">
      <c r="A1949" t="s">
        <v>7484</v>
      </c>
      <c r="B1949">
        <v>-1</v>
      </c>
      <c r="C1949" t="s">
        <v>10338</v>
      </c>
      <c r="D1949" s="5">
        <v>-969.81</v>
      </c>
    </row>
    <row r="1950" spans="1:4" x14ac:dyDescent="0.25">
      <c r="A1950" t="s">
        <v>7687</v>
      </c>
      <c r="B1950">
        <v>-1</v>
      </c>
      <c r="C1950" t="s">
        <v>10333</v>
      </c>
      <c r="D1950" s="5">
        <v>-19671.63</v>
      </c>
    </row>
    <row r="1951" spans="1:4" x14ac:dyDescent="0.25">
      <c r="A1951" t="s">
        <v>7618</v>
      </c>
      <c r="B1951">
        <v>-1</v>
      </c>
      <c r="C1951" t="s">
        <v>10333</v>
      </c>
      <c r="D1951" s="5">
        <v>-4024.99</v>
      </c>
    </row>
    <row r="1952" spans="1:4" x14ac:dyDescent="0.25">
      <c r="A1952" t="s">
        <v>7265</v>
      </c>
      <c r="B1952">
        <v>-1</v>
      </c>
      <c r="C1952" t="s">
        <v>10333</v>
      </c>
      <c r="D1952" s="5">
        <v>-114.36</v>
      </c>
    </row>
    <row r="1953" spans="1:4" x14ac:dyDescent="0.25">
      <c r="A1953" t="s">
        <v>7696</v>
      </c>
      <c r="B1953">
        <v>-1</v>
      </c>
      <c r="C1953" t="s">
        <v>10336</v>
      </c>
    </row>
    <row r="1954" spans="1:4" x14ac:dyDescent="0.25">
      <c r="A1954" t="s">
        <v>7878</v>
      </c>
      <c r="B1954">
        <v>-1</v>
      </c>
      <c r="C1954" t="s">
        <v>10333</v>
      </c>
      <c r="D1954" s="5">
        <v>-685.3</v>
      </c>
    </row>
    <row r="1955" spans="1:4" x14ac:dyDescent="0.25">
      <c r="A1955" t="s">
        <v>7706</v>
      </c>
      <c r="B1955">
        <v>-1</v>
      </c>
      <c r="C1955" t="s">
        <v>10336</v>
      </c>
    </row>
    <row r="1956" spans="1:4" x14ac:dyDescent="0.25">
      <c r="A1956" t="s">
        <v>7728</v>
      </c>
      <c r="B1956">
        <v>-1</v>
      </c>
      <c r="C1956" t="s">
        <v>10333</v>
      </c>
      <c r="D1956" s="5">
        <v>-737.68</v>
      </c>
    </row>
    <row r="1957" spans="1:4" x14ac:dyDescent="0.25">
      <c r="A1957" t="s">
        <v>7249</v>
      </c>
      <c r="B1957">
        <v>-1</v>
      </c>
      <c r="C1957" t="s">
        <v>10333</v>
      </c>
    </row>
    <row r="1958" spans="1:4" x14ac:dyDescent="0.25">
      <c r="A1958" t="s">
        <v>7882</v>
      </c>
      <c r="B1958">
        <v>-1</v>
      </c>
      <c r="C1958" t="s">
        <v>10334</v>
      </c>
    </row>
    <row r="1959" spans="1:4" x14ac:dyDescent="0.25">
      <c r="A1959" t="s">
        <v>5586</v>
      </c>
      <c r="B1959">
        <v>-1</v>
      </c>
      <c r="C1959" t="s">
        <v>10333</v>
      </c>
    </row>
    <row r="1960" spans="1:4" x14ac:dyDescent="0.25">
      <c r="A1960" t="s">
        <v>8313</v>
      </c>
      <c r="B1960">
        <v>-1</v>
      </c>
      <c r="C1960" t="s">
        <v>10334</v>
      </c>
      <c r="D1960" s="5">
        <v>-412.64</v>
      </c>
    </row>
    <row r="1961" spans="1:4" x14ac:dyDescent="0.25">
      <c r="A1961" t="s">
        <v>437</v>
      </c>
      <c r="B1961">
        <v>-1</v>
      </c>
      <c r="C1961" t="s">
        <v>10333</v>
      </c>
      <c r="D1961" s="5">
        <v>-259.42</v>
      </c>
    </row>
    <row r="1962" spans="1:4" x14ac:dyDescent="0.25">
      <c r="A1962" t="s">
        <v>1357</v>
      </c>
      <c r="B1962">
        <v>-1</v>
      </c>
      <c r="C1962" t="s">
        <v>10333</v>
      </c>
      <c r="D1962" s="5">
        <v>834.61</v>
      </c>
    </row>
    <row r="1963" spans="1:4" x14ac:dyDescent="0.25">
      <c r="A1963" t="s">
        <v>4840</v>
      </c>
      <c r="B1963">
        <v>-1</v>
      </c>
      <c r="C1963" t="s">
        <v>10344</v>
      </c>
      <c r="D1963" s="5">
        <v>2503.81</v>
      </c>
    </row>
    <row r="1964" spans="1:4" x14ac:dyDescent="0.25">
      <c r="A1964" t="s">
        <v>5689</v>
      </c>
      <c r="B1964">
        <v>-1</v>
      </c>
      <c r="C1964" t="s">
        <v>10333</v>
      </c>
      <c r="D1964" s="5">
        <v>-174</v>
      </c>
    </row>
    <row r="1965" spans="1:4" x14ac:dyDescent="0.25">
      <c r="A1965" t="s">
        <v>6702</v>
      </c>
      <c r="B1965">
        <v>-1</v>
      </c>
      <c r="C1965" t="s">
        <v>10333</v>
      </c>
      <c r="D1965" s="5">
        <v>-320.88</v>
      </c>
    </row>
    <row r="1966" spans="1:4" x14ac:dyDescent="0.25">
      <c r="A1966" t="s">
        <v>6753</v>
      </c>
      <c r="B1966">
        <v>-1</v>
      </c>
      <c r="C1966" t="s">
        <v>10342</v>
      </c>
      <c r="D1966" s="5">
        <v>0</v>
      </c>
    </row>
    <row r="1967" spans="1:4" x14ac:dyDescent="0.25">
      <c r="A1967" t="s">
        <v>6732</v>
      </c>
      <c r="B1967">
        <v>-1</v>
      </c>
      <c r="C1967" t="s">
        <v>10338</v>
      </c>
      <c r="D1967" s="5">
        <v>2488.5500000000002</v>
      </c>
    </row>
    <row r="1968" spans="1:4" x14ac:dyDescent="0.25">
      <c r="A1968" t="s">
        <v>6833</v>
      </c>
      <c r="B1968">
        <v>-1</v>
      </c>
      <c r="C1968" t="s">
        <v>10344</v>
      </c>
      <c r="D1968" s="5">
        <v>-26.31</v>
      </c>
    </row>
    <row r="1969" spans="1:4" x14ac:dyDescent="0.25">
      <c r="A1969" t="s">
        <v>6166</v>
      </c>
      <c r="B1969">
        <v>-1</v>
      </c>
      <c r="C1969" t="s">
        <v>10333</v>
      </c>
      <c r="D1969" s="5">
        <v>-368.32</v>
      </c>
    </row>
    <row r="1970" spans="1:4" x14ac:dyDescent="0.25">
      <c r="A1970" t="s">
        <v>6204</v>
      </c>
      <c r="B1970">
        <v>-1</v>
      </c>
      <c r="C1970" t="s">
        <v>10336</v>
      </c>
      <c r="D1970" s="5">
        <v>-44.4</v>
      </c>
    </row>
    <row r="1971" spans="1:4" x14ac:dyDescent="0.25">
      <c r="A1971" t="s">
        <v>6673</v>
      </c>
      <c r="B1971">
        <v>-1</v>
      </c>
      <c r="C1971" t="s">
        <v>10333</v>
      </c>
      <c r="D1971" s="5">
        <v>-1870.15</v>
      </c>
    </row>
    <row r="1972" spans="1:4" x14ac:dyDescent="0.25">
      <c r="A1972" t="s">
        <v>6440</v>
      </c>
      <c r="B1972">
        <v>-1</v>
      </c>
      <c r="C1972" t="s">
        <v>10338</v>
      </c>
    </row>
    <row r="1973" spans="1:4" x14ac:dyDescent="0.25">
      <c r="A1973" t="s">
        <v>5968</v>
      </c>
      <c r="B1973">
        <v>-1</v>
      </c>
      <c r="C1973" t="s">
        <v>10333</v>
      </c>
      <c r="D1973" s="5">
        <v>-206.48</v>
      </c>
    </row>
    <row r="1974" spans="1:4" x14ac:dyDescent="0.25">
      <c r="A1974" t="s">
        <v>5955</v>
      </c>
      <c r="B1974">
        <v>-1</v>
      </c>
      <c r="C1974" t="s">
        <v>10334</v>
      </c>
    </row>
    <row r="1975" spans="1:4" x14ac:dyDescent="0.25">
      <c r="A1975" t="s">
        <v>3721</v>
      </c>
      <c r="B1975">
        <v>-1</v>
      </c>
      <c r="C1975" t="s">
        <v>10340</v>
      </c>
    </row>
    <row r="1976" spans="1:4" x14ac:dyDescent="0.25">
      <c r="A1976" t="s">
        <v>4506</v>
      </c>
      <c r="B1976">
        <v>-1</v>
      </c>
      <c r="C1976" t="s">
        <v>10334</v>
      </c>
      <c r="D1976" s="5">
        <v>-388.66</v>
      </c>
    </row>
    <row r="1977" spans="1:4" x14ac:dyDescent="0.25">
      <c r="A1977" t="s">
        <v>4512</v>
      </c>
      <c r="B1977">
        <v>-1</v>
      </c>
      <c r="C1977" t="s">
        <v>10333</v>
      </c>
      <c r="D1977" s="5">
        <v>-830.56</v>
      </c>
    </row>
    <row r="1978" spans="1:4" x14ac:dyDescent="0.25">
      <c r="A1978" t="s">
        <v>3850</v>
      </c>
      <c r="B1978">
        <v>-1</v>
      </c>
      <c r="C1978" t="s">
        <v>10333</v>
      </c>
      <c r="D1978" s="5">
        <v>-176.88</v>
      </c>
    </row>
    <row r="1979" spans="1:4" x14ac:dyDescent="0.25">
      <c r="A1979" t="s">
        <v>4517</v>
      </c>
      <c r="B1979">
        <v>-1</v>
      </c>
      <c r="C1979" t="s">
        <v>10333</v>
      </c>
      <c r="D1979" s="5">
        <v>-76.16</v>
      </c>
    </row>
    <row r="1980" spans="1:4" x14ac:dyDescent="0.25">
      <c r="A1980" t="s">
        <v>5644</v>
      </c>
      <c r="B1980">
        <v>-1</v>
      </c>
      <c r="C1980" t="s">
        <v>10338</v>
      </c>
      <c r="D1980" s="5">
        <v>-1989.65</v>
      </c>
    </row>
    <row r="1981" spans="1:4" x14ac:dyDescent="0.25">
      <c r="A1981" t="s">
        <v>6587</v>
      </c>
      <c r="B1981">
        <v>-1</v>
      </c>
      <c r="C1981" t="s">
        <v>10333</v>
      </c>
      <c r="D1981" s="5">
        <v>-281.08</v>
      </c>
    </row>
    <row r="1982" spans="1:4" x14ac:dyDescent="0.25">
      <c r="A1982" t="s">
        <v>6584</v>
      </c>
      <c r="B1982">
        <v>-1</v>
      </c>
      <c r="C1982" t="s">
        <v>10337</v>
      </c>
      <c r="D1982" s="5">
        <v>578.27</v>
      </c>
    </row>
    <row r="1983" spans="1:4" x14ac:dyDescent="0.25">
      <c r="A1983" t="s">
        <v>4811</v>
      </c>
      <c r="B1983">
        <v>-1</v>
      </c>
      <c r="C1983" t="s">
        <v>10334</v>
      </c>
      <c r="D1983" s="5">
        <v>-52.4</v>
      </c>
    </row>
    <row r="1984" spans="1:4" x14ac:dyDescent="0.25">
      <c r="A1984" t="s">
        <v>6902</v>
      </c>
      <c r="B1984">
        <v>-1</v>
      </c>
      <c r="C1984" t="s">
        <v>10340</v>
      </c>
      <c r="D1984" s="5">
        <v>-25.92</v>
      </c>
    </row>
    <row r="1985" spans="1:4" x14ac:dyDescent="0.25">
      <c r="A1985" t="s">
        <v>6268</v>
      </c>
      <c r="B1985">
        <v>-1</v>
      </c>
      <c r="C1985" t="s">
        <v>10336</v>
      </c>
      <c r="D1985" s="5">
        <v>-60.56</v>
      </c>
    </row>
    <row r="1986" spans="1:4" x14ac:dyDescent="0.25">
      <c r="A1986" t="s">
        <v>5660</v>
      </c>
      <c r="B1986">
        <v>-1</v>
      </c>
      <c r="C1986" t="s">
        <v>10340</v>
      </c>
    </row>
    <row r="1987" spans="1:4" x14ac:dyDescent="0.25">
      <c r="A1987" t="s">
        <v>5652</v>
      </c>
      <c r="B1987">
        <v>-1</v>
      </c>
      <c r="C1987" t="s">
        <v>10333</v>
      </c>
      <c r="D1987" s="5">
        <v>0</v>
      </c>
    </row>
    <row r="1988" spans="1:4" x14ac:dyDescent="0.25">
      <c r="A1988" t="s">
        <v>5655</v>
      </c>
      <c r="B1988">
        <v>-1</v>
      </c>
      <c r="C1988" t="s">
        <v>10338</v>
      </c>
    </row>
    <row r="1989" spans="1:4" x14ac:dyDescent="0.25">
      <c r="A1989" t="s">
        <v>6936</v>
      </c>
      <c r="B1989">
        <v>-1</v>
      </c>
      <c r="C1989" t="s">
        <v>10338</v>
      </c>
    </row>
    <row r="1990" spans="1:4" x14ac:dyDescent="0.25">
      <c r="A1990" t="s">
        <v>1515</v>
      </c>
      <c r="B1990">
        <v>-1</v>
      </c>
      <c r="C1990" t="s">
        <v>10334</v>
      </c>
      <c r="D1990" s="5">
        <v>-106.89</v>
      </c>
    </row>
    <row r="1991" spans="1:4" x14ac:dyDescent="0.25">
      <c r="A1991" t="s">
        <v>3745</v>
      </c>
      <c r="B1991">
        <v>-1</v>
      </c>
      <c r="C1991" t="s">
        <v>10334</v>
      </c>
    </row>
    <row r="1992" spans="1:4" x14ac:dyDescent="0.25">
      <c r="A1992" t="s">
        <v>3753</v>
      </c>
      <c r="B1992">
        <v>-1</v>
      </c>
      <c r="C1992" t="s">
        <v>10334</v>
      </c>
    </row>
    <row r="1993" spans="1:4" x14ac:dyDescent="0.25">
      <c r="A1993" t="s">
        <v>4084</v>
      </c>
      <c r="B1993">
        <v>-1</v>
      </c>
      <c r="C1993" t="s">
        <v>10341</v>
      </c>
      <c r="D1993" s="5">
        <v>-2332.0500000000002</v>
      </c>
    </row>
    <row r="1994" spans="1:4" x14ac:dyDescent="0.25">
      <c r="A1994" t="s">
        <v>4335</v>
      </c>
      <c r="B1994">
        <v>-1</v>
      </c>
      <c r="C1994" t="s">
        <v>10348</v>
      </c>
    </row>
    <row r="1995" spans="1:4" x14ac:dyDescent="0.25">
      <c r="A1995" t="s">
        <v>1399</v>
      </c>
      <c r="B1995">
        <v>-1</v>
      </c>
      <c r="C1995" t="s">
        <v>10340</v>
      </c>
      <c r="D1995" s="5">
        <v>1286.92</v>
      </c>
    </row>
    <row r="1996" spans="1:4" x14ac:dyDescent="0.25">
      <c r="A1996" t="s">
        <v>1393</v>
      </c>
      <c r="B1996">
        <v>-1</v>
      </c>
      <c r="C1996" t="s">
        <v>10334</v>
      </c>
      <c r="D1996" s="5">
        <v>308.33</v>
      </c>
    </row>
    <row r="1997" spans="1:4" x14ac:dyDescent="0.25">
      <c r="A1997" t="s">
        <v>1414</v>
      </c>
      <c r="B1997">
        <v>-1</v>
      </c>
      <c r="C1997" t="s">
        <v>10334</v>
      </c>
      <c r="D1997" s="5">
        <v>10.71</v>
      </c>
    </row>
    <row r="1998" spans="1:4" x14ac:dyDescent="0.25">
      <c r="A1998" t="s">
        <v>3961</v>
      </c>
      <c r="B1998">
        <v>-1</v>
      </c>
      <c r="C1998" t="s">
        <v>10338</v>
      </c>
    </row>
    <row r="1999" spans="1:4" x14ac:dyDescent="0.25">
      <c r="A1999" t="s">
        <v>4066</v>
      </c>
      <c r="B1999">
        <v>-1</v>
      </c>
      <c r="C1999" t="s">
        <v>10333</v>
      </c>
      <c r="D1999" s="5">
        <v>-833.44</v>
      </c>
    </row>
    <row r="2000" spans="1:4" x14ac:dyDescent="0.25">
      <c r="A2000" t="s">
        <v>4057</v>
      </c>
      <c r="B2000">
        <v>-1</v>
      </c>
      <c r="C2000" t="s">
        <v>10333</v>
      </c>
      <c r="D2000" s="5">
        <v>-351.52</v>
      </c>
    </row>
    <row r="2001" spans="1:4" x14ac:dyDescent="0.25">
      <c r="A2001" t="s">
        <v>4021</v>
      </c>
      <c r="B2001">
        <v>-1</v>
      </c>
      <c r="C2001" t="s">
        <v>10333</v>
      </c>
      <c r="D2001" s="5">
        <v>-203750.74</v>
      </c>
    </row>
    <row r="2002" spans="1:4" x14ac:dyDescent="0.25">
      <c r="A2002" t="s">
        <v>3981</v>
      </c>
      <c r="B2002">
        <v>-1</v>
      </c>
      <c r="C2002" t="s">
        <v>10334</v>
      </c>
      <c r="D2002" s="5">
        <v>-3276.77</v>
      </c>
    </row>
    <row r="2003" spans="1:4" x14ac:dyDescent="0.25">
      <c r="A2003" t="s">
        <v>3972</v>
      </c>
      <c r="B2003">
        <v>-1</v>
      </c>
      <c r="C2003" t="s">
        <v>10333</v>
      </c>
      <c r="D2003" s="5">
        <v>-604.72</v>
      </c>
    </row>
    <row r="2004" spans="1:4" x14ac:dyDescent="0.25">
      <c r="A2004" t="s">
        <v>3987</v>
      </c>
      <c r="B2004">
        <v>-1</v>
      </c>
      <c r="C2004" t="s">
        <v>10333</v>
      </c>
      <c r="D2004" s="5">
        <v>-22973.41</v>
      </c>
    </row>
    <row r="2005" spans="1:4" x14ac:dyDescent="0.25">
      <c r="A2005" t="s">
        <v>3984</v>
      </c>
      <c r="B2005">
        <v>-1</v>
      </c>
      <c r="C2005" t="s">
        <v>10333</v>
      </c>
      <c r="D2005" s="5">
        <v>-18860.810000000001</v>
      </c>
    </row>
    <row r="2006" spans="1:4" x14ac:dyDescent="0.25">
      <c r="A2006" t="s">
        <v>4136</v>
      </c>
      <c r="B2006">
        <v>-1</v>
      </c>
      <c r="C2006" t="s">
        <v>10333</v>
      </c>
      <c r="D2006" s="5">
        <v>-202171.76</v>
      </c>
    </row>
    <row r="2007" spans="1:4" x14ac:dyDescent="0.25">
      <c r="A2007" t="s">
        <v>4139</v>
      </c>
      <c r="B2007">
        <v>-1</v>
      </c>
      <c r="C2007" t="s">
        <v>10333</v>
      </c>
      <c r="D2007" s="5">
        <v>-177.68</v>
      </c>
    </row>
    <row r="2008" spans="1:4" x14ac:dyDescent="0.25">
      <c r="A2008" t="s">
        <v>4175</v>
      </c>
      <c r="B2008">
        <v>-1</v>
      </c>
      <c r="C2008" t="s">
        <v>10334</v>
      </c>
      <c r="D2008" s="5">
        <v>-323.2</v>
      </c>
    </row>
    <row r="2009" spans="1:4" x14ac:dyDescent="0.25">
      <c r="A2009" t="s">
        <v>4167</v>
      </c>
      <c r="B2009">
        <v>-1</v>
      </c>
      <c r="C2009" t="s">
        <v>10340</v>
      </c>
      <c r="D2009" s="5">
        <v>-16770.88</v>
      </c>
    </row>
    <row r="2010" spans="1:4" x14ac:dyDescent="0.25">
      <c r="A2010" t="s">
        <v>4048</v>
      </c>
      <c r="B2010">
        <v>-1</v>
      </c>
      <c r="C2010" t="s">
        <v>10333</v>
      </c>
      <c r="D2010" s="5">
        <v>-4957.28</v>
      </c>
    </row>
    <row r="2011" spans="1:4" x14ac:dyDescent="0.25">
      <c r="A2011" t="s">
        <v>4011</v>
      </c>
      <c r="B2011">
        <v>-1</v>
      </c>
      <c r="C2011" t="s">
        <v>10333</v>
      </c>
      <c r="D2011" s="5">
        <v>-780.48</v>
      </c>
    </row>
    <row r="2012" spans="1:4" x14ac:dyDescent="0.25">
      <c r="A2012" t="s">
        <v>4301</v>
      </c>
      <c r="B2012">
        <v>-1</v>
      </c>
      <c r="C2012" t="s">
        <v>10333</v>
      </c>
      <c r="D2012" s="5">
        <v>-741.92</v>
      </c>
    </row>
    <row r="2013" spans="1:4" x14ac:dyDescent="0.25">
      <c r="A2013" t="s">
        <v>4289</v>
      </c>
      <c r="B2013">
        <v>-1</v>
      </c>
      <c r="C2013" t="s">
        <v>10334</v>
      </c>
      <c r="D2013" s="5">
        <v>-2508.3200000000002</v>
      </c>
    </row>
    <row r="2014" spans="1:4" x14ac:dyDescent="0.25">
      <c r="A2014" t="s">
        <v>4270</v>
      </c>
      <c r="B2014">
        <v>-1</v>
      </c>
      <c r="C2014" t="s">
        <v>10333</v>
      </c>
      <c r="D2014" s="5">
        <v>-1614.4</v>
      </c>
    </row>
    <row r="2015" spans="1:4" x14ac:dyDescent="0.25">
      <c r="A2015" t="s">
        <v>4276</v>
      </c>
      <c r="B2015">
        <v>-1</v>
      </c>
      <c r="C2015" t="s">
        <v>10333</v>
      </c>
      <c r="D2015" s="5">
        <v>-88275.05</v>
      </c>
    </row>
    <row r="2016" spans="1:4" x14ac:dyDescent="0.25">
      <c r="A2016" t="s">
        <v>3758</v>
      </c>
      <c r="B2016">
        <v>-1</v>
      </c>
      <c r="C2016" t="s">
        <v>10338</v>
      </c>
      <c r="D2016" s="5">
        <v>-1644.11</v>
      </c>
    </row>
    <row r="2017" spans="1:4" x14ac:dyDescent="0.25">
      <c r="A2017" t="s">
        <v>3761</v>
      </c>
      <c r="B2017">
        <v>-1</v>
      </c>
      <c r="C2017" t="s">
        <v>10333</v>
      </c>
      <c r="D2017" s="5">
        <v>-37486.35</v>
      </c>
    </row>
    <row r="2018" spans="1:4" x14ac:dyDescent="0.25">
      <c r="A2018" t="s">
        <v>4321</v>
      </c>
      <c r="B2018">
        <v>-1</v>
      </c>
      <c r="C2018" t="s">
        <v>10333</v>
      </c>
      <c r="D2018" s="5">
        <v>-50992.1</v>
      </c>
    </row>
    <row r="2019" spans="1:4" x14ac:dyDescent="0.25">
      <c r="A2019" t="s">
        <v>4306</v>
      </c>
      <c r="B2019">
        <v>-1</v>
      </c>
      <c r="C2019" t="s">
        <v>10333</v>
      </c>
      <c r="D2019" s="5">
        <v>-4560.9799999999996</v>
      </c>
    </row>
    <row r="2020" spans="1:4" x14ac:dyDescent="0.25">
      <c r="A2020" t="s">
        <v>1685</v>
      </c>
      <c r="B2020">
        <v>-1</v>
      </c>
      <c r="C2020" t="s">
        <v>10333</v>
      </c>
      <c r="D2020" s="5">
        <v>-540.16</v>
      </c>
    </row>
    <row r="2021" spans="1:4" x14ac:dyDescent="0.25">
      <c r="A2021" t="s">
        <v>1640</v>
      </c>
      <c r="B2021">
        <v>-1</v>
      </c>
      <c r="C2021" t="s">
        <v>10338</v>
      </c>
      <c r="D2021" s="5">
        <v>1593.64</v>
      </c>
    </row>
    <row r="2022" spans="1:4" x14ac:dyDescent="0.25">
      <c r="A2022" t="s">
        <v>1637</v>
      </c>
      <c r="B2022">
        <v>-1</v>
      </c>
      <c r="C2022" t="s">
        <v>10342</v>
      </c>
      <c r="D2022" s="5">
        <v>105.76</v>
      </c>
    </row>
    <row r="2023" spans="1:4" x14ac:dyDescent="0.25">
      <c r="A2023" t="s">
        <v>1643</v>
      </c>
      <c r="B2023">
        <v>-1</v>
      </c>
      <c r="C2023" t="s">
        <v>10333</v>
      </c>
      <c r="D2023" s="5">
        <v>-872.72</v>
      </c>
    </row>
    <row r="2024" spans="1:4" x14ac:dyDescent="0.25">
      <c r="A2024" t="s">
        <v>1670</v>
      </c>
      <c r="B2024">
        <v>-1</v>
      </c>
      <c r="C2024" t="s">
        <v>10348</v>
      </c>
      <c r="D2024" s="5">
        <v>-5159.09</v>
      </c>
    </row>
    <row r="2025" spans="1:4" x14ac:dyDescent="0.25">
      <c r="A2025" t="s">
        <v>3735</v>
      </c>
      <c r="B2025">
        <v>-1</v>
      </c>
      <c r="C2025" t="s">
        <v>10333</v>
      </c>
      <c r="D2025" s="5">
        <v>46.07</v>
      </c>
    </row>
    <row r="2026" spans="1:4" x14ac:dyDescent="0.25">
      <c r="A2026" t="s">
        <v>3731</v>
      </c>
      <c r="B2026">
        <v>-1</v>
      </c>
      <c r="C2026" t="s">
        <v>10334</v>
      </c>
      <c r="D2026" s="5">
        <v>140.54</v>
      </c>
    </row>
    <row r="2027" spans="1:4" x14ac:dyDescent="0.25">
      <c r="A2027" t="s">
        <v>1664</v>
      </c>
      <c r="B2027">
        <v>-1</v>
      </c>
      <c r="C2027" t="s">
        <v>10348</v>
      </c>
      <c r="D2027" s="5">
        <v>-1732.03</v>
      </c>
    </row>
    <row r="2028" spans="1:4" x14ac:dyDescent="0.25">
      <c r="A2028" t="s">
        <v>1651</v>
      </c>
      <c r="B2028">
        <v>-1</v>
      </c>
      <c r="C2028" t="s">
        <v>10348</v>
      </c>
    </row>
    <row r="2029" spans="1:4" x14ac:dyDescent="0.25">
      <c r="A2029" t="s">
        <v>354</v>
      </c>
      <c r="B2029">
        <v>-1</v>
      </c>
      <c r="C2029" t="s">
        <v>10333</v>
      </c>
      <c r="D2029" s="5">
        <v>-143.12</v>
      </c>
    </row>
    <row r="2030" spans="1:4" x14ac:dyDescent="0.25">
      <c r="A2030" t="s">
        <v>357</v>
      </c>
      <c r="B2030">
        <v>-1</v>
      </c>
      <c r="C2030" t="s">
        <v>10342</v>
      </c>
      <c r="D2030" s="5">
        <v>-433.32</v>
      </c>
    </row>
    <row r="2031" spans="1:4" x14ac:dyDescent="0.25">
      <c r="A2031" t="s">
        <v>366</v>
      </c>
      <c r="B2031">
        <v>-1</v>
      </c>
      <c r="C2031" t="s">
        <v>10338</v>
      </c>
    </row>
    <row r="2032" spans="1:4" x14ac:dyDescent="0.25">
      <c r="A2032" t="s">
        <v>1504</v>
      </c>
      <c r="B2032">
        <v>-1</v>
      </c>
      <c r="C2032" t="s">
        <v>10333</v>
      </c>
      <c r="D2032" s="5">
        <v>-475.92</v>
      </c>
    </row>
    <row r="2033" spans="1:4" x14ac:dyDescent="0.25">
      <c r="A2033" t="s">
        <v>4111</v>
      </c>
      <c r="B2033">
        <v>-1</v>
      </c>
      <c r="C2033" t="s">
        <v>10334</v>
      </c>
      <c r="D2033" s="5">
        <v>-1505.69</v>
      </c>
    </row>
    <row r="2034" spans="1:4" x14ac:dyDescent="0.25">
      <c r="A2034" t="s">
        <v>1116</v>
      </c>
      <c r="B2034">
        <v>-1</v>
      </c>
      <c r="C2034" t="s">
        <v>10333</v>
      </c>
      <c r="D2034" s="5">
        <v>-6500.44</v>
      </c>
    </row>
    <row r="2035" spans="1:4" x14ac:dyDescent="0.25">
      <c r="A2035" t="s">
        <v>4309</v>
      </c>
      <c r="B2035">
        <v>-1</v>
      </c>
      <c r="C2035" t="s">
        <v>10334</v>
      </c>
      <c r="D2035" s="5">
        <v>-2327.1999999999998</v>
      </c>
    </row>
    <row r="2036" spans="1:4" x14ac:dyDescent="0.25">
      <c r="A2036" t="s">
        <v>1119</v>
      </c>
      <c r="B2036">
        <v>-1</v>
      </c>
      <c r="C2036" t="s">
        <v>10338</v>
      </c>
      <c r="D2036" s="5">
        <v>-6400.36</v>
      </c>
    </row>
    <row r="2037" spans="1:4" x14ac:dyDescent="0.25">
      <c r="A2037" t="s">
        <v>3812</v>
      </c>
      <c r="B2037">
        <v>-1</v>
      </c>
      <c r="C2037" t="s">
        <v>10340</v>
      </c>
    </row>
    <row r="2038" spans="1:4" x14ac:dyDescent="0.25">
      <c r="A2038" t="s">
        <v>1766</v>
      </c>
      <c r="B2038">
        <v>-1</v>
      </c>
      <c r="C2038" t="s">
        <v>10338</v>
      </c>
      <c r="D2038" s="5">
        <v>-257.62</v>
      </c>
    </row>
    <row r="2039" spans="1:4" x14ac:dyDescent="0.25">
      <c r="A2039" t="s">
        <v>5389</v>
      </c>
      <c r="B2039">
        <v>-1</v>
      </c>
      <c r="C2039" t="s">
        <v>10333</v>
      </c>
      <c r="D2039" s="5">
        <v>-3439.24</v>
      </c>
    </row>
    <row r="2040" spans="1:4" x14ac:dyDescent="0.25">
      <c r="A2040" t="s">
        <v>3703</v>
      </c>
      <c r="B2040">
        <v>-1</v>
      </c>
      <c r="C2040" t="s">
        <v>10338</v>
      </c>
      <c r="D2040" s="5">
        <v>-69.64</v>
      </c>
    </row>
    <row r="2041" spans="1:4" x14ac:dyDescent="0.25">
      <c r="A2041" t="s">
        <v>3873</v>
      </c>
      <c r="B2041">
        <v>-1</v>
      </c>
      <c r="C2041" t="s">
        <v>10334</v>
      </c>
      <c r="D2041" s="5">
        <v>-795.36</v>
      </c>
    </row>
    <row r="2042" spans="1:4" x14ac:dyDescent="0.25">
      <c r="A2042" t="s">
        <v>3687</v>
      </c>
      <c r="B2042">
        <v>-1</v>
      </c>
      <c r="C2042" t="s">
        <v>10336</v>
      </c>
      <c r="D2042" s="5">
        <v>0</v>
      </c>
    </row>
    <row r="2043" spans="1:4" x14ac:dyDescent="0.25">
      <c r="A2043" t="s">
        <v>5063</v>
      </c>
      <c r="B2043">
        <v>-1</v>
      </c>
      <c r="C2043" t="s">
        <v>10337</v>
      </c>
      <c r="D2043" s="5">
        <v>1538.97</v>
      </c>
    </row>
    <row r="2044" spans="1:4" x14ac:dyDescent="0.25">
      <c r="A2044" t="s">
        <v>4630</v>
      </c>
      <c r="B2044">
        <v>-1</v>
      </c>
      <c r="C2044" t="s">
        <v>10338</v>
      </c>
      <c r="D2044" s="5">
        <v>1296.5899999999999</v>
      </c>
    </row>
    <row r="2045" spans="1:4" x14ac:dyDescent="0.25">
      <c r="A2045" t="s">
        <v>4575</v>
      </c>
      <c r="B2045">
        <v>-1</v>
      </c>
      <c r="C2045" t="s">
        <v>10344</v>
      </c>
      <c r="D2045" s="5">
        <v>-173.41</v>
      </c>
    </row>
    <row r="2046" spans="1:4" x14ac:dyDescent="0.25">
      <c r="A2046" t="s">
        <v>4608</v>
      </c>
      <c r="B2046">
        <v>-1</v>
      </c>
      <c r="C2046" t="s">
        <v>10335</v>
      </c>
      <c r="D2046" s="5">
        <v>1694.74</v>
      </c>
    </row>
    <row r="2047" spans="1:4" x14ac:dyDescent="0.25">
      <c r="A2047" t="s">
        <v>3588</v>
      </c>
      <c r="B2047">
        <v>-1</v>
      </c>
      <c r="C2047" t="s">
        <v>10336</v>
      </c>
      <c r="D2047" s="5">
        <v>-986.56</v>
      </c>
    </row>
    <row r="2048" spans="1:4" x14ac:dyDescent="0.25">
      <c r="A2048" t="s">
        <v>4705</v>
      </c>
      <c r="B2048">
        <v>-1</v>
      </c>
      <c r="C2048" t="s">
        <v>10334</v>
      </c>
      <c r="D2048" s="5">
        <v>-374.96</v>
      </c>
    </row>
    <row r="2049" spans="1:4" x14ac:dyDescent="0.25">
      <c r="A2049" t="s">
        <v>4816</v>
      </c>
      <c r="B2049">
        <v>-1</v>
      </c>
      <c r="C2049" t="s">
        <v>10338</v>
      </c>
    </row>
    <row r="2050" spans="1:4" x14ac:dyDescent="0.25">
      <c r="A2050" t="s">
        <v>7091</v>
      </c>
      <c r="B2050">
        <v>-1</v>
      </c>
      <c r="C2050" t="s">
        <v>10334</v>
      </c>
      <c r="D2050" s="5">
        <v>-45.04</v>
      </c>
    </row>
    <row r="2051" spans="1:4" x14ac:dyDescent="0.25">
      <c r="A2051" t="s">
        <v>7103</v>
      </c>
      <c r="B2051">
        <v>-1</v>
      </c>
      <c r="C2051" t="s">
        <v>10334</v>
      </c>
      <c r="D2051" s="5">
        <v>-59.04</v>
      </c>
    </row>
    <row r="2052" spans="1:4" x14ac:dyDescent="0.25">
      <c r="A2052" t="s">
        <v>1606</v>
      </c>
      <c r="B2052">
        <v>-1</v>
      </c>
      <c r="C2052" t="s">
        <v>10338</v>
      </c>
    </row>
    <row r="2053" spans="1:4" x14ac:dyDescent="0.25">
      <c r="A2053" t="s">
        <v>1603</v>
      </c>
      <c r="B2053">
        <v>-1</v>
      </c>
      <c r="C2053" t="s">
        <v>10337</v>
      </c>
      <c r="D2053" s="5">
        <v>1658.99</v>
      </c>
    </row>
    <row r="2054" spans="1:4" x14ac:dyDescent="0.25">
      <c r="A2054" t="s">
        <v>1581</v>
      </c>
      <c r="B2054">
        <v>-1</v>
      </c>
      <c r="C2054" t="s">
        <v>10333</v>
      </c>
      <c r="D2054" s="5">
        <v>-195.1</v>
      </c>
    </row>
    <row r="2055" spans="1:4" x14ac:dyDescent="0.25">
      <c r="A2055" t="s">
        <v>1625</v>
      </c>
      <c r="B2055">
        <v>-1</v>
      </c>
      <c r="C2055" t="s">
        <v>10333</v>
      </c>
      <c r="D2055" s="5">
        <v>-135.12</v>
      </c>
    </row>
    <row r="2056" spans="1:4" x14ac:dyDescent="0.25">
      <c r="A2056" t="s">
        <v>1618</v>
      </c>
      <c r="B2056">
        <v>-1</v>
      </c>
      <c r="C2056" t="s">
        <v>10333</v>
      </c>
    </row>
    <row r="2057" spans="1:4" x14ac:dyDescent="0.25">
      <c r="A2057" t="s">
        <v>1598</v>
      </c>
      <c r="B2057">
        <v>-1</v>
      </c>
      <c r="C2057" t="s">
        <v>10333</v>
      </c>
      <c r="D2057" s="5">
        <v>-387.04</v>
      </c>
    </row>
    <row r="2058" spans="1:4" x14ac:dyDescent="0.25">
      <c r="A2058" t="s">
        <v>3845</v>
      </c>
      <c r="B2058">
        <v>-1</v>
      </c>
      <c r="C2058" t="s">
        <v>10344</v>
      </c>
      <c r="D2058" s="5">
        <v>4406.6899999999996</v>
      </c>
    </row>
    <row r="2059" spans="1:4" x14ac:dyDescent="0.25">
      <c r="A2059" t="s">
        <v>5194</v>
      </c>
      <c r="B2059">
        <v>-1</v>
      </c>
      <c r="C2059" t="s">
        <v>10333</v>
      </c>
      <c r="D2059" s="5">
        <v>-2356.89</v>
      </c>
    </row>
    <row r="2060" spans="1:4" x14ac:dyDescent="0.25">
      <c r="A2060" t="s">
        <v>5902</v>
      </c>
      <c r="B2060">
        <v>-1</v>
      </c>
      <c r="C2060" t="s">
        <v>10344</v>
      </c>
    </row>
    <row r="2061" spans="1:4" x14ac:dyDescent="0.25">
      <c r="A2061" t="s">
        <v>5188</v>
      </c>
      <c r="B2061">
        <v>-1</v>
      </c>
      <c r="C2061" t="s">
        <v>10334</v>
      </c>
    </row>
    <row r="2062" spans="1:4" x14ac:dyDescent="0.25">
      <c r="A2062" t="s">
        <v>25</v>
      </c>
      <c r="B2062">
        <v>-1</v>
      </c>
      <c r="C2062" t="s">
        <v>10333</v>
      </c>
      <c r="D2062" s="5">
        <v>-371.75</v>
      </c>
    </row>
    <row r="2063" spans="1:4" x14ac:dyDescent="0.25">
      <c r="A2063" t="s">
        <v>936</v>
      </c>
      <c r="B2063">
        <v>-1</v>
      </c>
      <c r="C2063" t="s">
        <v>10337</v>
      </c>
    </row>
    <row r="2064" spans="1:4" x14ac:dyDescent="0.25">
      <c r="A2064" t="s">
        <v>881</v>
      </c>
      <c r="B2064">
        <v>-1</v>
      </c>
      <c r="C2064" t="s">
        <v>10334</v>
      </c>
      <c r="D2064" s="5">
        <v>-331.92</v>
      </c>
    </row>
    <row r="2065" spans="1:4" x14ac:dyDescent="0.25">
      <c r="A2065" t="s">
        <v>933</v>
      </c>
      <c r="B2065">
        <v>-1</v>
      </c>
      <c r="C2065" t="s">
        <v>10339</v>
      </c>
      <c r="D2065" s="5">
        <v>2920.66</v>
      </c>
    </row>
    <row r="2066" spans="1:4" x14ac:dyDescent="0.25">
      <c r="A2066" t="s">
        <v>915</v>
      </c>
      <c r="B2066">
        <v>-1</v>
      </c>
      <c r="C2066" t="s">
        <v>10334</v>
      </c>
      <c r="D2066" s="5">
        <v>-97824.45</v>
      </c>
    </row>
    <row r="2067" spans="1:4" x14ac:dyDescent="0.25">
      <c r="A2067" t="s">
        <v>2523</v>
      </c>
      <c r="B2067">
        <v>-1</v>
      </c>
      <c r="C2067" t="s">
        <v>10346</v>
      </c>
      <c r="D2067" s="5">
        <v>-12321.93</v>
      </c>
    </row>
    <row r="2068" spans="1:4" x14ac:dyDescent="0.25">
      <c r="A2068" t="s">
        <v>2567</v>
      </c>
      <c r="B2068">
        <v>-1</v>
      </c>
      <c r="C2068" t="s">
        <v>10333</v>
      </c>
      <c r="D2068" s="5">
        <v>-2875.18</v>
      </c>
    </row>
    <row r="2069" spans="1:4" x14ac:dyDescent="0.25">
      <c r="A2069" t="s">
        <v>2527</v>
      </c>
      <c r="B2069">
        <v>-1</v>
      </c>
      <c r="C2069" t="s">
        <v>10338</v>
      </c>
      <c r="D2069" s="5">
        <v>-1297.9100000000001</v>
      </c>
    </row>
    <row r="2070" spans="1:4" x14ac:dyDescent="0.25">
      <c r="A2070" t="s">
        <v>2468</v>
      </c>
      <c r="B2070">
        <v>-1</v>
      </c>
      <c r="C2070" t="s">
        <v>10338</v>
      </c>
      <c r="D2070" s="5">
        <v>0</v>
      </c>
    </row>
    <row r="2071" spans="1:4" x14ac:dyDescent="0.25">
      <c r="A2071" t="s">
        <v>623</v>
      </c>
      <c r="B2071">
        <v>-1</v>
      </c>
      <c r="C2071" t="s">
        <v>10338</v>
      </c>
      <c r="D2071" s="5">
        <v>10190.74</v>
      </c>
    </row>
    <row r="2072" spans="1:4" x14ac:dyDescent="0.25">
      <c r="A2072" t="s">
        <v>2824</v>
      </c>
      <c r="B2072">
        <v>-1</v>
      </c>
      <c r="C2072" t="s">
        <v>10339</v>
      </c>
      <c r="D2072" s="5">
        <v>292.85000000000002</v>
      </c>
    </row>
    <row r="2073" spans="1:4" x14ac:dyDescent="0.25">
      <c r="A2073" t="s">
        <v>2976</v>
      </c>
      <c r="B2073">
        <v>-1</v>
      </c>
      <c r="C2073" t="s">
        <v>10333</v>
      </c>
      <c r="D2073" s="5">
        <v>-2524.2600000000002</v>
      </c>
    </row>
    <row r="2074" spans="1:4" x14ac:dyDescent="0.25">
      <c r="A2074" t="s">
        <v>2271</v>
      </c>
      <c r="B2074">
        <v>-1</v>
      </c>
      <c r="C2074" t="s">
        <v>10344</v>
      </c>
    </row>
    <row r="2075" spans="1:4" x14ac:dyDescent="0.25">
      <c r="A2075" t="s">
        <v>3167</v>
      </c>
      <c r="B2075">
        <v>-1</v>
      </c>
      <c r="C2075" t="s">
        <v>10346</v>
      </c>
      <c r="D2075" s="5">
        <v>-12245.2</v>
      </c>
    </row>
    <row r="2076" spans="1:4" x14ac:dyDescent="0.25">
      <c r="A2076" t="s">
        <v>2996</v>
      </c>
      <c r="B2076">
        <v>-1</v>
      </c>
      <c r="C2076" t="s">
        <v>10337</v>
      </c>
      <c r="D2076" s="5">
        <v>3459.83</v>
      </c>
    </row>
    <row r="2077" spans="1:4" x14ac:dyDescent="0.25">
      <c r="A2077" t="s">
        <v>813</v>
      </c>
      <c r="B2077">
        <v>-1</v>
      </c>
      <c r="C2077" t="s">
        <v>10334</v>
      </c>
      <c r="D2077" s="5">
        <v>-4140.42</v>
      </c>
    </row>
    <row r="2078" spans="1:4" x14ac:dyDescent="0.25">
      <c r="A2078" t="s">
        <v>3197</v>
      </c>
      <c r="B2078">
        <v>-1</v>
      </c>
      <c r="C2078" t="s">
        <v>10338</v>
      </c>
      <c r="D2078" s="5">
        <v>-139.37</v>
      </c>
    </row>
    <row r="2079" spans="1:4" x14ac:dyDescent="0.25">
      <c r="A2079" t="s">
        <v>680</v>
      </c>
      <c r="B2079">
        <v>-1</v>
      </c>
      <c r="C2079" t="s">
        <v>10333</v>
      </c>
      <c r="D2079" s="5">
        <v>1224.52</v>
      </c>
    </row>
    <row r="2080" spans="1:4" x14ac:dyDescent="0.25">
      <c r="A2080" t="s">
        <v>842</v>
      </c>
      <c r="B2080">
        <v>-1</v>
      </c>
      <c r="C2080" t="s">
        <v>10338</v>
      </c>
      <c r="D2080" s="5">
        <v>0.02</v>
      </c>
    </row>
    <row r="2081" spans="1:4" x14ac:dyDescent="0.25">
      <c r="A2081" t="s">
        <v>3427</v>
      </c>
      <c r="B2081">
        <v>-1</v>
      </c>
      <c r="C2081" t="s">
        <v>10334</v>
      </c>
      <c r="D2081" s="5">
        <v>-797.12</v>
      </c>
    </row>
    <row r="2082" spans="1:4" x14ac:dyDescent="0.25">
      <c r="A2082" t="s">
        <v>1488</v>
      </c>
      <c r="B2082">
        <v>-1</v>
      </c>
      <c r="C2082" t="s">
        <v>10337</v>
      </c>
      <c r="D2082" s="5">
        <v>-188.88</v>
      </c>
    </row>
    <row r="2083" spans="1:4" x14ac:dyDescent="0.25">
      <c r="A2083" t="s">
        <v>2032</v>
      </c>
      <c r="B2083">
        <v>-1</v>
      </c>
      <c r="C2083" t="s">
        <v>10338</v>
      </c>
      <c r="D2083" s="5">
        <v>32.01</v>
      </c>
    </row>
    <row r="2084" spans="1:4" x14ac:dyDescent="0.25">
      <c r="A2084" t="s">
        <v>2046</v>
      </c>
      <c r="B2084">
        <v>-1</v>
      </c>
      <c r="C2084" t="s">
        <v>10333</v>
      </c>
      <c r="D2084" s="5">
        <v>-750.08</v>
      </c>
    </row>
    <row r="2085" spans="1:4" x14ac:dyDescent="0.25">
      <c r="A2085" t="s">
        <v>1830</v>
      </c>
      <c r="B2085">
        <v>-1</v>
      </c>
      <c r="C2085" t="s">
        <v>10333</v>
      </c>
      <c r="D2085" s="5">
        <v>-95.1</v>
      </c>
    </row>
    <row r="2086" spans="1:4" x14ac:dyDescent="0.25">
      <c r="A2086" t="s">
        <v>3455</v>
      </c>
      <c r="B2086">
        <v>-1</v>
      </c>
      <c r="C2086" t="s">
        <v>10338</v>
      </c>
      <c r="D2086" s="5">
        <v>81.819999999999993</v>
      </c>
    </row>
    <row r="2087" spans="1:4" x14ac:dyDescent="0.25">
      <c r="A2087" t="s">
        <v>3004</v>
      </c>
      <c r="B2087">
        <v>-1</v>
      </c>
      <c r="C2087" t="s">
        <v>10344</v>
      </c>
      <c r="D2087" s="5">
        <v>-211.26</v>
      </c>
    </row>
    <row r="2088" spans="1:4" x14ac:dyDescent="0.25">
      <c r="A2088" t="s">
        <v>3024</v>
      </c>
      <c r="B2088">
        <v>-1</v>
      </c>
      <c r="C2088" t="s">
        <v>10340</v>
      </c>
      <c r="D2088" s="5">
        <v>-598.82000000000005</v>
      </c>
    </row>
    <row r="2089" spans="1:4" x14ac:dyDescent="0.25">
      <c r="A2089" t="s">
        <v>3404</v>
      </c>
      <c r="B2089">
        <v>-1</v>
      </c>
      <c r="C2089" t="s">
        <v>10344</v>
      </c>
      <c r="D2089" s="5">
        <v>2832.09</v>
      </c>
    </row>
    <row r="2090" spans="1:4" x14ac:dyDescent="0.25">
      <c r="A2090" t="s">
        <v>2006</v>
      </c>
      <c r="B2090">
        <v>-1</v>
      </c>
      <c r="C2090" t="s">
        <v>10344</v>
      </c>
    </row>
    <row r="2091" spans="1:4" x14ac:dyDescent="0.25">
      <c r="A2091" t="s">
        <v>2085</v>
      </c>
      <c r="B2091">
        <v>-1</v>
      </c>
      <c r="C2091" t="s">
        <v>10336</v>
      </c>
      <c r="D2091" s="5">
        <v>-1764.04</v>
      </c>
    </row>
    <row r="2092" spans="1:4" x14ac:dyDescent="0.25">
      <c r="A2092" t="s">
        <v>1211</v>
      </c>
      <c r="B2092">
        <v>-1</v>
      </c>
      <c r="C2092" t="s">
        <v>10334</v>
      </c>
    </row>
    <row r="2093" spans="1:4" x14ac:dyDescent="0.25">
      <c r="A2093" t="s">
        <v>3062</v>
      </c>
      <c r="B2093">
        <v>-1</v>
      </c>
      <c r="C2093" t="s">
        <v>10348</v>
      </c>
      <c r="D2093" s="5">
        <v>-304.56</v>
      </c>
    </row>
    <row r="2094" spans="1:4" x14ac:dyDescent="0.25">
      <c r="A2094" t="s">
        <v>3551</v>
      </c>
      <c r="B2094">
        <v>-1</v>
      </c>
      <c r="C2094" t="s">
        <v>10338</v>
      </c>
    </row>
    <row r="2095" spans="1:4" x14ac:dyDescent="0.25">
      <c r="A2095" t="s">
        <v>3059</v>
      </c>
      <c r="B2095">
        <v>-1</v>
      </c>
      <c r="C2095" t="s">
        <v>10340</v>
      </c>
      <c r="D2095" s="5">
        <v>-2021.26</v>
      </c>
    </row>
    <row r="2096" spans="1:4" x14ac:dyDescent="0.25">
      <c r="A2096" t="s">
        <v>5086</v>
      </c>
      <c r="B2096">
        <v>-1</v>
      </c>
      <c r="C2096" t="s">
        <v>10333</v>
      </c>
      <c r="D2096" s="5">
        <v>-4991.26</v>
      </c>
    </row>
    <row r="2097" spans="1:4" x14ac:dyDescent="0.25">
      <c r="A2097" t="s">
        <v>8151</v>
      </c>
      <c r="B2097">
        <v>-1</v>
      </c>
      <c r="C2097" t="s">
        <v>10333</v>
      </c>
      <c r="D2097" s="5">
        <v>-8079.72</v>
      </c>
    </row>
    <row r="2098" spans="1:4" x14ac:dyDescent="0.25">
      <c r="A2098" t="s">
        <v>7025</v>
      </c>
      <c r="B2098">
        <v>-1</v>
      </c>
      <c r="C2098" t="s">
        <v>10338</v>
      </c>
      <c r="D2098" s="5">
        <v>-41.98</v>
      </c>
    </row>
    <row r="2099" spans="1:4" x14ac:dyDescent="0.25">
      <c r="A2099" t="s">
        <v>279</v>
      </c>
      <c r="B2099">
        <v>-1</v>
      </c>
      <c r="C2099" t="s">
        <v>10338</v>
      </c>
      <c r="D2099" s="5">
        <v>394.67</v>
      </c>
    </row>
    <row r="2100" spans="1:4" x14ac:dyDescent="0.25">
      <c r="A2100" t="s">
        <v>498</v>
      </c>
      <c r="B2100">
        <v>-1</v>
      </c>
      <c r="C2100" t="s">
        <v>10338</v>
      </c>
      <c r="D2100" s="5">
        <v>4196.0600000000004</v>
      </c>
    </row>
    <row r="2101" spans="1:4" x14ac:dyDescent="0.25">
      <c r="A2101" t="s">
        <v>1087</v>
      </c>
      <c r="B2101">
        <v>-1</v>
      </c>
      <c r="C2101" t="s">
        <v>10341</v>
      </c>
      <c r="D2101" s="5">
        <v>-1509.59</v>
      </c>
    </row>
    <row r="2102" spans="1:4" x14ac:dyDescent="0.25">
      <c r="A2102" t="s">
        <v>169</v>
      </c>
      <c r="B2102">
        <v>-1</v>
      </c>
      <c r="C2102" t="s">
        <v>10335</v>
      </c>
      <c r="D2102" s="5">
        <v>966.27</v>
      </c>
    </row>
    <row r="2103" spans="1:4" x14ac:dyDescent="0.25">
      <c r="A2103" t="s">
        <v>295</v>
      </c>
      <c r="B2103">
        <v>-1</v>
      </c>
      <c r="C2103" t="s">
        <v>10335</v>
      </c>
      <c r="D2103" s="5">
        <v>-3676.54</v>
      </c>
    </row>
    <row r="2104" spans="1:4" x14ac:dyDescent="0.25">
      <c r="A2104" t="s">
        <v>1010</v>
      </c>
      <c r="B2104">
        <v>-1</v>
      </c>
      <c r="C2104" t="s">
        <v>10340</v>
      </c>
      <c r="D2104" s="5">
        <v>845.65</v>
      </c>
    </row>
    <row r="2105" spans="1:4" x14ac:dyDescent="0.25">
      <c r="A2105" t="s">
        <v>1032</v>
      </c>
      <c r="B2105">
        <v>-1</v>
      </c>
      <c r="C2105" t="s">
        <v>10335</v>
      </c>
      <c r="D2105" s="5">
        <v>-1039.28</v>
      </c>
    </row>
    <row r="2106" spans="1:4" x14ac:dyDescent="0.25">
      <c r="A2106" t="s">
        <v>485</v>
      </c>
      <c r="B2106">
        <v>-1</v>
      </c>
      <c r="C2106" t="s">
        <v>10344</v>
      </c>
      <c r="D2106" s="5">
        <v>550.49</v>
      </c>
    </row>
    <row r="2107" spans="1:4" x14ac:dyDescent="0.25">
      <c r="A2107" t="s">
        <v>1037</v>
      </c>
      <c r="B2107">
        <v>-1</v>
      </c>
      <c r="C2107" t="s">
        <v>10344</v>
      </c>
      <c r="D2107" s="5">
        <v>2504.87</v>
      </c>
    </row>
    <row r="2108" spans="1:4" x14ac:dyDescent="0.25">
      <c r="A2108" t="s">
        <v>5493</v>
      </c>
      <c r="B2108">
        <v>-1</v>
      </c>
      <c r="C2108" t="s">
        <v>10338</v>
      </c>
      <c r="D2108" s="5">
        <v>1738.94</v>
      </c>
    </row>
    <row r="2109" spans="1:4" x14ac:dyDescent="0.25">
      <c r="A2109" t="s">
        <v>5797</v>
      </c>
      <c r="B2109">
        <v>-1</v>
      </c>
      <c r="C2109" t="s">
        <v>10341</v>
      </c>
      <c r="D2109" s="5">
        <v>-602.11</v>
      </c>
    </row>
    <row r="2110" spans="1:4" x14ac:dyDescent="0.25">
      <c r="A2110" t="s">
        <v>6281</v>
      </c>
      <c r="B2110">
        <v>-1</v>
      </c>
      <c r="C2110" t="s">
        <v>10335</v>
      </c>
      <c r="D2110" s="5">
        <v>-5624.69</v>
      </c>
    </row>
    <row r="2111" spans="1:4" x14ac:dyDescent="0.25">
      <c r="A2111" t="s">
        <v>1548</v>
      </c>
      <c r="B2111">
        <v>-1</v>
      </c>
      <c r="C2111" t="s">
        <v>10338</v>
      </c>
    </row>
    <row r="2112" spans="1:4" x14ac:dyDescent="0.25">
      <c r="A2112" t="s">
        <v>4442</v>
      </c>
      <c r="B2112">
        <v>-1</v>
      </c>
      <c r="C2112" t="s">
        <v>10334</v>
      </c>
      <c r="D2112" s="5">
        <v>-2521.2600000000002</v>
      </c>
    </row>
    <row r="2113" spans="1:4" x14ac:dyDescent="0.25">
      <c r="A2113" t="s">
        <v>4409</v>
      </c>
      <c r="B2113">
        <v>-1</v>
      </c>
      <c r="C2113" t="s">
        <v>10335</v>
      </c>
      <c r="D2113" s="5">
        <v>1363.96</v>
      </c>
    </row>
    <row r="2114" spans="1:4" x14ac:dyDescent="0.25">
      <c r="A2114" t="s">
        <v>4570</v>
      </c>
      <c r="B2114">
        <v>-1</v>
      </c>
      <c r="C2114" t="s">
        <v>10344</v>
      </c>
      <c r="D2114" s="5">
        <v>4597.1000000000004</v>
      </c>
    </row>
    <row r="2115" spans="1:4" x14ac:dyDescent="0.25">
      <c r="A2115" t="s">
        <v>128</v>
      </c>
      <c r="B2115">
        <v>-1</v>
      </c>
      <c r="C2115" t="s">
        <v>10338</v>
      </c>
      <c r="D2115" s="5">
        <v>4055.35</v>
      </c>
    </row>
    <row r="2116" spans="1:4" x14ac:dyDescent="0.25">
      <c r="A2116" t="s">
        <v>6604</v>
      </c>
      <c r="B2116">
        <v>-1</v>
      </c>
      <c r="C2116" t="s">
        <v>10340</v>
      </c>
      <c r="D2116" s="5">
        <v>-754.05</v>
      </c>
    </row>
    <row r="2117" spans="1:4" x14ac:dyDescent="0.25">
      <c r="A2117" t="s">
        <v>3933</v>
      </c>
      <c r="B2117">
        <v>-1</v>
      </c>
      <c r="C2117" t="s">
        <v>10338</v>
      </c>
      <c r="D2117" s="5">
        <v>866.68</v>
      </c>
    </row>
    <row r="2118" spans="1:4" x14ac:dyDescent="0.25">
      <c r="A2118" t="s">
        <v>4273</v>
      </c>
      <c r="B2118">
        <v>-1</v>
      </c>
      <c r="C2118" t="s">
        <v>10338</v>
      </c>
      <c r="D2118" s="5">
        <v>4295.8500000000004</v>
      </c>
    </row>
    <row r="2119" spans="1:4" x14ac:dyDescent="0.25">
      <c r="A2119" t="s">
        <v>4653</v>
      </c>
      <c r="B2119">
        <v>-1</v>
      </c>
      <c r="C2119" t="s">
        <v>10337</v>
      </c>
      <c r="D2119" s="5">
        <v>1739.4</v>
      </c>
    </row>
    <row r="2120" spans="1:4" x14ac:dyDescent="0.25">
      <c r="A2120" t="s">
        <v>4658</v>
      </c>
      <c r="B2120">
        <v>-1</v>
      </c>
      <c r="C2120" t="s">
        <v>10338</v>
      </c>
      <c r="D2120" s="5">
        <v>711.38</v>
      </c>
    </row>
    <row r="2121" spans="1:4" x14ac:dyDescent="0.25">
      <c r="A2121" t="s">
        <v>2472</v>
      </c>
      <c r="B2121">
        <v>-1</v>
      </c>
      <c r="C2121" t="s">
        <v>10342</v>
      </c>
      <c r="D2121" s="5">
        <v>1220.8800000000001</v>
      </c>
    </row>
    <row r="2122" spans="1:4" x14ac:dyDescent="0.25">
      <c r="A2122" t="s">
        <v>2454</v>
      </c>
      <c r="B2122">
        <v>-1</v>
      </c>
      <c r="C2122" t="s">
        <v>10340</v>
      </c>
      <c r="D2122" s="5">
        <v>-632.80999999999995</v>
      </c>
    </row>
    <row r="2123" spans="1:4" x14ac:dyDescent="0.25">
      <c r="A2123" t="s">
        <v>2665</v>
      </c>
      <c r="B2123">
        <v>-1</v>
      </c>
      <c r="C2123" t="s">
        <v>10343</v>
      </c>
      <c r="D2123" s="5">
        <v>2117.7399999999998</v>
      </c>
    </row>
    <row r="2124" spans="1:4" x14ac:dyDescent="0.25">
      <c r="A2124" t="s">
        <v>2647</v>
      </c>
      <c r="B2124">
        <v>-1</v>
      </c>
      <c r="C2124" t="s">
        <v>10340</v>
      </c>
      <c r="D2124" s="5">
        <v>-1653.23</v>
      </c>
    </row>
    <row r="2125" spans="1:4" x14ac:dyDescent="0.25">
      <c r="A2125" t="s">
        <v>2409</v>
      </c>
      <c r="B2125">
        <v>-1</v>
      </c>
      <c r="C2125" t="s">
        <v>10338</v>
      </c>
      <c r="D2125" s="5">
        <v>3016.84</v>
      </c>
    </row>
    <row r="2126" spans="1:4" x14ac:dyDescent="0.25">
      <c r="A2126" t="s">
        <v>2799</v>
      </c>
      <c r="B2126">
        <v>-1</v>
      </c>
      <c r="C2126" t="s">
        <v>10339</v>
      </c>
      <c r="D2126" s="5">
        <v>617.11</v>
      </c>
    </row>
    <row r="2127" spans="1:4" x14ac:dyDescent="0.25">
      <c r="A2127" t="s">
        <v>2820</v>
      </c>
      <c r="B2127">
        <v>-1</v>
      </c>
      <c r="C2127" t="s">
        <v>10340</v>
      </c>
      <c r="D2127" s="5">
        <v>-2751.05</v>
      </c>
    </row>
    <row r="2128" spans="1:4" x14ac:dyDescent="0.25">
      <c r="A2128" t="s">
        <v>2228</v>
      </c>
      <c r="B2128">
        <v>-1</v>
      </c>
      <c r="C2128" t="s">
        <v>10340</v>
      </c>
      <c r="D2128" s="5">
        <v>-939.45</v>
      </c>
    </row>
    <row r="2129" spans="1:4" x14ac:dyDescent="0.25">
      <c r="A2129" t="s">
        <v>2289</v>
      </c>
      <c r="B2129">
        <v>-1</v>
      </c>
      <c r="C2129" t="s">
        <v>10340</v>
      </c>
      <c r="D2129" s="5">
        <v>-23346.76</v>
      </c>
    </row>
    <row r="2130" spans="1:4" x14ac:dyDescent="0.25">
      <c r="A2130" t="s">
        <v>789</v>
      </c>
      <c r="B2130">
        <v>-1</v>
      </c>
      <c r="C2130" t="s">
        <v>10335</v>
      </c>
      <c r="D2130" s="5">
        <v>-1178.94</v>
      </c>
    </row>
    <row r="2131" spans="1:4" x14ac:dyDescent="0.25">
      <c r="A2131" t="s">
        <v>792</v>
      </c>
      <c r="B2131">
        <v>-1</v>
      </c>
      <c r="C2131" t="s">
        <v>10335</v>
      </c>
      <c r="D2131" s="5">
        <v>-1031.8800000000001</v>
      </c>
    </row>
    <row r="2132" spans="1:4" x14ac:dyDescent="0.25">
      <c r="A2132" t="s">
        <v>722</v>
      </c>
      <c r="B2132">
        <v>-1</v>
      </c>
      <c r="C2132" t="s">
        <v>10338</v>
      </c>
      <c r="D2132" s="5">
        <v>1576.42</v>
      </c>
    </row>
    <row r="2133" spans="1:4" x14ac:dyDescent="0.25">
      <c r="A2133" t="s">
        <v>3081</v>
      </c>
      <c r="B2133">
        <v>-1</v>
      </c>
      <c r="C2133" t="s">
        <v>10340</v>
      </c>
      <c r="D2133" s="5">
        <v>-453.57</v>
      </c>
    </row>
    <row r="2134" spans="1:4" x14ac:dyDescent="0.25">
      <c r="A2134" t="s">
        <v>3189</v>
      </c>
      <c r="B2134">
        <v>-1</v>
      </c>
      <c r="C2134" t="s">
        <v>10338</v>
      </c>
      <c r="D2134" s="5">
        <v>1432.45</v>
      </c>
    </row>
    <row r="2135" spans="1:4" x14ac:dyDescent="0.25">
      <c r="A2135" t="s">
        <v>677</v>
      </c>
      <c r="B2135">
        <v>-1</v>
      </c>
      <c r="C2135" t="s">
        <v>10340</v>
      </c>
      <c r="D2135" s="5">
        <v>-1329.71</v>
      </c>
    </row>
    <row r="2136" spans="1:4" x14ac:dyDescent="0.25">
      <c r="A2136" t="s">
        <v>1282</v>
      </c>
      <c r="B2136">
        <v>-1</v>
      </c>
      <c r="C2136" t="s">
        <v>10340</v>
      </c>
      <c r="D2136" s="5">
        <v>-1574.9</v>
      </c>
    </row>
    <row r="2137" spans="1:4" x14ac:dyDescent="0.25">
      <c r="A2137" t="s">
        <v>1275</v>
      </c>
      <c r="B2137">
        <v>-1</v>
      </c>
      <c r="C2137" t="s">
        <v>10337</v>
      </c>
      <c r="D2137" s="5">
        <v>476.8</v>
      </c>
    </row>
    <row r="2138" spans="1:4" x14ac:dyDescent="0.25">
      <c r="A2138" t="s">
        <v>1285</v>
      </c>
      <c r="B2138">
        <v>-1</v>
      </c>
      <c r="C2138" t="s">
        <v>10335</v>
      </c>
      <c r="D2138" s="5">
        <v>5164.01</v>
      </c>
    </row>
    <row r="2139" spans="1:4" x14ac:dyDescent="0.25">
      <c r="A2139" t="s">
        <v>2102</v>
      </c>
      <c r="B2139">
        <v>-1</v>
      </c>
      <c r="C2139" t="s">
        <v>10339</v>
      </c>
      <c r="D2139" s="5">
        <v>1085.3699999999999</v>
      </c>
    </row>
    <row r="2140" spans="1:4" x14ac:dyDescent="0.25">
      <c r="A2140" t="s">
        <v>565</v>
      </c>
      <c r="B2140">
        <v>-1</v>
      </c>
      <c r="C2140" t="s">
        <v>10340</v>
      </c>
      <c r="D2140" s="5">
        <v>-747.36</v>
      </c>
    </row>
    <row r="2141" spans="1:4" x14ac:dyDescent="0.25">
      <c r="A2141" t="s">
        <v>1438</v>
      </c>
      <c r="B2141">
        <v>-1</v>
      </c>
      <c r="C2141" t="s">
        <v>10342</v>
      </c>
      <c r="D2141" s="5">
        <v>1009.82</v>
      </c>
    </row>
    <row r="2142" spans="1:4" x14ac:dyDescent="0.25">
      <c r="A2142" t="s">
        <v>1429</v>
      </c>
      <c r="B2142">
        <v>-1</v>
      </c>
      <c r="C2142" t="s">
        <v>10338</v>
      </c>
      <c r="D2142" s="5">
        <v>264.06</v>
      </c>
    </row>
    <row r="2143" spans="1:4" x14ac:dyDescent="0.25">
      <c r="A2143" t="s">
        <v>1435</v>
      </c>
      <c r="B2143">
        <v>-1</v>
      </c>
      <c r="C2143" t="s">
        <v>10338</v>
      </c>
      <c r="D2143" s="5">
        <v>1101.19</v>
      </c>
    </row>
    <row r="2144" spans="1:4" x14ac:dyDescent="0.25">
      <c r="A2144" t="s">
        <v>2055</v>
      </c>
      <c r="B2144">
        <v>-1</v>
      </c>
      <c r="C2144" t="s">
        <v>10342</v>
      </c>
      <c r="D2144" s="5">
        <v>-500.43</v>
      </c>
    </row>
    <row r="2145" spans="1:4" x14ac:dyDescent="0.25">
      <c r="A2145" t="s">
        <v>2026</v>
      </c>
      <c r="B2145">
        <v>-1</v>
      </c>
      <c r="C2145" t="s">
        <v>10341</v>
      </c>
      <c r="D2145" s="5">
        <v>323.2</v>
      </c>
    </row>
    <row r="2146" spans="1:4" x14ac:dyDescent="0.25">
      <c r="A2146" t="s">
        <v>3485</v>
      </c>
      <c r="B2146">
        <v>-1</v>
      </c>
      <c r="C2146" t="s">
        <v>10338</v>
      </c>
      <c r="D2146" s="5">
        <v>1882.31</v>
      </c>
    </row>
    <row r="2147" spans="1:4" x14ac:dyDescent="0.25">
      <c r="A2147" t="s">
        <v>3476</v>
      </c>
      <c r="B2147">
        <v>-1</v>
      </c>
      <c r="C2147" t="s">
        <v>10335</v>
      </c>
      <c r="D2147" s="5">
        <v>1034.43</v>
      </c>
    </row>
    <row r="2148" spans="1:4" x14ac:dyDescent="0.25">
      <c r="A2148" t="s">
        <v>1969</v>
      </c>
      <c r="B2148">
        <v>-1</v>
      </c>
      <c r="C2148" t="s">
        <v>10335</v>
      </c>
      <c r="D2148" s="5">
        <v>692.41</v>
      </c>
    </row>
    <row r="2149" spans="1:4" x14ac:dyDescent="0.25">
      <c r="A2149" t="s">
        <v>3452</v>
      </c>
      <c r="B2149">
        <v>-1</v>
      </c>
      <c r="C2149" t="s">
        <v>10338</v>
      </c>
      <c r="D2149" s="5">
        <v>2172.88</v>
      </c>
    </row>
    <row r="2150" spans="1:4" x14ac:dyDescent="0.25">
      <c r="A2150" t="s">
        <v>1800</v>
      </c>
      <c r="B2150">
        <v>-1</v>
      </c>
      <c r="C2150" t="s">
        <v>10344</v>
      </c>
      <c r="D2150" s="5">
        <v>2632.73</v>
      </c>
    </row>
    <row r="2151" spans="1:4" x14ac:dyDescent="0.25">
      <c r="A2151" t="s">
        <v>3010</v>
      </c>
      <c r="B2151">
        <v>-1</v>
      </c>
      <c r="C2151" t="s">
        <v>10338</v>
      </c>
      <c r="D2151" s="5">
        <v>377.21</v>
      </c>
    </row>
    <row r="2152" spans="1:4" x14ac:dyDescent="0.25">
      <c r="A2152" t="s">
        <v>3500</v>
      </c>
      <c r="B2152">
        <v>-1</v>
      </c>
      <c r="C2152" t="s">
        <v>10340</v>
      </c>
      <c r="D2152" s="5">
        <v>-6.95</v>
      </c>
    </row>
    <row r="2153" spans="1:4" x14ac:dyDescent="0.25">
      <c r="A2153" t="s">
        <v>3067</v>
      </c>
      <c r="B2153">
        <v>-1</v>
      </c>
      <c r="C2153" t="s">
        <v>10340</v>
      </c>
      <c r="D2153" s="5">
        <v>-1667.29</v>
      </c>
    </row>
    <row r="2154" spans="1:4" x14ac:dyDescent="0.25">
      <c r="A2154" t="s">
        <v>52</v>
      </c>
      <c r="B2154">
        <v>-1</v>
      </c>
      <c r="C2154" t="s">
        <v>10344</v>
      </c>
      <c r="D2154" s="5">
        <v>6824.31</v>
      </c>
    </row>
    <row r="2155" spans="1:4" x14ac:dyDescent="0.25">
      <c r="A2155" t="s">
        <v>70</v>
      </c>
      <c r="B2155">
        <v>-1</v>
      </c>
      <c r="C2155" t="s">
        <v>10344</v>
      </c>
      <c r="D2155" s="5">
        <v>2607.62</v>
      </c>
    </row>
    <row r="2156" spans="1:4" x14ac:dyDescent="0.25">
      <c r="A2156" t="s">
        <v>3299</v>
      </c>
      <c r="B2156">
        <v>-1</v>
      </c>
      <c r="C2156" t="s">
        <v>10338</v>
      </c>
      <c r="D2156" s="5">
        <v>632.82000000000005</v>
      </c>
    </row>
    <row r="2157" spans="1:4" x14ac:dyDescent="0.25">
      <c r="A2157" t="s">
        <v>3338</v>
      </c>
      <c r="B2157">
        <v>-1</v>
      </c>
      <c r="C2157" t="s">
        <v>10338</v>
      </c>
      <c r="D2157" s="5">
        <v>-166.95</v>
      </c>
    </row>
    <row r="2158" spans="1:4" x14ac:dyDescent="0.25">
      <c r="A2158" t="s">
        <v>3320</v>
      </c>
      <c r="B2158">
        <v>-1</v>
      </c>
      <c r="C2158" t="s">
        <v>10338</v>
      </c>
      <c r="D2158" s="5">
        <v>2108.63</v>
      </c>
    </row>
    <row r="2159" spans="1:4" x14ac:dyDescent="0.25">
      <c r="A2159" t="s">
        <v>3293</v>
      </c>
      <c r="B2159">
        <v>-1</v>
      </c>
      <c r="C2159" t="s">
        <v>10338</v>
      </c>
      <c r="D2159" s="5">
        <v>832.86</v>
      </c>
    </row>
    <row r="2160" spans="1:4" x14ac:dyDescent="0.25">
      <c r="A2160" t="s">
        <v>3224</v>
      </c>
      <c r="B2160">
        <v>-1</v>
      </c>
      <c r="C2160" t="s">
        <v>10340</v>
      </c>
      <c r="D2160" s="5">
        <v>-389.01</v>
      </c>
    </row>
    <row r="2161" spans="1:4" x14ac:dyDescent="0.25">
      <c r="A2161" t="s">
        <v>3362</v>
      </c>
      <c r="B2161">
        <v>-1</v>
      </c>
      <c r="C2161" t="s">
        <v>10337</v>
      </c>
      <c r="D2161" s="5">
        <v>637.66999999999996</v>
      </c>
    </row>
    <row r="2162" spans="1:4" x14ac:dyDescent="0.25">
      <c r="A2162" t="s">
        <v>3540</v>
      </c>
      <c r="B2162">
        <v>-1</v>
      </c>
      <c r="C2162" t="s">
        <v>10340</v>
      </c>
      <c r="D2162" s="5">
        <v>-595.71</v>
      </c>
    </row>
    <row r="2163" spans="1:4" x14ac:dyDescent="0.25">
      <c r="A2163" t="s">
        <v>3509</v>
      </c>
      <c r="B2163">
        <v>-1</v>
      </c>
      <c r="C2163" t="s">
        <v>10343</v>
      </c>
      <c r="D2163" s="5">
        <v>2927.35</v>
      </c>
    </row>
    <row r="2164" spans="1:4" x14ac:dyDescent="0.25">
      <c r="A2164" t="s">
        <v>3473</v>
      </c>
      <c r="B2164">
        <v>-1</v>
      </c>
      <c r="C2164" t="s">
        <v>10344</v>
      </c>
      <c r="D2164" s="5">
        <v>454.68</v>
      </c>
    </row>
    <row r="2165" spans="1:4" x14ac:dyDescent="0.25">
      <c r="A2165" t="s">
        <v>1899</v>
      </c>
      <c r="B2165">
        <v>-1</v>
      </c>
      <c r="C2165" t="s">
        <v>10338</v>
      </c>
      <c r="D2165" s="5">
        <v>-112.26</v>
      </c>
    </row>
    <row r="2166" spans="1:4" x14ac:dyDescent="0.25">
      <c r="A2166" t="s">
        <v>3556</v>
      </c>
      <c r="B2166">
        <v>-1</v>
      </c>
      <c r="C2166" t="s">
        <v>10340</v>
      </c>
      <c r="D2166" s="5">
        <v>-1630.8</v>
      </c>
    </row>
    <row r="2167" spans="1:4" x14ac:dyDescent="0.25">
      <c r="A2167" t="s">
        <v>5172</v>
      </c>
      <c r="B2167">
        <v>-1</v>
      </c>
      <c r="C2167" t="s">
        <v>10340</v>
      </c>
      <c r="D2167" s="5">
        <v>-2695.27</v>
      </c>
    </row>
    <row r="2168" spans="1:4" x14ac:dyDescent="0.25">
      <c r="A2168" t="s">
        <v>786</v>
      </c>
      <c r="B2168">
        <v>-1</v>
      </c>
      <c r="C2168" t="s">
        <v>10336</v>
      </c>
      <c r="D2168" s="5">
        <v>-2760.15</v>
      </c>
    </row>
    <row r="2169" spans="1:4" x14ac:dyDescent="0.25">
      <c r="A2169" t="s">
        <v>148</v>
      </c>
      <c r="B2169">
        <v>-1</v>
      </c>
      <c r="C2169" t="s">
        <v>10338</v>
      </c>
      <c r="D2169" s="5">
        <v>1519.36</v>
      </c>
    </row>
    <row r="2170" spans="1:4" x14ac:dyDescent="0.25">
      <c r="A2170" t="s">
        <v>972</v>
      </c>
      <c r="B2170">
        <v>-1</v>
      </c>
      <c r="C2170" t="s">
        <v>10338</v>
      </c>
    </row>
    <row r="2171" spans="1:4" x14ac:dyDescent="0.25">
      <c r="A2171" t="s">
        <v>6761</v>
      </c>
      <c r="B2171">
        <v>-1</v>
      </c>
      <c r="C2171" t="s">
        <v>10338</v>
      </c>
      <c r="D2171" s="5">
        <v>-3.75</v>
      </c>
    </row>
    <row r="2172" spans="1:4" x14ac:dyDescent="0.25">
      <c r="A2172" t="s">
        <v>4500</v>
      </c>
      <c r="B2172">
        <v>-1</v>
      </c>
      <c r="C2172" t="s">
        <v>10338</v>
      </c>
    </row>
    <row r="2173" spans="1:4" x14ac:dyDescent="0.25">
      <c r="A2173" t="s">
        <v>6184</v>
      </c>
      <c r="B2173">
        <v>-1</v>
      </c>
      <c r="C2173" t="s">
        <v>10337</v>
      </c>
    </row>
    <row r="2174" spans="1:4" x14ac:dyDescent="0.25">
      <c r="A2174" t="s">
        <v>4210</v>
      </c>
      <c r="B2174">
        <v>-1</v>
      </c>
      <c r="C2174" t="s">
        <v>10336</v>
      </c>
      <c r="D2174" s="5">
        <v>-367.4</v>
      </c>
    </row>
    <row r="2175" spans="1:4" x14ac:dyDescent="0.25">
      <c r="A2175" t="s">
        <v>3969</v>
      </c>
      <c r="B2175">
        <v>-1</v>
      </c>
      <c r="C2175" t="s">
        <v>10340</v>
      </c>
    </row>
    <row r="2176" spans="1:4" x14ac:dyDescent="0.25">
      <c r="A2176" t="s">
        <v>4711</v>
      </c>
      <c r="B2176">
        <v>-1</v>
      </c>
      <c r="C2176" t="s">
        <v>10344</v>
      </c>
    </row>
    <row r="2177" spans="1:4" x14ac:dyDescent="0.25">
      <c r="A2177" t="s">
        <v>5897</v>
      </c>
      <c r="B2177">
        <v>-1</v>
      </c>
      <c r="C2177" t="s">
        <v>10338</v>
      </c>
      <c r="D2177" s="5">
        <v>0</v>
      </c>
    </row>
    <row r="2178" spans="1:4" x14ac:dyDescent="0.25">
      <c r="A2178" t="s">
        <v>5925</v>
      </c>
      <c r="B2178">
        <v>-1</v>
      </c>
      <c r="C2178" t="s">
        <v>10338</v>
      </c>
    </row>
    <row r="2179" spans="1:4" x14ac:dyDescent="0.25">
      <c r="A2179" t="s">
        <v>5242</v>
      </c>
      <c r="B2179">
        <v>-1</v>
      </c>
      <c r="C2179" t="s">
        <v>10342</v>
      </c>
      <c r="D2179" s="5">
        <v>1499.94</v>
      </c>
    </row>
    <row r="2180" spans="1:4" x14ac:dyDescent="0.25">
      <c r="A2180" t="s">
        <v>4737</v>
      </c>
      <c r="B2180">
        <v>-1</v>
      </c>
      <c r="C2180" t="s">
        <v>10338</v>
      </c>
    </row>
    <row r="2181" spans="1:4" x14ac:dyDescent="0.25">
      <c r="A2181" t="s">
        <v>2531</v>
      </c>
      <c r="B2181">
        <v>-1</v>
      </c>
      <c r="C2181" t="s">
        <v>10340</v>
      </c>
      <c r="D2181" s="5">
        <v>539.64</v>
      </c>
    </row>
    <row r="2182" spans="1:4" x14ac:dyDescent="0.25">
      <c r="A2182" t="s">
        <v>2429</v>
      </c>
      <c r="B2182">
        <v>-1</v>
      </c>
      <c r="C2182" t="s">
        <v>10344</v>
      </c>
      <c r="D2182" s="5">
        <v>1303.96</v>
      </c>
    </row>
    <row r="2183" spans="1:4" x14ac:dyDescent="0.25">
      <c r="A2183" t="s">
        <v>2417</v>
      </c>
      <c r="B2183">
        <v>-1</v>
      </c>
      <c r="C2183" t="s">
        <v>10340</v>
      </c>
      <c r="D2183" s="5">
        <v>-1071.51</v>
      </c>
    </row>
    <row r="2184" spans="1:4" x14ac:dyDescent="0.25">
      <c r="A2184" t="s">
        <v>2885</v>
      </c>
      <c r="B2184">
        <v>-1</v>
      </c>
      <c r="C2184" t="s">
        <v>10340</v>
      </c>
      <c r="D2184" s="5">
        <v>-1240.43</v>
      </c>
    </row>
    <row r="2185" spans="1:4" x14ac:dyDescent="0.25">
      <c r="A2185" t="s">
        <v>798</v>
      </c>
      <c r="B2185">
        <v>-1</v>
      </c>
      <c r="C2185" t="s">
        <v>10338</v>
      </c>
    </row>
    <row r="2186" spans="1:4" x14ac:dyDescent="0.25">
      <c r="A2186" t="s">
        <v>756</v>
      </c>
      <c r="B2186">
        <v>-1</v>
      </c>
      <c r="C2186" t="s">
        <v>10338</v>
      </c>
    </row>
    <row r="2187" spans="1:4" x14ac:dyDescent="0.25">
      <c r="A2187" t="s">
        <v>3097</v>
      </c>
      <c r="B2187">
        <v>-1</v>
      </c>
      <c r="C2187" t="s">
        <v>10338</v>
      </c>
      <c r="D2187" s="5">
        <v>2109.0100000000002</v>
      </c>
    </row>
    <row r="2188" spans="1:4" x14ac:dyDescent="0.25">
      <c r="A2188" t="s">
        <v>3128</v>
      </c>
      <c r="B2188">
        <v>-1</v>
      </c>
      <c r="C2188" t="s">
        <v>10337</v>
      </c>
      <c r="D2188" s="5">
        <v>861.14</v>
      </c>
    </row>
    <row r="2189" spans="1:4" x14ac:dyDescent="0.25">
      <c r="A2189" t="s">
        <v>693</v>
      </c>
      <c r="B2189">
        <v>-1</v>
      </c>
      <c r="C2189" t="s">
        <v>10339</v>
      </c>
    </row>
    <row r="2190" spans="1:4" x14ac:dyDescent="0.25">
      <c r="A2190" t="s">
        <v>606</v>
      </c>
      <c r="B2190">
        <v>-1</v>
      </c>
      <c r="C2190" t="s">
        <v>10344</v>
      </c>
      <c r="D2190" s="5">
        <v>5254.09</v>
      </c>
    </row>
    <row r="2191" spans="1:4" x14ac:dyDescent="0.25">
      <c r="A2191" t="s">
        <v>585</v>
      </c>
      <c r="B2191">
        <v>-1</v>
      </c>
      <c r="C2191" t="s">
        <v>10342</v>
      </c>
      <c r="D2191" s="5">
        <v>4292.54</v>
      </c>
    </row>
    <row r="2192" spans="1:4" x14ac:dyDescent="0.25">
      <c r="A2192" t="s">
        <v>632</v>
      </c>
      <c r="B2192">
        <v>-1</v>
      </c>
      <c r="C2192" t="s">
        <v>10338</v>
      </c>
      <c r="D2192" s="5">
        <v>7858.35</v>
      </c>
    </row>
    <row r="2193" spans="1:4" x14ac:dyDescent="0.25">
      <c r="A2193" t="s">
        <v>1309</v>
      </c>
      <c r="B2193">
        <v>-1</v>
      </c>
      <c r="C2193" t="s">
        <v>10343</v>
      </c>
      <c r="D2193" s="5">
        <v>5582.8</v>
      </c>
    </row>
    <row r="2194" spans="1:4" x14ac:dyDescent="0.25">
      <c r="A2194" t="s">
        <v>1306</v>
      </c>
      <c r="B2194">
        <v>-1</v>
      </c>
      <c r="C2194" t="s">
        <v>10344</v>
      </c>
      <c r="D2194" s="5">
        <v>3254.96</v>
      </c>
    </row>
    <row r="2195" spans="1:4" x14ac:dyDescent="0.25">
      <c r="A2195" t="s">
        <v>1167</v>
      </c>
      <c r="B2195">
        <v>-1</v>
      </c>
      <c r="C2195" t="s">
        <v>10334</v>
      </c>
      <c r="D2195" s="5">
        <v>-621.46</v>
      </c>
    </row>
    <row r="2196" spans="1:4" x14ac:dyDescent="0.25">
      <c r="A2196" t="s">
        <v>3431</v>
      </c>
      <c r="B2196">
        <v>-1</v>
      </c>
      <c r="C2196" t="s">
        <v>10338</v>
      </c>
    </row>
    <row r="2197" spans="1:4" x14ac:dyDescent="0.25">
      <c r="A2197" t="s">
        <v>1924</v>
      </c>
      <c r="B2197">
        <v>-1</v>
      </c>
      <c r="C2197" t="s">
        <v>10338</v>
      </c>
      <c r="D2197" s="5">
        <v>10146.530000000001</v>
      </c>
    </row>
    <row r="2198" spans="1:4" x14ac:dyDescent="0.25">
      <c r="A2198" t="s">
        <v>1966</v>
      </c>
      <c r="B2198">
        <v>-1</v>
      </c>
      <c r="C2198" t="s">
        <v>10338</v>
      </c>
    </row>
    <row r="2199" spans="1:4" x14ac:dyDescent="0.25">
      <c r="A2199" t="s">
        <v>3446</v>
      </c>
      <c r="B2199">
        <v>-1</v>
      </c>
      <c r="C2199" t="s">
        <v>10340</v>
      </c>
      <c r="D2199" s="5">
        <v>-4191.99</v>
      </c>
    </row>
    <row r="2200" spans="1:4" x14ac:dyDescent="0.25">
      <c r="A2200" t="s">
        <v>2110</v>
      </c>
      <c r="B2200">
        <v>-1</v>
      </c>
      <c r="C2200" t="s">
        <v>10340</v>
      </c>
      <c r="D2200" s="5">
        <v>727.71</v>
      </c>
    </row>
    <row r="2201" spans="1:4" x14ac:dyDescent="0.25">
      <c r="A2201" t="s">
        <v>3019</v>
      </c>
      <c r="B2201">
        <v>-1</v>
      </c>
      <c r="C2201" t="s">
        <v>10338</v>
      </c>
    </row>
    <row r="2202" spans="1:4" x14ac:dyDescent="0.25">
      <c r="A2202" t="s">
        <v>1892</v>
      </c>
      <c r="B2202">
        <v>-1</v>
      </c>
      <c r="C2202" t="s">
        <v>10338</v>
      </c>
    </row>
    <row r="2203" spans="1:4" x14ac:dyDescent="0.25">
      <c r="A2203" t="s">
        <v>1229</v>
      </c>
      <c r="B2203">
        <v>-1</v>
      </c>
      <c r="C2203" t="s">
        <v>10337</v>
      </c>
      <c r="D2203" s="5">
        <v>2507.34</v>
      </c>
    </row>
    <row r="2204" spans="1:4" x14ac:dyDescent="0.25">
      <c r="A2204" t="s">
        <v>1904</v>
      </c>
      <c r="B2204">
        <v>-1</v>
      </c>
      <c r="C2204" t="s">
        <v>10338</v>
      </c>
      <c r="D2204" s="5">
        <v>1285.3699999999999</v>
      </c>
    </row>
    <row r="2205" spans="1:4" x14ac:dyDescent="0.25">
      <c r="A2205" t="s">
        <v>211</v>
      </c>
      <c r="B2205">
        <v>-1</v>
      </c>
      <c r="C2205" t="s">
        <v>10337</v>
      </c>
      <c r="D2205" s="5">
        <v>1446.29</v>
      </c>
    </row>
    <row r="2206" spans="1:4" x14ac:dyDescent="0.25">
      <c r="A2206" t="s">
        <v>216</v>
      </c>
      <c r="B2206">
        <v>-1</v>
      </c>
      <c r="C2206" t="s">
        <v>10339</v>
      </c>
      <c r="D2206" s="5">
        <v>-969.4</v>
      </c>
    </row>
    <row r="2207" spans="1:4" x14ac:dyDescent="0.25">
      <c r="A2207" t="s">
        <v>197</v>
      </c>
      <c r="B2207">
        <v>-1</v>
      </c>
      <c r="C2207" t="s">
        <v>10336</v>
      </c>
      <c r="D2207" s="5">
        <v>1424.89</v>
      </c>
    </row>
    <row r="2208" spans="1:4" x14ac:dyDescent="0.25">
      <c r="A2208" t="s">
        <v>200</v>
      </c>
      <c r="B2208">
        <v>-1</v>
      </c>
      <c r="C2208" t="s">
        <v>10338</v>
      </c>
      <c r="D2208" s="5">
        <v>-228.51</v>
      </c>
    </row>
    <row r="2209" spans="1:4" x14ac:dyDescent="0.25">
      <c r="A2209" t="s">
        <v>1084</v>
      </c>
      <c r="B2209">
        <v>-1</v>
      </c>
      <c r="C2209" t="s">
        <v>10337</v>
      </c>
      <c r="D2209" s="5">
        <v>175.39</v>
      </c>
    </row>
    <row r="2210" spans="1:4" x14ac:dyDescent="0.25">
      <c r="A2210" t="s">
        <v>548</v>
      </c>
      <c r="B2210">
        <v>-1</v>
      </c>
      <c r="C2210" t="s">
        <v>10338</v>
      </c>
      <c r="D2210" s="5">
        <v>-3337.56</v>
      </c>
    </row>
    <row r="2211" spans="1:4" x14ac:dyDescent="0.25">
      <c r="A2211" t="s">
        <v>162</v>
      </c>
      <c r="B2211">
        <v>-1</v>
      </c>
      <c r="C2211" t="s">
        <v>10342</v>
      </c>
      <c r="D2211" s="5">
        <v>-3097.29</v>
      </c>
    </row>
    <row r="2212" spans="1:4" x14ac:dyDescent="0.25">
      <c r="A2212" t="s">
        <v>292</v>
      </c>
      <c r="B2212">
        <v>-1</v>
      </c>
      <c r="C2212" t="s">
        <v>10339</v>
      </c>
      <c r="D2212" s="5">
        <v>1757.84</v>
      </c>
    </row>
    <row r="2213" spans="1:4" x14ac:dyDescent="0.25">
      <c r="A2213" t="s">
        <v>1371</v>
      </c>
      <c r="B2213">
        <v>-1</v>
      </c>
      <c r="C2213" t="s">
        <v>10335</v>
      </c>
      <c r="D2213" s="5">
        <v>-6817.13</v>
      </c>
    </row>
    <row r="2214" spans="1:4" x14ac:dyDescent="0.25">
      <c r="A2214" t="s">
        <v>1408</v>
      </c>
      <c r="B2214">
        <v>-1</v>
      </c>
      <c r="C2214" t="s">
        <v>10340</v>
      </c>
      <c r="D2214" s="5">
        <v>136.4</v>
      </c>
    </row>
    <row r="2215" spans="1:4" x14ac:dyDescent="0.25">
      <c r="A2215" t="s">
        <v>801</v>
      </c>
      <c r="B2215">
        <v>-1</v>
      </c>
      <c r="C2215" t="s">
        <v>10335</v>
      </c>
      <c r="D2215" s="5">
        <v>-998.52</v>
      </c>
    </row>
    <row r="2216" spans="1:4" x14ac:dyDescent="0.25">
      <c r="A2216" t="s">
        <v>5783</v>
      </c>
      <c r="B2216">
        <v>-1</v>
      </c>
      <c r="C2216" t="s">
        <v>10341</v>
      </c>
      <c r="D2216" s="5">
        <v>-16251.19</v>
      </c>
    </row>
    <row r="2217" spans="1:4" x14ac:dyDescent="0.25">
      <c r="A2217" t="s">
        <v>3296</v>
      </c>
      <c r="B2217">
        <v>-1</v>
      </c>
      <c r="C2217" t="s">
        <v>10338</v>
      </c>
      <c r="D2217" s="5">
        <v>2294.21</v>
      </c>
    </row>
    <row r="2218" spans="1:4" x14ac:dyDescent="0.25">
      <c r="A2218" t="s">
        <v>9779</v>
      </c>
      <c r="B2218">
        <v>-1</v>
      </c>
      <c r="C2218" t="s">
        <v>10337</v>
      </c>
      <c r="D2218" s="5">
        <v>3179.03</v>
      </c>
    </row>
    <row r="2219" spans="1:4" x14ac:dyDescent="0.25">
      <c r="A2219" t="s">
        <v>7960</v>
      </c>
      <c r="B2219">
        <v>-1</v>
      </c>
      <c r="C2219" t="s">
        <v>10333</v>
      </c>
      <c r="D2219" s="5">
        <v>-27706.07</v>
      </c>
    </row>
    <row r="2220" spans="1:4" x14ac:dyDescent="0.25">
      <c r="A2220" t="s">
        <v>322</v>
      </c>
      <c r="B2220">
        <v>-1</v>
      </c>
      <c r="C2220" t="s">
        <v>10344</v>
      </c>
      <c r="D2220" s="5">
        <v>11366.5</v>
      </c>
    </row>
    <row r="2221" spans="1:4" x14ac:dyDescent="0.25">
      <c r="A2221" t="s">
        <v>8585</v>
      </c>
      <c r="B2221">
        <v>-1</v>
      </c>
      <c r="C2221" t="s">
        <v>10338</v>
      </c>
      <c r="D2221" s="5">
        <v>942.24</v>
      </c>
    </row>
    <row r="2222" spans="1:4" x14ac:dyDescent="0.25">
      <c r="A2222" t="s">
        <v>9842</v>
      </c>
      <c r="B2222">
        <v>-1</v>
      </c>
      <c r="C2222" t="s">
        <v>10339</v>
      </c>
    </row>
    <row r="2223" spans="1:4" x14ac:dyDescent="0.25">
      <c r="A2223" t="s">
        <v>2677</v>
      </c>
      <c r="B2223">
        <v>-1</v>
      </c>
      <c r="C2223" t="s">
        <v>10338</v>
      </c>
      <c r="D2223" s="5">
        <v>0</v>
      </c>
    </row>
    <row r="2224" spans="1:4" x14ac:dyDescent="0.25">
      <c r="A2224" t="s">
        <v>2680</v>
      </c>
      <c r="B2224">
        <v>-1</v>
      </c>
      <c r="C2224" t="s">
        <v>10338</v>
      </c>
    </row>
    <row r="2225" spans="1:4" x14ac:dyDescent="0.25">
      <c r="A2225" t="s">
        <v>2815</v>
      </c>
      <c r="B2225">
        <v>-1</v>
      </c>
      <c r="C2225" t="s">
        <v>10338</v>
      </c>
    </row>
    <row r="2226" spans="1:4" x14ac:dyDescent="0.25">
      <c r="A2226" t="s">
        <v>2818</v>
      </c>
      <c r="B2226">
        <v>-1</v>
      </c>
      <c r="C2226" t="s">
        <v>10338</v>
      </c>
    </row>
    <row r="2227" spans="1:4" x14ac:dyDescent="0.25">
      <c r="A2227" t="s">
        <v>2795</v>
      </c>
      <c r="B2227">
        <v>-1</v>
      </c>
      <c r="C2227" t="s">
        <v>10338</v>
      </c>
      <c r="D2227" s="5">
        <v>-8440.44</v>
      </c>
    </row>
    <row r="2228" spans="1:4" x14ac:dyDescent="0.25">
      <c r="A2228" t="s">
        <v>2785</v>
      </c>
      <c r="B2228">
        <v>-1</v>
      </c>
      <c r="C2228" t="s">
        <v>10338</v>
      </c>
    </row>
    <row r="2229" spans="1:4" x14ac:dyDescent="0.25">
      <c r="A2229" t="s">
        <v>2836</v>
      </c>
      <c r="B2229">
        <v>-1</v>
      </c>
      <c r="C2229" t="s">
        <v>10338</v>
      </c>
    </row>
    <row r="2230" spans="1:4" x14ac:dyDescent="0.25">
      <c r="A2230" t="s">
        <v>10171</v>
      </c>
      <c r="B2230">
        <v>-1</v>
      </c>
      <c r="C2230" t="s">
        <v>10340</v>
      </c>
      <c r="D2230" s="5">
        <v>0</v>
      </c>
    </row>
    <row r="2231" spans="1:4" x14ac:dyDescent="0.25">
      <c r="A2231" t="s">
        <v>10081</v>
      </c>
      <c r="B2231">
        <v>-1</v>
      </c>
      <c r="C2231" t="s">
        <v>10337</v>
      </c>
      <c r="D2231" s="5">
        <v>4606.42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3455"/>
  <sheetViews>
    <sheetView workbookViewId="0"/>
  </sheetViews>
  <sheetFormatPr defaultRowHeight="15" x14ac:dyDescent="0.25"/>
  <cols>
    <col min="4" max="4" width="13.140625" bestFit="1" customWidth="1"/>
  </cols>
  <sheetData>
    <row r="1" spans="1:4" x14ac:dyDescent="0.25">
      <c r="A1" t="s">
        <v>10318</v>
      </c>
      <c r="D1" s="1" t="s">
        <v>10319</v>
      </c>
    </row>
    <row r="2" spans="1:4" x14ac:dyDescent="0.25">
      <c r="A2" t="s">
        <v>10267</v>
      </c>
      <c r="D2" s="2" t="s">
        <v>4244</v>
      </c>
    </row>
    <row r="3" spans="1:4" x14ac:dyDescent="0.25">
      <c r="A3" t="s">
        <v>10284</v>
      </c>
      <c r="D3" s="2" t="s">
        <v>4069</v>
      </c>
    </row>
    <row r="4" spans="1:4" x14ac:dyDescent="0.25">
      <c r="A4" t="s">
        <v>10289</v>
      </c>
      <c r="D4" s="2" t="s">
        <v>4054</v>
      </c>
    </row>
    <row r="5" spans="1:4" x14ac:dyDescent="0.25">
      <c r="A5" t="s">
        <v>10297</v>
      </c>
      <c r="D5" s="2" t="s">
        <v>5293</v>
      </c>
    </row>
    <row r="6" spans="1:4" x14ac:dyDescent="0.25">
      <c r="A6" t="s">
        <v>10273</v>
      </c>
      <c r="D6" s="2" t="s">
        <v>9814</v>
      </c>
    </row>
    <row r="7" spans="1:4" x14ac:dyDescent="0.25">
      <c r="A7" t="s">
        <v>10279</v>
      </c>
      <c r="D7" s="2" t="s">
        <v>9431</v>
      </c>
    </row>
    <row r="8" spans="1:4" x14ac:dyDescent="0.25">
      <c r="A8" t="s">
        <v>10294</v>
      </c>
      <c r="D8" s="2" t="s">
        <v>3608</v>
      </c>
    </row>
    <row r="9" spans="1:4" x14ac:dyDescent="0.25">
      <c r="A9" t="s">
        <v>10256</v>
      </c>
      <c r="D9" s="2" t="s">
        <v>4220</v>
      </c>
    </row>
    <row r="10" spans="1:4" x14ac:dyDescent="0.25">
      <c r="A10" t="s">
        <v>10206</v>
      </c>
      <c r="D10" s="2" t="s">
        <v>8222</v>
      </c>
    </row>
    <row r="11" spans="1:4" x14ac:dyDescent="0.25">
      <c r="A11" t="s">
        <v>10210</v>
      </c>
      <c r="D11" s="2" t="s">
        <v>3950</v>
      </c>
    </row>
    <row r="12" spans="1:4" x14ac:dyDescent="0.25">
      <c r="A12" t="s">
        <v>10210</v>
      </c>
      <c r="D12" s="2" t="s">
        <v>1691</v>
      </c>
    </row>
    <row r="13" spans="1:4" x14ac:dyDescent="0.25">
      <c r="A13" t="s">
        <v>10210</v>
      </c>
      <c r="D13" s="2" t="s">
        <v>6738</v>
      </c>
    </row>
    <row r="14" spans="1:4" x14ac:dyDescent="0.25">
      <c r="A14" t="s">
        <v>4315</v>
      </c>
      <c r="D14" s="2" t="s">
        <v>8458</v>
      </c>
    </row>
    <row r="15" spans="1:4" x14ac:dyDescent="0.25">
      <c r="A15" t="s">
        <v>4315</v>
      </c>
      <c r="D15" s="2" t="s">
        <v>3579</v>
      </c>
    </row>
    <row r="16" spans="1:4" x14ac:dyDescent="0.25">
      <c r="A16" t="s">
        <v>10217</v>
      </c>
      <c r="D16" s="2" t="s">
        <v>8597</v>
      </c>
    </row>
    <row r="17" spans="1:4" x14ac:dyDescent="0.25">
      <c r="A17" t="s">
        <v>10304</v>
      </c>
      <c r="D17" s="2" t="s">
        <v>4465</v>
      </c>
    </row>
    <row r="18" spans="1:4" x14ac:dyDescent="0.25">
      <c r="A18" t="s">
        <v>10113</v>
      </c>
      <c r="D18" s="2" t="s">
        <v>5248</v>
      </c>
    </row>
    <row r="19" spans="1:4" x14ac:dyDescent="0.25">
      <c r="A19" t="s">
        <v>10117</v>
      </c>
      <c r="D19" s="2" t="s">
        <v>8969</v>
      </c>
    </row>
    <row r="20" spans="1:4" x14ac:dyDescent="0.25">
      <c r="A20" t="s">
        <v>1020</v>
      </c>
      <c r="D20" s="2" t="s">
        <v>4883</v>
      </c>
    </row>
    <row r="21" spans="1:4" x14ac:dyDescent="0.25">
      <c r="A21" t="s">
        <v>1020</v>
      </c>
      <c r="D21" s="2" t="s">
        <v>10204</v>
      </c>
    </row>
    <row r="22" spans="1:4" x14ac:dyDescent="0.25">
      <c r="A22" t="s">
        <v>10122</v>
      </c>
      <c r="D22" s="2" t="s">
        <v>8591</v>
      </c>
    </row>
    <row r="23" spans="1:4" x14ac:dyDescent="0.25">
      <c r="A23" t="s">
        <v>10069</v>
      </c>
      <c r="D23" s="2" t="s">
        <v>4104</v>
      </c>
    </row>
    <row r="24" spans="1:4" x14ac:dyDescent="0.25">
      <c r="A24" t="s">
        <v>10073</v>
      </c>
      <c r="D24" s="2" t="s">
        <v>8323</v>
      </c>
    </row>
    <row r="25" spans="1:4" x14ac:dyDescent="0.25">
      <c r="A25" t="s">
        <v>10076</v>
      </c>
      <c r="D25" s="2" t="s">
        <v>6030</v>
      </c>
    </row>
    <row r="26" spans="1:4" x14ac:dyDescent="0.25">
      <c r="A26" t="s">
        <v>10076</v>
      </c>
      <c r="D26" s="2" t="s">
        <v>10073</v>
      </c>
    </row>
    <row r="27" spans="1:4" x14ac:dyDescent="0.25">
      <c r="A27" t="s">
        <v>10076</v>
      </c>
      <c r="D27" s="2" t="s">
        <v>5935</v>
      </c>
    </row>
    <row r="28" spans="1:4" x14ac:dyDescent="0.25">
      <c r="A28" t="s">
        <v>10171</v>
      </c>
      <c r="D28" s="2" t="s">
        <v>165</v>
      </c>
    </row>
    <row r="29" spans="1:4" x14ac:dyDescent="0.25">
      <c r="A29" t="s">
        <v>10171</v>
      </c>
      <c r="D29" s="2" t="s">
        <v>3953</v>
      </c>
    </row>
    <row r="30" spans="1:4" x14ac:dyDescent="0.25">
      <c r="A30" t="s">
        <v>221</v>
      </c>
      <c r="D30" s="2" t="s">
        <v>6106</v>
      </c>
    </row>
    <row r="31" spans="1:4" x14ac:dyDescent="0.25">
      <c r="A31" t="s">
        <v>10135</v>
      </c>
      <c r="D31" s="2" t="s">
        <v>9166</v>
      </c>
    </row>
    <row r="32" spans="1:4" x14ac:dyDescent="0.25">
      <c r="A32" t="s">
        <v>10137</v>
      </c>
      <c r="D32" s="2" t="s">
        <v>3832</v>
      </c>
    </row>
    <row r="33" spans="1:4" x14ac:dyDescent="0.25">
      <c r="A33" t="s">
        <v>228</v>
      </c>
      <c r="D33" s="2" t="s">
        <v>7066</v>
      </c>
    </row>
    <row r="34" spans="1:4" x14ac:dyDescent="0.25">
      <c r="A34" t="s">
        <v>231</v>
      </c>
      <c r="D34" s="2" t="s">
        <v>6017</v>
      </c>
    </row>
    <row r="35" spans="1:4" x14ac:dyDescent="0.25">
      <c r="A35" t="s">
        <v>234</v>
      </c>
      <c r="D35" s="2" t="s">
        <v>5014</v>
      </c>
    </row>
    <row r="36" spans="1:4" x14ac:dyDescent="0.25">
      <c r="A36" t="s">
        <v>252</v>
      </c>
      <c r="D36" s="2" t="s">
        <v>980</v>
      </c>
    </row>
    <row r="37" spans="1:4" x14ac:dyDescent="0.25">
      <c r="A37" t="s">
        <v>10142</v>
      </c>
      <c r="D37" s="2" t="s">
        <v>988</v>
      </c>
    </row>
    <row r="38" spans="1:4" x14ac:dyDescent="0.25">
      <c r="A38" t="s">
        <v>256</v>
      </c>
      <c r="D38" s="2" t="s">
        <v>131</v>
      </c>
    </row>
    <row r="39" spans="1:4" x14ac:dyDescent="0.25">
      <c r="A39" t="s">
        <v>10180</v>
      </c>
      <c r="D39" s="2" t="s">
        <v>5300</v>
      </c>
    </row>
    <row r="40" spans="1:4" x14ac:dyDescent="0.25">
      <c r="A40" t="s">
        <v>5737</v>
      </c>
      <c r="D40" s="2" t="s">
        <v>5510</v>
      </c>
    </row>
    <row r="41" spans="1:4" x14ac:dyDescent="0.25">
      <c r="A41" t="s">
        <v>5747</v>
      </c>
      <c r="D41" s="2" t="s">
        <v>9172</v>
      </c>
    </row>
    <row r="42" spans="1:4" x14ac:dyDescent="0.25">
      <c r="A42" t="s">
        <v>10180</v>
      </c>
      <c r="D42" s="2" t="s">
        <v>94</v>
      </c>
    </row>
    <row r="43" spans="1:4" x14ac:dyDescent="0.25">
      <c r="A43" t="s">
        <v>5741</v>
      </c>
      <c r="D43" s="2" t="s">
        <v>9118</v>
      </c>
    </row>
    <row r="44" spans="1:4" x14ac:dyDescent="0.25">
      <c r="A44" t="s">
        <v>5737</v>
      </c>
      <c r="D44" s="2" t="s">
        <v>5392</v>
      </c>
    </row>
    <row r="45" spans="1:4" x14ac:dyDescent="0.25">
      <c r="A45" t="s">
        <v>6275</v>
      </c>
      <c r="D45" s="2" t="s">
        <v>8936</v>
      </c>
    </row>
    <row r="46" spans="1:4" x14ac:dyDescent="0.25">
      <c r="A46" t="s">
        <v>5747</v>
      </c>
      <c r="D46" s="2" t="s">
        <v>877</v>
      </c>
    </row>
    <row r="47" spans="1:4" x14ac:dyDescent="0.25">
      <c r="A47" t="s">
        <v>10183</v>
      </c>
      <c r="D47" s="2" t="s">
        <v>1069</v>
      </c>
    </row>
    <row r="48" spans="1:4" x14ac:dyDescent="0.25">
      <c r="A48" t="s">
        <v>5751</v>
      </c>
      <c r="D48" s="2" t="s">
        <v>8737</v>
      </c>
    </row>
    <row r="49" spans="1:4" x14ac:dyDescent="0.25">
      <c r="A49" t="s">
        <v>5753</v>
      </c>
      <c r="D49" s="2" t="s">
        <v>4619</v>
      </c>
    </row>
    <row r="50" spans="1:4" x14ac:dyDescent="0.25">
      <c r="A50" t="s">
        <v>5751</v>
      </c>
      <c r="D50" s="2" t="s">
        <v>8890</v>
      </c>
    </row>
    <row r="51" spans="1:4" x14ac:dyDescent="0.25">
      <c r="A51" t="s">
        <v>10187</v>
      </c>
      <c r="D51" s="2" t="s">
        <v>5518</v>
      </c>
    </row>
    <row r="52" spans="1:4" x14ac:dyDescent="0.25">
      <c r="A52" t="s">
        <v>5753</v>
      </c>
      <c r="D52" s="2" t="s">
        <v>8239</v>
      </c>
    </row>
    <row r="53" spans="1:4" x14ac:dyDescent="0.25">
      <c r="A53" t="s">
        <v>8496</v>
      </c>
      <c r="D53" s="2" t="s">
        <v>6338</v>
      </c>
    </row>
    <row r="54" spans="1:4" x14ac:dyDescent="0.25">
      <c r="A54" t="s">
        <v>5765</v>
      </c>
      <c r="D54" s="2" t="s">
        <v>4267</v>
      </c>
    </row>
    <row r="55" spans="1:4" x14ac:dyDescent="0.25">
      <c r="A55" t="s">
        <v>8529</v>
      </c>
      <c r="D55" s="2" t="s">
        <v>412</v>
      </c>
    </row>
    <row r="56" spans="1:4" x14ac:dyDescent="0.25">
      <c r="A56" t="s">
        <v>5767</v>
      </c>
      <c r="D56" s="2" t="s">
        <v>7039</v>
      </c>
    </row>
    <row r="57" spans="1:4" x14ac:dyDescent="0.25">
      <c r="A57" t="s">
        <v>10189</v>
      </c>
      <c r="D57" s="2" t="s">
        <v>10289</v>
      </c>
    </row>
    <row r="58" spans="1:4" x14ac:dyDescent="0.25">
      <c r="A58" t="s">
        <v>8576</v>
      </c>
      <c r="D58" s="2" t="s">
        <v>5487</v>
      </c>
    </row>
    <row r="59" spans="1:4" x14ac:dyDescent="0.25">
      <c r="A59" t="s">
        <v>10191</v>
      </c>
      <c r="D59" s="2" t="s">
        <v>5826</v>
      </c>
    </row>
    <row r="60" spans="1:4" x14ac:dyDescent="0.25">
      <c r="A60" t="s">
        <v>10193</v>
      </c>
      <c r="D60" s="2" t="s">
        <v>1152</v>
      </c>
    </row>
    <row r="61" spans="1:4" x14ac:dyDescent="0.25">
      <c r="A61" t="s">
        <v>6287</v>
      </c>
      <c r="D61" s="2" t="s">
        <v>5213</v>
      </c>
    </row>
    <row r="62" spans="1:4" x14ac:dyDescent="0.25">
      <c r="A62" t="s">
        <v>10196</v>
      </c>
      <c r="D62" s="2" t="s">
        <v>4613</v>
      </c>
    </row>
    <row r="63" spans="1:4" x14ac:dyDescent="0.25">
      <c r="A63" t="s">
        <v>10198</v>
      </c>
      <c r="D63" s="2" t="s">
        <v>8493</v>
      </c>
    </row>
    <row r="64" spans="1:4" x14ac:dyDescent="0.25">
      <c r="A64" t="s">
        <v>10201</v>
      </c>
      <c r="D64" s="2" t="s">
        <v>9736</v>
      </c>
    </row>
    <row r="65" spans="1:4" x14ac:dyDescent="0.25">
      <c r="A65" t="s">
        <v>8674</v>
      </c>
      <c r="D65" s="2" t="s">
        <v>4232</v>
      </c>
    </row>
    <row r="66" spans="1:4" x14ac:dyDescent="0.25">
      <c r="A66" t="s">
        <v>6287</v>
      </c>
      <c r="D66" s="2" t="s">
        <v>6693</v>
      </c>
    </row>
    <row r="67" spans="1:4" x14ac:dyDescent="0.25">
      <c r="A67" t="s">
        <v>10196</v>
      </c>
      <c r="D67" s="2" t="s">
        <v>5386</v>
      </c>
    </row>
    <row r="68" spans="1:4" x14ac:dyDescent="0.25">
      <c r="A68" t="s">
        <v>5789</v>
      </c>
      <c r="D68" s="2" t="s">
        <v>4406</v>
      </c>
    </row>
    <row r="69" spans="1:4" x14ac:dyDescent="0.25">
      <c r="A69" t="s">
        <v>10198</v>
      </c>
      <c r="D69" s="2" t="s">
        <v>7262</v>
      </c>
    </row>
    <row r="70" spans="1:4" x14ac:dyDescent="0.25">
      <c r="A70" t="s">
        <v>6293</v>
      </c>
      <c r="D70" s="2" t="s">
        <v>5348</v>
      </c>
    </row>
    <row r="71" spans="1:4" x14ac:dyDescent="0.25">
      <c r="A71" t="s">
        <v>5791</v>
      </c>
      <c r="D71" s="2" t="s">
        <v>3694</v>
      </c>
    </row>
    <row r="72" spans="1:4" x14ac:dyDescent="0.25">
      <c r="A72" t="s">
        <v>5793</v>
      </c>
      <c r="D72" s="2" t="s">
        <v>6930</v>
      </c>
    </row>
    <row r="73" spans="1:4" x14ac:dyDescent="0.25">
      <c r="A73" t="s">
        <v>6297</v>
      </c>
      <c r="D73" s="2" t="s">
        <v>3700</v>
      </c>
    </row>
    <row r="74" spans="1:4" x14ac:dyDescent="0.25">
      <c r="A74" t="s">
        <v>8808</v>
      </c>
      <c r="D74" s="2" t="s">
        <v>8539</v>
      </c>
    </row>
    <row r="75" spans="1:4" x14ac:dyDescent="0.25">
      <c r="A75" t="s">
        <v>8813</v>
      </c>
      <c r="D75" s="2" t="s">
        <v>9000</v>
      </c>
    </row>
    <row r="76" spans="1:4" x14ac:dyDescent="0.25">
      <c r="A76" t="s">
        <v>8830</v>
      </c>
      <c r="D76" s="2" t="s">
        <v>3612</v>
      </c>
    </row>
    <row r="77" spans="1:4" x14ac:dyDescent="0.25">
      <c r="A77" t="s">
        <v>10204</v>
      </c>
      <c r="D77" s="2" t="s">
        <v>6100</v>
      </c>
    </row>
    <row r="78" spans="1:4" x14ac:dyDescent="0.25">
      <c r="A78" t="s">
        <v>10105</v>
      </c>
      <c r="D78" s="2" t="s">
        <v>1564</v>
      </c>
    </row>
    <row r="79" spans="1:4" x14ac:dyDescent="0.25">
      <c r="A79" t="s">
        <v>10127</v>
      </c>
      <c r="D79" s="2" t="s">
        <v>5854</v>
      </c>
    </row>
    <row r="80" spans="1:4" x14ac:dyDescent="0.25">
      <c r="A80" t="s">
        <v>10130</v>
      </c>
      <c r="D80" s="2" t="s">
        <v>5447</v>
      </c>
    </row>
    <row r="81" spans="1:4" x14ac:dyDescent="0.25">
      <c r="A81" t="s">
        <v>10130</v>
      </c>
      <c r="D81" s="2" t="s">
        <v>998</v>
      </c>
    </row>
    <row r="82" spans="1:4" x14ac:dyDescent="0.25">
      <c r="A82" t="s">
        <v>10176</v>
      </c>
      <c r="D82" s="2" t="s">
        <v>5401</v>
      </c>
    </row>
    <row r="83" spans="1:4" x14ac:dyDescent="0.25">
      <c r="A83" t="s">
        <v>22</v>
      </c>
      <c r="D83" s="2" t="s">
        <v>6390</v>
      </c>
    </row>
    <row r="84" spans="1:4" x14ac:dyDescent="0.25">
      <c r="A84" t="s">
        <v>10081</v>
      </c>
      <c r="D84" s="2" t="s">
        <v>6209</v>
      </c>
    </row>
    <row r="85" spans="1:4" x14ac:dyDescent="0.25">
      <c r="A85" t="s">
        <v>5203</v>
      </c>
      <c r="D85" s="2" t="s">
        <v>861</v>
      </c>
    </row>
    <row r="86" spans="1:4" x14ac:dyDescent="0.25">
      <c r="A86" t="s">
        <v>5203</v>
      </c>
      <c r="D86" s="2" t="s">
        <v>8927</v>
      </c>
    </row>
    <row r="87" spans="1:4" x14ac:dyDescent="0.25">
      <c r="A87" t="s">
        <v>10086</v>
      </c>
      <c r="D87" s="2" t="s">
        <v>5987</v>
      </c>
    </row>
    <row r="88" spans="1:4" x14ac:dyDescent="0.25">
      <c r="A88" t="s">
        <v>5209</v>
      </c>
      <c r="D88" s="2" t="s">
        <v>7892</v>
      </c>
    </row>
    <row r="89" spans="1:4" x14ac:dyDescent="0.25">
      <c r="A89" t="s">
        <v>5213</v>
      </c>
      <c r="D89" s="2" t="s">
        <v>444</v>
      </c>
    </row>
    <row r="90" spans="1:4" x14ac:dyDescent="0.25">
      <c r="A90" t="s">
        <v>5213</v>
      </c>
      <c r="D90" s="2" t="s">
        <v>3878</v>
      </c>
    </row>
    <row r="91" spans="1:4" x14ac:dyDescent="0.25">
      <c r="A91" t="s">
        <v>5217</v>
      </c>
      <c r="D91" s="2" t="s">
        <v>208</v>
      </c>
    </row>
    <row r="92" spans="1:4" x14ac:dyDescent="0.25">
      <c r="A92" t="s">
        <v>5220</v>
      </c>
      <c r="D92" s="2" t="s">
        <v>6940</v>
      </c>
    </row>
    <row r="93" spans="1:4" x14ac:dyDescent="0.25">
      <c r="A93" t="s">
        <v>10093</v>
      </c>
      <c r="D93" s="2" t="s">
        <v>6804</v>
      </c>
    </row>
    <row r="94" spans="1:4" x14ac:dyDescent="0.25">
      <c r="A94" t="s">
        <v>5223</v>
      </c>
      <c r="D94" s="2" t="s">
        <v>8627</v>
      </c>
    </row>
    <row r="95" spans="1:4" x14ac:dyDescent="0.25">
      <c r="A95" t="s">
        <v>5223</v>
      </c>
      <c r="D95" s="2" t="s">
        <v>9135</v>
      </c>
    </row>
    <row r="96" spans="1:4" x14ac:dyDescent="0.25">
      <c r="A96" t="s">
        <v>10235</v>
      </c>
      <c r="D96" s="2" t="s">
        <v>431</v>
      </c>
    </row>
    <row r="97" spans="1:4" x14ac:dyDescent="0.25">
      <c r="A97" t="s">
        <v>10238</v>
      </c>
      <c r="D97" s="2" t="s">
        <v>5813</v>
      </c>
    </row>
    <row r="98" spans="1:4" x14ac:dyDescent="0.25">
      <c r="A98" t="s">
        <v>10241</v>
      </c>
      <c r="D98" s="2" t="s">
        <v>1736</v>
      </c>
    </row>
    <row r="99" spans="1:4" x14ac:dyDescent="0.25">
      <c r="A99" t="s">
        <v>4533</v>
      </c>
      <c r="D99" s="2" t="s">
        <v>4784</v>
      </c>
    </row>
    <row r="100" spans="1:4" x14ac:dyDescent="0.25">
      <c r="A100" t="s">
        <v>9931</v>
      </c>
      <c r="D100" s="2" t="s">
        <v>9448</v>
      </c>
    </row>
    <row r="101" spans="1:4" x14ac:dyDescent="0.25">
      <c r="A101" t="s">
        <v>9934</v>
      </c>
      <c r="D101" s="2" t="s">
        <v>1419</v>
      </c>
    </row>
    <row r="102" spans="1:4" x14ac:dyDescent="0.25">
      <c r="A102" t="s">
        <v>10017</v>
      </c>
      <c r="D102" s="2" t="s">
        <v>7011</v>
      </c>
    </row>
    <row r="103" spans="1:4" x14ac:dyDescent="0.25">
      <c r="A103" t="s">
        <v>10040</v>
      </c>
      <c r="D103" s="2" t="s">
        <v>479</v>
      </c>
    </row>
    <row r="104" spans="1:4" x14ac:dyDescent="0.25">
      <c r="A104" t="s">
        <v>10262</v>
      </c>
      <c r="D104" s="2" t="s">
        <v>1157</v>
      </c>
    </row>
    <row r="105" spans="1:4" x14ac:dyDescent="0.25">
      <c r="A105" t="s">
        <v>9994</v>
      </c>
      <c r="D105" s="2" t="s">
        <v>7793</v>
      </c>
    </row>
    <row r="106" spans="1:4" x14ac:dyDescent="0.25">
      <c r="A106" t="s">
        <v>10035</v>
      </c>
      <c r="D106" s="2" t="s">
        <v>8233</v>
      </c>
    </row>
    <row r="107" spans="1:4" x14ac:dyDescent="0.25">
      <c r="A107" t="s">
        <v>10044</v>
      </c>
      <c r="D107" s="2" t="s">
        <v>6308</v>
      </c>
    </row>
    <row r="108" spans="1:4" x14ac:dyDescent="0.25">
      <c r="A108" t="s">
        <v>10148</v>
      </c>
      <c r="D108" s="2" t="s">
        <v>8582</v>
      </c>
    </row>
    <row r="109" spans="1:4" x14ac:dyDescent="0.25">
      <c r="A109" t="s">
        <v>10153</v>
      </c>
      <c r="D109" s="2" t="s">
        <v>510</v>
      </c>
    </row>
    <row r="110" spans="1:4" x14ac:dyDescent="0.25">
      <c r="A110" t="s">
        <v>10156</v>
      </c>
      <c r="D110" s="2" t="s">
        <v>6408</v>
      </c>
    </row>
    <row r="111" spans="1:4" x14ac:dyDescent="0.25">
      <c r="A111" t="s">
        <v>10251</v>
      </c>
      <c r="D111" s="2" t="s">
        <v>5477</v>
      </c>
    </row>
    <row r="112" spans="1:4" x14ac:dyDescent="0.25">
      <c r="A112" t="s">
        <v>10057</v>
      </c>
      <c r="D112" s="2" t="s">
        <v>8448</v>
      </c>
    </row>
    <row r="113" spans="1:4" x14ac:dyDescent="0.25">
      <c r="A113" t="s">
        <v>10057</v>
      </c>
      <c r="D113" s="2" t="s">
        <v>6275</v>
      </c>
    </row>
    <row r="114" spans="1:4" x14ac:dyDescent="0.25">
      <c r="A114" t="s">
        <v>10057</v>
      </c>
      <c r="D114" s="2" t="s">
        <v>6124</v>
      </c>
    </row>
    <row r="115" spans="1:4" x14ac:dyDescent="0.25">
      <c r="A115" t="s">
        <v>10057</v>
      </c>
      <c r="D115" s="2" t="s">
        <v>1537</v>
      </c>
    </row>
    <row r="116" spans="1:4" x14ac:dyDescent="0.25">
      <c r="A116" t="s">
        <v>10063</v>
      </c>
      <c r="D116" s="2" t="s">
        <v>10191</v>
      </c>
    </row>
    <row r="117" spans="1:4" x14ac:dyDescent="0.25">
      <c r="A117" t="s">
        <v>10063</v>
      </c>
      <c r="D117" s="2" t="s">
        <v>965</v>
      </c>
    </row>
    <row r="118" spans="1:4" x14ac:dyDescent="0.25">
      <c r="A118" t="s">
        <v>10063</v>
      </c>
      <c r="D118" s="2" t="s">
        <v>5711</v>
      </c>
    </row>
    <row r="119" spans="1:4" x14ac:dyDescent="0.25">
      <c r="A119" t="s">
        <v>10226</v>
      </c>
      <c r="D119" s="2" t="s">
        <v>5708</v>
      </c>
    </row>
    <row r="120" spans="1:4" x14ac:dyDescent="0.25">
      <c r="A120" t="s">
        <v>10226</v>
      </c>
      <c r="D120" s="2" t="s">
        <v>5819</v>
      </c>
    </row>
    <row r="121" spans="1:4" x14ac:dyDescent="0.25">
      <c r="A121" t="s">
        <v>10230</v>
      </c>
      <c r="D121" s="2" t="s">
        <v>5035</v>
      </c>
    </row>
    <row r="122" spans="1:4" x14ac:dyDescent="0.25">
      <c r="A122" t="s">
        <v>9982</v>
      </c>
      <c r="D122" s="2" t="s">
        <v>553</v>
      </c>
    </row>
    <row r="123" spans="1:4" x14ac:dyDescent="0.25">
      <c r="A123" t="s">
        <v>9982</v>
      </c>
      <c r="D123" s="2" t="s">
        <v>7480</v>
      </c>
    </row>
    <row r="124" spans="1:4" x14ac:dyDescent="0.25">
      <c r="A124" t="s">
        <v>10246</v>
      </c>
      <c r="D124" s="2" t="s">
        <v>5724</v>
      </c>
    </row>
    <row r="125" spans="1:4" x14ac:dyDescent="0.25">
      <c r="A125" t="s">
        <v>10023</v>
      </c>
      <c r="D125" s="2" t="s">
        <v>7830</v>
      </c>
    </row>
    <row r="126" spans="1:4" x14ac:dyDescent="0.25">
      <c r="A126" t="s">
        <v>10005</v>
      </c>
      <c r="D126" s="2" t="s">
        <v>7909</v>
      </c>
    </row>
    <row r="127" spans="1:4" x14ac:dyDescent="0.25">
      <c r="A127" t="s">
        <v>10009</v>
      </c>
      <c r="D127" s="2" t="s">
        <v>5771</v>
      </c>
    </row>
    <row r="128" spans="1:4" x14ac:dyDescent="0.25">
      <c r="A128" t="s">
        <v>10012</v>
      </c>
      <c r="D128" s="2" t="s">
        <v>8573</v>
      </c>
    </row>
    <row r="129" spans="1:4" x14ac:dyDescent="0.25">
      <c r="A129" t="s">
        <v>9917</v>
      </c>
      <c r="D129" s="2" t="s">
        <v>8624</v>
      </c>
    </row>
    <row r="130" spans="1:4" x14ac:dyDescent="0.25">
      <c r="A130" t="s">
        <v>9921</v>
      </c>
      <c r="D130" s="2" t="s">
        <v>8704</v>
      </c>
    </row>
    <row r="131" spans="1:4" x14ac:dyDescent="0.25">
      <c r="A131" t="s">
        <v>381</v>
      </c>
      <c r="D131" s="2" t="s">
        <v>8002</v>
      </c>
    </row>
    <row r="132" spans="1:4" x14ac:dyDescent="0.25">
      <c r="A132" t="s">
        <v>381</v>
      </c>
      <c r="D132" s="2" t="s">
        <v>6971</v>
      </c>
    </row>
    <row r="133" spans="1:4" x14ac:dyDescent="0.25">
      <c r="A133" t="s">
        <v>399</v>
      </c>
      <c r="D133" s="2" t="s">
        <v>4941</v>
      </c>
    </row>
    <row r="134" spans="1:4" x14ac:dyDescent="0.25">
      <c r="A134" t="s">
        <v>10029</v>
      </c>
      <c r="D134" s="2" t="s">
        <v>5695</v>
      </c>
    </row>
    <row r="135" spans="1:4" x14ac:dyDescent="0.25">
      <c r="A135" t="s">
        <v>10164</v>
      </c>
      <c r="D135" s="2" t="s">
        <v>5472</v>
      </c>
    </row>
    <row r="136" spans="1:4" x14ac:dyDescent="0.25">
      <c r="A136" t="s">
        <v>10164</v>
      </c>
      <c r="D136" s="2" t="s">
        <v>6681</v>
      </c>
    </row>
    <row r="137" spans="1:4" x14ac:dyDescent="0.25">
      <c r="A137" t="s">
        <v>10164</v>
      </c>
      <c r="D137" s="2" t="s">
        <v>4120</v>
      </c>
    </row>
    <row r="138" spans="1:4" x14ac:dyDescent="0.25">
      <c r="A138" t="s">
        <v>9814</v>
      </c>
      <c r="D138" s="2" t="s">
        <v>9424</v>
      </c>
    </row>
    <row r="139" spans="1:4" x14ac:dyDescent="0.25">
      <c r="A139" t="s">
        <v>9814</v>
      </c>
      <c r="D139" s="2" t="s">
        <v>6225</v>
      </c>
    </row>
    <row r="140" spans="1:4" x14ac:dyDescent="0.25">
      <c r="A140" t="s">
        <v>9818</v>
      </c>
      <c r="D140" s="2" t="s">
        <v>3942</v>
      </c>
    </row>
    <row r="141" spans="1:4" x14ac:dyDescent="0.25">
      <c r="A141" t="s">
        <v>9821</v>
      </c>
      <c r="D141" s="2" t="s">
        <v>3649</v>
      </c>
    </row>
    <row r="142" spans="1:4" x14ac:dyDescent="0.25">
      <c r="A142" t="s">
        <v>9823</v>
      </c>
      <c r="D142" s="2" t="s">
        <v>5769</v>
      </c>
    </row>
    <row r="143" spans="1:4" x14ac:dyDescent="0.25">
      <c r="A143" t="s">
        <v>9826</v>
      </c>
      <c r="D143" s="2" t="s">
        <v>5751</v>
      </c>
    </row>
    <row r="144" spans="1:4" x14ac:dyDescent="0.25">
      <c r="A144" t="s">
        <v>9829</v>
      </c>
      <c r="D144" s="2" t="s">
        <v>7939</v>
      </c>
    </row>
    <row r="145" spans="1:4" x14ac:dyDescent="0.25">
      <c r="A145" t="s">
        <v>9829</v>
      </c>
      <c r="D145" s="2" t="s">
        <v>7527</v>
      </c>
    </row>
    <row r="146" spans="1:4" x14ac:dyDescent="0.25">
      <c r="A146" t="s">
        <v>9833</v>
      </c>
      <c r="D146" s="2" t="s">
        <v>6260</v>
      </c>
    </row>
    <row r="147" spans="1:4" x14ac:dyDescent="0.25">
      <c r="A147" t="s">
        <v>9836</v>
      </c>
      <c r="D147" s="2" t="s">
        <v>350</v>
      </c>
    </row>
    <row r="148" spans="1:4" x14ac:dyDescent="0.25">
      <c r="A148" t="s">
        <v>9839</v>
      </c>
      <c r="D148" s="2" t="s">
        <v>4357</v>
      </c>
    </row>
    <row r="149" spans="1:4" x14ac:dyDescent="0.25">
      <c r="A149" t="s">
        <v>9842</v>
      </c>
      <c r="D149" s="2" t="s">
        <v>2464</v>
      </c>
    </row>
    <row r="150" spans="1:4" x14ac:dyDescent="0.25">
      <c r="A150" t="s">
        <v>9845</v>
      </c>
      <c r="D150" s="2" t="s">
        <v>8940</v>
      </c>
    </row>
    <row r="151" spans="1:4" x14ac:dyDescent="0.25">
      <c r="A151" t="s">
        <v>9848</v>
      </c>
      <c r="D151" s="2" t="s">
        <v>6645</v>
      </c>
    </row>
    <row r="152" spans="1:4" x14ac:dyDescent="0.25">
      <c r="A152" t="s">
        <v>9848</v>
      </c>
      <c r="D152" s="2" t="s">
        <v>5541</v>
      </c>
    </row>
    <row r="153" spans="1:4" x14ac:dyDescent="0.25">
      <c r="A153" t="s">
        <v>9848</v>
      </c>
      <c r="D153" s="2" t="s">
        <v>8674</v>
      </c>
    </row>
    <row r="154" spans="1:4" x14ac:dyDescent="0.25">
      <c r="A154" t="s">
        <v>9848</v>
      </c>
      <c r="D154" s="2" t="s">
        <v>8764</v>
      </c>
    </row>
    <row r="155" spans="1:4" x14ac:dyDescent="0.25">
      <c r="A155" t="s">
        <v>9848</v>
      </c>
      <c r="D155" s="2" t="s">
        <v>8787</v>
      </c>
    </row>
    <row r="156" spans="1:4" x14ac:dyDescent="0.25">
      <c r="A156" t="s">
        <v>9855</v>
      </c>
      <c r="D156" s="2" t="s">
        <v>8171</v>
      </c>
    </row>
    <row r="157" spans="1:4" x14ac:dyDescent="0.25">
      <c r="A157" t="s">
        <v>9858</v>
      </c>
      <c r="D157" s="2" t="s">
        <v>1411</v>
      </c>
    </row>
    <row r="158" spans="1:4" x14ac:dyDescent="0.25">
      <c r="A158" t="s">
        <v>9861</v>
      </c>
      <c r="D158" s="2" t="s">
        <v>4191</v>
      </c>
    </row>
    <row r="159" spans="1:4" x14ac:dyDescent="0.25">
      <c r="A159" t="s">
        <v>9864</v>
      </c>
      <c r="D159" s="2" t="s">
        <v>4229</v>
      </c>
    </row>
    <row r="160" spans="1:4" x14ac:dyDescent="0.25">
      <c r="A160" t="s">
        <v>9867</v>
      </c>
      <c r="D160" s="2" t="s">
        <v>4154</v>
      </c>
    </row>
    <row r="161" spans="1:4" x14ac:dyDescent="0.25">
      <c r="A161" t="s">
        <v>9867</v>
      </c>
      <c r="D161" s="2" t="s">
        <v>3990</v>
      </c>
    </row>
    <row r="162" spans="1:4" x14ac:dyDescent="0.25">
      <c r="A162" t="s">
        <v>9875</v>
      </c>
      <c r="D162" s="2" t="s">
        <v>3995</v>
      </c>
    </row>
    <row r="163" spans="1:4" x14ac:dyDescent="0.25">
      <c r="A163" t="s">
        <v>9875</v>
      </c>
      <c r="D163" s="2" t="s">
        <v>4030</v>
      </c>
    </row>
    <row r="164" spans="1:4" x14ac:dyDescent="0.25">
      <c r="A164" t="s">
        <v>10222</v>
      </c>
      <c r="D164" s="2" t="s">
        <v>4003</v>
      </c>
    </row>
    <row r="165" spans="1:4" x14ac:dyDescent="0.25">
      <c r="A165" t="s">
        <v>9948</v>
      </c>
      <c r="D165" s="2" t="s">
        <v>3790</v>
      </c>
    </row>
    <row r="166" spans="1:4" x14ac:dyDescent="0.25">
      <c r="A166" t="s">
        <v>9750</v>
      </c>
      <c r="D166" s="2" t="s">
        <v>6348</v>
      </c>
    </row>
    <row r="167" spans="1:4" x14ac:dyDescent="0.25">
      <c r="A167" t="s">
        <v>9750</v>
      </c>
      <c r="D167" s="2" t="s">
        <v>3365</v>
      </c>
    </row>
    <row r="168" spans="1:4" x14ac:dyDescent="0.25">
      <c r="A168" t="s">
        <v>9736</v>
      </c>
      <c r="D168" s="2" t="s">
        <v>7017</v>
      </c>
    </row>
    <row r="169" spans="1:4" x14ac:dyDescent="0.25">
      <c r="A169" t="s">
        <v>9740</v>
      </c>
      <c r="D169" s="2" t="s">
        <v>5701</v>
      </c>
    </row>
    <row r="170" spans="1:4" x14ac:dyDescent="0.25">
      <c r="A170" t="s">
        <v>10100</v>
      </c>
      <c r="D170" s="2" t="s">
        <v>4567</v>
      </c>
    </row>
    <row r="171" spans="1:4" x14ac:dyDescent="0.25">
      <c r="A171" t="s">
        <v>94</v>
      </c>
      <c r="D171" s="2" t="s">
        <v>6522</v>
      </c>
    </row>
    <row r="172" spans="1:4" x14ac:dyDescent="0.25">
      <c r="A172" t="s">
        <v>94</v>
      </c>
      <c r="D172" s="2" t="s">
        <v>4199</v>
      </c>
    </row>
    <row r="173" spans="1:4" x14ac:dyDescent="0.25">
      <c r="A173" t="s">
        <v>9988</v>
      </c>
      <c r="D173" s="2" t="s">
        <v>7169</v>
      </c>
    </row>
    <row r="174" spans="1:4" x14ac:dyDescent="0.25">
      <c r="A174" t="s">
        <v>9763</v>
      </c>
      <c r="D174" s="2" t="s">
        <v>3290</v>
      </c>
    </row>
    <row r="175" spans="1:4" x14ac:dyDescent="0.25">
      <c r="A175" t="s">
        <v>9767</v>
      </c>
      <c r="D175" s="2" t="s">
        <v>3855</v>
      </c>
    </row>
    <row r="176" spans="1:4" x14ac:dyDescent="0.25">
      <c r="A176" t="s">
        <v>9770</v>
      </c>
      <c r="D176" s="2" t="s">
        <v>6809</v>
      </c>
    </row>
    <row r="177" spans="1:4" x14ac:dyDescent="0.25">
      <c r="A177" t="s">
        <v>9773</v>
      </c>
      <c r="D177" s="2" t="s">
        <v>9682</v>
      </c>
    </row>
    <row r="178" spans="1:4" x14ac:dyDescent="0.25">
      <c r="A178" t="s">
        <v>9776</v>
      </c>
      <c r="D178" s="2" t="s">
        <v>9525</v>
      </c>
    </row>
    <row r="179" spans="1:4" x14ac:dyDescent="0.25">
      <c r="A179" t="s">
        <v>9779</v>
      </c>
      <c r="D179" s="2" t="s">
        <v>2901</v>
      </c>
    </row>
    <row r="180" spans="1:4" x14ac:dyDescent="0.25">
      <c r="A180" t="s">
        <v>9779</v>
      </c>
      <c r="D180" s="2" t="s">
        <v>2133</v>
      </c>
    </row>
    <row r="181" spans="1:4" x14ac:dyDescent="0.25">
      <c r="A181" t="s">
        <v>9784</v>
      </c>
      <c r="D181" s="2" t="s">
        <v>5136</v>
      </c>
    </row>
    <row r="182" spans="1:4" x14ac:dyDescent="0.25">
      <c r="A182" t="s">
        <v>9784</v>
      </c>
      <c r="D182" s="2" t="s">
        <v>285</v>
      </c>
    </row>
    <row r="183" spans="1:4" x14ac:dyDescent="0.25">
      <c r="A183" t="s">
        <v>9789</v>
      </c>
      <c r="D183" s="2" t="s">
        <v>490</v>
      </c>
    </row>
    <row r="184" spans="1:4" x14ac:dyDescent="0.25">
      <c r="A184" t="s">
        <v>9792</v>
      </c>
      <c r="D184" s="2" t="s">
        <v>10050</v>
      </c>
    </row>
    <row r="185" spans="1:4" x14ac:dyDescent="0.25">
      <c r="A185" t="s">
        <v>9792</v>
      </c>
      <c r="D185" s="2" t="s">
        <v>6248</v>
      </c>
    </row>
    <row r="186" spans="1:4" x14ac:dyDescent="0.25">
      <c r="A186" t="s">
        <v>9797</v>
      </c>
      <c r="D186" s="2" t="s">
        <v>5753</v>
      </c>
    </row>
    <row r="187" spans="1:4" x14ac:dyDescent="0.25">
      <c r="A187" t="s">
        <v>9800</v>
      </c>
      <c r="D187" s="2" t="s">
        <v>2153</v>
      </c>
    </row>
    <row r="188" spans="1:4" x14ac:dyDescent="0.25">
      <c r="A188" t="s">
        <v>9587</v>
      </c>
      <c r="D188" s="2" t="s">
        <v>7986</v>
      </c>
    </row>
    <row r="189" spans="1:4" x14ac:dyDescent="0.25">
      <c r="A189" t="s">
        <v>116</v>
      </c>
      <c r="D189" s="2" t="s">
        <v>7147</v>
      </c>
    </row>
    <row r="190" spans="1:4" x14ac:dyDescent="0.25">
      <c r="A190" t="s">
        <v>9757</v>
      </c>
      <c r="D190" s="2" t="s">
        <v>9858</v>
      </c>
    </row>
    <row r="191" spans="1:4" x14ac:dyDescent="0.25">
      <c r="A191" t="s">
        <v>10000</v>
      </c>
      <c r="D191" s="2" t="s">
        <v>8251</v>
      </c>
    </row>
    <row r="192" spans="1:4" x14ac:dyDescent="0.25">
      <c r="A192" t="s">
        <v>10050</v>
      </c>
      <c r="D192" s="2" t="s">
        <v>7380</v>
      </c>
    </row>
    <row r="193" spans="1:4" x14ac:dyDescent="0.25">
      <c r="A193" t="s">
        <v>10050</v>
      </c>
      <c r="D193" s="2" t="s">
        <v>7173</v>
      </c>
    </row>
    <row r="194" spans="1:4" x14ac:dyDescent="0.25">
      <c r="A194" t="s">
        <v>543</v>
      </c>
      <c r="D194" s="2" t="s">
        <v>3798</v>
      </c>
    </row>
    <row r="195" spans="1:4" x14ac:dyDescent="0.25">
      <c r="A195" t="s">
        <v>543</v>
      </c>
      <c r="D195" s="2" t="s">
        <v>8920</v>
      </c>
    </row>
    <row r="196" spans="1:4" x14ac:dyDescent="0.25">
      <c r="A196" t="s">
        <v>9955</v>
      </c>
      <c r="D196" s="2" t="s">
        <v>836</v>
      </c>
    </row>
    <row r="197" spans="1:4" x14ac:dyDescent="0.25">
      <c r="A197" t="s">
        <v>9699</v>
      </c>
      <c r="D197" s="2" t="s">
        <v>5245</v>
      </c>
    </row>
    <row r="198" spans="1:4" x14ac:dyDescent="0.25">
      <c r="A198" t="s">
        <v>9710</v>
      </c>
      <c r="D198" s="2" t="s">
        <v>4151</v>
      </c>
    </row>
    <row r="199" spans="1:4" x14ac:dyDescent="0.25">
      <c r="A199" t="s">
        <v>9713</v>
      </c>
      <c r="D199" s="2" t="s">
        <v>7997</v>
      </c>
    </row>
    <row r="200" spans="1:4" x14ac:dyDescent="0.25">
      <c r="A200" t="s">
        <v>9805</v>
      </c>
      <c r="D200" s="2" t="s">
        <v>8966</v>
      </c>
    </row>
    <row r="201" spans="1:4" x14ac:dyDescent="0.25">
      <c r="A201" t="s">
        <v>9960</v>
      </c>
      <c r="D201" s="2" t="s">
        <v>7814</v>
      </c>
    </row>
    <row r="202" spans="1:4" x14ac:dyDescent="0.25">
      <c r="A202" t="s">
        <v>9964</v>
      </c>
      <c r="D202" s="2" t="s">
        <v>2375</v>
      </c>
    </row>
    <row r="203" spans="1:4" x14ac:dyDescent="0.25">
      <c r="A203" t="s">
        <v>9967</v>
      </c>
      <c r="D203" s="2" t="s">
        <v>4775</v>
      </c>
    </row>
    <row r="204" spans="1:4" x14ac:dyDescent="0.25">
      <c r="A204" t="s">
        <v>9971</v>
      </c>
      <c r="D204" s="2" t="s">
        <v>3805</v>
      </c>
    </row>
    <row r="205" spans="1:4" x14ac:dyDescent="0.25">
      <c r="A205" t="s">
        <v>9971</v>
      </c>
      <c r="D205" s="2" t="s">
        <v>3775</v>
      </c>
    </row>
    <row r="206" spans="1:4" x14ac:dyDescent="0.25">
      <c r="A206" t="s">
        <v>9975</v>
      </c>
      <c r="D206" s="2" t="s">
        <v>3782</v>
      </c>
    </row>
    <row r="207" spans="1:4" x14ac:dyDescent="0.25">
      <c r="A207" t="s">
        <v>9975</v>
      </c>
      <c r="D207" s="2" t="s">
        <v>3808</v>
      </c>
    </row>
    <row r="208" spans="1:4" x14ac:dyDescent="0.25">
      <c r="A208" t="s">
        <v>9975</v>
      </c>
      <c r="D208" s="2" t="s">
        <v>9664</v>
      </c>
    </row>
    <row r="209" spans="1:4" x14ac:dyDescent="0.25">
      <c r="A209" t="s">
        <v>9882</v>
      </c>
      <c r="D209" s="2" t="s">
        <v>7268</v>
      </c>
    </row>
    <row r="210" spans="1:4" x14ac:dyDescent="0.25">
      <c r="A210" t="s">
        <v>9886</v>
      </c>
      <c r="D210" s="2" t="s">
        <v>5803</v>
      </c>
    </row>
    <row r="211" spans="1:4" x14ac:dyDescent="0.25">
      <c r="A211" t="s">
        <v>9889</v>
      </c>
      <c r="D211" s="2" t="s">
        <v>3583</v>
      </c>
    </row>
    <row r="212" spans="1:4" x14ac:dyDescent="0.25">
      <c r="A212" t="s">
        <v>9889</v>
      </c>
      <c r="D212" s="2" t="s">
        <v>8588</v>
      </c>
    </row>
    <row r="213" spans="1:4" x14ac:dyDescent="0.25">
      <c r="A213" t="s">
        <v>9893</v>
      </c>
      <c r="D213" s="2" t="s">
        <v>6979</v>
      </c>
    </row>
    <row r="214" spans="1:4" x14ac:dyDescent="0.25">
      <c r="A214" t="s">
        <v>9896</v>
      </c>
      <c r="D214" s="2" t="s">
        <v>6698</v>
      </c>
    </row>
    <row r="215" spans="1:4" x14ac:dyDescent="0.25">
      <c r="A215" t="s">
        <v>9899</v>
      </c>
      <c r="D215" s="2" t="s">
        <v>8351</v>
      </c>
    </row>
    <row r="216" spans="1:4" x14ac:dyDescent="0.25">
      <c r="A216" t="s">
        <v>9902</v>
      </c>
      <c r="D216" s="2" t="s">
        <v>7514</v>
      </c>
    </row>
    <row r="217" spans="1:4" x14ac:dyDescent="0.25">
      <c r="A217" t="s">
        <v>9905</v>
      </c>
      <c r="D217" s="2" t="s">
        <v>6287</v>
      </c>
    </row>
    <row r="218" spans="1:4" x14ac:dyDescent="0.25">
      <c r="A218" t="s">
        <v>9908</v>
      </c>
      <c r="D218" s="2" t="s">
        <v>8031</v>
      </c>
    </row>
    <row r="219" spans="1:4" x14ac:dyDescent="0.25">
      <c r="A219" t="s">
        <v>9911</v>
      </c>
      <c r="D219" s="2" t="s">
        <v>6961</v>
      </c>
    </row>
    <row r="220" spans="1:4" x14ac:dyDescent="0.25">
      <c r="A220" t="s">
        <v>9914</v>
      </c>
      <c r="D220" s="2" t="s">
        <v>8298</v>
      </c>
    </row>
    <row r="221" spans="1:4" x14ac:dyDescent="0.25">
      <c r="A221" t="s">
        <v>9938</v>
      </c>
      <c r="D221" s="2" t="s">
        <v>9773</v>
      </c>
    </row>
    <row r="222" spans="1:4" x14ac:dyDescent="0.25">
      <c r="A222" t="s">
        <v>9664</v>
      </c>
      <c r="D222" s="2" t="s">
        <v>558</v>
      </c>
    </row>
    <row r="223" spans="1:4" x14ac:dyDescent="0.25">
      <c r="A223" t="s">
        <v>9675</v>
      </c>
      <c r="D223" s="2" t="s">
        <v>7763</v>
      </c>
    </row>
    <row r="224" spans="1:4" x14ac:dyDescent="0.25">
      <c r="A224" t="s">
        <v>9678</v>
      </c>
      <c r="D224" s="2" t="s">
        <v>6196</v>
      </c>
    </row>
    <row r="225" spans="1:4" x14ac:dyDescent="0.25">
      <c r="A225" t="s">
        <v>9705</v>
      </c>
      <c r="D225" s="2" t="s">
        <v>3863</v>
      </c>
    </row>
    <row r="226" spans="1:4" x14ac:dyDescent="0.25">
      <c r="A226" t="s">
        <v>9724</v>
      </c>
      <c r="D226" s="2" t="s">
        <v>9090</v>
      </c>
    </row>
    <row r="227" spans="1:4" x14ac:dyDescent="0.25">
      <c r="A227" t="s">
        <v>9724</v>
      </c>
      <c r="D227" s="2" t="s">
        <v>7649</v>
      </c>
    </row>
    <row r="228" spans="1:4" x14ac:dyDescent="0.25">
      <c r="A228" t="s">
        <v>4567</v>
      </c>
      <c r="D228" s="2" t="s">
        <v>8077</v>
      </c>
    </row>
    <row r="229" spans="1:4" x14ac:dyDescent="0.25">
      <c r="A229" t="s">
        <v>9943</v>
      </c>
      <c r="D229" s="2" t="s">
        <v>8176</v>
      </c>
    </row>
    <row r="230" spans="1:4" x14ac:dyDescent="0.25">
      <c r="A230" t="s">
        <v>9808</v>
      </c>
      <c r="D230" s="2" t="s">
        <v>7427</v>
      </c>
    </row>
    <row r="231" spans="1:4" x14ac:dyDescent="0.25">
      <c r="A231" t="s">
        <v>7423</v>
      </c>
      <c r="D231" s="2" t="s">
        <v>8579</v>
      </c>
    </row>
    <row r="232" spans="1:4" x14ac:dyDescent="0.25">
      <c r="A232" t="s">
        <v>9525</v>
      </c>
      <c r="D232" s="2" t="s">
        <v>1809</v>
      </c>
    </row>
    <row r="233" spans="1:4" x14ac:dyDescent="0.25">
      <c r="A233" t="s">
        <v>9525</v>
      </c>
      <c r="D233" s="2" t="s">
        <v>9550</v>
      </c>
    </row>
    <row r="234" spans="1:4" x14ac:dyDescent="0.25">
      <c r="A234" t="s">
        <v>9525</v>
      </c>
      <c r="D234" s="2" t="s">
        <v>7975</v>
      </c>
    </row>
    <row r="235" spans="1:4" x14ac:dyDescent="0.25">
      <c r="A235" t="s">
        <v>9641</v>
      </c>
      <c r="D235" s="2" t="s">
        <v>5673</v>
      </c>
    </row>
    <row r="236" spans="1:4" x14ac:dyDescent="0.25">
      <c r="A236" t="s">
        <v>9519</v>
      </c>
      <c r="D236" s="2" t="s">
        <v>396</v>
      </c>
    </row>
    <row r="237" spans="1:4" x14ac:dyDescent="0.25">
      <c r="A237" t="s">
        <v>9682</v>
      </c>
      <c r="D237" s="2" t="s">
        <v>7592</v>
      </c>
    </row>
    <row r="238" spans="1:4" x14ac:dyDescent="0.25">
      <c r="A238" t="s">
        <v>9682</v>
      </c>
      <c r="D238" s="2" t="s">
        <v>1769</v>
      </c>
    </row>
    <row r="239" spans="1:4" x14ac:dyDescent="0.25">
      <c r="A239" t="s">
        <v>9687</v>
      </c>
      <c r="D239" s="2" t="s">
        <v>7438</v>
      </c>
    </row>
    <row r="240" spans="1:4" x14ac:dyDescent="0.25">
      <c r="A240" t="s">
        <v>9690</v>
      </c>
      <c r="D240" s="2" t="s">
        <v>5729</v>
      </c>
    </row>
    <row r="241" spans="1:4" x14ac:dyDescent="0.25">
      <c r="A241" t="s">
        <v>9690</v>
      </c>
      <c r="D241" s="2" t="s">
        <v>8502</v>
      </c>
    </row>
    <row r="242" spans="1:4" x14ac:dyDescent="0.25">
      <c r="A242" t="s">
        <v>9690</v>
      </c>
      <c r="D242" s="2" t="s">
        <v>8613</v>
      </c>
    </row>
    <row r="243" spans="1:4" x14ac:dyDescent="0.25">
      <c r="A243" t="s">
        <v>9695</v>
      </c>
      <c r="D243" s="2" t="s">
        <v>8061</v>
      </c>
    </row>
    <row r="244" spans="1:4" x14ac:dyDescent="0.25">
      <c r="A244" t="s">
        <v>9695</v>
      </c>
      <c r="D244" s="2" t="s">
        <v>8879</v>
      </c>
    </row>
    <row r="245" spans="1:4" x14ac:dyDescent="0.25">
      <c r="A245" t="s">
        <v>3878</v>
      </c>
      <c r="D245" s="2" t="s">
        <v>1142</v>
      </c>
    </row>
    <row r="246" spans="1:4" x14ac:dyDescent="0.25">
      <c r="A246" t="s">
        <v>9745</v>
      </c>
      <c r="D246" s="2" t="s">
        <v>2498</v>
      </c>
    </row>
    <row r="247" spans="1:4" x14ac:dyDescent="0.25">
      <c r="A247" t="s">
        <v>9506</v>
      </c>
      <c r="D247" s="2" t="s">
        <v>543</v>
      </c>
    </row>
    <row r="248" spans="1:4" x14ac:dyDescent="0.25">
      <c r="A248" t="s">
        <v>9635</v>
      </c>
      <c r="D248" s="2" t="s">
        <v>10187</v>
      </c>
    </row>
    <row r="249" spans="1:4" x14ac:dyDescent="0.25">
      <c r="A249" t="s">
        <v>9635</v>
      </c>
      <c r="D249" s="2" t="s">
        <v>9695</v>
      </c>
    </row>
    <row r="250" spans="1:4" x14ac:dyDescent="0.25">
      <c r="A250" t="s">
        <v>9500</v>
      </c>
      <c r="D250" s="2" t="s">
        <v>5278</v>
      </c>
    </row>
    <row r="251" spans="1:4" x14ac:dyDescent="0.25">
      <c r="A251" t="s">
        <v>4775</v>
      </c>
      <c r="D251" s="2" t="s">
        <v>9513</v>
      </c>
    </row>
    <row r="252" spans="1:4" x14ac:dyDescent="0.25">
      <c r="A252" t="s">
        <v>4775</v>
      </c>
      <c r="D252" s="2" t="s">
        <v>9848</v>
      </c>
    </row>
    <row r="253" spans="1:4" x14ac:dyDescent="0.25">
      <c r="A253" t="s">
        <v>4775</v>
      </c>
      <c r="D253" s="2" t="s">
        <v>9988</v>
      </c>
    </row>
    <row r="254" spans="1:4" x14ac:dyDescent="0.25">
      <c r="A254" t="s">
        <v>4775</v>
      </c>
      <c r="D254" s="2" t="s">
        <v>6359</v>
      </c>
    </row>
    <row r="255" spans="1:4" x14ac:dyDescent="0.25">
      <c r="A255" t="s">
        <v>4775</v>
      </c>
      <c r="D255" s="2" t="s">
        <v>1745</v>
      </c>
    </row>
    <row r="256" spans="1:4" x14ac:dyDescent="0.25">
      <c r="A256" t="s">
        <v>9582</v>
      </c>
      <c r="D256" s="2" t="s">
        <v>3108</v>
      </c>
    </row>
    <row r="257" spans="1:4" x14ac:dyDescent="0.25">
      <c r="A257" t="s">
        <v>9582</v>
      </c>
      <c r="D257" s="2" t="s">
        <v>3671</v>
      </c>
    </row>
    <row r="258" spans="1:4" x14ac:dyDescent="0.25">
      <c r="A258" t="s">
        <v>9582</v>
      </c>
      <c r="D258" s="2" t="s">
        <v>1729</v>
      </c>
    </row>
    <row r="259" spans="1:4" x14ac:dyDescent="0.25">
      <c r="A259" t="s">
        <v>9587</v>
      </c>
      <c r="D259" s="2" t="s">
        <v>4170</v>
      </c>
    </row>
    <row r="260" spans="1:4" x14ac:dyDescent="0.25">
      <c r="A260" t="s">
        <v>9590</v>
      </c>
      <c r="D260" s="2" t="s">
        <v>6136</v>
      </c>
    </row>
    <row r="261" spans="1:4" x14ac:dyDescent="0.25">
      <c r="A261" t="s">
        <v>9590</v>
      </c>
      <c r="D261" s="2" t="s">
        <v>750</v>
      </c>
    </row>
    <row r="262" spans="1:4" x14ac:dyDescent="0.25">
      <c r="A262" t="s">
        <v>9590</v>
      </c>
      <c r="D262" s="2" t="s">
        <v>6293</v>
      </c>
    </row>
    <row r="263" spans="1:4" x14ac:dyDescent="0.25">
      <c r="A263" t="s">
        <v>9590</v>
      </c>
      <c r="D263" s="2" t="s">
        <v>6121</v>
      </c>
    </row>
    <row r="264" spans="1:4" x14ac:dyDescent="0.25">
      <c r="A264" t="s">
        <v>9590</v>
      </c>
      <c r="D264" s="2" t="s">
        <v>8476</v>
      </c>
    </row>
    <row r="265" spans="1:4" x14ac:dyDescent="0.25">
      <c r="A265" t="s">
        <v>9590</v>
      </c>
      <c r="D265" s="2" t="s">
        <v>2843</v>
      </c>
    </row>
    <row r="266" spans="1:4" x14ac:dyDescent="0.25">
      <c r="A266" t="s">
        <v>9598</v>
      </c>
      <c r="D266" s="2" t="s">
        <v>4263</v>
      </c>
    </row>
    <row r="267" spans="1:4" x14ac:dyDescent="0.25">
      <c r="A267" t="s">
        <v>9601</v>
      </c>
      <c r="D267" s="2" t="s">
        <v>5874</v>
      </c>
    </row>
    <row r="268" spans="1:4" x14ac:dyDescent="0.25">
      <c r="A268" t="s">
        <v>9604</v>
      </c>
      <c r="D268" s="2" t="s">
        <v>399</v>
      </c>
    </row>
    <row r="269" spans="1:4" x14ac:dyDescent="0.25">
      <c r="A269" t="s">
        <v>9604</v>
      </c>
      <c r="D269" s="2" t="s">
        <v>7444</v>
      </c>
    </row>
    <row r="270" spans="1:4" x14ac:dyDescent="0.25">
      <c r="A270" t="s">
        <v>9604</v>
      </c>
      <c r="D270" s="2" t="s">
        <v>9545</v>
      </c>
    </row>
    <row r="271" spans="1:4" x14ac:dyDescent="0.25">
      <c r="A271" t="s">
        <v>9608</v>
      </c>
      <c r="D271" s="2" t="s">
        <v>3815</v>
      </c>
    </row>
    <row r="272" spans="1:4" x14ac:dyDescent="0.25">
      <c r="A272" t="s">
        <v>9611</v>
      </c>
      <c r="D272" s="2" t="s">
        <v>8242</v>
      </c>
    </row>
    <row r="273" spans="1:4" x14ac:dyDescent="0.25">
      <c r="A273" t="s">
        <v>9614</v>
      </c>
      <c r="D273" s="2" t="s">
        <v>10105</v>
      </c>
    </row>
    <row r="274" spans="1:4" x14ac:dyDescent="0.25">
      <c r="A274" t="s">
        <v>9617</v>
      </c>
      <c r="D274" s="2" t="s">
        <v>504</v>
      </c>
    </row>
    <row r="275" spans="1:4" x14ac:dyDescent="0.25">
      <c r="A275" t="s">
        <v>4669</v>
      </c>
      <c r="D275" s="2" t="s">
        <v>6411</v>
      </c>
    </row>
    <row r="276" spans="1:4" x14ac:dyDescent="0.25">
      <c r="A276" t="s">
        <v>4669</v>
      </c>
      <c r="D276" s="2" t="s">
        <v>6426</v>
      </c>
    </row>
    <row r="277" spans="1:4" x14ac:dyDescent="0.25">
      <c r="A277" t="s">
        <v>4669</v>
      </c>
      <c r="D277" s="2" t="s">
        <v>2196</v>
      </c>
    </row>
    <row r="278" spans="1:4" x14ac:dyDescent="0.25">
      <c r="A278" t="s">
        <v>9652</v>
      </c>
      <c r="D278" s="2" t="s">
        <v>33</v>
      </c>
    </row>
    <row r="279" spans="1:4" x14ac:dyDescent="0.25">
      <c r="A279" t="s">
        <v>9652</v>
      </c>
      <c r="D279" s="2" t="s">
        <v>8156</v>
      </c>
    </row>
    <row r="280" spans="1:4" x14ac:dyDescent="0.25">
      <c r="A280" t="s">
        <v>9659</v>
      </c>
      <c r="D280" s="2" t="s">
        <v>6772</v>
      </c>
    </row>
    <row r="281" spans="1:4" x14ac:dyDescent="0.25">
      <c r="A281" t="s">
        <v>306</v>
      </c>
      <c r="D281" s="2" t="s">
        <v>3205</v>
      </c>
    </row>
    <row r="282" spans="1:4" x14ac:dyDescent="0.25">
      <c r="A282" t="s">
        <v>310</v>
      </c>
      <c r="D282" s="2" t="s">
        <v>6630</v>
      </c>
    </row>
    <row r="283" spans="1:4" x14ac:dyDescent="0.25">
      <c r="A283" t="s">
        <v>165</v>
      </c>
      <c r="D283" s="2" t="s">
        <v>9519</v>
      </c>
    </row>
    <row r="284" spans="1:4" x14ac:dyDescent="0.25">
      <c r="A284" t="s">
        <v>4784</v>
      </c>
      <c r="D284" s="2" t="s">
        <v>2173</v>
      </c>
    </row>
    <row r="285" spans="1:4" x14ac:dyDescent="0.25">
      <c r="A285" t="s">
        <v>4789</v>
      </c>
      <c r="D285" s="2" t="s">
        <v>6386</v>
      </c>
    </row>
    <row r="286" spans="1:4" x14ac:dyDescent="0.25">
      <c r="A286" t="s">
        <v>9556</v>
      </c>
      <c r="D286" s="2" t="s">
        <v>10210</v>
      </c>
    </row>
    <row r="287" spans="1:4" x14ac:dyDescent="0.25">
      <c r="A287" t="s">
        <v>9560</v>
      </c>
      <c r="D287" s="2" t="s">
        <v>10148</v>
      </c>
    </row>
    <row r="288" spans="1:4" x14ac:dyDescent="0.25">
      <c r="A288" t="s">
        <v>9563</v>
      </c>
      <c r="D288" s="2" t="s">
        <v>2624</v>
      </c>
    </row>
    <row r="289" spans="1:4" x14ac:dyDescent="0.25">
      <c r="A289" t="s">
        <v>9566</v>
      </c>
      <c r="D289" s="2" t="s">
        <v>1854</v>
      </c>
    </row>
    <row r="290" spans="1:4" x14ac:dyDescent="0.25">
      <c r="A290" t="s">
        <v>9535</v>
      </c>
      <c r="D290" s="2" t="s">
        <v>9244</v>
      </c>
    </row>
    <row r="291" spans="1:4" x14ac:dyDescent="0.25">
      <c r="A291" t="s">
        <v>9670</v>
      </c>
      <c r="D291" s="2" t="s">
        <v>10017</v>
      </c>
    </row>
    <row r="292" spans="1:4" x14ac:dyDescent="0.25">
      <c r="A292" t="s">
        <v>9620</v>
      </c>
      <c r="D292" s="2" t="s">
        <v>8023</v>
      </c>
    </row>
    <row r="293" spans="1:4" x14ac:dyDescent="0.25">
      <c r="A293" t="s">
        <v>9333</v>
      </c>
      <c r="D293" s="2" t="s">
        <v>8041</v>
      </c>
    </row>
    <row r="294" spans="1:4" x14ac:dyDescent="0.25">
      <c r="A294" t="s">
        <v>2012</v>
      </c>
      <c r="D294" s="2" t="s">
        <v>9037</v>
      </c>
    </row>
    <row r="295" spans="1:4" x14ac:dyDescent="0.25">
      <c r="A295" t="s">
        <v>2012</v>
      </c>
      <c r="D295" s="2" t="s">
        <v>4073</v>
      </c>
    </row>
    <row r="296" spans="1:4" x14ac:dyDescent="0.25">
      <c r="A296" t="s">
        <v>2016</v>
      </c>
      <c r="D296" s="2" t="s">
        <v>4014</v>
      </c>
    </row>
    <row r="297" spans="1:4" x14ac:dyDescent="0.25">
      <c r="A297" t="s">
        <v>2052</v>
      </c>
      <c r="D297" s="2" t="s">
        <v>8276</v>
      </c>
    </row>
    <row r="298" spans="1:4" x14ac:dyDescent="0.25">
      <c r="A298" t="s">
        <v>2019</v>
      </c>
      <c r="D298" s="2" t="s">
        <v>5431</v>
      </c>
    </row>
    <row r="299" spans="1:4" x14ac:dyDescent="0.25">
      <c r="A299" t="s">
        <v>2022</v>
      </c>
      <c r="D299" s="2" t="s">
        <v>4751</v>
      </c>
    </row>
    <row r="300" spans="1:4" x14ac:dyDescent="0.25">
      <c r="A300" t="s">
        <v>2022</v>
      </c>
      <c r="D300" s="2" t="s">
        <v>5864</v>
      </c>
    </row>
    <row r="301" spans="1:4" x14ac:dyDescent="0.25">
      <c r="A301" t="s">
        <v>9337</v>
      </c>
      <c r="D301" s="2" t="s">
        <v>2281</v>
      </c>
    </row>
    <row r="302" spans="1:4" x14ac:dyDescent="0.25">
      <c r="A302" t="s">
        <v>9340</v>
      </c>
      <c r="D302" s="2" t="s">
        <v>1264</v>
      </c>
    </row>
    <row r="303" spans="1:4" x14ac:dyDescent="0.25">
      <c r="A303" t="s">
        <v>9646</v>
      </c>
      <c r="D303" s="2" t="s">
        <v>9767</v>
      </c>
    </row>
    <row r="304" spans="1:4" x14ac:dyDescent="0.25">
      <c r="A304" t="s">
        <v>9626</v>
      </c>
      <c r="D304" s="2" t="s">
        <v>10012</v>
      </c>
    </row>
    <row r="305" spans="1:4" x14ac:dyDescent="0.25">
      <c r="A305" t="s">
        <v>9630</v>
      </c>
      <c r="D305" s="2" t="s">
        <v>7223</v>
      </c>
    </row>
    <row r="306" spans="1:4" x14ac:dyDescent="0.25">
      <c r="A306" t="s">
        <v>9513</v>
      </c>
      <c r="D306" s="2" t="s">
        <v>8576</v>
      </c>
    </row>
    <row r="307" spans="1:4" x14ac:dyDescent="0.25">
      <c r="A307" t="s">
        <v>9577</v>
      </c>
      <c r="D307" s="2" t="s">
        <v>6496</v>
      </c>
    </row>
    <row r="308" spans="1:4" x14ac:dyDescent="0.25">
      <c r="A308" t="s">
        <v>9577</v>
      </c>
      <c r="D308" s="2" t="s">
        <v>1628</v>
      </c>
    </row>
    <row r="309" spans="1:4" x14ac:dyDescent="0.25">
      <c r="A309" t="s">
        <v>9577</v>
      </c>
      <c r="D309" s="2" t="s">
        <v>9208</v>
      </c>
    </row>
    <row r="310" spans="1:4" x14ac:dyDescent="0.25">
      <c r="A310" t="s">
        <v>9550</v>
      </c>
      <c r="D310" s="2" t="s">
        <v>1336</v>
      </c>
    </row>
    <row r="311" spans="1:4" x14ac:dyDescent="0.25">
      <c r="A311" t="s">
        <v>8310</v>
      </c>
      <c r="D311" s="2" t="s">
        <v>9305</v>
      </c>
    </row>
    <row r="312" spans="1:4" x14ac:dyDescent="0.25">
      <c r="A312" t="s">
        <v>8310</v>
      </c>
      <c r="D312" s="2" t="s">
        <v>9365</v>
      </c>
    </row>
    <row r="313" spans="1:4" x14ac:dyDescent="0.25">
      <c r="A313" t="s">
        <v>8310</v>
      </c>
      <c r="D313" s="2" t="s">
        <v>10069</v>
      </c>
    </row>
    <row r="314" spans="1:4" x14ac:dyDescent="0.25">
      <c r="A314" t="s">
        <v>9545</v>
      </c>
      <c r="D314" s="2" t="s">
        <v>2972</v>
      </c>
    </row>
    <row r="315" spans="1:4" x14ac:dyDescent="0.25">
      <c r="A315" t="s">
        <v>9571</v>
      </c>
      <c r="D315" s="2" t="s">
        <v>9652</v>
      </c>
    </row>
    <row r="316" spans="1:4" x14ac:dyDescent="0.25">
      <c r="A316" t="s">
        <v>3919</v>
      </c>
      <c r="D316" s="2" t="s">
        <v>5507</v>
      </c>
    </row>
    <row r="317" spans="1:4" x14ac:dyDescent="0.25">
      <c r="A317" t="s">
        <v>3919</v>
      </c>
      <c r="D317" s="2" t="s">
        <v>441</v>
      </c>
    </row>
    <row r="318" spans="1:4" x14ac:dyDescent="0.25">
      <c r="A318" t="s">
        <v>3919</v>
      </c>
      <c r="D318" s="2" t="s">
        <v>330</v>
      </c>
    </row>
    <row r="319" spans="1:4" x14ac:dyDescent="0.25">
      <c r="A319" t="s">
        <v>3919</v>
      </c>
      <c r="D319" s="2" t="s">
        <v>8367</v>
      </c>
    </row>
    <row r="320" spans="1:4" x14ac:dyDescent="0.25">
      <c r="A320" t="s">
        <v>3919</v>
      </c>
      <c r="D320" s="2" t="s">
        <v>5209</v>
      </c>
    </row>
    <row r="321" spans="1:4" x14ac:dyDescent="0.25">
      <c r="A321" t="s">
        <v>9424</v>
      </c>
      <c r="D321" s="2" t="s">
        <v>1520</v>
      </c>
    </row>
    <row r="322" spans="1:4" x14ac:dyDescent="0.25">
      <c r="A322" t="s">
        <v>9428</v>
      </c>
      <c r="D322" s="2" t="s">
        <v>1162</v>
      </c>
    </row>
    <row r="323" spans="1:4" x14ac:dyDescent="0.25">
      <c r="A323" t="s">
        <v>318</v>
      </c>
      <c r="D323" s="2" t="s">
        <v>6216</v>
      </c>
    </row>
    <row r="324" spans="1:4" x14ac:dyDescent="0.25">
      <c r="A324" t="s">
        <v>9431</v>
      </c>
      <c r="D324" s="2" t="s">
        <v>5833</v>
      </c>
    </row>
    <row r="325" spans="1:4" x14ac:dyDescent="0.25">
      <c r="A325" t="s">
        <v>9436</v>
      </c>
      <c r="D325" s="2" t="s">
        <v>8516</v>
      </c>
    </row>
    <row r="326" spans="1:4" x14ac:dyDescent="0.25">
      <c r="A326" t="s">
        <v>9440</v>
      </c>
      <c r="D326" s="2" t="s">
        <v>8329</v>
      </c>
    </row>
    <row r="327" spans="1:4" x14ac:dyDescent="0.25">
      <c r="A327" t="s">
        <v>9443</v>
      </c>
      <c r="D327" s="2" t="s">
        <v>4368</v>
      </c>
    </row>
    <row r="328" spans="1:4" x14ac:dyDescent="0.25">
      <c r="A328" t="s">
        <v>9478</v>
      </c>
      <c r="D328" s="2" t="s">
        <v>8283</v>
      </c>
    </row>
    <row r="329" spans="1:4" x14ac:dyDescent="0.25">
      <c r="A329" t="s">
        <v>9485</v>
      </c>
      <c r="D329" s="2" t="s">
        <v>5732</v>
      </c>
    </row>
    <row r="330" spans="1:4" x14ac:dyDescent="0.25">
      <c r="A330" t="s">
        <v>9489</v>
      </c>
      <c r="D330" s="2" t="s">
        <v>7466</v>
      </c>
    </row>
    <row r="331" spans="1:4" x14ac:dyDescent="0.25">
      <c r="A331" t="s">
        <v>9493</v>
      </c>
      <c r="D331" s="2" t="s">
        <v>4920</v>
      </c>
    </row>
    <row r="332" spans="1:4" x14ac:dyDescent="0.25">
      <c r="A332" t="s">
        <v>9496</v>
      </c>
      <c r="D332" s="2" t="s">
        <v>6794</v>
      </c>
    </row>
    <row r="333" spans="1:4" x14ac:dyDescent="0.25">
      <c r="A333" t="s">
        <v>9465</v>
      </c>
      <c r="D333" s="2" t="s">
        <v>6046</v>
      </c>
    </row>
    <row r="334" spans="1:4" x14ac:dyDescent="0.25">
      <c r="A334" t="s">
        <v>9408</v>
      </c>
      <c r="D334" s="2" t="s">
        <v>2505</v>
      </c>
    </row>
    <row r="335" spans="1:4" x14ac:dyDescent="0.25">
      <c r="A335" t="s">
        <v>9420</v>
      </c>
      <c r="D335" s="2" t="s">
        <v>2159</v>
      </c>
    </row>
    <row r="336" spans="1:4" x14ac:dyDescent="0.25">
      <c r="A336" t="s">
        <v>9471</v>
      </c>
      <c r="D336" s="2" t="s">
        <v>2700</v>
      </c>
    </row>
    <row r="337" spans="1:4" x14ac:dyDescent="0.25">
      <c r="A337" t="s">
        <v>5239</v>
      </c>
      <c r="D337" s="2" t="s">
        <v>3151</v>
      </c>
    </row>
    <row r="338" spans="1:4" x14ac:dyDescent="0.25">
      <c r="A338" t="s">
        <v>9448</v>
      </c>
      <c r="D338" s="2" t="s">
        <v>3124</v>
      </c>
    </row>
    <row r="339" spans="1:4" x14ac:dyDescent="0.25">
      <c r="A339" t="s">
        <v>9448</v>
      </c>
      <c r="D339" s="2" t="s">
        <v>3120</v>
      </c>
    </row>
    <row r="340" spans="1:4" x14ac:dyDescent="0.25">
      <c r="A340" t="s">
        <v>9448</v>
      </c>
      <c r="D340" s="2" t="s">
        <v>9354</v>
      </c>
    </row>
    <row r="341" spans="1:4" x14ac:dyDescent="0.25">
      <c r="A341" t="s">
        <v>9453</v>
      </c>
      <c r="D341" s="2" t="s">
        <v>3356</v>
      </c>
    </row>
    <row r="342" spans="1:4" x14ac:dyDescent="0.25">
      <c r="A342" t="s">
        <v>9453</v>
      </c>
      <c r="D342" s="2" t="s">
        <v>6867</v>
      </c>
    </row>
    <row r="343" spans="1:4" x14ac:dyDescent="0.25">
      <c r="A343" t="s">
        <v>9453</v>
      </c>
      <c r="D343" s="2" t="s">
        <v>7050</v>
      </c>
    </row>
    <row r="344" spans="1:4" x14ac:dyDescent="0.25">
      <c r="A344" t="s">
        <v>9457</v>
      </c>
      <c r="D344" s="2" t="s">
        <v>7189</v>
      </c>
    </row>
    <row r="345" spans="1:4" x14ac:dyDescent="0.25">
      <c r="A345" t="s">
        <v>9457</v>
      </c>
      <c r="D345" s="2" t="s">
        <v>9379</v>
      </c>
    </row>
    <row r="346" spans="1:4" x14ac:dyDescent="0.25">
      <c r="A346" t="s">
        <v>9457</v>
      </c>
      <c r="D346" s="2" t="s">
        <v>7315</v>
      </c>
    </row>
    <row r="347" spans="1:4" x14ac:dyDescent="0.25">
      <c r="A347" t="s">
        <v>9460</v>
      </c>
      <c r="D347" s="2" t="s">
        <v>8050</v>
      </c>
    </row>
    <row r="348" spans="1:4" x14ac:dyDescent="0.25">
      <c r="A348" t="s">
        <v>9460</v>
      </c>
      <c r="D348" s="2" t="s">
        <v>527</v>
      </c>
    </row>
    <row r="349" spans="1:4" x14ac:dyDescent="0.25">
      <c r="A349" t="s">
        <v>9460</v>
      </c>
      <c r="D349" s="2" t="s">
        <v>7901</v>
      </c>
    </row>
    <row r="350" spans="1:4" x14ac:dyDescent="0.25">
      <c r="A350" t="s">
        <v>9361</v>
      </c>
      <c r="D350" s="2" t="s">
        <v>7328</v>
      </c>
    </row>
    <row r="351" spans="1:4" x14ac:dyDescent="0.25">
      <c r="A351" t="s">
        <v>9365</v>
      </c>
      <c r="D351" s="2" t="s">
        <v>6651</v>
      </c>
    </row>
    <row r="352" spans="1:4" x14ac:dyDescent="0.25">
      <c r="A352" t="s">
        <v>9387</v>
      </c>
      <c r="D352" s="2" t="s">
        <v>9577</v>
      </c>
    </row>
    <row r="353" spans="1:4" x14ac:dyDescent="0.25">
      <c r="A353" t="s">
        <v>9343</v>
      </c>
      <c r="D353" s="2" t="s">
        <v>9917</v>
      </c>
    </row>
    <row r="354" spans="1:4" x14ac:dyDescent="0.25">
      <c r="A354" t="s">
        <v>9347</v>
      </c>
      <c r="D354" s="2" t="s">
        <v>5380</v>
      </c>
    </row>
    <row r="355" spans="1:4" x14ac:dyDescent="0.25">
      <c r="A355" t="s">
        <v>300</v>
      </c>
      <c r="D355" s="2" t="s">
        <v>8361</v>
      </c>
    </row>
    <row r="356" spans="1:4" x14ac:dyDescent="0.25">
      <c r="A356" t="s">
        <v>9191</v>
      </c>
      <c r="D356" s="2" t="s">
        <v>6375</v>
      </c>
    </row>
    <row r="357" spans="1:4" x14ac:dyDescent="0.25">
      <c r="A357" t="s">
        <v>1251</v>
      </c>
      <c r="D357" s="2" t="s">
        <v>5374</v>
      </c>
    </row>
    <row r="358" spans="1:4" x14ac:dyDescent="0.25">
      <c r="A358" t="s">
        <v>1251</v>
      </c>
      <c r="D358" s="2" t="s">
        <v>9015</v>
      </c>
    </row>
    <row r="359" spans="1:4" x14ac:dyDescent="0.25">
      <c r="A359" t="s">
        <v>1251</v>
      </c>
      <c r="D359" s="2" t="s">
        <v>6201</v>
      </c>
    </row>
    <row r="360" spans="1:4" x14ac:dyDescent="0.25">
      <c r="A360" t="s">
        <v>1257</v>
      </c>
      <c r="D360" s="2" t="s">
        <v>3978</v>
      </c>
    </row>
    <row r="361" spans="1:4" x14ac:dyDescent="0.25">
      <c r="A361" t="s">
        <v>1257</v>
      </c>
      <c r="D361" s="2" t="s">
        <v>8166</v>
      </c>
    </row>
    <row r="362" spans="1:4" x14ac:dyDescent="0.25">
      <c r="A362" t="s">
        <v>9326</v>
      </c>
      <c r="D362" s="2" t="s">
        <v>5755</v>
      </c>
    </row>
    <row r="363" spans="1:4" x14ac:dyDescent="0.25">
      <c r="A363" t="s">
        <v>9330</v>
      </c>
      <c r="D363" s="2" t="s">
        <v>9113</v>
      </c>
    </row>
    <row r="364" spans="1:4" x14ac:dyDescent="0.25">
      <c r="A364" t="s">
        <v>9333</v>
      </c>
      <c r="D364" s="2" t="s">
        <v>4650</v>
      </c>
    </row>
    <row r="365" spans="1:4" x14ac:dyDescent="0.25">
      <c r="A365" t="s">
        <v>2012</v>
      </c>
      <c r="D365" s="2" t="s">
        <v>3919</v>
      </c>
    </row>
    <row r="366" spans="1:4" x14ac:dyDescent="0.25">
      <c r="A366" t="s">
        <v>2012</v>
      </c>
      <c r="D366" s="2" t="s">
        <v>8893</v>
      </c>
    </row>
    <row r="367" spans="1:4" x14ac:dyDescent="0.25">
      <c r="A367" t="s">
        <v>2016</v>
      </c>
      <c r="D367" s="2" t="s">
        <v>157</v>
      </c>
    </row>
    <row r="368" spans="1:4" x14ac:dyDescent="0.25">
      <c r="A368" t="s">
        <v>2052</v>
      </c>
      <c r="D368" s="2" t="s">
        <v>9805</v>
      </c>
    </row>
    <row r="369" spans="1:4" x14ac:dyDescent="0.25">
      <c r="A369" t="s">
        <v>2019</v>
      </c>
      <c r="D369" s="2" t="s">
        <v>7356</v>
      </c>
    </row>
    <row r="370" spans="1:4" x14ac:dyDescent="0.25">
      <c r="A370" t="s">
        <v>2022</v>
      </c>
      <c r="D370" s="2" t="s">
        <v>8016</v>
      </c>
    </row>
    <row r="371" spans="1:4" x14ac:dyDescent="0.25">
      <c r="A371" t="s">
        <v>2022</v>
      </c>
      <c r="D371" s="2" t="s">
        <v>9124</v>
      </c>
    </row>
    <row r="372" spans="1:4" x14ac:dyDescent="0.25">
      <c r="A372" t="s">
        <v>9337</v>
      </c>
      <c r="D372" s="2" t="s">
        <v>5612</v>
      </c>
    </row>
    <row r="373" spans="1:4" x14ac:dyDescent="0.25">
      <c r="A373" t="s">
        <v>9340</v>
      </c>
      <c r="D373" s="2" t="s">
        <v>1763</v>
      </c>
    </row>
    <row r="374" spans="1:4" x14ac:dyDescent="0.25">
      <c r="A374" t="s">
        <v>1312</v>
      </c>
      <c r="D374" s="2" t="s">
        <v>8236</v>
      </c>
    </row>
    <row r="375" spans="1:4" x14ac:dyDescent="0.25">
      <c r="A375" t="s">
        <v>1342</v>
      </c>
      <c r="D375" s="2" t="s">
        <v>9055</v>
      </c>
    </row>
    <row r="376" spans="1:4" x14ac:dyDescent="0.25">
      <c r="A376" t="s">
        <v>444</v>
      </c>
      <c r="D376" s="2" t="s">
        <v>9750</v>
      </c>
    </row>
    <row r="377" spans="1:4" x14ac:dyDescent="0.25">
      <c r="A377" t="s">
        <v>444</v>
      </c>
      <c r="D377" s="2" t="s">
        <v>8932</v>
      </c>
    </row>
    <row r="378" spans="1:4" x14ac:dyDescent="0.25">
      <c r="A378" t="s">
        <v>9396</v>
      </c>
      <c r="D378" s="2" t="s">
        <v>5789</v>
      </c>
    </row>
    <row r="379" spans="1:4" x14ac:dyDescent="0.25">
      <c r="A379" t="s">
        <v>9399</v>
      </c>
      <c r="D379" s="2" t="s">
        <v>8344</v>
      </c>
    </row>
    <row r="380" spans="1:4" x14ac:dyDescent="0.25">
      <c r="A380" t="s">
        <v>9402</v>
      </c>
      <c r="D380" s="2" t="s">
        <v>1709</v>
      </c>
    </row>
    <row r="381" spans="1:4" x14ac:dyDescent="0.25">
      <c r="A381" t="s">
        <v>8879</v>
      </c>
      <c r="D381" s="2" t="s">
        <v>4295</v>
      </c>
    </row>
    <row r="382" spans="1:4" x14ac:dyDescent="0.25">
      <c r="A382" t="s">
        <v>9414</v>
      </c>
      <c r="D382" s="2" t="s">
        <v>9012</v>
      </c>
    </row>
    <row r="383" spans="1:4" x14ac:dyDescent="0.25">
      <c r="A383" t="s">
        <v>9166</v>
      </c>
      <c r="D383" s="2" t="s">
        <v>10176</v>
      </c>
    </row>
    <row r="384" spans="1:4" x14ac:dyDescent="0.25">
      <c r="A384" t="s">
        <v>570</v>
      </c>
      <c r="D384" s="2" t="s">
        <v>5704</v>
      </c>
    </row>
    <row r="385" spans="1:4" x14ac:dyDescent="0.25">
      <c r="A385" t="s">
        <v>575</v>
      </c>
      <c r="D385" s="2" t="s">
        <v>2183</v>
      </c>
    </row>
    <row r="386" spans="1:4" x14ac:dyDescent="0.25">
      <c r="A386" t="s">
        <v>575</v>
      </c>
      <c r="D386" s="2" t="s">
        <v>9102</v>
      </c>
    </row>
    <row r="387" spans="1:4" x14ac:dyDescent="0.25">
      <c r="A387" t="s">
        <v>575</v>
      </c>
      <c r="D387" s="2" t="s">
        <v>7750</v>
      </c>
    </row>
    <row r="388" spans="1:4" x14ac:dyDescent="0.25">
      <c r="A388" t="s">
        <v>575</v>
      </c>
      <c r="D388" s="2" t="s">
        <v>5976</v>
      </c>
    </row>
    <row r="389" spans="1:4" x14ac:dyDescent="0.25">
      <c r="A389" t="s">
        <v>9351</v>
      </c>
      <c r="D389" s="2" t="s">
        <v>9247</v>
      </c>
    </row>
    <row r="390" spans="1:4" x14ac:dyDescent="0.25">
      <c r="A390" t="s">
        <v>9354</v>
      </c>
      <c r="D390" s="2" t="s">
        <v>4905</v>
      </c>
    </row>
    <row r="391" spans="1:4" x14ac:dyDescent="0.25">
      <c r="A391" t="s">
        <v>9357</v>
      </c>
      <c r="D391" s="2" t="s">
        <v>4964</v>
      </c>
    </row>
    <row r="392" spans="1:4" x14ac:dyDescent="0.25">
      <c r="A392" t="s">
        <v>659</v>
      </c>
      <c r="D392" s="2" t="s">
        <v>6091</v>
      </c>
    </row>
    <row r="393" spans="1:4" x14ac:dyDescent="0.25">
      <c r="A393" t="s">
        <v>581</v>
      </c>
      <c r="D393" s="2" t="s">
        <v>9266</v>
      </c>
    </row>
    <row r="394" spans="1:4" x14ac:dyDescent="0.25">
      <c r="A394" t="s">
        <v>9109</v>
      </c>
      <c r="D394" s="2" t="s">
        <v>9375</v>
      </c>
    </row>
    <row r="395" spans="1:4" x14ac:dyDescent="0.25">
      <c r="A395" t="s">
        <v>9113</v>
      </c>
      <c r="D395" s="2" t="s">
        <v>9198</v>
      </c>
    </row>
    <row r="396" spans="1:4" x14ac:dyDescent="0.25">
      <c r="A396" t="s">
        <v>6148</v>
      </c>
      <c r="D396" s="2" t="s">
        <v>1257</v>
      </c>
    </row>
    <row r="397" spans="1:4" x14ac:dyDescent="0.25">
      <c r="A397" t="s">
        <v>6148</v>
      </c>
      <c r="D397" s="2" t="s">
        <v>4596</v>
      </c>
    </row>
    <row r="398" spans="1:4" x14ac:dyDescent="0.25">
      <c r="A398" t="s">
        <v>9061</v>
      </c>
      <c r="D398" s="2" t="s">
        <v>9361</v>
      </c>
    </row>
    <row r="399" spans="1:4" x14ac:dyDescent="0.25">
      <c r="A399" t="s">
        <v>9065</v>
      </c>
      <c r="D399" s="2" t="s">
        <v>3543</v>
      </c>
    </row>
    <row r="400" spans="1:4" x14ac:dyDescent="0.25">
      <c r="A400" t="s">
        <v>9118</v>
      </c>
      <c r="D400" s="2" t="s">
        <v>4214</v>
      </c>
    </row>
    <row r="401" spans="1:4" x14ac:dyDescent="0.25">
      <c r="A401" t="s">
        <v>9121</v>
      </c>
      <c r="D401" s="2" t="s">
        <v>4127</v>
      </c>
    </row>
    <row r="402" spans="1:4" x14ac:dyDescent="0.25">
      <c r="A402" t="s">
        <v>9124</v>
      </c>
      <c r="D402" s="2" t="s">
        <v>8382</v>
      </c>
    </row>
    <row r="403" spans="1:4" x14ac:dyDescent="0.25">
      <c r="A403" t="s">
        <v>9129</v>
      </c>
      <c r="D403" s="2" t="s">
        <v>6355</v>
      </c>
    </row>
    <row r="404" spans="1:4" x14ac:dyDescent="0.25">
      <c r="A404" t="s">
        <v>1877</v>
      </c>
      <c r="D404" s="2" t="s">
        <v>6077</v>
      </c>
    </row>
    <row r="405" spans="1:4" x14ac:dyDescent="0.25">
      <c r="A405" t="s">
        <v>1877</v>
      </c>
      <c r="D405" s="2" t="s">
        <v>5425</v>
      </c>
    </row>
    <row r="406" spans="1:4" x14ac:dyDescent="0.25">
      <c r="A406" t="s">
        <v>1877</v>
      </c>
      <c r="D406" s="2" t="s">
        <v>4732</v>
      </c>
    </row>
    <row r="407" spans="1:4" x14ac:dyDescent="0.25">
      <c r="A407" t="s">
        <v>1877</v>
      </c>
      <c r="D407" s="2" t="s">
        <v>9889</v>
      </c>
    </row>
    <row r="408" spans="1:4" x14ac:dyDescent="0.25">
      <c r="A408" t="s">
        <v>1877</v>
      </c>
      <c r="D408" s="2" t="s">
        <v>2641</v>
      </c>
    </row>
    <row r="409" spans="1:4" x14ac:dyDescent="0.25">
      <c r="A409" t="s">
        <v>1877</v>
      </c>
      <c r="D409" s="2" t="s">
        <v>10164</v>
      </c>
    </row>
    <row r="410" spans="1:4" x14ac:dyDescent="0.25">
      <c r="A410" t="s">
        <v>1877</v>
      </c>
      <c r="D410" s="2" t="s">
        <v>3646</v>
      </c>
    </row>
    <row r="411" spans="1:4" x14ac:dyDescent="0.25">
      <c r="A411" t="s">
        <v>1877</v>
      </c>
      <c r="D411" s="2" t="s">
        <v>4425</v>
      </c>
    </row>
    <row r="412" spans="1:4" x14ac:dyDescent="0.25">
      <c r="A412" t="s">
        <v>1877</v>
      </c>
      <c r="D412" s="2" t="s">
        <v>3795</v>
      </c>
    </row>
    <row r="413" spans="1:4" x14ac:dyDescent="0.25">
      <c r="A413" t="s">
        <v>1877</v>
      </c>
      <c r="D413" s="2" t="s">
        <v>1717</v>
      </c>
    </row>
    <row r="414" spans="1:4" x14ac:dyDescent="0.25">
      <c r="A414" t="s">
        <v>1842</v>
      </c>
      <c r="D414" s="2" t="s">
        <v>10189</v>
      </c>
    </row>
    <row r="415" spans="1:4" x14ac:dyDescent="0.25">
      <c r="A415" t="s">
        <v>1871</v>
      </c>
      <c r="D415" s="2" t="s">
        <v>5765</v>
      </c>
    </row>
    <row r="416" spans="1:4" x14ac:dyDescent="0.25">
      <c r="A416" t="s">
        <v>1871</v>
      </c>
      <c r="D416" s="2" t="s">
        <v>8008</v>
      </c>
    </row>
    <row r="417" spans="1:4" x14ac:dyDescent="0.25">
      <c r="A417" t="s">
        <v>9198</v>
      </c>
      <c r="D417" s="2" t="s">
        <v>3628</v>
      </c>
    </row>
    <row r="418" spans="1:4" x14ac:dyDescent="0.25">
      <c r="A418" t="s">
        <v>9368</v>
      </c>
      <c r="D418" s="2" t="s">
        <v>10135</v>
      </c>
    </row>
    <row r="419" spans="1:4" x14ac:dyDescent="0.25">
      <c r="A419" t="s">
        <v>3072</v>
      </c>
      <c r="D419" s="2" t="s">
        <v>9566</v>
      </c>
    </row>
    <row r="420" spans="1:4" x14ac:dyDescent="0.25">
      <c r="A420" t="s">
        <v>3209</v>
      </c>
      <c r="D420" s="2" t="s">
        <v>9563</v>
      </c>
    </row>
    <row r="421" spans="1:4" x14ac:dyDescent="0.25">
      <c r="A421" t="s">
        <v>3108</v>
      </c>
      <c r="D421" s="2" t="s">
        <v>9556</v>
      </c>
    </row>
    <row r="422" spans="1:4" x14ac:dyDescent="0.25">
      <c r="A422" t="s">
        <v>3112</v>
      </c>
      <c r="D422" s="2" t="s">
        <v>4528</v>
      </c>
    </row>
    <row r="423" spans="1:4" x14ac:dyDescent="0.25">
      <c r="A423" t="s">
        <v>9288</v>
      </c>
      <c r="D423" s="2" t="s">
        <v>5343</v>
      </c>
    </row>
    <row r="424" spans="1:4" x14ac:dyDescent="0.25">
      <c r="A424" t="s">
        <v>9291</v>
      </c>
      <c r="D424" s="2" t="s">
        <v>6008</v>
      </c>
    </row>
    <row r="425" spans="1:4" x14ac:dyDescent="0.25">
      <c r="A425" t="s">
        <v>3120</v>
      </c>
      <c r="D425" s="2" t="s">
        <v>9065</v>
      </c>
    </row>
    <row r="426" spans="1:4" x14ac:dyDescent="0.25">
      <c r="A426" t="s">
        <v>3132</v>
      </c>
      <c r="D426" s="2" t="s">
        <v>8179</v>
      </c>
    </row>
    <row r="427" spans="1:4" x14ac:dyDescent="0.25">
      <c r="A427" t="s">
        <v>3216</v>
      </c>
      <c r="D427" s="2" t="s">
        <v>5356</v>
      </c>
    </row>
    <row r="428" spans="1:4" x14ac:dyDescent="0.25">
      <c r="A428" t="s">
        <v>3139</v>
      </c>
      <c r="D428" s="2" t="s">
        <v>6473</v>
      </c>
    </row>
    <row r="429" spans="1:4" x14ac:dyDescent="0.25">
      <c r="A429" t="s">
        <v>9297</v>
      </c>
      <c r="D429" s="2" t="s">
        <v>1109</v>
      </c>
    </row>
    <row r="430" spans="1:4" x14ac:dyDescent="0.25">
      <c r="A430" t="s">
        <v>3151</v>
      </c>
      <c r="D430" s="2" t="s">
        <v>3676</v>
      </c>
    </row>
    <row r="431" spans="1:4" x14ac:dyDescent="0.25">
      <c r="A431" t="s">
        <v>3151</v>
      </c>
      <c r="D431" s="2" t="s">
        <v>3682</v>
      </c>
    </row>
    <row r="432" spans="1:4" x14ac:dyDescent="0.25">
      <c r="A432" t="s">
        <v>9300</v>
      </c>
      <c r="D432" s="2" t="s">
        <v>8248</v>
      </c>
    </row>
    <row r="433" spans="1:4" x14ac:dyDescent="0.25">
      <c r="A433" t="s">
        <v>9055</v>
      </c>
      <c r="D433" s="2" t="s">
        <v>8390</v>
      </c>
    </row>
    <row r="434" spans="1:4" x14ac:dyDescent="0.25">
      <c r="A434" t="s">
        <v>3461</v>
      </c>
      <c r="D434" s="2" t="s">
        <v>6305</v>
      </c>
    </row>
    <row r="435" spans="1:4" x14ac:dyDescent="0.25">
      <c r="A435" t="s">
        <v>9309</v>
      </c>
      <c r="D435" s="2" t="s">
        <v>6313</v>
      </c>
    </row>
    <row r="436" spans="1:4" x14ac:dyDescent="0.25">
      <c r="A436" t="s">
        <v>3491</v>
      </c>
      <c r="D436" s="2" t="s">
        <v>9428</v>
      </c>
    </row>
    <row r="437" spans="1:4" x14ac:dyDescent="0.25">
      <c r="A437" t="s">
        <v>9312</v>
      </c>
      <c r="D437" s="2" t="s">
        <v>318</v>
      </c>
    </row>
    <row r="438" spans="1:4" x14ac:dyDescent="0.25">
      <c r="A438" t="s">
        <v>704</v>
      </c>
      <c r="D438" s="2" t="s">
        <v>381</v>
      </c>
    </row>
    <row r="439" spans="1:4" x14ac:dyDescent="0.25">
      <c r="A439" t="s">
        <v>704</v>
      </c>
      <c r="D439" s="2" t="s">
        <v>9921</v>
      </c>
    </row>
    <row r="440" spans="1:4" x14ac:dyDescent="0.25">
      <c r="A440" t="s">
        <v>708</v>
      </c>
      <c r="D440" s="2" t="s">
        <v>9440</v>
      </c>
    </row>
    <row r="441" spans="1:4" x14ac:dyDescent="0.25">
      <c r="A441" t="s">
        <v>9372</v>
      </c>
      <c r="D441" s="2" t="s">
        <v>7181</v>
      </c>
    </row>
    <row r="442" spans="1:4" x14ac:dyDescent="0.25">
      <c r="A442" t="s">
        <v>9375</v>
      </c>
      <c r="D442" s="2" t="s">
        <v>7194</v>
      </c>
    </row>
    <row r="443" spans="1:4" x14ac:dyDescent="0.25">
      <c r="A443" t="s">
        <v>768</v>
      </c>
      <c r="D443" s="2" t="s">
        <v>9690</v>
      </c>
    </row>
    <row r="444" spans="1:4" x14ac:dyDescent="0.25">
      <c r="A444" t="s">
        <v>9379</v>
      </c>
      <c r="D444" s="2" t="s">
        <v>9687</v>
      </c>
    </row>
    <row r="445" spans="1:4" x14ac:dyDescent="0.25">
      <c r="A445" t="s">
        <v>828</v>
      </c>
      <c r="D445" s="2" t="s">
        <v>5444</v>
      </c>
    </row>
    <row r="446" spans="1:4" x14ac:dyDescent="0.25">
      <c r="A446" t="s">
        <v>3526</v>
      </c>
      <c r="D446" s="2" t="s">
        <v>4765</v>
      </c>
    </row>
    <row r="447" spans="1:4" x14ac:dyDescent="0.25">
      <c r="A447" t="s">
        <v>3526</v>
      </c>
      <c r="D447" s="2" t="s">
        <v>9886</v>
      </c>
    </row>
    <row r="448" spans="1:4" x14ac:dyDescent="0.25">
      <c r="A448" t="s">
        <v>9076</v>
      </c>
      <c r="D448" s="2" t="s">
        <v>2167</v>
      </c>
    </row>
    <row r="449" spans="1:4" x14ac:dyDescent="0.25">
      <c r="A449" t="s">
        <v>9076</v>
      </c>
      <c r="D449" s="2" t="s">
        <v>2579</v>
      </c>
    </row>
    <row r="450" spans="1:4" x14ac:dyDescent="0.25">
      <c r="A450" t="s">
        <v>9076</v>
      </c>
      <c r="D450" s="2" t="s">
        <v>759</v>
      </c>
    </row>
    <row r="451" spans="1:4" x14ac:dyDescent="0.25">
      <c r="A451" t="s">
        <v>9082</v>
      </c>
      <c r="D451" s="2" t="s">
        <v>828</v>
      </c>
    </row>
    <row r="452" spans="1:4" x14ac:dyDescent="0.25">
      <c r="A452" t="s">
        <v>9085</v>
      </c>
      <c r="D452" s="2" t="s">
        <v>9085</v>
      </c>
    </row>
    <row r="453" spans="1:4" x14ac:dyDescent="0.25">
      <c r="A453" t="s">
        <v>9085</v>
      </c>
      <c r="D453" s="2" t="s">
        <v>1909</v>
      </c>
    </row>
    <row r="454" spans="1:4" x14ac:dyDescent="0.25">
      <c r="A454" t="s">
        <v>9085</v>
      </c>
      <c r="D454" s="2" t="s">
        <v>79</v>
      </c>
    </row>
    <row r="455" spans="1:4" x14ac:dyDescent="0.25">
      <c r="A455" t="s">
        <v>9090</v>
      </c>
      <c r="D455" s="2" t="s">
        <v>3407</v>
      </c>
    </row>
    <row r="456" spans="1:4" x14ac:dyDescent="0.25">
      <c r="A456" t="s">
        <v>9093</v>
      </c>
      <c r="D456" s="2" t="s">
        <v>1739</v>
      </c>
    </row>
    <row r="457" spans="1:4" x14ac:dyDescent="0.25">
      <c r="A457" t="s">
        <v>9096</v>
      </c>
      <c r="D457" s="2" t="s">
        <v>5698</v>
      </c>
    </row>
    <row r="458" spans="1:4" x14ac:dyDescent="0.25">
      <c r="A458" t="s">
        <v>9099</v>
      </c>
      <c r="D458" s="2" t="s">
        <v>5692</v>
      </c>
    </row>
    <row r="459" spans="1:4" x14ac:dyDescent="0.25">
      <c r="A459" t="s">
        <v>9102</v>
      </c>
      <c r="D459" s="2" t="s">
        <v>6919</v>
      </c>
    </row>
    <row r="460" spans="1:4" x14ac:dyDescent="0.25">
      <c r="A460" t="s">
        <v>9102</v>
      </c>
      <c r="D460" s="2" t="s">
        <v>4188</v>
      </c>
    </row>
    <row r="461" spans="1:4" x14ac:dyDescent="0.25">
      <c r="A461" t="s">
        <v>9102</v>
      </c>
      <c r="D461" s="2" t="s">
        <v>4206</v>
      </c>
    </row>
    <row r="462" spans="1:4" x14ac:dyDescent="0.25">
      <c r="A462" t="s">
        <v>9162</v>
      </c>
      <c r="D462" s="2" t="s">
        <v>9598</v>
      </c>
    </row>
    <row r="463" spans="1:4" x14ac:dyDescent="0.25">
      <c r="A463" t="s">
        <v>9205</v>
      </c>
      <c r="D463" s="2" t="s">
        <v>4664</v>
      </c>
    </row>
    <row r="464" spans="1:4" x14ac:dyDescent="0.25">
      <c r="A464" t="s">
        <v>2124</v>
      </c>
      <c r="D464" s="2" t="s">
        <v>9867</v>
      </c>
    </row>
    <row r="465" spans="1:4" x14ac:dyDescent="0.25">
      <c r="A465" t="s">
        <v>9208</v>
      </c>
      <c r="D465" s="2" t="s">
        <v>2293</v>
      </c>
    </row>
    <row r="466" spans="1:4" x14ac:dyDescent="0.25">
      <c r="A466" t="s">
        <v>2238</v>
      </c>
      <c r="D466" s="2" t="s">
        <v>10076</v>
      </c>
    </row>
    <row r="467" spans="1:4" x14ac:dyDescent="0.25">
      <c r="A467" t="s">
        <v>2127</v>
      </c>
      <c r="D467" s="2" t="s">
        <v>847</v>
      </c>
    </row>
    <row r="468" spans="1:4" x14ac:dyDescent="0.25">
      <c r="A468" t="s">
        <v>9212</v>
      </c>
      <c r="D468" s="2" t="s">
        <v>3272</v>
      </c>
    </row>
    <row r="469" spans="1:4" x14ac:dyDescent="0.25">
      <c r="A469" t="s">
        <v>9214</v>
      </c>
      <c r="D469" s="2" t="s">
        <v>1333</v>
      </c>
    </row>
    <row r="470" spans="1:4" x14ac:dyDescent="0.25">
      <c r="A470" t="s">
        <v>2133</v>
      </c>
      <c r="D470" s="2" t="s">
        <v>3051</v>
      </c>
    </row>
    <row r="471" spans="1:4" x14ac:dyDescent="0.25">
      <c r="A471" t="s">
        <v>9216</v>
      </c>
      <c r="D471" s="2" t="s">
        <v>3281</v>
      </c>
    </row>
    <row r="472" spans="1:4" x14ac:dyDescent="0.25">
      <c r="A472" t="s">
        <v>2136</v>
      </c>
      <c r="D472" s="2" t="s">
        <v>2383</v>
      </c>
    </row>
    <row r="473" spans="1:4" x14ac:dyDescent="0.25">
      <c r="A473" t="s">
        <v>2326</v>
      </c>
      <c r="D473" s="2" t="s">
        <v>2059</v>
      </c>
    </row>
    <row r="474" spans="1:4" x14ac:dyDescent="0.25">
      <c r="A474" t="s">
        <v>2139</v>
      </c>
      <c r="D474" s="2" t="s">
        <v>2379</v>
      </c>
    </row>
    <row r="475" spans="1:4" x14ac:dyDescent="0.25">
      <c r="A475" t="s">
        <v>2142</v>
      </c>
      <c r="D475" s="2" t="s">
        <v>9205</v>
      </c>
    </row>
    <row r="476" spans="1:4" x14ac:dyDescent="0.25">
      <c r="A476" t="s">
        <v>2142</v>
      </c>
      <c r="D476" s="2" t="s">
        <v>1223</v>
      </c>
    </row>
    <row r="477" spans="1:4" x14ac:dyDescent="0.25">
      <c r="A477" t="s">
        <v>2436</v>
      </c>
      <c r="D477" s="2" t="s">
        <v>3377</v>
      </c>
    </row>
    <row r="478" spans="1:4" x14ac:dyDescent="0.25">
      <c r="A478" t="s">
        <v>2440</v>
      </c>
      <c r="D478" s="2" t="s">
        <v>2254</v>
      </c>
    </row>
    <row r="479" spans="1:4" x14ac:dyDescent="0.25">
      <c r="A479" t="s">
        <v>2446</v>
      </c>
      <c r="D479" s="2" t="s">
        <v>1191</v>
      </c>
    </row>
    <row r="480" spans="1:4" x14ac:dyDescent="0.25">
      <c r="A480" t="s">
        <v>2146</v>
      </c>
      <c r="D480" s="2" t="s">
        <v>9093</v>
      </c>
    </row>
    <row r="481" spans="1:4" x14ac:dyDescent="0.25">
      <c r="A481" t="s">
        <v>2146</v>
      </c>
      <c r="D481" s="2" t="s">
        <v>9256</v>
      </c>
    </row>
    <row r="482" spans="1:4" x14ac:dyDescent="0.25">
      <c r="A482" t="s">
        <v>9223</v>
      </c>
      <c r="D482" s="2" t="s">
        <v>3263</v>
      </c>
    </row>
    <row r="483" spans="1:4" x14ac:dyDescent="0.25">
      <c r="A483" t="s">
        <v>2150</v>
      </c>
      <c r="D483" s="2" t="s">
        <v>2729</v>
      </c>
    </row>
    <row r="484" spans="1:4" x14ac:dyDescent="0.25">
      <c r="A484" t="s">
        <v>2498</v>
      </c>
      <c r="D484" s="2" t="s">
        <v>3347</v>
      </c>
    </row>
    <row r="485" spans="1:4" x14ac:dyDescent="0.25">
      <c r="A485" t="s">
        <v>2153</v>
      </c>
      <c r="D485" s="2" t="s">
        <v>3344</v>
      </c>
    </row>
    <row r="486" spans="1:4" x14ac:dyDescent="0.25">
      <c r="A486" t="s">
        <v>2153</v>
      </c>
      <c r="D486" s="2" t="s">
        <v>3419</v>
      </c>
    </row>
    <row r="487" spans="1:4" x14ac:dyDescent="0.25">
      <c r="A487" t="s">
        <v>2153</v>
      </c>
      <c r="D487" s="2" t="s">
        <v>3437</v>
      </c>
    </row>
    <row r="488" spans="1:4" x14ac:dyDescent="0.25">
      <c r="A488" t="s">
        <v>2153</v>
      </c>
      <c r="D488" s="2" t="s">
        <v>3380</v>
      </c>
    </row>
    <row r="489" spans="1:4" x14ac:dyDescent="0.25">
      <c r="A489" t="s">
        <v>2542</v>
      </c>
      <c r="D489" s="2" t="s">
        <v>2202</v>
      </c>
    </row>
    <row r="490" spans="1:4" x14ac:dyDescent="0.25">
      <c r="A490" t="s">
        <v>2159</v>
      </c>
      <c r="D490" s="2" t="s">
        <v>2575</v>
      </c>
    </row>
    <row r="491" spans="1:4" x14ac:dyDescent="0.25">
      <c r="A491" t="s">
        <v>2159</v>
      </c>
      <c r="D491" s="2" t="s">
        <v>2193</v>
      </c>
    </row>
    <row r="492" spans="1:4" x14ac:dyDescent="0.25">
      <c r="A492" t="s">
        <v>2159</v>
      </c>
      <c r="D492" s="2" t="s">
        <v>5757</v>
      </c>
    </row>
    <row r="493" spans="1:4" x14ac:dyDescent="0.25">
      <c r="A493" t="s">
        <v>2164</v>
      </c>
      <c r="D493" s="2" t="s">
        <v>8664</v>
      </c>
    </row>
    <row r="494" spans="1:4" x14ac:dyDescent="0.25">
      <c r="A494" t="s">
        <v>9228</v>
      </c>
      <c r="D494" s="2" t="s">
        <v>8747</v>
      </c>
    </row>
    <row r="495" spans="1:4" x14ac:dyDescent="0.25">
      <c r="A495" t="s">
        <v>2167</v>
      </c>
      <c r="D495" s="2" t="s">
        <v>6982</v>
      </c>
    </row>
    <row r="496" spans="1:4" x14ac:dyDescent="0.25">
      <c r="A496" t="s">
        <v>2552</v>
      </c>
      <c r="D496" s="2" t="s">
        <v>5719</v>
      </c>
    </row>
    <row r="497" spans="1:4" x14ac:dyDescent="0.25">
      <c r="A497" t="s">
        <v>2170</v>
      </c>
      <c r="D497" s="2" t="s">
        <v>8600</v>
      </c>
    </row>
    <row r="498" spans="1:4" x14ac:dyDescent="0.25">
      <c r="A498" t="s">
        <v>9232</v>
      </c>
      <c r="D498" s="2" t="s">
        <v>9460</v>
      </c>
    </row>
    <row r="499" spans="1:4" x14ac:dyDescent="0.25">
      <c r="A499" t="s">
        <v>2173</v>
      </c>
      <c r="D499" s="2" t="s">
        <v>7665</v>
      </c>
    </row>
    <row r="500" spans="1:4" x14ac:dyDescent="0.25">
      <c r="A500" t="s">
        <v>2173</v>
      </c>
      <c r="D500" s="2" t="s">
        <v>7200</v>
      </c>
    </row>
    <row r="501" spans="1:4" x14ac:dyDescent="0.25">
      <c r="A501" t="s">
        <v>9235</v>
      </c>
      <c r="D501" s="2" t="s">
        <v>8761</v>
      </c>
    </row>
    <row r="502" spans="1:4" x14ac:dyDescent="0.25">
      <c r="A502" t="s">
        <v>9235</v>
      </c>
      <c r="D502" s="2" t="s">
        <v>4947</v>
      </c>
    </row>
    <row r="503" spans="1:4" x14ac:dyDescent="0.25">
      <c r="A503" t="s">
        <v>2605</v>
      </c>
      <c r="D503" s="2" t="s">
        <v>5879</v>
      </c>
    </row>
    <row r="504" spans="1:4" x14ac:dyDescent="0.25">
      <c r="A504" t="s">
        <v>2177</v>
      </c>
      <c r="D504" s="2" t="s">
        <v>2929</v>
      </c>
    </row>
    <row r="505" spans="1:4" x14ac:dyDescent="0.25">
      <c r="A505" t="s">
        <v>2180</v>
      </c>
      <c r="D505" s="2" t="s">
        <v>696</v>
      </c>
    </row>
    <row r="506" spans="1:4" x14ac:dyDescent="0.25">
      <c r="A506" t="s">
        <v>2183</v>
      </c>
      <c r="D506" s="2" t="s">
        <v>9216</v>
      </c>
    </row>
    <row r="507" spans="1:4" x14ac:dyDescent="0.25">
      <c r="A507" t="s">
        <v>2183</v>
      </c>
      <c r="D507" s="2" t="s">
        <v>2334</v>
      </c>
    </row>
    <row r="508" spans="1:4" x14ac:dyDescent="0.25">
      <c r="A508" t="s">
        <v>2183</v>
      </c>
      <c r="D508" s="2" t="s">
        <v>1473</v>
      </c>
    </row>
    <row r="509" spans="1:4" x14ac:dyDescent="0.25">
      <c r="A509" t="s">
        <v>2183</v>
      </c>
      <c r="D509" s="2" t="s">
        <v>7397</v>
      </c>
    </row>
    <row r="510" spans="1:4" x14ac:dyDescent="0.25">
      <c r="A510" t="s">
        <v>2657</v>
      </c>
      <c r="D510" s="2" t="s">
        <v>7470</v>
      </c>
    </row>
    <row r="511" spans="1:4" x14ac:dyDescent="0.25">
      <c r="A511" t="s">
        <v>2189</v>
      </c>
      <c r="D511" s="2" t="s">
        <v>9617</v>
      </c>
    </row>
    <row r="512" spans="1:4" x14ac:dyDescent="0.25">
      <c r="A512" t="s">
        <v>2189</v>
      </c>
      <c r="D512" s="2" t="s">
        <v>2446</v>
      </c>
    </row>
    <row r="513" spans="1:4" x14ac:dyDescent="0.25">
      <c r="A513" t="s">
        <v>9241</v>
      </c>
      <c r="D513" s="2" t="s">
        <v>7074</v>
      </c>
    </row>
    <row r="514" spans="1:4" x14ac:dyDescent="0.25">
      <c r="A514" t="s">
        <v>2193</v>
      </c>
      <c r="D514" s="2" t="s">
        <v>10273</v>
      </c>
    </row>
    <row r="515" spans="1:4" x14ac:dyDescent="0.25">
      <c r="A515" t="s">
        <v>2196</v>
      </c>
      <c r="D515" s="2" t="s">
        <v>7142</v>
      </c>
    </row>
    <row r="516" spans="1:4" x14ac:dyDescent="0.25">
      <c r="A516" t="s">
        <v>2199</v>
      </c>
      <c r="D516" s="2" t="s">
        <v>7351</v>
      </c>
    </row>
    <row r="517" spans="1:4" x14ac:dyDescent="0.25">
      <c r="A517" t="s">
        <v>9244</v>
      </c>
      <c r="D517" s="2" t="s">
        <v>7334</v>
      </c>
    </row>
    <row r="518" spans="1:4" x14ac:dyDescent="0.25">
      <c r="A518" t="s">
        <v>9247</v>
      </c>
      <c r="D518" s="2" t="s">
        <v>4800</v>
      </c>
    </row>
    <row r="519" spans="1:4" x14ac:dyDescent="0.25">
      <c r="A519" t="s">
        <v>9250</v>
      </c>
      <c r="D519" s="2" t="s">
        <v>10009</v>
      </c>
    </row>
    <row r="520" spans="1:4" x14ac:dyDescent="0.25">
      <c r="A520" t="s">
        <v>9253</v>
      </c>
      <c r="D520" s="2" t="s">
        <v>7646</v>
      </c>
    </row>
    <row r="521" spans="1:4" x14ac:dyDescent="0.25">
      <c r="A521" t="s">
        <v>9256</v>
      </c>
      <c r="D521" s="2" t="s">
        <v>7669</v>
      </c>
    </row>
    <row r="522" spans="1:4" x14ac:dyDescent="0.25">
      <c r="A522" t="s">
        <v>9259</v>
      </c>
      <c r="D522" s="2" t="s">
        <v>7607</v>
      </c>
    </row>
    <row r="523" spans="1:4" x14ac:dyDescent="0.25">
      <c r="A523" t="s">
        <v>9259</v>
      </c>
      <c r="D523" s="2" t="s">
        <v>7896</v>
      </c>
    </row>
    <row r="524" spans="1:4" x14ac:dyDescent="0.25">
      <c r="A524" t="s">
        <v>9263</v>
      </c>
      <c r="D524" s="2" t="s">
        <v>7454</v>
      </c>
    </row>
    <row r="525" spans="1:4" x14ac:dyDescent="0.25">
      <c r="A525" t="s">
        <v>9266</v>
      </c>
      <c r="D525" s="2" t="s">
        <v>7702</v>
      </c>
    </row>
    <row r="526" spans="1:4" x14ac:dyDescent="0.25">
      <c r="A526" t="s">
        <v>9269</v>
      </c>
      <c r="D526" s="2" t="s">
        <v>7256</v>
      </c>
    </row>
    <row r="527" spans="1:4" x14ac:dyDescent="0.25">
      <c r="A527" t="s">
        <v>9269</v>
      </c>
      <c r="D527" s="2" t="s">
        <v>7873</v>
      </c>
    </row>
    <row r="528" spans="1:4" x14ac:dyDescent="0.25">
      <c r="A528" t="s">
        <v>2913</v>
      </c>
      <c r="D528" s="2" t="s">
        <v>10183</v>
      </c>
    </row>
    <row r="529" spans="1:4" x14ac:dyDescent="0.25">
      <c r="A529" t="s">
        <v>2202</v>
      </c>
      <c r="D529" s="2" t="s">
        <v>8535</v>
      </c>
    </row>
    <row r="530" spans="1:4" x14ac:dyDescent="0.25">
      <c r="A530" t="s">
        <v>2202</v>
      </c>
      <c r="D530" s="2" t="s">
        <v>8594</v>
      </c>
    </row>
    <row r="531" spans="1:4" x14ac:dyDescent="0.25">
      <c r="A531" t="s">
        <v>9274</v>
      </c>
      <c r="D531" s="2" t="s">
        <v>8473</v>
      </c>
    </row>
    <row r="532" spans="1:4" x14ac:dyDescent="0.25">
      <c r="A532" t="s">
        <v>2962</v>
      </c>
      <c r="D532" s="2" t="s">
        <v>10196</v>
      </c>
    </row>
    <row r="533" spans="1:4" x14ac:dyDescent="0.25">
      <c r="A533" t="s">
        <v>2962</v>
      </c>
      <c r="D533" s="2" t="s">
        <v>6128</v>
      </c>
    </row>
    <row r="534" spans="1:4" x14ac:dyDescent="0.25">
      <c r="A534" t="s">
        <v>2962</v>
      </c>
      <c r="D534" s="2" t="s">
        <v>6141</v>
      </c>
    </row>
    <row r="535" spans="1:4" x14ac:dyDescent="0.25">
      <c r="A535" t="s">
        <v>9280</v>
      </c>
      <c r="D535" s="2" t="s">
        <v>8026</v>
      </c>
    </row>
    <row r="536" spans="1:4" x14ac:dyDescent="0.25">
      <c r="A536" t="s">
        <v>2206</v>
      </c>
      <c r="D536" s="2" t="s">
        <v>9185</v>
      </c>
    </row>
    <row r="537" spans="1:4" x14ac:dyDescent="0.25">
      <c r="A537" t="s">
        <v>9283</v>
      </c>
      <c r="D537" s="2" t="s">
        <v>9070</v>
      </c>
    </row>
    <row r="538" spans="1:4" x14ac:dyDescent="0.25">
      <c r="A538" t="s">
        <v>2209</v>
      </c>
      <c r="D538" s="2" t="s">
        <v>953</v>
      </c>
    </row>
    <row r="539" spans="1:4" x14ac:dyDescent="0.25">
      <c r="A539" t="s">
        <v>2209</v>
      </c>
      <c r="D539" s="2" t="s">
        <v>1367</v>
      </c>
    </row>
    <row r="540" spans="1:4" x14ac:dyDescent="0.25">
      <c r="A540" t="s">
        <v>2209</v>
      </c>
      <c r="D540" s="2" t="s">
        <v>856</v>
      </c>
    </row>
    <row r="541" spans="1:4" x14ac:dyDescent="0.25">
      <c r="A541" t="s">
        <v>2209</v>
      </c>
      <c r="D541" s="2" t="s">
        <v>107</v>
      </c>
    </row>
    <row r="542" spans="1:4" x14ac:dyDescent="0.25">
      <c r="A542" t="s">
        <v>3251</v>
      </c>
      <c r="D542" s="2" t="s">
        <v>969</v>
      </c>
    </row>
    <row r="543" spans="1:4" x14ac:dyDescent="0.25">
      <c r="A543" t="s">
        <v>3311</v>
      </c>
      <c r="D543" s="2" t="s">
        <v>4452</v>
      </c>
    </row>
    <row r="544" spans="1:4" x14ac:dyDescent="0.25">
      <c r="A544" t="s">
        <v>9317</v>
      </c>
      <c r="D544" s="2" t="s">
        <v>4917</v>
      </c>
    </row>
    <row r="545" spans="1:4" x14ac:dyDescent="0.25">
      <c r="A545" t="s">
        <v>9317</v>
      </c>
      <c r="D545" s="2" t="s">
        <v>6064</v>
      </c>
    </row>
    <row r="546" spans="1:4" x14ac:dyDescent="0.25">
      <c r="A546" t="s">
        <v>9321</v>
      </c>
      <c r="D546" s="2" t="s">
        <v>6741</v>
      </c>
    </row>
    <row r="547" spans="1:4" x14ac:dyDescent="0.25">
      <c r="A547" t="s">
        <v>9172</v>
      </c>
      <c r="D547" s="2" t="s">
        <v>5606</v>
      </c>
    </row>
    <row r="548" spans="1:4" x14ac:dyDescent="0.25">
      <c r="A548" t="s">
        <v>9176</v>
      </c>
      <c r="D548" s="2" t="s">
        <v>3858</v>
      </c>
    </row>
    <row r="549" spans="1:4" x14ac:dyDescent="0.25">
      <c r="A549" t="s">
        <v>9179</v>
      </c>
      <c r="D549" s="2" t="s">
        <v>6527</v>
      </c>
    </row>
    <row r="550" spans="1:4" x14ac:dyDescent="0.25">
      <c r="A550" t="s">
        <v>9179</v>
      </c>
      <c r="D550" s="2" t="s">
        <v>6573</v>
      </c>
    </row>
    <row r="551" spans="1:4" x14ac:dyDescent="0.25">
      <c r="A551" t="s">
        <v>9201</v>
      </c>
      <c r="D551" s="2" t="s">
        <v>5069</v>
      </c>
    </row>
    <row r="552" spans="1:4" x14ac:dyDescent="0.25">
      <c r="A552" t="s">
        <v>2105</v>
      </c>
      <c r="D552" s="2" t="s">
        <v>1733</v>
      </c>
    </row>
    <row r="553" spans="1:4" x14ac:dyDescent="0.25">
      <c r="A553" t="s">
        <v>9305</v>
      </c>
      <c r="D553" s="2" t="s">
        <v>4312</v>
      </c>
    </row>
    <row r="554" spans="1:4" x14ac:dyDescent="0.25">
      <c r="A554" t="s">
        <v>3569</v>
      </c>
      <c r="D554" s="2" t="s">
        <v>1688</v>
      </c>
    </row>
    <row r="555" spans="1:4" x14ac:dyDescent="0.25">
      <c r="A555" t="s">
        <v>3569</v>
      </c>
      <c r="D555" s="2" t="s">
        <v>5579</v>
      </c>
    </row>
    <row r="556" spans="1:4" x14ac:dyDescent="0.25">
      <c r="A556" t="s">
        <v>8975</v>
      </c>
      <c r="D556" s="2" t="s">
        <v>3711</v>
      </c>
    </row>
    <row r="557" spans="1:4" x14ac:dyDescent="0.25">
      <c r="A557" t="s">
        <v>8975</v>
      </c>
      <c r="D557" s="2" t="s">
        <v>3889</v>
      </c>
    </row>
    <row r="558" spans="1:4" x14ac:dyDescent="0.25">
      <c r="A558" t="s">
        <v>8975</v>
      </c>
      <c r="D558" s="2" t="s">
        <v>5557</v>
      </c>
    </row>
    <row r="559" spans="1:4" x14ac:dyDescent="0.25">
      <c r="A559" t="s">
        <v>3676</v>
      </c>
      <c r="D559" s="2" t="s">
        <v>4821</v>
      </c>
    </row>
    <row r="560" spans="1:4" x14ac:dyDescent="0.25">
      <c r="A560" t="s">
        <v>3676</v>
      </c>
      <c r="D560" s="2" t="s">
        <v>8379</v>
      </c>
    </row>
    <row r="561" spans="1:4" x14ac:dyDescent="0.25">
      <c r="A561" t="s">
        <v>3676</v>
      </c>
      <c r="D561" s="2" t="s">
        <v>8373</v>
      </c>
    </row>
    <row r="562" spans="1:4" x14ac:dyDescent="0.25">
      <c r="A562" t="s">
        <v>3676</v>
      </c>
      <c r="D562" s="2" t="s">
        <v>9157</v>
      </c>
    </row>
    <row r="563" spans="1:4" x14ac:dyDescent="0.25">
      <c r="A563" t="s">
        <v>3676</v>
      </c>
      <c r="D563" s="2" t="s">
        <v>8229</v>
      </c>
    </row>
    <row r="564" spans="1:4" x14ac:dyDescent="0.25">
      <c r="A564" t="s">
        <v>3682</v>
      </c>
      <c r="D564" s="2" t="s">
        <v>8219</v>
      </c>
    </row>
    <row r="565" spans="1:4" x14ac:dyDescent="0.25">
      <c r="A565" t="s">
        <v>3682</v>
      </c>
      <c r="D565" s="2" t="s">
        <v>8356</v>
      </c>
    </row>
    <row r="566" spans="1:4" x14ac:dyDescent="0.25">
      <c r="A566" t="s">
        <v>3682</v>
      </c>
      <c r="D566" s="2" t="s">
        <v>6341</v>
      </c>
    </row>
    <row r="567" spans="1:4" x14ac:dyDescent="0.25">
      <c r="A567" t="s">
        <v>3682</v>
      </c>
      <c r="D567" s="2" t="s">
        <v>6812</v>
      </c>
    </row>
    <row r="568" spans="1:4" x14ac:dyDescent="0.25">
      <c r="A568" t="s">
        <v>3682</v>
      </c>
      <c r="D568" s="2" t="s">
        <v>1097</v>
      </c>
    </row>
    <row r="569" spans="1:4" x14ac:dyDescent="0.25">
      <c r="A569" t="s">
        <v>9000</v>
      </c>
      <c r="D569" s="2" t="s">
        <v>1092</v>
      </c>
    </row>
    <row r="570" spans="1:4" x14ac:dyDescent="0.25">
      <c r="A570" t="s">
        <v>9000</v>
      </c>
      <c r="D570" s="2" t="s">
        <v>3</v>
      </c>
    </row>
    <row r="571" spans="1:4" x14ac:dyDescent="0.25">
      <c r="A571" t="s">
        <v>9000</v>
      </c>
      <c r="D571" s="2" t="s">
        <v>8887</v>
      </c>
    </row>
    <row r="572" spans="1:4" x14ac:dyDescent="0.25">
      <c r="A572" t="s">
        <v>9000</v>
      </c>
      <c r="D572" s="2" t="s">
        <v>3616</v>
      </c>
    </row>
    <row r="573" spans="1:4" x14ac:dyDescent="0.25">
      <c r="A573" t="s">
        <v>9000</v>
      </c>
      <c r="D573" s="2" t="s">
        <v>3603</v>
      </c>
    </row>
    <row r="574" spans="1:4" x14ac:dyDescent="0.25">
      <c r="A574" t="s">
        <v>9006</v>
      </c>
      <c r="D574" s="2" t="s">
        <v>4727</v>
      </c>
    </row>
    <row r="575" spans="1:4" x14ac:dyDescent="0.25">
      <c r="A575" t="s">
        <v>9006</v>
      </c>
      <c r="D575" s="2" t="s">
        <v>6543</v>
      </c>
    </row>
    <row r="576" spans="1:4" x14ac:dyDescent="0.25">
      <c r="A576" t="s">
        <v>3694</v>
      </c>
      <c r="D576" s="2" t="s">
        <v>6221</v>
      </c>
    </row>
    <row r="577" spans="1:4" x14ac:dyDescent="0.25">
      <c r="A577" t="s">
        <v>3694</v>
      </c>
      <c r="D577" s="2" t="s">
        <v>5306</v>
      </c>
    </row>
    <row r="578" spans="1:4" x14ac:dyDescent="0.25">
      <c r="A578" t="s">
        <v>3694</v>
      </c>
      <c r="D578" s="2" t="s">
        <v>5239</v>
      </c>
    </row>
    <row r="579" spans="1:4" x14ac:dyDescent="0.25">
      <c r="A579" t="s">
        <v>9012</v>
      </c>
      <c r="D579" s="2" t="s">
        <v>5884</v>
      </c>
    </row>
    <row r="580" spans="1:4" x14ac:dyDescent="0.25">
      <c r="A580" t="s">
        <v>9015</v>
      </c>
      <c r="D580" s="2" t="s">
        <v>2542</v>
      </c>
    </row>
    <row r="581" spans="1:4" x14ac:dyDescent="0.25">
      <c r="A581" t="s">
        <v>3700</v>
      </c>
      <c r="D581" s="2" t="s">
        <v>2669</v>
      </c>
    </row>
    <row r="582" spans="1:4" x14ac:dyDescent="0.25">
      <c r="A582" t="s">
        <v>3700</v>
      </c>
      <c r="D582" s="2" t="s">
        <v>2124</v>
      </c>
    </row>
    <row r="583" spans="1:4" x14ac:dyDescent="0.25">
      <c r="A583" t="s">
        <v>3700</v>
      </c>
      <c r="D583" s="2" t="s">
        <v>2238</v>
      </c>
    </row>
    <row r="584" spans="1:4" x14ac:dyDescent="0.25">
      <c r="A584" t="s">
        <v>3700</v>
      </c>
      <c r="D584" s="2" t="s">
        <v>716</v>
      </c>
    </row>
    <row r="585" spans="1:4" x14ac:dyDescent="0.25">
      <c r="A585" t="s">
        <v>3700</v>
      </c>
      <c r="D585" s="2" t="s">
        <v>603</v>
      </c>
    </row>
    <row r="586" spans="1:4" x14ac:dyDescent="0.25">
      <c r="A586" t="s">
        <v>9023</v>
      </c>
      <c r="D586" s="2" t="s">
        <v>2029</v>
      </c>
    </row>
    <row r="587" spans="1:4" x14ac:dyDescent="0.25">
      <c r="A587" t="s">
        <v>9157</v>
      </c>
      <c r="D587" s="2" t="s">
        <v>3305</v>
      </c>
    </row>
    <row r="588" spans="1:4" x14ac:dyDescent="0.25">
      <c r="A588" t="s">
        <v>9185</v>
      </c>
      <c r="D588" s="2" t="s">
        <v>3251</v>
      </c>
    </row>
    <row r="589" spans="1:4" x14ac:dyDescent="0.25">
      <c r="A589" t="s">
        <v>836</v>
      </c>
      <c r="D589" s="2" t="s">
        <v>3526</v>
      </c>
    </row>
    <row r="590" spans="1:4" x14ac:dyDescent="0.25">
      <c r="A590" t="s">
        <v>839</v>
      </c>
      <c r="D590" s="2" t="s">
        <v>5140</v>
      </c>
    </row>
    <row r="591" spans="1:4" x14ac:dyDescent="0.25">
      <c r="A591" t="s">
        <v>9151</v>
      </c>
      <c r="D591" s="2" t="s">
        <v>5666</v>
      </c>
    </row>
    <row r="592" spans="1:4" x14ac:dyDescent="0.25">
      <c r="A592" t="s">
        <v>33</v>
      </c>
      <c r="D592" s="2" t="s">
        <v>5364</v>
      </c>
    </row>
    <row r="593" spans="1:4" x14ac:dyDescent="0.25">
      <c r="A593" t="s">
        <v>9147</v>
      </c>
      <c r="D593" s="2" t="s">
        <v>912</v>
      </c>
    </row>
    <row r="594" spans="1:4" x14ac:dyDescent="0.25">
      <c r="A594" t="s">
        <v>1205</v>
      </c>
      <c r="D594" s="2" t="s">
        <v>1507</v>
      </c>
    </row>
    <row r="595" spans="1:4" x14ac:dyDescent="0.25">
      <c r="A595" t="s">
        <v>8424</v>
      </c>
      <c r="D595" s="2" t="s">
        <v>3359</v>
      </c>
    </row>
    <row r="596" spans="1:4" x14ac:dyDescent="0.25">
      <c r="A596" t="s">
        <v>8428</v>
      </c>
      <c r="D596" s="2" t="s">
        <v>2367</v>
      </c>
    </row>
    <row r="597" spans="1:4" x14ac:dyDescent="0.25">
      <c r="A597" t="s">
        <v>8433</v>
      </c>
      <c r="D597" s="2" t="s">
        <v>9312</v>
      </c>
    </row>
    <row r="598" spans="1:4" x14ac:dyDescent="0.25">
      <c r="A598" t="s">
        <v>8436</v>
      </c>
      <c r="D598" s="2" t="s">
        <v>2440</v>
      </c>
    </row>
    <row r="599" spans="1:4" x14ac:dyDescent="0.25">
      <c r="A599" t="s">
        <v>8439</v>
      </c>
      <c r="D599" s="2" t="s">
        <v>7643</v>
      </c>
    </row>
    <row r="600" spans="1:4" x14ac:dyDescent="0.25">
      <c r="A600" t="s">
        <v>8442</v>
      </c>
      <c r="D600" s="2" t="s">
        <v>9821</v>
      </c>
    </row>
    <row r="601" spans="1:4" x14ac:dyDescent="0.25">
      <c r="A601" t="s">
        <v>8448</v>
      </c>
      <c r="D601" s="2" t="s">
        <v>9829</v>
      </c>
    </row>
    <row r="602" spans="1:4" x14ac:dyDescent="0.25">
      <c r="A602" t="s">
        <v>8453</v>
      </c>
      <c r="D602" s="2" t="s">
        <v>9241</v>
      </c>
    </row>
    <row r="603" spans="1:4" x14ac:dyDescent="0.25">
      <c r="A603" t="s">
        <v>8458</v>
      </c>
      <c r="D603" s="2" t="s">
        <v>2209</v>
      </c>
    </row>
    <row r="604" spans="1:4" x14ac:dyDescent="0.25">
      <c r="A604" t="s">
        <v>8458</v>
      </c>
      <c r="D604" s="2" t="s">
        <v>1241</v>
      </c>
    </row>
    <row r="605" spans="1:4" x14ac:dyDescent="0.25">
      <c r="A605" t="s">
        <v>8458</v>
      </c>
      <c r="D605" s="2" t="s">
        <v>4851</v>
      </c>
    </row>
    <row r="606" spans="1:4" x14ac:dyDescent="0.25">
      <c r="A606" t="s">
        <v>6275</v>
      </c>
      <c r="D606" s="2" t="s">
        <v>6727</v>
      </c>
    </row>
    <row r="607" spans="1:4" x14ac:dyDescent="0.25">
      <c r="A607" t="s">
        <v>8473</v>
      </c>
      <c r="D607" s="2" t="s">
        <v>6171</v>
      </c>
    </row>
    <row r="608" spans="1:4" x14ac:dyDescent="0.25">
      <c r="A608" t="s">
        <v>8476</v>
      </c>
      <c r="D608" s="2" t="s">
        <v>4677</v>
      </c>
    </row>
    <row r="609" spans="1:4" x14ac:dyDescent="0.25">
      <c r="A609" t="s">
        <v>8479</v>
      </c>
      <c r="D609" s="2" t="s">
        <v>6447</v>
      </c>
    </row>
    <row r="610" spans="1:4" x14ac:dyDescent="0.25">
      <c r="A610" t="s">
        <v>5753</v>
      </c>
      <c r="D610" s="2" t="s">
        <v>6429</v>
      </c>
    </row>
    <row r="611" spans="1:4" x14ac:dyDescent="0.25">
      <c r="A611" t="s">
        <v>5753</v>
      </c>
      <c r="D611" s="2" t="s">
        <v>6491</v>
      </c>
    </row>
    <row r="612" spans="1:4" x14ac:dyDescent="0.25">
      <c r="A612" t="s">
        <v>8493</v>
      </c>
      <c r="D612" s="2" t="s">
        <v>3726</v>
      </c>
    </row>
    <row r="613" spans="1:4" x14ac:dyDescent="0.25">
      <c r="A613" t="s">
        <v>8496</v>
      </c>
      <c r="D613" s="2" t="s">
        <v>341</v>
      </c>
    </row>
    <row r="614" spans="1:4" x14ac:dyDescent="0.25">
      <c r="A614" t="s">
        <v>5755</v>
      </c>
      <c r="D614" s="2" t="s">
        <v>4503</v>
      </c>
    </row>
    <row r="615" spans="1:4" x14ac:dyDescent="0.25">
      <c r="A615" t="s">
        <v>8502</v>
      </c>
      <c r="D615" s="2" t="s">
        <v>4346</v>
      </c>
    </row>
    <row r="616" spans="1:4" x14ac:dyDescent="0.25">
      <c r="A616" t="s">
        <v>5761</v>
      </c>
      <c r="D616" s="2" t="s">
        <v>3740</v>
      </c>
    </row>
    <row r="617" spans="1:4" x14ac:dyDescent="0.25">
      <c r="A617" t="s">
        <v>5757</v>
      </c>
      <c r="D617" s="2" t="s">
        <v>4148</v>
      </c>
    </row>
    <row r="618" spans="1:4" x14ac:dyDescent="0.25">
      <c r="A618" t="s">
        <v>5757</v>
      </c>
      <c r="D618" s="2" t="s">
        <v>3818</v>
      </c>
    </row>
    <row r="619" spans="1:4" x14ac:dyDescent="0.25">
      <c r="A619" t="s">
        <v>5757</v>
      </c>
      <c r="D619" s="2" t="s">
        <v>3892</v>
      </c>
    </row>
    <row r="620" spans="1:4" x14ac:dyDescent="0.25">
      <c r="A620" t="s">
        <v>8516</v>
      </c>
      <c r="D620" s="2" t="s">
        <v>10093</v>
      </c>
    </row>
    <row r="621" spans="1:4" x14ac:dyDescent="0.25">
      <c r="A621" t="s">
        <v>8519</v>
      </c>
      <c r="D621" s="2" t="s">
        <v>5223</v>
      </c>
    </row>
    <row r="622" spans="1:4" x14ac:dyDescent="0.25">
      <c r="A622" t="s">
        <v>8523</v>
      </c>
      <c r="D622" s="2" t="s">
        <v>5206</v>
      </c>
    </row>
    <row r="623" spans="1:4" x14ac:dyDescent="0.25">
      <c r="A623" t="s">
        <v>5765</v>
      </c>
      <c r="D623" s="2" t="s">
        <v>5887</v>
      </c>
    </row>
    <row r="624" spans="1:4" x14ac:dyDescent="0.25">
      <c r="A624" t="s">
        <v>8529</v>
      </c>
      <c r="D624" s="2" t="s">
        <v>9982</v>
      </c>
    </row>
    <row r="625" spans="1:4" x14ac:dyDescent="0.25">
      <c r="A625" t="s">
        <v>5767</v>
      </c>
      <c r="D625" s="2" t="s">
        <v>9955</v>
      </c>
    </row>
    <row r="626" spans="1:4" x14ac:dyDescent="0.25">
      <c r="A626" t="s">
        <v>8535</v>
      </c>
      <c r="D626" s="2" t="s">
        <v>2534</v>
      </c>
    </row>
    <row r="627" spans="1:4" x14ac:dyDescent="0.25">
      <c r="A627" t="s">
        <v>8539</v>
      </c>
      <c r="D627" s="2" t="s">
        <v>2421</v>
      </c>
    </row>
    <row r="628" spans="1:4" x14ac:dyDescent="0.25">
      <c r="A628" t="s">
        <v>8542</v>
      </c>
      <c r="D628" s="2" t="s">
        <v>2832</v>
      </c>
    </row>
    <row r="629" spans="1:4" x14ac:dyDescent="0.25">
      <c r="A629" t="s">
        <v>8545</v>
      </c>
      <c r="D629" s="2" t="s">
        <v>2988</v>
      </c>
    </row>
    <row r="630" spans="1:4" x14ac:dyDescent="0.25">
      <c r="A630" t="s">
        <v>5769</v>
      </c>
      <c r="D630" s="2" t="s">
        <v>711</v>
      </c>
    </row>
    <row r="631" spans="1:4" x14ac:dyDescent="0.25">
      <c r="A631" t="s">
        <v>5769</v>
      </c>
      <c r="D631" s="2" t="s">
        <v>1833</v>
      </c>
    </row>
    <row r="632" spans="1:4" x14ac:dyDescent="0.25">
      <c r="A632" t="s">
        <v>5771</v>
      </c>
      <c r="D632" s="2" t="s">
        <v>1871</v>
      </c>
    </row>
    <row r="633" spans="1:4" x14ac:dyDescent="0.25">
      <c r="A633" t="s">
        <v>8556</v>
      </c>
      <c r="D633" s="2" t="s">
        <v>3278</v>
      </c>
    </row>
    <row r="634" spans="1:4" x14ac:dyDescent="0.25">
      <c r="A634" t="s">
        <v>8559</v>
      </c>
      <c r="D634" s="2" t="s">
        <v>3314</v>
      </c>
    </row>
    <row r="635" spans="1:4" x14ac:dyDescent="0.25">
      <c r="A635" t="s">
        <v>8562</v>
      </c>
      <c r="D635" s="2" t="s">
        <v>3422</v>
      </c>
    </row>
    <row r="636" spans="1:4" x14ac:dyDescent="0.25">
      <c r="A636" t="s">
        <v>8565</v>
      </c>
      <c r="D636" s="2" t="s">
        <v>9560</v>
      </c>
    </row>
    <row r="637" spans="1:4" x14ac:dyDescent="0.25">
      <c r="A637" t="s">
        <v>8568</v>
      </c>
      <c r="D637" s="2" t="s">
        <v>7603</v>
      </c>
    </row>
    <row r="638" spans="1:4" x14ac:dyDescent="0.25">
      <c r="A638" t="s">
        <v>8573</v>
      </c>
      <c r="D638" s="2" t="s">
        <v>2318</v>
      </c>
    </row>
    <row r="639" spans="1:4" x14ac:dyDescent="0.25">
      <c r="A639" t="s">
        <v>8576</v>
      </c>
      <c r="D639" s="2" t="s">
        <v>807</v>
      </c>
    </row>
    <row r="640" spans="1:4" x14ac:dyDescent="0.25">
      <c r="A640" t="s">
        <v>8579</v>
      </c>
      <c r="D640" s="2" t="s">
        <v>1056</v>
      </c>
    </row>
    <row r="641" spans="1:4" x14ac:dyDescent="0.25">
      <c r="A641" t="s">
        <v>8582</v>
      </c>
      <c r="D641" s="2" t="s">
        <v>9496</v>
      </c>
    </row>
    <row r="642" spans="1:4" x14ac:dyDescent="0.25">
      <c r="A642" t="s">
        <v>8585</v>
      </c>
      <c r="D642" s="2" t="s">
        <v>252</v>
      </c>
    </row>
    <row r="643" spans="1:4" x14ac:dyDescent="0.25">
      <c r="A643" t="s">
        <v>8588</v>
      </c>
      <c r="D643" s="2" t="s">
        <v>10142</v>
      </c>
    </row>
    <row r="644" spans="1:4" x14ac:dyDescent="0.25">
      <c r="A644" t="s">
        <v>8591</v>
      </c>
      <c r="D644" s="2" t="s">
        <v>234</v>
      </c>
    </row>
    <row r="645" spans="1:4" x14ac:dyDescent="0.25">
      <c r="A645" t="s">
        <v>8594</v>
      </c>
      <c r="D645" s="2" t="s">
        <v>240</v>
      </c>
    </row>
    <row r="646" spans="1:4" x14ac:dyDescent="0.25">
      <c r="A646" t="s">
        <v>8597</v>
      </c>
      <c r="D646" s="2" t="s">
        <v>9646</v>
      </c>
    </row>
    <row r="647" spans="1:4" x14ac:dyDescent="0.25">
      <c r="A647" t="s">
        <v>8600</v>
      </c>
      <c r="D647" s="2" t="s">
        <v>231</v>
      </c>
    </row>
    <row r="648" spans="1:4" x14ac:dyDescent="0.25">
      <c r="A648" t="s">
        <v>8603</v>
      </c>
      <c r="D648" s="2" t="s">
        <v>256</v>
      </c>
    </row>
    <row r="649" spans="1:4" x14ac:dyDescent="0.25">
      <c r="A649" t="s">
        <v>8606</v>
      </c>
      <c r="D649" s="2" t="s">
        <v>9493</v>
      </c>
    </row>
    <row r="650" spans="1:4" x14ac:dyDescent="0.25">
      <c r="A650" t="s">
        <v>5775</v>
      </c>
      <c r="D650" s="2" t="s">
        <v>221</v>
      </c>
    </row>
    <row r="651" spans="1:4" x14ac:dyDescent="0.25">
      <c r="A651" t="s">
        <v>8613</v>
      </c>
      <c r="D651" s="2" t="s">
        <v>9489</v>
      </c>
    </row>
    <row r="652" spans="1:4" x14ac:dyDescent="0.25">
      <c r="A652" t="s">
        <v>8616</v>
      </c>
      <c r="D652" s="2" t="s">
        <v>10137</v>
      </c>
    </row>
    <row r="653" spans="1:4" x14ac:dyDescent="0.25">
      <c r="A653" t="s">
        <v>8619</v>
      </c>
      <c r="D653" s="2" t="s">
        <v>9485</v>
      </c>
    </row>
    <row r="654" spans="1:4" x14ac:dyDescent="0.25">
      <c r="A654" t="s">
        <v>8624</v>
      </c>
      <c r="D654" s="2" t="s">
        <v>228</v>
      </c>
    </row>
    <row r="655" spans="1:4" x14ac:dyDescent="0.25">
      <c r="A655" t="s">
        <v>8627</v>
      </c>
      <c r="D655" s="2" t="s">
        <v>237</v>
      </c>
    </row>
    <row r="656" spans="1:4" x14ac:dyDescent="0.25">
      <c r="A656" t="s">
        <v>8630</v>
      </c>
      <c r="D656" s="2" t="s">
        <v>1132</v>
      </c>
    </row>
    <row r="657" spans="1:4" x14ac:dyDescent="0.25">
      <c r="A657" t="s">
        <v>8633</v>
      </c>
      <c r="D657" s="2" t="s">
        <v>6399</v>
      </c>
    </row>
    <row r="658" spans="1:4" x14ac:dyDescent="0.25">
      <c r="A658" t="s">
        <v>8636</v>
      </c>
      <c r="D658" s="2" t="s">
        <v>6640</v>
      </c>
    </row>
    <row r="659" spans="1:4" x14ac:dyDescent="0.25">
      <c r="A659" t="s">
        <v>8640</v>
      </c>
      <c r="D659" s="2" t="s">
        <v>1074</v>
      </c>
    </row>
    <row r="660" spans="1:4" x14ac:dyDescent="0.25">
      <c r="A660" t="s">
        <v>8640</v>
      </c>
      <c r="D660" s="2" t="s">
        <v>4875</v>
      </c>
    </row>
    <row r="661" spans="1:4" x14ac:dyDescent="0.25">
      <c r="A661" t="s">
        <v>8656</v>
      </c>
      <c r="D661" s="2" t="s">
        <v>7640</v>
      </c>
    </row>
    <row r="662" spans="1:4" x14ac:dyDescent="0.25">
      <c r="A662" t="s">
        <v>8659</v>
      </c>
      <c r="D662" s="2" t="s">
        <v>9121</v>
      </c>
    </row>
    <row r="663" spans="1:4" x14ac:dyDescent="0.25">
      <c r="A663" t="s">
        <v>8664</v>
      </c>
      <c r="D663" s="2" t="s">
        <v>6735</v>
      </c>
    </row>
    <row r="664" spans="1:4" x14ac:dyDescent="0.25">
      <c r="A664" t="s">
        <v>5747</v>
      </c>
      <c r="D664" s="2" t="s">
        <v>6486</v>
      </c>
    </row>
    <row r="665" spans="1:4" x14ac:dyDescent="0.25">
      <c r="A665" t="s">
        <v>8671</v>
      </c>
      <c r="D665" s="2" t="s">
        <v>5963</v>
      </c>
    </row>
    <row r="666" spans="1:4" x14ac:dyDescent="0.25">
      <c r="A666" t="s">
        <v>8674</v>
      </c>
      <c r="D666" s="2" t="s">
        <v>4088</v>
      </c>
    </row>
    <row r="667" spans="1:4" x14ac:dyDescent="0.25">
      <c r="A667" t="s">
        <v>8674</v>
      </c>
      <c r="D667" s="2" t="s">
        <v>4196</v>
      </c>
    </row>
    <row r="668" spans="1:4" x14ac:dyDescent="0.25">
      <c r="A668" t="s">
        <v>8681</v>
      </c>
      <c r="D668" s="2" t="s">
        <v>4286</v>
      </c>
    </row>
    <row r="669" spans="1:4" x14ac:dyDescent="0.25">
      <c r="A669" t="s">
        <v>8685</v>
      </c>
      <c r="D669" s="2" t="s">
        <v>1654</v>
      </c>
    </row>
    <row r="670" spans="1:4" x14ac:dyDescent="0.25">
      <c r="A670" t="s">
        <v>8688</v>
      </c>
      <c r="D670" s="2" t="s">
        <v>4584</v>
      </c>
    </row>
    <row r="671" spans="1:4" x14ac:dyDescent="0.25">
      <c r="A671" t="s">
        <v>8691</v>
      </c>
      <c r="D671" s="2" t="s">
        <v>8410</v>
      </c>
    </row>
    <row r="672" spans="1:4" x14ac:dyDescent="0.25">
      <c r="A672" t="s">
        <v>8694</v>
      </c>
      <c r="D672" s="2" t="s">
        <v>9861</v>
      </c>
    </row>
    <row r="673" spans="1:4" x14ac:dyDescent="0.25">
      <c r="A673" t="s">
        <v>8699</v>
      </c>
      <c r="D673" s="2" t="s">
        <v>2609</v>
      </c>
    </row>
    <row r="674" spans="1:4" x14ac:dyDescent="0.25">
      <c r="A674" t="s">
        <v>8702</v>
      </c>
      <c r="D674" s="2" t="s">
        <v>2242</v>
      </c>
    </row>
    <row r="675" spans="1:4" x14ac:dyDescent="0.25">
      <c r="A675" t="s">
        <v>8704</v>
      </c>
      <c r="D675" s="2" t="s">
        <v>2275</v>
      </c>
    </row>
    <row r="676" spans="1:4" x14ac:dyDescent="0.25">
      <c r="A676" t="s">
        <v>8704</v>
      </c>
      <c r="D676" s="2" t="s">
        <v>674</v>
      </c>
    </row>
    <row r="677" spans="1:4" x14ac:dyDescent="0.25">
      <c r="A677" t="s">
        <v>8704</v>
      </c>
      <c r="D677" s="2" t="s">
        <v>9351</v>
      </c>
    </row>
    <row r="678" spans="1:4" x14ac:dyDescent="0.25">
      <c r="A678" t="s">
        <v>8714</v>
      </c>
      <c r="D678" s="2" t="s">
        <v>2065</v>
      </c>
    </row>
    <row r="679" spans="1:4" x14ac:dyDescent="0.25">
      <c r="A679" t="s">
        <v>8716</v>
      </c>
      <c r="D679" s="2" t="s">
        <v>1452</v>
      </c>
    </row>
    <row r="680" spans="1:4" x14ac:dyDescent="0.25">
      <c r="A680" t="s">
        <v>8719</v>
      </c>
      <c r="D680" s="2" t="s">
        <v>1781</v>
      </c>
    </row>
    <row r="681" spans="1:4" x14ac:dyDescent="0.25">
      <c r="A681" t="s">
        <v>8722</v>
      </c>
      <c r="D681" s="2" t="s">
        <v>7069</v>
      </c>
    </row>
    <row r="682" spans="1:4" x14ac:dyDescent="0.25">
      <c r="A682" t="s">
        <v>8725</v>
      </c>
      <c r="D682" s="2" t="s">
        <v>7077</v>
      </c>
    </row>
    <row r="683" spans="1:4" x14ac:dyDescent="0.25">
      <c r="A683" t="s">
        <v>8729</v>
      </c>
      <c r="D683" s="2" t="s">
        <v>942</v>
      </c>
    </row>
    <row r="684" spans="1:4" x14ac:dyDescent="0.25">
      <c r="A684" t="s">
        <v>8734</v>
      </c>
      <c r="D684" s="2" t="s">
        <v>873</v>
      </c>
    </row>
    <row r="685" spans="1:4" x14ac:dyDescent="0.25">
      <c r="A685" t="s">
        <v>8737</v>
      </c>
      <c r="D685" s="2" t="s">
        <v>9826</v>
      </c>
    </row>
    <row r="686" spans="1:4" x14ac:dyDescent="0.25">
      <c r="A686" t="s">
        <v>8737</v>
      </c>
      <c r="D686" s="2" t="s">
        <v>306</v>
      </c>
    </row>
    <row r="687" spans="1:4" x14ac:dyDescent="0.25">
      <c r="A687" t="s">
        <v>8744</v>
      </c>
      <c r="D687" s="2" t="s">
        <v>7237</v>
      </c>
    </row>
    <row r="688" spans="1:4" x14ac:dyDescent="0.25">
      <c r="A688" t="s">
        <v>8747</v>
      </c>
      <c r="D688" s="2" t="s">
        <v>7420</v>
      </c>
    </row>
    <row r="689" spans="1:4" x14ac:dyDescent="0.25">
      <c r="A689" t="s">
        <v>8751</v>
      </c>
      <c r="D689" s="2" t="s">
        <v>5591</v>
      </c>
    </row>
    <row r="690" spans="1:4" x14ac:dyDescent="0.25">
      <c r="A690" t="s">
        <v>8751</v>
      </c>
      <c r="D690" s="2" t="s">
        <v>4418</v>
      </c>
    </row>
    <row r="691" spans="1:4" x14ac:dyDescent="0.25">
      <c r="A691" t="s">
        <v>8758</v>
      </c>
      <c r="D691" s="2" t="s">
        <v>6750</v>
      </c>
    </row>
    <row r="692" spans="1:4" x14ac:dyDescent="0.25">
      <c r="A692" t="s">
        <v>8761</v>
      </c>
      <c r="D692" s="2" t="s">
        <v>453</v>
      </c>
    </row>
    <row r="693" spans="1:4" x14ac:dyDescent="0.25">
      <c r="A693" t="s">
        <v>8764</v>
      </c>
      <c r="D693" s="2" t="s">
        <v>6366</v>
      </c>
    </row>
    <row r="694" spans="1:4" x14ac:dyDescent="0.25">
      <c r="A694" t="s">
        <v>8764</v>
      </c>
      <c r="D694" s="2" t="s">
        <v>3341</v>
      </c>
    </row>
    <row r="695" spans="1:4" x14ac:dyDescent="0.25">
      <c r="A695" t="s">
        <v>8771</v>
      </c>
      <c r="D695" s="2" t="s">
        <v>9960</v>
      </c>
    </row>
    <row r="696" spans="1:4" x14ac:dyDescent="0.25">
      <c r="A696" t="s">
        <v>5793</v>
      </c>
      <c r="D696" s="2" t="s">
        <v>2753</v>
      </c>
    </row>
    <row r="697" spans="1:4" x14ac:dyDescent="0.25">
      <c r="A697" t="s">
        <v>5793</v>
      </c>
      <c r="D697" s="2" t="s">
        <v>5619</v>
      </c>
    </row>
    <row r="698" spans="1:4" x14ac:dyDescent="0.25">
      <c r="A698" t="s">
        <v>8780</v>
      </c>
      <c r="D698" s="2" t="s">
        <v>7028</v>
      </c>
    </row>
    <row r="699" spans="1:4" x14ac:dyDescent="0.25">
      <c r="A699" t="s">
        <v>8784</v>
      </c>
      <c r="D699" s="2" t="s">
        <v>9757</v>
      </c>
    </row>
    <row r="700" spans="1:4" x14ac:dyDescent="0.25">
      <c r="A700" t="s">
        <v>8787</v>
      </c>
      <c r="D700" s="2" t="s">
        <v>5911</v>
      </c>
    </row>
    <row r="701" spans="1:4" x14ac:dyDescent="0.25">
      <c r="A701" t="s">
        <v>8787</v>
      </c>
      <c r="D701" s="2" t="s">
        <v>635</v>
      </c>
    </row>
    <row r="702" spans="1:4" x14ac:dyDescent="0.25">
      <c r="A702" t="s">
        <v>8796</v>
      </c>
      <c r="D702" s="2" t="s">
        <v>4987</v>
      </c>
    </row>
    <row r="703" spans="1:4" x14ac:dyDescent="0.25">
      <c r="A703" t="s">
        <v>8799</v>
      </c>
      <c r="D703" s="2" t="s">
        <v>7430</v>
      </c>
    </row>
    <row r="704" spans="1:4" x14ac:dyDescent="0.25">
      <c r="A704" t="s">
        <v>6297</v>
      </c>
      <c r="D704" s="2" t="s">
        <v>7212</v>
      </c>
    </row>
    <row r="705" spans="1:4" x14ac:dyDescent="0.25">
      <c r="A705" t="s">
        <v>8805</v>
      </c>
      <c r="D705" s="2" t="s">
        <v>6001</v>
      </c>
    </row>
    <row r="706" spans="1:4" x14ac:dyDescent="0.25">
      <c r="A706" t="s">
        <v>8808</v>
      </c>
      <c r="D706" s="2" t="s">
        <v>6420</v>
      </c>
    </row>
    <row r="707" spans="1:4" x14ac:dyDescent="0.25">
      <c r="A707" t="s">
        <v>8813</v>
      </c>
      <c r="D707" s="2" t="s">
        <v>1714</v>
      </c>
    </row>
    <row r="708" spans="1:4" x14ac:dyDescent="0.25">
      <c r="A708" t="s">
        <v>8816</v>
      </c>
      <c r="D708" s="2" t="s">
        <v>9214</v>
      </c>
    </row>
    <row r="709" spans="1:4" x14ac:dyDescent="0.25">
      <c r="A709" t="s">
        <v>8819</v>
      </c>
      <c r="D709" s="2" t="s">
        <v>1079</v>
      </c>
    </row>
    <row r="710" spans="1:4" x14ac:dyDescent="0.25">
      <c r="A710" t="s">
        <v>8822</v>
      </c>
      <c r="D710" s="2" t="s">
        <v>4878</v>
      </c>
    </row>
    <row r="711" spans="1:4" x14ac:dyDescent="0.25">
      <c r="A711" t="s">
        <v>8827</v>
      </c>
      <c r="D711" s="2" t="s">
        <v>7404</v>
      </c>
    </row>
    <row r="712" spans="1:4" x14ac:dyDescent="0.25">
      <c r="A712" t="s">
        <v>8830</v>
      </c>
      <c r="D712" s="2" t="s">
        <v>7887</v>
      </c>
    </row>
    <row r="713" spans="1:4" x14ac:dyDescent="0.25">
      <c r="A713" t="s">
        <v>8830</v>
      </c>
      <c r="D713" s="2" t="s">
        <v>7904</v>
      </c>
    </row>
    <row r="714" spans="1:4" x14ac:dyDescent="0.25">
      <c r="A714" t="s">
        <v>8835</v>
      </c>
      <c r="D714" s="2" t="s">
        <v>7546</v>
      </c>
    </row>
    <row r="715" spans="1:4" x14ac:dyDescent="0.25">
      <c r="A715" t="s">
        <v>8840</v>
      </c>
      <c r="D715" s="2" t="s">
        <v>8719</v>
      </c>
    </row>
    <row r="716" spans="1:4" x14ac:dyDescent="0.25">
      <c r="A716" t="s">
        <v>8843</v>
      </c>
      <c r="D716" s="2" t="s">
        <v>8101</v>
      </c>
    </row>
    <row r="717" spans="1:4" x14ac:dyDescent="0.25">
      <c r="A717" t="s">
        <v>8846</v>
      </c>
      <c r="D717" s="2" t="s">
        <v>9179</v>
      </c>
    </row>
    <row r="718" spans="1:4" x14ac:dyDescent="0.25">
      <c r="A718" t="s">
        <v>8849</v>
      </c>
      <c r="D718" s="2" t="s">
        <v>8975</v>
      </c>
    </row>
    <row r="719" spans="1:4" x14ac:dyDescent="0.25">
      <c r="A719" t="s">
        <v>8849</v>
      </c>
      <c r="D719" s="2" t="s">
        <v>1362</v>
      </c>
    </row>
    <row r="720" spans="1:4" x14ac:dyDescent="0.25">
      <c r="A720" t="s">
        <v>8857</v>
      </c>
      <c r="D720" s="2" t="s">
        <v>975</v>
      </c>
    </row>
    <row r="721" spans="1:4" x14ac:dyDescent="0.25">
      <c r="A721" t="s">
        <v>8860</v>
      </c>
      <c r="D721" s="2" t="s">
        <v>420</v>
      </c>
    </row>
    <row r="722" spans="1:4" x14ac:dyDescent="0.25">
      <c r="A722" t="s">
        <v>8864</v>
      </c>
      <c r="D722" s="2" t="s">
        <v>6094</v>
      </c>
    </row>
    <row r="723" spans="1:4" x14ac:dyDescent="0.25">
      <c r="A723" t="s">
        <v>8868</v>
      </c>
      <c r="D723" s="2" t="s">
        <v>5971</v>
      </c>
    </row>
    <row r="724" spans="1:4" x14ac:dyDescent="0.25">
      <c r="A724" t="s">
        <v>9028</v>
      </c>
      <c r="D724" s="2" t="s">
        <v>6396</v>
      </c>
    </row>
    <row r="725" spans="1:4" x14ac:dyDescent="0.25">
      <c r="A725" t="s">
        <v>4375</v>
      </c>
      <c r="D725" s="2" t="s">
        <v>466</v>
      </c>
    </row>
    <row r="726" spans="1:4" x14ac:dyDescent="0.25">
      <c r="A726" t="s">
        <v>4390</v>
      </c>
      <c r="D726" s="2" t="s">
        <v>5638</v>
      </c>
    </row>
    <row r="727" spans="1:4" x14ac:dyDescent="0.25">
      <c r="A727" t="s">
        <v>4403</v>
      </c>
      <c r="D727" s="2" t="s">
        <v>1723</v>
      </c>
    </row>
    <row r="728" spans="1:4" x14ac:dyDescent="0.25">
      <c r="A728" t="s">
        <v>9034</v>
      </c>
      <c r="D728" s="2" t="s">
        <v>4060</v>
      </c>
    </row>
    <row r="729" spans="1:4" x14ac:dyDescent="0.25">
      <c r="A729" t="s">
        <v>4411</v>
      </c>
      <c r="D729" s="2" t="s">
        <v>4039</v>
      </c>
    </row>
    <row r="730" spans="1:4" x14ac:dyDescent="0.25">
      <c r="A730" t="s">
        <v>9037</v>
      </c>
      <c r="D730" s="2" t="s">
        <v>4035</v>
      </c>
    </row>
    <row r="731" spans="1:4" x14ac:dyDescent="0.25">
      <c r="A731" t="s">
        <v>9040</v>
      </c>
      <c r="D731" s="2" t="s">
        <v>3764</v>
      </c>
    </row>
    <row r="732" spans="1:4" x14ac:dyDescent="0.25">
      <c r="A732" t="s">
        <v>4428</v>
      </c>
      <c r="D732" s="2" t="s">
        <v>369</v>
      </c>
    </row>
    <row r="733" spans="1:4" x14ac:dyDescent="0.25">
      <c r="A733" t="s">
        <v>4432</v>
      </c>
      <c r="D733" s="2" t="s">
        <v>4078</v>
      </c>
    </row>
    <row r="734" spans="1:4" x14ac:dyDescent="0.25">
      <c r="A734" t="s">
        <v>4432</v>
      </c>
      <c r="D734" s="2" t="s">
        <v>10100</v>
      </c>
    </row>
    <row r="735" spans="1:4" x14ac:dyDescent="0.25">
      <c r="A735" t="s">
        <v>4434</v>
      </c>
      <c r="D735" s="2" t="s">
        <v>6817</v>
      </c>
    </row>
    <row r="736" spans="1:4" x14ac:dyDescent="0.25">
      <c r="A736" t="s">
        <v>4434</v>
      </c>
      <c r="D736" s="2" t="s">
        <v>7166</v>
      </c>
    </row>
    <row r="737" spans="1:4" x14ac:dyDescent="0.25">
      <c r="A737" t="s">
        <v>4439</v>
      </c>
      <c r="D737" s="2" t="s">
        <v>4714</v>
      </c>
    </row>
    <row r="738" spans="1:4" x14ac:dyDescent="0.25">
      <c r="A738" t="s">
        <v>4458</v>
      </c>
      <c r="D738" s="2" t="s">
        <v>6040</v>
      </c>
    </row>
    <row r="739" spans="1:4" x14ac:dyDescent="0.25">
      <c r="A739" t="s">
        <v>8329</v>
      </c>
      <c r="D739" s="2" t="s">
        <v>5217</v>
      </c>
    </row>
    <row r="740" spans="1:4" x14ac:dyDescent="0.25">
      <c r="A740" t="s">
        <v>4471</v>
      </c>
      <c r="D740" s="2" t="s">
        <v>5203</v>
      </c>
    </row>
    <row r="741" spans="1:4" x14ac:dyDescent="0.25">
      <c r="A741" t="s">
        <v>8332</v>
      </c>
      <c r="D741" s="2" t="s">
        <v>5908</v>
      </c>
    </row>
    <row r="742" spans="1:4" x14ac:dyDescent="0.25">
      <c r="A742" t="s">
        <v>8983</v>
      </c>
      <c r="D742" s="2" t="s">
        <v>6777</v>
      </c>
    </row>
    <row r="743" spans="1:4" x14ac:dyDescent="0.25">
      <c r="A743" t="s">
        <v>8983</v>
      </c>
      <c r="D743" s="2" t="s">
        <v>9967</v>
      </c>
    </row>
    <row r="744" spans="1:4" x14ac:dyDescent="0.25">
      <c r="A744" t="s">
        <v>9135</v>
      </c>
      <c r="D744" s="2" t="s">
        <v>909</v>
      </c>
    </row>
    <row r="745" spans="1:4" x14ac:dyDescent="0.25">
      <c r="A745" t="s">
        <v>9138</v>
      </c>
      <c r="D745" s="2" t="s">
        <v>2571</v>
      </c>
    </row>
    <row r="746" spans="1:4" x14ac:dyDescent="0.25">
      <c r="A746" t="s">
        <v>9138</v>
      </c>
      <c r="D746" s="2" t="s">
        <v>9274</v>
      </c>
    </row>
    <row r="747" spans="1:4" x14ac:dyDescent="0.25">
      <c r="A747" t="s">
        <v>9138</v>
      </c>
      <c r="D747" s="2" t="s">
        <v>2250</v>
      </c>
    </row>
    <row r="748" spans="1:4" x14ac:dyDescent="0.25">
      <c r="A748" t="s">
        <v>9143</v>
      </c>
      <c r="D748" s="2" t="s">
        <v>777</v>
      </c>
    </row>
    <row r="749" spans="1:4" x14ac:dyDescent="0.25">
      <c r="A749" t="s">
        <v>1927</v>
      </c>
      <c r="D749" s="2" t="s">
        <v>1842</v>
      </c>
    </row>
    <row r="750" spans="1:4" x14ac:dyDescent="0.25">
      <c r="A750" t="s">
        <v>1909</v>
      </c>
      <c r="D750" s="2" t="s">
        <v>3461</v>
      </c>
    </row>
    <row r="751" spans="1:4" x14ac:dyDescent="0.25">
      <c r="A751" t="s">
        <v>1909</v>
      </c>
      <c r="D751" s="2" t="s">
        <v>1896</v>
      </c>
    </row>
    <row r="752" spans="1:4" x14ac:dyDescent="0.25">
      <c r="A752" t="s">
        <v>1909</v>
      </c>
      <c r="D752" s="2" t="s">
        <v>4101</v>
      </c>
    </row>
    <row r="753" spans="1:4" x14ac:dyDescent="0.25">
      <c r="A753" t="s">
        <v>1909</v>
      </c>
      <c r="D753" s="2" t="s">
        <v>9836</v>
      </c>
    </row>
    <row r="754" spans="1:4" x14ac:dyDescent="0.25">
      <c r="A754" t="s">
        <v>1915</v>
      </c>
      <c r="D754" s="2" t="s">
        <v>310</v>
      </c>
    </row>
    <row r="755" spans="1:4" x14ac:dyDescent="0.25">
      <c r="A755" t="s">
        <v>9070</v>
      </c>
      <c r="D755" s="2" t="s">
        <v>7373</v>
      </c>
    </row>
    <row r="756" spans="1:4" x14ac:dyDescent="0.25">
      <c r="A756" t="s">
        <v>8953</v>
      </c>
      <c r="D756" s="2" t="s">
        <v>4393</v>
      </c>
    </row>
    <row r="757" spans="1:4" x14ac:dyDescent="0.25">
      <c r="A757" t="s">
        <v>8418</v>
      </c>
      <c r="D757" s="2" t="s">
        <v>4362</v>
      </c>
    </row>
    <row r="758" spans="1:4" x14ac:dyDescent="0.25">
      <c r="A758" t="s">
        <v>8944</v>
      </c>
      <c r="D758" s="2" t="s">
        <v>6711</v>
      </c>
    </row>
    <row r="759" spans="1:4" x14ac:dyDescent="0.25">
      <c r="A759" t="s">
        <v>8948</v>
      </c>
      <c r="D759" s="2" t="s">
        <v>1757</v>
      </c>
    </row>
    <row r="760" spans="1:4" x14ac:dyDescent="0.25">
      <c r="A760" t="s">
        <v>8966</v>
      </c>
      <c r="D760" s="2" t="s">
        <v>5395</v>
      </c>
    </row>
    <row r="761" spans="1:4" x14ac:dyDescent="0.25">
      <c r="A761" t="s">
        <v>8969</v>
      </c>
      <c r="D761" s="2" t="s">
        <v>3868</v>
      </c>
    </row>
    <row r="762" spans="1:4" x14ac:dyDescent="0.25">
      <c r="A762" t="s">
        <v>8969</v>
      </c>
      <c r="D762" s="2" t="s">
        <v>4539</v>
      </c>
    </row>
    <row r="763" spans="1:4" x14ac:dyDescent="0.25">
      <c r="A763" t="s">
        <v>8960</v>
      </c>
      <c r="D763" s="2" t="s">
        <v>4587</v>
      </c>
    </row>
    <row r="764" spans="1:4" x14ac:dyDescent="0.25">
      <c r="A764" t="s">
        <v>8283</v>
      </c>
      <c r="D764" s="2" t="s">
        <v>5288</v>
      </c>
    </row>
    <row r="765" spans="1:4" x14ac:dyDescent="0.25">
      <c r="A765" t="s">
        <v>8287</v>
      </c>
      <c r="D765" s="2" t="s">
        <v>8924</v>
      </c>
    </row>
    <row r="766" spans="1:4" x14ac:dyDescent="0.25">
      <c r="A766" t="s">
        <v>8290</v>
      </c>
      <c r="D766" s="2" t="s">
        <v>4247</v>
      </c>
    </row>
    <row r="767" spans="1:4" x14ac:dyDescent="0.25">
      <c r="A767" t="s">
        <v>8898</v>
      </c>
      <c r="D767" s="2" t="s">
        <v>8633</v>
      </c>
    </row>
    <row r="768" spans="1:4" x14ac:dyDescent="0.25">
      <c r="A768" t="s">
        <v>6990</v>
      </c>
      <c r="D768" s="2" t="s">
        <v>5303</v>
      </c>
    </row>
    <row r="769" spans="1:4" x14ac:dyDescent="0.25">
      <c r="A769" t="s">
        <v>6990</v>
      </c>
      <c r="D769" s="2" t="s">
        <v>10153</v>
      </c>
    </row>
    <row r="770" spans="1:4" x14ac:dyDescent="0.25">
      <c r="A770" t="s">
        <v>8936</v>
      </c>
      <c r="D770" s="2" t="s">
        <v>8436</v>
      </c>
    </row>
    <row r="771" spans="1:4" x14ac:dyDescent="0.25">
      <c r="A771" t="s">
        <v>8940</v>
      </c>
      <c r="D771" s="2" t="s">
        <v>7675</v>
      </c>
    </row>
    <row r="772" spans="1:4" x14ac:dyDescent="0.25">
      <c r="A772" t="s">
        <v>8916</v>
      </c>
      <c r="D772" s="2" t="s">
        <v>7488</v>
      </c>
    </row>
    <row r="773" spans="1:4" x14ac:dyDescent="0.25">
      <c r="A773" t="s">
        <v>8920</v>
      </c>
      <c r="D773" s="2" t="s">
        <v>1129</v>
      </c>
    </row>
    <row r="774" spans="1:4" x14ac:dyDescent="0.25">
      <c r="A774" t="s">
        <v>8920</v>
      </c>
      <c r="D774" s="2" t="s">
        <v>8616</v>
      </c>
    </row>
    <row r="775" spans="1:4" x14ac:dyDescent="0.25">
      <c r="A775" t="s">
        <v>8924</v>
      </c>
      <c r="D775" s="2" t="s">
        <v>4975</v>
      </c>
    </row>
    <row r="776" spans="1:4" x14ac:dyDescent="0.25">
      <c r="A776" t="s">
        <v>8927</v>
      </c>
      <c r="D776" s="2" t="s">
        <v>1748</v>
      </c>
    </row>
    <row r="777" spans="1:4" x14ac:dyDescent="0.25">
      <c r="A777" t="s">
        <v>8932</v>
      </c>
      <c r="D777" s="2" t="s">
        <v>2164</v>
      </c>
    </row>
    <row r="778" spans="1:4" x14ac:dyDescent="0.25">
      <c r="A778" t="s">
        <v>8390</v>
      </c>
      <c r="D778" s="2" t="s">
        <v>2725</v>
      </c>
    </row>
    <row r="779" spans="1:4" x14ac:dyDescent="0.25">
      <c r="A779" t="s">
        <v>8390</v>
      </c>
      <c r="D779" s="2" t="s">
        <v>282</v>
      </c>
    </row>
    <row r="780" spans="1:4" x14ac:dyDescent="0.25">
      <c r="A780" t="s">
        <v>8261</v>
      </c>
      <c r="D780" s="2" t="s">
        <v>501</v>
      </c>
    </row>
    <row r="781" spans="1:4" x14ac:dyDescent="0.25">
      <c r="A781" t="s">
        <v>8265</v>
      </c>
      <c r="D781" s="2" t="s">
        <v>3697</v>
      </c>
    </row>
    <row r="782" spans="1:4" x14ac:dyDescent="0.25">
      <c r="A782" t="s">
        <v>8373</v>
      </c>
      <c r="D782" s="2" t="s">
        <v>2052</v>
      </c>
    </row>
    <row r="783" spans="1:4" x14ac:dyDescent="0.25">
      <c r="A783" t="s">
        <v>8376</v>
      </c>
      <c r="D783" s="2" t="s">
        <v>3311</v>
      </c>
    </row>
    <row r="784" spans="1:4" x14ac:dyDescent="0.25">
      <c r="A784" t="s">
        <v>8379</v>
      </c>
      <c r="D784" s="2" t="s">
        <v>8744</v>
      </c>
    </row>
    <row r="785" spans="1:4" x14ac:dyDescent="0.25">
      <c r="A785" t="s">
        <v>8382</v>
      </c>
      <c r="D785" s="2" t="s">
        <v>6855</v>
      </c>
    </row>
    <row r="786" spans="1:4" x14ac:dyDescent="0.25">
      <c r="A786" t="s">
        <v>8385</v>
      </c>
      <c r="D786" s="2" t="s">
        <v>10086</v>
      </c>
    </row>
    <row r="787" spans="1:4" x14ac:dyDescent="0.25">
      <c r="A787" t="s">
        <v>8276</v>
      </c>
      <c r="D787" s="2" t="s">
        <v>3708</v>
      </c>
    </row>
    <row r="788" spans="1:4" x14ac:dyDescent="0.25">
      <c r="A788" t="s">
        <v>8276</v>
      </c>
      <c r="D788" s="2" t="s">
        <v>6331</v>
      </c>
    </row>
    <row r="789" spans="1:4" x14ac:dyDescent="0.25">
      <c r="A789" t="s">
        <v>8008</v>
      </c>
      <c r="D789" s="2" t="s">
        <v>8846</v>
      </c>
    </row>
    <row r="790" spans="1:4" x14ac:dyDescent="0.25">
      <c r="A790" t="s">
        <v>8884</v>
      </c>
      <c r="D790" s="2" t="s">
        <v>9626</v>
      </c>
    </row>
    <row r="791" spans="1:4" x14ac:dyDescent="0.25">
      <c r="A791" t="s">
        <v>8887</v>
      </c>
      <c r="D791" s="2" t="s">
        <v>8556</v>
      </c>
    </row>
    <row r="792" spans="1:4" x14ac:dyDescent="0.25">
      <c r="A792" t="s">
        <v>8890</v>
      </c>
      <c r="D792" s="2" t="s">
        <v>9212</v>
      </c>
    </row>
    <row r="793" spans="1:4" x14ac:dyDescent="0.25">
      <c r="A793" t="s">
        <v>8893</v>
      </c>
      <c r="D793" s="2" t="s">
        <v>4548</v>
      </c>
    </row>
    <row r="794" spans="1:4" x14ac:dyDescent="0.25">
      <c r="A794" t="s">
        <v>8270</v>
      </c>
      <c r="D794" s="2" t="s">
        <v>1327</v>
      </c>
    </row>
    <row r="795" spans="1:4" x14ac:dyDescent="0.25">
      <c r="A795" t="s">
        <v>8879</v>
      </c>
      <c r="D795" s="2" t="s">
        <v>4944</v>
      </c>
    </row>
    <row r="796" spans="1:4" x14ac:dyDescent="0.25">
      <c r="A796" t="s">
        <v>8903</v>
      </c>
      <c r="D796" s="2" t="s">
        <v>2081</v>
      </c>
    </row>
    <row r="797" spans="1:4" x14ac:dyDescent="0.25">
      <c r="A797" t="s">
        <v>8906</v>
      </c>
      <c r="D797" s="2" t="s">
        <v>28</v>
      </c>
    </row>
    <row r="798" spans="1:4" x14ac:dyDescent="0.25">
      <c r="A798" t="s">
        <v>8171</v>
      </c>
      <c r="D798" s="2" t="s">
        <v>11</v>
      </c>
    </row>
    <row r="799" spans="1:4" x14ac:dyDescent="0.25">
      <c r="A799" t="s">
        <v>8171</v>
      </c>
      <c r="D799" s="2" t="s">
        <v>2693</v>
      </c>
    </row>
    <row r="800" spans="1:4" x14ac:dyDescent="0.25">
      <c r="A800" t="s">
        <v>8176</v>
      </c>
      <c r="D800" s="2" t="s">
        <v>1927</v>
      </c>
    </row>
    <row r="801" spans="1:4" x14ac:dyDescent="0.25">
      <c r="A801" t="s">
        <v>8179</v>
      </c>
      <c r="D801" s="2" t="s">
        <v>10206</v>
      </c>
    </row>
    <row r="802" spans="1:4" x14ac:dyDescent="0.25">
      <c r="A802" t="s">
        <v>8216</v>
      </c>
      <c r="D802" s="2" t="s">
        <v>9911</v>
      </c>
    </row>
    <row r="803" spans="1:4" x14ac:dyDescent="0.25">
      <c r="A803" t="s">
        <v>8219</v>
      </c>
      <c r="D803" s="2" t="s">
        <v>3914</v>
      </c>
    </row>
    <row r="804" spans="1:4" x14ac:dyDescent="0.25">
      <c r="A804" t="s">
        <v>8222</v>
      </c>
      <c r="D804" s="2" t="s">
        <v>5032</v>
      </c>
    </row>
    <row r="805" spans="1:4" x14ac:dyDescent="0.25">
      <c r="A805" t="s">
        <v>8225</v>
      </c>
      <c r="D805" s="2" t="s">
        <v>6417</v>
      </c>
    </row>
    <row r="806" spans="1:4" x14ac:dyDescent="0.25">
      <c r="A806" t="s">
        <v>8361</v>
      </c>
      <c r="D806" s="2" t="s">
        <v>5562</v>
      </c>
    </row>
    <row r="807" spans="1:4" x14ac:dyDescent="0.25">
      <c r="A807" t="s">
        <v>8361</v>
      </c>
      <c r="D807" s="2" t="s">
        <v>2519</v>
      </c>
    </row>
    <row r="808" spans="1:4" x14ac:dyDescent="0.25">
      <c r="A808" t="s">
        <v>8171</v>
      </c>
      <c r="D808" s="2" t="s">
        <v>4843</v>
      </c>
    </row>
    <row r="809" spans="1:4" x14ac:dyDescent="0.25">
      <c r="A809" t="s">
        <v>8171</v>
      </c>
      <c r="D809" s="2" t="s">
        <v>10156</v>
      </c>
    </row>
    <row r="810" spans="1:4" x14ac:dyDescent="0.25">
      <c r="A810" t="s">
        <v>8305</v>
      </c>
      <c r="D810" s="2" t="s">
        <v>4398</v>
      </c>
    </row>
    <row r="811" spans="1:4" x14ac:dyDescent="0.25">
      <c r="A811" t="s">
        <v>8184</v>
      </c>
      <c r="D811" s="2" t="s">
        <v>6898</v>
      </c>
    </row>
    <row r="812" spans="1:4" x14ac:dyDescent="0.25">
      <c r="A812" t="s">
        <v>8188</v>
      </c>
      <c r="D812" s="2" t="s">
        <v>9300</v>
      </c>
    </row>
    <row r="813" spans="1:4" x14ac:dyDescent="0.25">
      <c r="A813" t="s">
        <v>8193</v>
      </c>
      <c r="D813" s="2" t="s">
        <v>731</v>
      </c>
    </row>
    <row r="814" spans="1:4" x14ac:dyDescent="0.25">
      <c r="A814" t="s">
        <v>8196</v>
      </c>
      <c r="D814" s="2" t="s">
        <v>3491</v>
      </c>
    </row>
    <row r="815" spans="1:4" x14ac:dyDescent="0.25">
      <c r="A815" t="s">
        <v>8199</v>
      </c>
      <c r="D815" s="2" t="s">
        <v>3413</v>
      </c>
    </row>
    <row r="816" spans="1:4" x14ac:dyDescent="0.25">
      <c r="A816" t="s">
        <v>8202</v>
      </c>
      <c r="D816" s="2" t="s">
        <v>3467</v>
      </c>
    </row>
    <row r="817" spans="1:4" x14ac:dyDescent="0.25">
      <c r="A817" t="s">
        <v>8205</v>
      </c>
      <c r="D817" s="2" t="s">
        <v>1217</v>
      </c>
    </row>
    <row r="818" spans="1:4" x14ac:dyDescent="0.25">
      <c r="A818" t="s">
        <v>8208</v>
      </c>
      <c r="D818" s="2" t="s">
        <v>9670</v>
      </c>
    </row>
    <row r="819" spans="1:4" x14ac:dyDescent="0.25">
      <c r="A819" t="s">
        <v>8211</v>
      </c>
      <c r="D819" s="2" t="s">
        <v>6434</v>
      </c>
    </row>
    <row r="820" spans="1:4" x14ac:dyDescent="0.25">
      <c r="A820" t="s">
        <v>8367</v>
      </c>
      <c r="D820" s="2" t="s">
        <v>10000</v>
      </c>
    </row>
    <row r="821" spans="1:4" x14ac:dyDescent="0.25">
      <c r="A821" t="s">
        <v>8367</v>
      </c>
      <c r="D821" s="2" t="s">
        <v>5851</v>
      </c>
    </row>
    <row r="822" spans="1:4" x14ac:dyDescent="0.25">
      <c r="A822" t="s">
        <v>8873</v>
      </c>
      <c r="D822" s="2" t="s">
        <v>662</v>
      </c>
    </row>
    <row r="823" spans="1:4" x14ac:dyDescent="0.25">
      <c r="A823" t="s">
        <v>8229</v>
      </c>
      <c r="D823" s="2" t="s">
        <v>2199</v>
      </c>
    </row>
    <row r="824" spans="1:4" x14ac:dyDescent="0.25">
      <c r="A824" t="s">
        <v>8233</v>
      </c>
      <c r="D824" s="2" t="s">
        <v>5848</v>
      </c>
    </row>
    <row r="825" spans="1:4" x14ac:dyDescent="0.25">
      <c r="A825" t="s">
        <v>8236</v>
      </c>
      <c r="D825" s="2" t="s">
        <v>4178</v>
      </c>
    </row>
    <row r="826" spans="1:4" x14ac:dyDescent="0.25">
      <c r="A826" t="s">
        <v>8239</v>
      </c>
      <c r="D826" s="2" t="s">
        <v>2189</v>
      </c>
    </row>
    <row r="827" spans="1:4" x14ac:dyDescent="0.25">
      <c r="A827" t="s">
        <v>8242</v>
      </c>
      <c r="D827" s="2" t="s">
        <v>5026</v>
      </c>
    </row>
    <row r="828" spans="1:4" x14ac:dyDescent="0.25">
      <c r="A828" t="s">
        <v>8245</v>
      </c>
      <c r="D828" s="2" t="s">
        <v>7755</v>
      </c>
    </row>
    <row r="829" spans="1:4" x14ac:dyDescent="0.25">
      <c r="A829" t="s">
        <v>8248</v>
      </c>
      <c r="D829" s="2" t="s">
        <v>10122</v>
      </c>
    </row>
    <row r="830" spans="1:4" x14ac:dyDescent="0.25">
      <c r="A830" t="s">
        <v>8251</v>
      </c>
      <c r="D830" s="2" t="s">
        <v>3643</v>
      </c>
    </row>
    <row r="831" spans="1:4" x14ac:dyDescent="0.25">
      <c r="A831" t="s">
        <v>8351</v>
      </c>
      <c r="D831" s="2" t="s">
        <v>4142</v>
      </c>
    </row>
    <row r="832" spans="1:4" x14ac:dyDescent="0.25">
      <c r="A832" t="s">
        <v>8351</v>
      </c>
      <c r="D832" s="2" t="s">
        <v>9340</v>
      </c>
    </row>
    <row r="833" spans="1:4" x14ac:dyDescent="0.25">
      <c r="A833" t="s">
        <v>8397</v>
      </c>
      <c r="D833" s="2" t="s">
        <v>7917</v>
      </c>
    </row>
    <row r="834" spans="1:4" x14ac:dyDescent="0.25">
      <c r="A834" t="s">
        <v>8402</v>
      </c>
      <c r="D834" s="2" t="s">
        <v>6060</v>
      </c>
    </row>
    <row r="835" spans="1:4" x14ac:dyDescent="0.25">
      <c r="A835" t="s">
        <v>8406</v>
      </c>
      <c r="D835" s="2" t="s">
        <v>945</v>
      </c>
    </row>
    <row r="836" spans="1:4" x14ac:dyDescent="0.25">
      <c r="A836" t="s">
        <v>8406</v>
      </c>
      <c r="D836" s="2" t="s">
        <v>7661</v>
      </c>
    </row>
    <row r="837" spans="1:4" x14ac:dyDescent="0.25">
      <c r="A837" t="s">
        <v>8410</v>
      </c>
      <c r="D837" s="2" t="s">
        <v>2371</v>
      </c>
    </row>
    <row r="838" spans="1:4" x14ac:dyDescent="0.25">
      <c r="A838" t="s">
        <v>8413</v>
      </c>
      <c r="D838" s="2" t="s">
        <v>6907</v>
      </c>
    </row>
    <row r="839" spans="1:4" x14ac:dyDescent="0.25">
      <c r="A839" t="s">
        <v>8171</v>
      </c>
      <c r="D839" s="2" t="s">
        <v>4961</v>
      </c>
    </row>
    <row r="840" spans="1:4" x14ac:dyDescent="0.25">
      <c r="A840" t="s">
        <v>8171</v>
      </c>
      <c r="D840" s="2" t="s">
        <v>4045</v>
      </c>
    </row>
    <row r="841" spans="1:4" x14ac:dyDescent="0.25">
      <c r="A841" t="s">
        <v>8298</v>
      </c>
      <c r="D841" s="2" t="s">
        <v>1205</v>
      </c>
    </row>
    <row r="842" spans="1:4" x14ac:dyDescent="0.25">
      <c r="A842" t="s">
        <v>8298</v>
      </c>
      <c r="D842" s="2" t="s">
        <v>7323</v>
      </c>
    </row>
    <row r="843" spans="1:4" x14ac:dyDescent="0.25">
      <c r="A843" t="s">
        <v>8298</v>
      </c>
      <c r="D843" s="2" t="s">
        <v>7034</v>
      </c>
    </row>
    <row r="844" spans="1:4" x14ac:dyDescent="0.25">
      <c r="A844" t="s">
        <v>8298</v>
      </c>
      <c r="D844" s="2" t="s">
        <v>9291</v>
      </c>
    </row>
    <row r="845" spans="1:4" x14ac:dyDescent="0.25">
      <c r="A845" t="s">
        <v>8176</v>
      </c>
      <c r="D845" s="2" t="s">
        <v>1493</v>
      </c>
    </row>
    <row r="846" spans="1:4" x14ac:dyDescent="0.25">
      <c r="A846" t="s">
        <v>8305</v>
      </c>
      <c r="D846" s="2" t="s">
        <v>3823</v>
      </c>
    </row>
    <row r="847" spans="1:4" x14ac:dyDescent="0.25">
      <c r="A847" t="s">
        <v>8310</v>
      </c>
      <c r="D847" s="2" t="s">
        <v>10222</v>
      </c>
    </row>
    <row r="848" spans="1:4" x14ac:dyDescent="0.25">
      <c r="A848" t="s">
        <v>8313</v>
      </c>
      <c r="D848" s="2" t="s">
        <v>6518</v>
      </c>
    </row>
    <row r="849" spans="1:4" x14ac:dyDescent="0.25">
      <c r="A849" t="s">
        <v>8313</v>
      </c>
      <c r="D849" s="2" t="s">
        <v>3975</v>
      </c>
    </row>
    <row r="850" spans="1:4" x14ac:dyDescent="0.25">
      <c r="A850" t="s">
        <v>8313</v>
      </c>
      <c r="D850" s="2" t="s">
        <v>5404</v>
      </c>
    </row>
    <row r="851" spans="1:4" x14ac:dyDescent="0.25">
      <c r="A851" t="s">
        <v>8318</v>
      </c>
      <c r="D851" s="2" t="s">
        <v>7160</v>
      </c>
    </row>
    <row r="852" spans="1:4" x14ac:dyDescent="0.25">
      <c r="A852" t="s">
        <v>8323</v>
      </c>
      <c r="D852" s="2" t="s">
        <v>8849</v>
      </c>
    </row>
    <row r="853" spans="1:4" x14ac:dyDescent="0.25">
      <c r="A853" t="s">
        <v>8329</v>
      </c>
      <c r="D853" s="2" t="s">
        <v>1512</v>
      </c>
    </row>
    <row r="854" spans="1:4" x14ac:dyDescent="0.25">
      <c r="A854" t="s">
        <v>8332</v>
      </c>
      <c r="D854" s="2" t="s">
        <v>9611</v>
      </c>
    </row>
    <row r="855" spans="1:4" x14ac:dyDescent="0.25">
      <c r="A855" t="s">
        <v>8356</v>
      </c>
      <c r="D855" s="2" t="s">
        <v>6502</v>
      </c>
    </row>
    <row r="856" spans="1:4" x14ac:dyDescent="0.25">
      <c r="A856" t="s">
        <v>8041</v>
      </c>
      <c r="D856" s="2" t="s">
        <v>9938</v>
      </c>
    </row>
    <row r="857" spans="1:4" x14ac:dyDescent="0.25">
      <c r="A857" t="s">
        <v>8045</v>
      </c>
      <c r="D857" s="2" t="s">
        <v>1542</v>
      </c>
    </row>
    <row r="858" spans="1:4" x14ac:dyDescent="0.25">
      <c r="A858" t="s">
        <v>8045</v>
      </c>
      <c r="D858" s="2" t="s">
        <v>1942</v>
      </c>
    </row>
    <row r="859" spans="1:4" x14ac:dyDescent="0.25">
      <c r="A859" t="s">
        <v>8341</v>
      </c>
      <c r="D859" s="2" t="s">
        <v>9604</v>
      </c>
    </row>
    <row r="860" spans="1:4" x14ac:dyDescent="0.25">
      <c r="A860" t="s">
        <v>8344</v>
      </c>
      <c r="D860" s="2" t="s">
        <v>1939</v>
      </c>
    </row>
    <row r="861" spans="1:4" x14ac:dyDescent="0.25">
      <c r="A861" t="s">
        <v>8344</v>
      </c>
      <c r="D861" s="2" t="s">
        <v>6069</v>
      </c>
    </row>
    <row r="862" spans="1:4" x14ac:dyDescent="0.25">
      <c r="A862" t="s">
        <v>8344</v>
      </c>
      <c r="D862" s="2" t="s">
        <v>8948</v>
      </c>
    </row>
    <row r="863" spans="1:4" x14ac:dyDescent="0.25">
      <c r="A863" t="s">
        <v>7541</v>
      </c>
      <c r="D863" s="2" t="s">
        <v>5745</v>
      </c>
    </row>
    <row r="864" spans="1:4" x14ac:dyDescent="0.25">
      <c r="A864" t="s">
        <v>8106</v>
      </c>
      <c r="D864" s="2" t="s">
        <v>2180</v>
      </c>
    </row>
    <row r="865" spans="1:4" x14ac:dyDescent="0.25">
      <c r="A865" t="s">
        <v>8160</v>
      </c>
      <c r="D865" s="2" t="s">
        <v>1187</v>
      </c>
    </row>
    <row r="866" spans="1:4" x14ac:dyDescent="0.25">
      <c r="A866" t="s">
        <v>8166</v>
      </c>
      <c r="D866" s="2" t="s">
        <v>2139</v>
      </c>
    </row>
    <row r="867" spans="1:4" x14ac:dyDescent="0.25">
      <c r="A867" t="s">
        <v>8256</v>
      </c>
      <c r="D867" s="2" t="s">
        <v>6690</v>
      </c>
    </row>
    <row r="868" spans="1:4" x14ac:dyDescent="0.25">
      <c r="A868" t="s">
        <v>8112</v>
      </c>
      <c r="D868" s="2" t="s">
        <v>6097</v>
      </c>
    </row>
    <row r="869" spans="1:4" x14ac:dyDescent="0.25">
      <c r="A869" t="s">
        <v>8118</v>
      </c>
      <c r="D869" s="2" t="s">
        <v>6957</v>
      </c>
    </row>
    <row r="870" spans="1:4" x14ac:dyDescent="0.25">
      <c r="A870" t="s">
        <v>8122</v>
      </c>
      <c r="D870" s="2" t="s">
        <v>2136</v>
      </c>
    </row>
    <row r="871" spans="1:4" x14ac:dyDescent="0.25">
      <c r="A871" t="s">
        <v>8122</v>
      </c>
      <c r="D871" s="2" t="s">
        <v>9745</v>
      </c>
    </row>
    <row r="872" spans="1:4" x14ac:dyDescent="0.25">
      <c r="A872" t="s">
        <v>8128</v>
      </c>
      <c r="D872" s="2" t="s">
        <v>4908</v>
      </c>
    </row>
    <row r="873" spans="1:4" x14ac:dyDescent="0.25">
      <c r="A873" t="s">
        <v>8131</v>
      </c>
      <c r="D873" s="2" t="s">
        <v>9471</v>
      </c>
    </row>
    <row r="874" spans="1:4" x14ac:dyDescent="0.25">
      <c r="A874" t="s">
        <v>8131</v>
      </c>
      <c r="D874" s="2" t="s">
        <v>6615</v>
      </c>
    </row>
    <row r="875" spans="1:4" x14ac:dyDescent="0.25">
      <c r="A875" t="s">
        <v>8135</v>
      </c>
      <c r="D875" s="2" t="s">
        <v>2601</v>
      </c>
    </row>
    <row r="876" spans="1:4" x14ac:dyDescent="0.25">
      <c r="A876" t="s">
        <v>8147</v>
      </c>
      <c r="D876" s="2" t="s">
        <v>9280</v>
      </c>
    </row>
    <row r="877" spans="1:4" x14ac:dyDescent="0.25">
      <c r="A877" t="s">
        <v>8151</v>
      </c>
      <c r="D877" s="2" t="s">
        <v>5098</v>
      </c>
    </row>
    <row r="878" spans="1:4" x14ac:dyDescent="0.25">
      <c r="A878" t="s">
        <v>8156</v>
      </c>
      <c r="D878" s="2" t="s">
        <v>8131</v>
      </c>
    </row>
    <row r="879" spans="1:4" x14ac:dyDescent="0.25">
      <c r="A879" t="s">
        <v>8140</v>
      </c>
      <c r="D879" s="2" t="s">
        <v>5858</v>
      </c>
    </row>
    <row r="880" spans="1:4" x14ac:dyDescent="0.25">
      <c r="A880" t="s">
        <v>7390</v>
      </c>
      <c r="D880" s="2" t="s">
        <v>8559</v>
      </c>
    </row>
    <row r="881" spans="1:4" x14ac:dyDescent="0.25">
      <c r="A881" t="s">
        <v>7546</v>
      </c>
      <c r="D881" s="2" t="s">
        <v>3938</v>
      </c>
    </row>
    <row r="882" spans="1:4" x14ac:dyDescent="0.25">
      <c r="A882" t="s">
        <v>7549</v>
      </c>
      <c r="D882" s="2" t="s">
        <v>5220</v>
      </c>
    </row>
    <row r="883" spans="1:4" x14ac:dyDescent="0.25">
      <c r="A883" t="s">
        <v>7551</v>
      </c>
      <c r="D883" s="2" t="s">
        <v>5175</v>
      </c>
    </row>
    <row r="884" spans="1:4" x14ac:dyDescent="0.25">
      <c r="A884" t="s">
        <v>7570</v>
      </c>
      <c r="D884" s="2" t="s">
        <v>270</v>
      </c>
    </row>
    <row r="885" spans="1:4" x14ac:dyDescent="0.25">
      <c r="A885" t="s">
        <v>7584</v>
      </c>
      <c r="D885" s="2" t="s">
        <v>276</v>
      </c>
    </row>
    <row r="886" spans="1:4" x14ac:dyDescent="0.25">
      <c r="A886" t="s">
        <v>7640</v>
      </c>
      <c r="D886" s="2" t="s">
        <v>1027</v>
      </c>
    </row>
    <row r="887" spans="1:4" x14ac:dyDescent="0.25">
      <c r="A887" t="s">
        <v>7643</v>
      </c>
      <c r="D887" s="2" t="s">
        <v>9776</v>
      </c>
    </row>
    <row r="888" spans="1:4" x14ac:dyDescent="0.25">
      <c r="A888" t="s">
        <v>7646</v>
      </c>
      <c r="D888" s="2" t="s">
        <v>7340</v>
      </c>
    </row>
    <row r="889" spans="1:4" x14ac:dyDescent="0.25">
      <c r="A889" t="s">
        <v>7649</v>
      </c>
      <c r="D889" s="2" t="s">
        <v>5526</v>
      </c>
    </row>
    <row r="890" spans="1:4" x14ac:dyDescent="0.25">
      <c r="A890" t="s">
        <v>7661</v>
      </c>
      <c r="D890" s="2" t="s">
        <v>9875</v>
      </c>
    </row>
    <row r="891" spans="1:4" x14ac:dyDescent="0.25">
      <c r="A891" t="s">
        <v>7665</v>
      </c>
      <c r="D891" s="2" t="s">
        <v>8453</v>
      </c>
    </row>
    <row r="892" spans="1:4" x14ac:dyDescent="0.25">
      <c r="A892" t="s">
        <v>7669</v>
      </c>
      <c r="D892" s="2" t="s">
        <v>8094</v>
      </c>
    </row>
    <row r="893" spans="1:4" x14ac:dyDescent="0.25">
      <c r="A893" t="s">
        <v>7675</v>
      </c>
      <c r="D893" s="2" t="s">
        <v>8310</v>
      </c>
    </row>
    <row r="894" spans="1:4" x14ac:dyDescent="0.25">
      <c r="A894" t="s">
        <v>7681</v>
      </c>
      <c r="D894" s="2" t="s">
        <v>4956</v>
      </c>
    </row>
    <row r="895" spans="1:4" x14ac:dyDescent="0.25">
      <c r="A895" t="s">
        <v>7750</v>
      </c>
      <c r="D895" s="2" t="s">
        <v>4972</v>
      </c>
    </row>
    <row r="896" spans="1:4" x14ac:dyDescent="0.25">
      <c r="A896" t="s">
        <v>7784</v>
      </c>
      <c r="D896" s="2" t="s">
        <v>6705</v>
      </c>
    </row>
    <row r="897" spans="1:4" x14ac:dyDescent="0.25">
      <c r="A897" t="s">
        <v>7864</v>
      </c>
      <c r="D897" s="2" t="s">
        <v>5359</v>
      </c>
    </row>
    <row r="898" spans="1:4" x14ac:dyDescent="0.25">
      <c r="A898" t="s">
        <v>7892</v>
      </c>
      <c r="D898" s="2" t="s">
        <v>6230</v>
      </c>
    </row>
    <row r="899" spans="1:4" x14ac:dyDescent="0.25">
      <c r="A899" t="s">
        <v>7896</v>
      </c>
      <c r="D899" s="2" t="s">
        <v>5622</v>
      </c>
    </row>
    <row r="900" spans="1:4" x14ac:dyDescent="0.25">
      <c r="A900" t="s">
        <v>7913</v>
      </c>
      <c r="D900" s="2" t="s">
        <v>5322</v>
      </c>
    </row>
    <row r="901" spans="1:4" x14ac:dyDescent="0.25">
      <c r="A901" t="s">
        <v>7925</v>
      </c>
      <c r="D901" s="2" t="s">
        <v>6846</v>
      </c>
    </row>
    <row r="902" spans="1:4" x14ac:dyDescent="0.25">
      <c r="A902" t="s">
        <v>7929</v>
      </c>
      <c r="D902" s="2" t="s">
        <v>9109</v>
      </c>
    </row>
    <row r="903" spans="1:4" x14ac:dyDescent="0.25">
      <c r="A903" t="s">
        <v>7939</v>
      </c>
      <c r="D903" s="2" t="s">
        <v>125</v>
      </c>
    </row>
    <row r="904" spans="1:4" x14ac:dyDescent="0.25">
      <c r="A904" t="s">
        <v>7944</v>
      </c>
      <c r="D904" s="2" t="s">
        <v>6592</v>
      </c>
    </row>
    <row r="905" spans="1:4" x14ac:dyDescent="0.25">
      <c r="A905" t="s">
        <v>7960</v>
      </c>
      <c r="D905" s="2" t="s">
        <v>5647</v>
      </c>
    </row>
    <row r="906" spans="1:4" x14ac:dyDescent="0.25">
      <c r="A906" t="s">
        <v>7960</v>
      </c>
      <c r="D906" s="2" t="s">
        <v>6883</v>
      </c>
    </row>
    <row r="907" spans="1:4" x14ac:dyDescent="0.25">
      <c r="A907" t="s">
        <v>7960</v>
      </c>
      <c r="D907" s="2" t="s">
        <v>6889</v>
      </c>
    </row>
    <row r="908" spans="1:4" x14ac:dyDescent="0.25">
      <c r="A908" t="s">
        <v>7960</v>
      </c>
      <c r="D908" s="2" t="s">
        <v>6609</v>
      </c>
    </row>
    <row r="909" spans="1:4" x14ac:dyDescent="0.25">
      <c r="A909" t="s">
        <v>7981</v>
      </c>
      <c r="D909" s="2" t="s">
        <v>5575</v>
      </c>
    </row>
    <row r="910" spans="1:4" x14ac:dyDescent="0.25">
      <c r="A910" t="s">
        <v>7991</v>
      </c>
      <c r="D910" s="2" t="s">
        <v>3928</v>
      </c>
    </row>
    <row r="911" spans="1:4" x14ac:dyDescent="0.25">
      <c r="A911" t="s">
        <v>7858</v>
      </c>
      <c r="D911" s="2" t="s">
        <v>7108</v>
      </c>
    </row>
    <row r="912" spans="1:4" x14ac:dyDescent="0.25">
      <c r="A912" t="s">
        <v>7626</v>
      </c>
      <c r="D912" s="2" t="s">
        <v>1137</v>
      </c>
    </row>
    <row r="913" spans="1:4" x14ac:dyDescent="0.25">
      <c r="A913" t="s">
        <v>7706</v>
      </c>
      <c r="D913" s="2" t="s">
        <v>4723</v>
      </c>
    </row>
    <row r="914" spans="1:4" x14ac:dyDescent="0.25">
      <c r="A914" t="s">
        <v>7712</v>
      </c>
      <c r="D914" s="2" t="s">
        <v>1611</v>
      </c>
    </row>
    <row r="915" spans="1:4" x14ac:dyDescent="0.25">
      <c r="A915" t="s">
        <v>7734</v>
      </c>
      <c r="D915" s="2" t="s">
        <v>1622</v>
      </c>
    </row>
    <row r="916" spans="1:4" x14ac:dyDescent="0.25">
      <c r="A916" t="s">
        <v>7779</v>
      </c>
      <c r="D916" s="2" t="s">
        <v>3842</v>
      </c>
    </row>
    <row r="917" spans="1:4" x14ac:dyDescent="0.25">
      <c r="A917" t="s">
        <v>7822</v>
      </c>
      <c r="D917" s="2" t="s">
        <v>5296</v>
      </c>
    </row>
    <row r="918" spans="1:4" x14ac:dyDescent="0.25">
      <c r="A918" t="s">
        <v>7826</v>
      </c>
      <c r="D918" s="2" t="s">
        <v>10304</v>
      </c>
    </row>
    <row r="919" spans="1:4" x14ac:dyDescent="0.25">
      <c r="A919" t="s">
        <v>7834</v>
      </c>
      <c r="D919" s="2" t="s">
        <v>2616</v>
      </c>
    </row>
    <row r="920" spans="1:4" x14ac:dyDescent="0.25">
      <c r="A920" t="s">
        <v>7847</v>
      </c>
      <c r="D920" s="2" t="s">
        <v>2146</v>
      </c>
    </row>
    <row r="921" spans="1:4" x14ac:dyDescent="0.25">
      <c r="A921" t="s">
        <v>7878</v>
      </c>
      <c r="D921" s="2" t="s">
        <v>2443</v>
      </c>
    </row>
    <row r="922" spans="1:4" x14ac:dyDescent="0.25">
      <c r="A922" t="s">
        <v>7901</v>
      </c>
      <c r="D922" s="2" t="s">
        <v>2352</v>
      </c>
    </row>
    <row r="923" spans="1:4" x14ac:dyDescent="0.25">
      <c r="A923" t="s">
        <v>7904</v>
      </c>
      <c r="D923" s="2" t="s">
        <v>9283</v>
      </c>
    </row>
    <row r="924" spans="1:4" x14ac:dyDescent="0.25">
      <c r="A924" t="s">
        <v>7935</v>
      </c>
      <c r="D924" s="2" t="s">
        <v>3139</v>
      </c>
    </row>
    <row r="925" spans="1:4" x14ac:dyDescent="0.25">
      <c r="A925" t="s">
        <v>7986</v>
      </c>
      <c r="D925" s="2" t="s">
        <v>3201</v>
      </c>
    </row>
    <row r="926" spans="1:4" x14ac:dyDescent="0.25">
      <c r="A926" t="s">
        <v>8050</v>
      </c>
      <c r="D926" s="2" t="s">
        <v>3193</v>
      </c>
    </row>
    <row r="927" spans="1:4" x14ac:dyDescent="0.25">
      <c r="A927" t="s">
        <v>8050</v>
      </c>
      <c r="D927" s="2" t="s">
        <v>3136</v>
      </c>
    </row>
    <row r="928" spans="1:4" x14ac:dyDescent="0.25">
      <c r="A928" t="s">
        <v>8050</v>
      </c>
      <c r="D928" s="2" t="s">
        <v>2019</v>
      </c>
    </row>
    <row r="929" spans="1:4" x14ac:dyDescent="0.25">
      <c r="A929" t="s">
        <v>8050</v>
      </c>
      <c r="D929" s="2" t="s">
        <v>2016</v>
      </c>
    </row>
    <row r="930" spans="1:4" x14ac:dyDescent="0.25">
      <c r="A930" t="s">
        <v>8061</v>
      </c>
      <c r="D930" s="2" t="s">
        <v>1851</v>
      </c>
    </row>
    <row r="931" spans="1:4" x14ac:dyDescent="0.25">
      <c r="A931" t="s">
        <v>8065</v>
      </c>
      <c r="D931" s="2" t="s">
        <v>3449</v>
      </c>
    </row>
    <row r="932" spans="1:4" x14ac:dyDescent="0.25">
      <c r="A932" t="s">
        <v>8069</v>
      </c>
      <c r="D932" s="2" t="s">
        <v>1915</v>
      </c>
    </row>
    <row r="933" spans="1:4" x14ac:dyDescent="0.25">
      <c r="A933" t="s">
        <v>8073</v>
      </c>
      <c r="D933" s="2" t="s">
        <v>5118</v>
      </c>
    </row>
    <row r="934" spans="1:4" x14ac:dyDescent="0.25">
      <c r="A934" t="s">
        <v>8077</v>
      </c>
      <c r="D934" s="2" t="s">
        <v>5182</v>
      </c>
    </row>
    <row r="935" spans="1:4" x14ac:dyDescent="0.25">
      <c r="A935" t="s">
        <v>8077</v>
      </c>
      <c r="D935" s="2" t="s">
        <v>191</v>
      </c>
    </row>
    <row r="936" spans="1:4" x14ac:dyDescent="0.25">
      <c r="A936" t="s">
        <v>8077</v>
      </c>
      <c r="D936" s="2" t="s">
        <v>10029</v>
      </c>
    </row>
    <row r="937" spans="1:4" x14ac:dyDescent="0.25">
      <c r="A937" t="s">
        <v>8085</v>
      </c>
      <c r="D937" s="2" t="s">
        <v>9770</v>
      </c>
    </row>
    <row r="938" spans="1:4" x14ac:dyDescent="0.25">
      <c r="A938" t="s">
        <v>8088</v>
      </c>
      <c r="D938" s="2" t="s">
        <v>4340</v>
      </c>
    </row>
    <row r="939" spans="1:4" x14ac:dyDescent="0.25">
      <c r="A939" t="s">
        <v>7293</v>
      </c>
      <c r="D939" s="2" t="s">
        <v>7854</v>
      </c>
    </row>
    <row r="940" spans="1:4" x14ac:dyDescent="0.25">
      <c r="A940" t="s">
        <v>7590</v>
      </c>
      <c r="D940" s="2" t="s">
        <v>7838</v>
      </c>
    </row>
    <row r="941" spans="1:4" x14ac:dyDescent="0.25">
      <c r="A941" t="s">
        <v>7592</v>
      </c>
      <c r="D941" s="2" t="s">
        <v>9396</v>
      </c>
    </row>
    <row r="942" spans="1:4" x14ac:dyDescent="0.25">
      <c r="A942" t="s">
        <v>7612</v>
      </c>
      <c r="D942" s="2" t="s">
        <v>116</v>
      </c>
    </row>
    <row r="943" spans="1:4" x14ac:dyDescent="0.25">
      <c r="A943" t="s">
        <v>7654</v>
      </c>
      <c r="D943" s="2" t="s">
        <v>4375</v>
      </c>
    </row>
    <row r="944" spans="1:4" x14ac:dyDescent="0.25">
      <c r="A944" t="s">
        <v>7808</v>
      </c>
      <c r="D944" s="2" t="s">
        <v>4923</v>
      </c>
    </row>
    <row r="945" spans="1:4" x14ac:dyDescent="0.25">
      <c r="A945" t="s">
        <v>7811</v>
      </c>
      <c r="D945" s="2" t="s">
        <v>4669</v>
      </c>
    </row>
    <row r="946" spans="1:4" x14ac:dyDescent="0.25">
      <c r="A946" t="s">
        <v>7812</v>
      </c>
      <c r="D946" s="2" t="s">
        <v>6850</v>
      </c>
    </row>
    <row r="947" spans="1:4" x14ac:dyDescent="0.25">
      <c r="A947" t="s">
        <v>7814</v>
      </c>
      <c r="D947" s="2" t="s">
        <v>4556</v>
      </c>
    </row>
    <row r="948" spans="1:4" x14ac:dyDescent="0.25">
      <c r="A948" t="s">
        <v>7817</v>
      </c>
      <c r="D948" s="2" t="s">
        <v>6668</v>
      </c>
    </row>
    <row r="949" spans="1:4" x14ac:dyDescent="0.25">
      <c r="A949" t="s">
        <v>7887</v>
      </c>
      <c r="D949" s="2" t="s">
        <v>6463</v>
      </c>
    </row>
    <row r="950" spans="1:4" x14ac:dyDescent="0.25">
      <c r="A950" t="s">
        <v>7971</v>
      </c>
      <c r="D950" s="2" t="s">
        <v>4509</v>
      </c>
    </row>
    <row r="951" spans="1:4" x14ac:dyDescent="0.25">
      <c r="A951" t="s">
        <v>7975</v>
      </c>
      <c r="D951" s="2" t="s">
        <v>4008</v>
      </c>
    </row>
    <row r="952" spans="1:4" x14ac:dyDescent="0.25">
      <c r="A952" t="s">
        <v>8094</v>
      </c>
      <c r="D952" s="2" t="s">
        <v>1113</v>
      </c>
    </row>
    <row r="953" spans="1:4" x14ac:dyDescent="0.25">
      <c r="A953" t="s">
        <v>8094</v>
      </c>
      <c r="D953" s="2" t="s">
        <v>6635</v>
      </c>
    </row>
    <row r="954" spans="1:4" x14ac:dyDescent="0.25">
      <c r="A954" t="s">
        <v>8098</v>
      </c>
      <c r="D954" s="2" t="s">
        <v>325</v>
      </c>
    </row>
    <row r="955" spans="1:4" x14ac:dyDescent="0.25">
      <c r="A955" t="s">
        <v>8101</v>
      </c>
      <c r="D955" s="2" t="s">
        <v>8983</v>
      </c>
    </row>
    <row r="956" spans="1:4" x14ac:dyDescent="0.25">
      <c r="A956" t="s">
        <v>7555</v>
      </c>
      <c r="D956" s="2" t="s">
        <v>6828</v>
      </c>
    </row>
    <row r="957" spans="1:4" x14ac:dyDescent="0.25">
      <c r="A957" t="s">
        <v>7561</v>
      </c>
      <c r="D957" s="2" t="s">
        <v>9724</v>
      </c>
    </row>
    <row r="958" spans="1:4" x14ac:dyDescent="0.25">
      <c r="A958" t="s">
        <v>7566</v>
      </c>
      <c r="D958" s="2" t="s">
        <v>8202</v>
      </c>
    </row>
    <row r="959" spans="1:4" x14ac:dyDescent="0.25">
      <c r="A959" t="s">
        <v>7771</v>
      </c>
      <c r="D959" s="2" t="s">
        <v>8873</v>
      </c>
    </row>
    <row r="960" spans="1:4" x14ac:dyDescent="0.25">
      <c r="A960" t="s">
        <v>7774</v>
      </c>
      <c r="D960" s="2" t="s">
        <v>4694</v>
      </c>
    </row>
    <row r="961" spans="1:4" x14ac:dyDescent="0.25">
      <c r="A961" t="s">
        <v>7803</v>
      </c>
      <c r="D961" s="2" t="s">
        <v>1592</v>
      </c>
    </row>
    <row r="962" spans="1:4" x14ac:dyDescent="0.25">
      <c r="A962" t="s">
        <v>7917</v>
      </c>
      <c r="D962" s="2" t="s">
        <v>5452</v>
      </c>
    </row>
    <row r="963" spans="1:4" x14ac:dyDescent="0.25">
      <c r="A963" t="s">
        <v>7920</v>
      </c>
      <c r="D963" s="2" t="s">
        <v>5914</v>
      </c>
    </row>
    <row r="964" spans="1:4" x14ac:dyDescent="0.25">
      <c r="A964" t="s">
        <v>7574</v>
      </c>
      <c r="D964" s="2" t="s">
        <v>5441</v>
      </c>
    </row>
    <row r="965" spans="1:4" x14ac:dyDescent="0.25">
      <c r="A965" t="s">
        <v>7577</v>
      </c>
      <c r="D965" s="2" t="s">
        <v>4770</v>
      </c>
    </row>
    <row r="966" spans="1:4" x14ac:dyDescent="0.25">
      <c r="A966" t="s">
        <v>7723</v>
      </c>
      <c r="D966" s="2" t="s">
        <v>5816</v>
      </c>
    </row>
    <row r="967" spans="1:4" x14ac:dyDescent="0.25">
      <c r="A967" t="s">
        <v>7746</v>
      </c>
      <c r="D967" s="2" t="s">
        <v>9839</v>
      </c>
    </row>
    <row r="968" spans="1:4" x14ac:dyDescent="0.25">
      <c r="A968" t="s">
        <v>7830</v>
      </c>
      <c r="D968" s="2" t="s">
        <v>9964</v>
      </c>
    </row>
    <row r="969" spans="1:4" x14ac:dyDescent="0.25">
      <c r="A969" t="s">
        <v>7843</v>
      </c>
      <c r="D969" s="2" t="s">
        <v>9975</v>
      </c>
    </row>
    <row r="970" spans="1:4" x14ac:dyDescent="0.25">
      <c r="A970" t="s">
        <v>7869</v>
      </c>
      <c r="D970" s="2" t="s">
        <v>9893</v>
      </c>
    </row>
    <row r="971" spans="1:4" x14ac:dyDescent="0.25">
      <c r="A971" t="s">
        <v>7454</v>
      </c>
      <c r="D971" s="2" t="s">
        <v>887</v>
      </c>
    </row>
    <row r="972" spans="1:4" x14ac:dyDescent="0.25">
      <c r="A972" t="s">
        <v>7716</v>
      </c>
      <c r="D972" s="2" t="s">
        <v>905</v>
      </c>
    </row>
    <row r="973" spans="1:4" x14ac:dyDescent="0.25">
      <c r="A973" t="s">
        <v>7719</v>
      </c>
      <c r="D973" s="2" t="s">
        <v>2870</v>
      </c>
    </row>
    <row r="974" spans="1:4" x14ac:dyDescent="0.25">
      <c r="A974" t="s">
        <v>7950</v>
      </c>
      <c r="D974" s="2" t="s">
        <v>2349</v>
      </c>
    </row>
    <row r="975" spans="1:4" x14ac:dyDescent="0.25">
      <c r="A975" t="s">
        <v>7470</v>
      </c>
      <c r="D975" s="2" t="s">
        <v>708</v>
      </c>
    </row>
    <row r="976" spans="1:4" x14ac:dyDescent="0.25">
      <c r="A976" t="s">
        <v>7474</v>
      </c>
      <c r="D976" s="2" t="s">
        <v>3072</v>
      </c>
    </row>
    <row r="977" spans="1:4" x14ac:dyDescent="0.25">
      <c r="A977" t="s">
        <v>7477</v>
      </c>
      <c r="D977" s="2" t="s">
        <v>9076</v>
      </c>
    </row>
    <row r="978" spans="1:4" x14ac:dyDescent="0.25">
      <c r="A978" t="s">
        <v>7480</v>
      </c>
      <c r="D978" s="2" t="s">
        <v>1815</v>
      </c>
    </row>
    <row r="979" spans="1:4" x14ac:dyDescent="0.25">
      <c r="A979" t="s">
        <v>7596</v>
      </c>
      <c r="D979" s="2" t="s">
        <v>5155</v>
      </c>
    </row>
    <row r="980" spans="1:4" x14ac:dyDescent="0.25">
      <c r="A980" t="s">
        <v>7687</v>
      </c>
      <c r="D980" s="2" t="s">
        <v>5105</v>
      </c>
    </row>
    <row r="981" spans="1:4" x14ac:dyDescent="0.25">
      <c r="A981" t="s">
        <v>7691</v>
      </c>
      <c r="D981" s="2" t="s">
        <v>10057</v>
      </c>
    </row>
    <row r="982" spans="1:4" x14ac:dyDescent="0.25">
      <c r="A982" t="s">
        <v>7696</v>
      </c>
      <c r="D982" s="2" t="s">
        <v>7280</v>
      </c>
    </row>
    <row r="983" spans="1:4" x14ac:dyDescent="0.25">
      <c r="A983" t="s">
        <v>7696</v>
      </c>
      <c r="D983" s="2" t="s">
        <v>5485</v>
      </c>
    </row>
    <row r="984" spans="1:4" x14ac:dyDescent="0.25">
      <c r="A984" t="s">
        <v>7702</v>
      </c>
      <c r="D984" s="2" t="s">
        <v>5743</v>
      </c>
    </row>
    <row r="985" spans="1:4" x14ac:dyDescent="0.25">
      <c r="A985" t="s">
        <v>7728</v>
      </c>
      <c r="D985" s="2" t="s">
        <v>8714</v>
      </c>
    </row>
    <row r="986" spans="1:4" x14ac:dyDescent="0.25">
      <c r="A986" t="s">
        <v>7742</v>
      </c>
      <c r="D986" s="2" t="s">
        <v>6148</v>
      </c>
    </row>
    <row r="987" spans="1:4" x14ac:dyDescent="0.25">
      <c r="A987" t="s">
        <v>7755</v>
      </c>
      <c r="D987" s="2" t="s">
        <v>1353</v>
      </c>
    </row>
    <row r="988" spans="1:4" x14ac:dyDescent="0.25">
      <c r="A988" t="s">
        <v>7758</v>
      </c>
      <c r="D988" s="2" t="s">
        <v>4447</v>
      </c>
    </row>
    <row r="989" spans="1:4" x14ac:dyDescent="0.25">
      <c r="A989" t="s">
        <v>7789</v>
      </c>
      <c r="D989" s="2" t="s">
        <v>4400</v>
      </c>
    </row>
    <row r="990" spans="1:4" x14ac:dyDescent="0.25">
      <c r="A990" t="s">
        <v>7793</v>
      </c>
      <c r="D990" s="2" t="s">
        <v>4421</v>
      </c>
    </row>
    <row r="991" spans="1:4" x14ac:dyDescent="0.25">
      <c r="A991" t="s">
        <v>7793</v>
      </c>
      <c r="D991" s="2" t="s">
        <v>6559</v>
      </c>
    </row>
    <row r="992" spans="1:4" x14ac:dyDescent="0.25">
      <c r="A992" t="s">
        <v>7852</v>
      </c>
      <c r="D992" s="2" t="s">
        <v>6176</v>
      </c>
    </row>
    <row r="993" spans="1:4" x14ac:dyDescent="0.25">
      <c r="A993" t="s">
        <v>7854</v>
      </c>
      <c r="D993" s="2" t="s">
        <v>6685</v>
      </c>
    </row>
    <row r="994" spans="1:4" x14ac:dyDescent="0.25">
      <c r="A994" t="s">
        <v>7873</v>
      </c>
      <c r="D994" s="2" t="s">
        <v>5960</v>
      </c>
    </row>
    <row r="995" spans="1:4" x14ac:dyDescent="0.25">
      <c r="A995" t="s">
        <v>7882</v>
      </c>
      <c r="D995" s="2" t="s">
        <v>4495</v>
      </c>
    </row>
    <row r="996" spans="1:4" x14ac:dyDescent="0.25">
      <c r="A996" t="s">
        <v>7633</v>
      </c>
      <c r="D996" s="2" t="s">
        <v>6894</v>
      </c>
    </row>
    <row r="997" spans="1:4" x14ac:dyDescent="0.25">
      <c r="A997" t="s">
        <v>7763</v>
      </c>
      <c r="D997" s="2" t="s">
        <v>4161</v>
      </c>
    </row>
    <row r="998" spans="1:4" x14ac:dyDescent="0.25">
      <c r="A998" t="s">
        <v>7838</v>
      </c>
      <c r="D998" s="2" t="s">
        <v>5415</v>
      </c>
    </row>
    <row r="999" spans="1:4" x14ac:dyDescent="0.25">
      <c r="A999" t="s">
        <v>7956</v>
      </c>
      <c r="D999" s="2" t="s">
        <v>3901</v>
      </c>
    </row>
    <row r="1000" spans="1:4" x14ac:dyDescent="0.25">
      <c r="A1000" t="s">
        <v>7423</v>
      </c>
      <c r="D1000" s="2" t="s">
        <v>9934</v>
      </c>
    </row>
    <row r="1001" spans="1:4" x14ac:dyDescent="0.25">
      <c r="A1001" t="s">
        <v>8016</v>
      </c>
      <c r="D1001" s="2" t="s">
        <v>4536</v>
      </c>
    </row>
    <row r="1002" spans="1:4" x14ac:dyDescent="0.25">
      <c r="A1002" t="s">
        <v>8016</v>
      </c>
      <c r="D1002" s="2" t="s">
        <v>9006</v>
      </c>
    </row>
    <row r="1003" spans="1:4" x14ac:dyDescent="0.25">
      <c r="A1003" t="s">
        <v>8020</v>
      </c>
      <c r="D1003" s="2" t="s">
        <v>8960</v>
      </c>
    </row>
    <row r="1004" spans="1:4" x14ac:dyDescent="0.25">
      <c r="A1004" t="s">
        <v>8023</v>
      </c>
      <c r="D1004" s="2" t="s">
        <v>6074</v>
      </c>
    </row>
    <row r="1005" spans="1:4" x14ac:dyDescent="0.25">
      <c r="A1005" t="s">
        <v>8026</v>
      </c>
      <c r="D1005" s="2" t="s">
        <v>7177</v>
      </c>
    </row>
    <row r="1006" spans="1:4" x14ac:dyDescent="0.25">
      <c r="A1006" t="s">
        <v>8026</v>
      </c>
      <c r="D1006" s="2" t="s">
        <v>9408</v>
      </c>
    </row>
    <row r="1007" spans="1:4" x14ac:dyDescent="0.25">
      <c r="A1007" t="s">
        <v>8026</v>
      </c>
      <c r="D1007" s="2" t="s">
        <v>4697</v>
      </c>
    </row>
    <row r="1008" spans="1:4" x14ac:dyDescent="0.25">
      <c r="A1008" t="s">
        <v>8031</v>
      </c>
      <c r="D1008" s="2" t="s">
        <v>5283</v>
      </c>
    </row>
    <row r="1009" spans="1:4" x14ac:dyDescent="0.25">
      <c r="A1009" t="s">
        <v>8031</v>
      </c>
      <c r="D1009" s="2" t="s">
        <v>5829</v>
      </c>
    </row>
    <row r="1010" spans="1:4" x14ac:dyDescent="0.25">
      <c r="A1010" t="s">
        <v>8031</v>
      </c>
      <c r="D1010" s="2" t="s">
        <v>4789</v>
      </c>
    </row>
    <row r="1011" spans="1:4" x14ac:dyDescent="0.25">
      <c r="A1011" t="s">
        <v>8036</v>
      </c>
      <c r="D1011" s="2" t="s">
        <v>8916</v>
      </c>
    </row>
    <row r="1012" spans="1:4" x14ac:dyDescent="0.25">
      <c r="A1012" t="s">
        <v>7328</v>
      </c>
      <c r="D1012" s="2" t="s">
        <v>9845</v>
      </c>
    </row>
    <row r="1013" spans="1:4" x14ac:dyDescent="0.25">
      <c r="A1013" t="s">
        <v>7603</v>
      </c>
      <c r="D1013" s="2" t="s">
        <v>22</v>
      </c>
    </row>
    <row r="1014" spans="1:4" x14ac:dyDescent="0.25">
      <c r="A1014" t="s">
        <v>7607</v>
      </c>
      <c r="D1014" s="2" t="s">
        <v>884</v>
      </c>
    </row>
    <row r="1015" spans="1:4" x14ac:dyDescent="0.25">
      <c r="A1015" t="s">
        <v>7361</v>
      </c>
      <c r="D1015" s="2" t="s">
        <v>2913</v>
      </c>
    </row>
    <row r="1016" spans="1:4" x14ac:dyDescent="0.25">
      <c r="A1016" t="s">
        <v>7618</v>
      </c>
      <c r="D1016" s="2" t="s">
        <v>2022</v>
      </c>
    </row>
    <row r="1017" spans="1:4" x14ac:dyDescent="0.25">
      <c r="A1017" t="s">
        <v>7618</v>
      </c>
      <c r="D1017" s="2" t="s">
        <v>9343</v>
      </c>
    </row>
    <row r="1018" spans="1:4" x14ac:dyDescent="0.25">
      <c r="A1018" t="s">
        <v>7909</v>
      </c>
      <c r="D1018" s="2" t="s">
        <v>3275</v>
      </c>
    </row>
    <row r="1019" spans="1:4" x14ac:dyDescent="0.25">
      <c r="A1019" t="s">
        <v>7533</v>
      </c>
      <c r="D1019" s="2" t="s">
        <v>3323</v>
      </c>
    </row>
    <row r="1020" spans="1:4" x14ac:dyDescent="0.25">
      <c r="A1020" t="s">
        <v>7533</v>
      </c>
      <c r="D1020" s="2" t="s">
        <v>7031</v>
      </c>
    </row>
    <row r="1021" spans="1:4" x14ac:dyDescent="0.25">
      <c r="A1021" t="s">
        <v>7997</v>
      </c>
      <c r="D1021" s="2" t="s">
        <v>7971</v>
      </c>
    </row>
    <row r="1022" spans="1:4" x14ac:dyDescent="0.25">
      <c r="A1022" t="s">
        <v>7997</v>
      </c>
      <c r="D1022" s="2" t="s">
        <v>8606</v>
      </c>
    </row>
    <row r="1023" spans="1:4" x14ac:dyDescent="0.25">
      <c r="A1023" t="s">
        <v>8002</v>
      </c>
      <c r="D1023" s="2" t="s">
        <v>5023</v>
      </c>
    </row>
    <row r="1024" spans="1:4" x14ac:dyDescent="0.25">
      <c r="A1024" t="s">
        <v>8002</v>
      </c>
      <c r="D1024" s="2" t="s">
        <v>9823</v>
      </c>
    </row>
    <row r="1025" spans="1:4" x14ac:dyDescent="0.25">
      <c r="A1025" t="s">
        <v>8002</v>
      </c>
      <c r="D1025" s="2" t="s">
        <v>3302</v>
      </c>
    </row>
    <row r="1026" spans="1:4" x14ac:dyDescent="0.25">
      <c r="A1026" t="s">
        <v>8008</v>
      </c>
      <c r="D1026" s="2" t="s">
        <v>3416</v>
      </c>
    </row>
    <row r="1027" spans="1:4" x14ac:dyDescent="0.25">
      <c r="A1027" t="s">
        <v>8011</v>
      </c>
      <c r="D1027" s="2" t="s">
        <v>5383</v>
      </c>
    </row>
    <row r="1028" spans="1:4" x14ac:dyDescent="0.25">
      <c r="A1028" t="s">
        <v>7147</v>
      </c>
      <c r="D1028" s="2" t="s">
        <v>1208</v>
      </c>
    </row>
    <row r="1029" spans="1:4" x14ac:dyDescent="0.25">
      <c r="A1029" t="s">
        <v>7151</v>
      </c>
      <c r="D1029" s="2" t="s">
        <v>5990</v>
      </c>
    </row>
    <row r="1030" spans="1:4" x14ac:dyDescent="0.25">
      <c r="A1030" t="s">
        <v>7151</v>
      </c>
      <c r="D1030" s="2" t="s">
        <v>6458</v>
      </c>
    </row>
    <row r="1031" spans="1:4" x14ac:dyDescent="0.25">
      <c r="A1031" t="s">
        <v>7151</v>
      </c>
      <c r="D1031" s="2" t="s">
        <v>462</v>
      </c>
    </row>
    <row r="1032" spans="1:4" x14ac:dyDescent="0.25">
      <c r="A1032" t="s">
        <v>7151</v>
      </c>
      <c r="D1032" s="2" t="s">
        <v>6257</v>
      </c>
    </row>
    <row r="1033" spans="1:4" x14ac:dyDescent="0.25">
      <c r="A1033" t="s">
        <v>7151</v>
      </c>
      <c r="D1033" s="2" t="s">
        <v>9269</v>
      </c>
    </row>
    <row r="1034" spans="1:4" x14ac:dyDescent="0.25">
      <c r="A1034" t="s">
        <v>7160</v>
      </c>
      <c r="D1034" s="2" t="s">
        <v>9263</v>
      </c>
    </row>
    <row r="1035" spans="1:4" x14ac:dyDescent="0.25">
      <c r="A1035" t="s">
        <v>7160</v>
      </c>
      <c r="D1035" s="2" t="s">
        <v>9259</v>
      </c>
    </row>
    <row r="1036" spans="1:4" x14ac:dyDescent="0.25">
      <c r="A1036" t="s">
        <v>7160</v>
      </c>
      <c r="D1036" s="2" t="s">
        <v>1251</v>
      </c>
    </row>
    <row r="1037" spans="1:4" x14ac:dyDescent="0.25">
      <c r="A1037" t="s">
        <v>7166</v>
      </c>
      <c r="D1037" s="2" t="s">
        <v>8118</v>
      </c>
    </row>
    <row r="1038" spans="1:4" x14ac:dyDescent="0.25">
      <c r="A1038" t="s">
        <v>7169</v>
      </c>
      <c r="D1038" s="2" t="s">
        <v>154</v>
      </c>
    </row>
    <row r="1039" spans="1:4" x14ac:dyDescent="0.25">
      <c r="A1039" t="s">
        <v>7173</v>
      </c>
      <c r="D1039" s="2" t="s">
        <v>9678</v>
      </c>
    </row>
    <row r="1040" spans="1:4" x14ac:dyDescent="0.25">
      <c r="A1040" t="s">
        <v>7177</v>
      </c>
      <c r="D1040" s="2" t="s">
        <v>9789</v>
      </c>
    </row>
    <row r="1041" spans="1:4" x14ac:dyDescent="0.25">
      <c r="A1041" t="s">
        <v>7181</v>
      </c>
      <c r="D1041" s="2" t="s">
        <v>9713</v>
      </c>
    </row>
    <row r="1042" spans="1:4" x14ac:dyDescent="0.25">
      <c r="A1042" t="s">
        <v>7185</v>
      </c>
      <c r="D1042" s="2" t="s">
        <v>10005</v>
      </c>
    </row>
    <row r="1043" spans="1:4" x14ac:dyDescent="0.25">
      <c r="A1043" t="s">
        <v>7189</v>
      </c>
      <c r="D1043" s="2" t="s">
        <v>7852</v>
      </c>
    </row>
    <row r="1044" spans="1:4" x14ac:dyDescent="0.25">
      <c r="A1044" t="s">
        <v>7189</v>
      </c>
      <c r="D1044" s="2" t="s">
        <v>7423</v>
      </c>
    </row>
    <row r="1045" spans="1:4" x14ac:dyDescent="0.25">
      <c r="A1045" t="s">
        <v>7194</v>
      </c>
      <c r="D1045" s="2" t="s">
        <v>7858</v>
      </c>
    </row>
    <row r="1046" spans="1:4" x14ac:dyDescent="0.25">
      <c r="A1046" t="s">
        <v>7320</v>
      </c>
      <c r="D1046" s="2" t="s">
        <v>7758</v>
      </c>
    </row>
    <row r="1047" spans="1:4" x14ac:dyDescent="0.25">
      <c r="A1047" t="s">
        <v>7323</v>
      </c>
      <c r="D1047" s="2" t="s">
        <v>5779</v>
      </c>
    </row>
    <row r="1048" spans="1:4" x14ac:dyDescent="0.25">
      <c r="A1048" t="s">
        <v>7527</v>
      </c>
      <c r="D1048" s="2" t="s">
        <v>8424</v>
      </c>
    </row>
    <row r="1049" spans="1:4" x14ac:dyDescent="0.25">
      <c r="A1049" t="s">
        <v>7340</v>
      </c>
      <c r="D1049" s="2" t="s">
        <v>8428</v>
      </c>
    </row>
    <row r="1050" spans="1:4" x14ac:dyDescent="0.25">
      <c r="A1050" t="s">
        <v>7346</v>
      </c>
      <c r="D1050" s="2" t="s">
        <v>8442</v>
      </c>
    </row>
    <row r="1051" spans="1:4" x14ac:dyDescent="0.25">
      <c r="A1051" t="s">
        <v>7351</v>
      </c>
      <c r="D1051" s="2" t="s">
        <v>8523</v>
      </c>
    </row>
    <row r="1052" spans="1:4" x14ac:dyDescent="0.25">
      <c r="A1052" t="s">
        <v>7356</v>
      </c>
      <c r="D1052" s="2" t="s">
        <v>8479</v>
      </c>
    </row>
    <row r="1053" spans="1:4" x14ac:dyDescent="0.25">
      <c r="A1053" t="s">
        <v>6886</v>
      </c>
      <c r="D1053" s="2" t="s">
        <v>5775</v>
      </c>
    </row>
    <row r="1054" spans="1:4" x14ac:dyDescent="0.25">
      <c r="A1054" t="s">
        <v>6889</v>
      </c>
      <c r="D1054" s="2" t="s">
        <v>5787</v>
      </c>
    </row>
    <row r="1055" spans="1:4" x14ac:dyDescent="0.25">
      <c r="A1055" t="s">
        <v>7142</v>
      </c>
      <c r="D1055" s="2" t="s">
        <v>10201</v>
      </c>
    </row>
    <row r="1056" spans="1:4" x14ac:dyDescent="0.25">
      <c r="A1056" t="s">
        <v>7380</v>
      </c>
      <c r="D1056" s="2" t="s">
        <v>6291</v>
      </c>
    </row>
    <row r="1057" spans="1:4" x14ac:dyDescent="0.25">
      <c r="A1057" t="s">
        <v>7334</v>
      </c>
      <c r="D1057" s="2" t="s">
        <v>5791</v>
      </c>
    </row>
    <row r="1058" spans="1:4" x14ac:dyDescent="0.25">
      <c r="A1058" t="s">
        <v>7373</v>
      </c>
      <c r="D1058" s="2" t="s">
        <v>1555</v>
      </c>
    </row>
    <row r="1059" spans="1:4" x14ac:dyDescent="0.25">
      <c r="A1059" t="s">
        <v>7373</v>
      </c>
      <c r="D1059" s="2" t="s">
        <v>4432</v>
      </c>
    </row>
    <row r="1060" spans="1:4" x14ac:dyDescent="0.25">
      <c r="A1060" t="s">
        <v>7397</v>
      </c>
      <c r="D1060" s="2" t="s">
        <v>4471</v>
      </c>
    </row>
    <row r="1061" spans="1:4" x14ac:dyDescent="0.25">
      <c r="A1061" t="s">
        <v>7416</v>
      </c>
      <c r="D1061" s="2" t="s">
        <v>4935</v>
      </c>
    </row>
    <row r="1062" spans="1:4" x14ac:dyDescent="0.25">
      <c r="A1062" t="s">
        <v>7438</v>
      </c>
      <c r="D1062" s="2" t="s">
        <v>4929</v>
      </c>
    </row>
    <row r="1063" spans="1:4" x14ac:dyDescent="0.25">
      <c r="A1063" t="s">
        <v>7466</v>
      </c>
      <c r="D1063" s="2" t="s">
        <v>4993</v>
      </c>
    </row>
    <row r="1064" spans="1:4" x14ac:dyDescent="0.25">
      <c r="A1064" t="s">
        <v>7504</v>
      </c>
      <c r="D1064" s="2" t="s">
        <v>5005</v>
      </c>
    </row>
    <row r="1065" spans="1:4" x14ac:dyDescent="0.25">
      <c r="A1065" t="s">
        <v>7514</v>
      </c>
      <c r="D1065" s="2" t="s">
        <v>5008</v>
      </c>
    </row>
    <row r="1066" spans="1:4" x14ac:dyDescent="0.25">
      <c r="A1066" t="s">
        <v>7522</v>
      </c>
      <c r="D1066" s="2" t="s">
        <v>5011</v>
      </c>
    </row>
    <row r="1067" spans="1:4" x14ac:dyDescent="0.25">
      <c r="A1067" t="s">
        <v>7299</v>
      </c>
      <c r="D1067" s="2" t="s">
        <v>5017</v>
      </c>
    </row>
    <row r="1068" spans="1:4" x14ac:dyDescent="0.25">
      <c r="A1068" t="s">
        <v>7299</v>
      </c>
      <c r="D1068" s="2" t="s">
        <v>4911</v>
      </c>
    </row>
    <row r="1069" spans="1:4" x14ac:dyDescent="0.25">
      <c r="A1069" t="s">
        <v>7299</v>
      </c>
      <c r="D1069" s="2" t="s">
        <v>5616</v>
      </c>
    </row>
    <row r="1070" spans="1:4" x14ac:dyDescent="0.25">
      <c r="A1070" t="s">
        <v>7367</v>
      </c>
      <c r="D1070" s="2" t="s">
        <v>6085</v>
      </c>
    </row>
    <row r="1071" spans="1:4" x14ac:dyDescent="0.25">
      <c r="A1071" t="s">
        <v>7367</v>
      </c>
      <c r="D1071" s="2" t="s">
        <v>9317</v>
      </c>
    </row>
    <row r="1072" spans="1:4" x14ac:dyDescent="0.25">
      <c r="A1072" t="s">
        <v>7420</v>
      </c>
      <c r="D1072" s="2" t="s">
        <v>5398</v>
      </c>
    </row>
    <row r="1073" spans="1:4" x14ac:dyDescent="0.25">
      <c r="A1073" t="s">
        <v>7423</v>
      </c>
      <c r="D1073" s="2" t="s">
        <v>8944</v>
      </c>
    </row>
    <row r="1074" spans="1:4" x14ac:dyDescent="0.25">
      <c r="A1074" t="s">
        <v>7423</v>
      </c>
      <c r="D1074" s="2" t="s">
        <v>4647</v>
      </c>
    </row>
    <row r="1075" spans="1:4" x14ac:dyDescent="0.25">
      <c r="A1075" t="s">
        <v>7427</v>
      </c>
      <c r="D1075" s="2" t="s">
        <v>6790</v>
      </c>
    </row>
    <row r="1076" spans="1:4" x14ac:dyDescent="0.25">
      <c r="A1076" t="s">
        <v>7430</v>
      </c>
      <c r="D1076" s="2" t="s">
        <v>6785</v>
      </c>
    </row>
    <row r="1077" spans="1:4" x14ac:dyDescent="0.25">
      <c r="A1077" t="s">
        <v>7433</v>
      </c>
      <c r="D1077" s="2" t="s">
        <v>9833</v>
      </c>
    </row>
    <row r="1078" spans="1:4" x14ac:dyDescent="0.25">
      <c r="A1078" t="s">
        <v>7442</v>
      </c>
      <c r="D1078" s="2" t="s">
        <v>9864</v>
      </c>
    </row>
    <row r="1079" spans="1:4" x14ac:dyDescent="0.25">
      <c r="A1079" t="s">
        <v>7444</v>
      </c>
      <c r="D1079" s="2" t="s">
        <v>2264</v>
      </c>
    </row>
    <row r="1080" spans="1:4" x14ac:dyDescent="0.25">
      <c r="A1080" t="s">
        <v>7446</v>
      </c>
      <c r="D1080" s="2" t="s">
        <v>2326</v>
      </c>
    </row>
    <row r="1081" spans="1:4" x14ac:dyDescent="0.25">
      <c r="A1081" t="s">
        <v>7450</v>
      </c>
      <c r="D1081" s="2" t="s">
        <v>2258</v>
      </c>
    </row>
    <row r="1082" spans="1:4" x14ac:dyDescent="0.25">
      <c r="A1082" t="s">
        <v>7488</v>
      </c>
      <c r="D1082" s="2" t="s">
        <v>3132</v>
      </c>
    </row>
    <row r="1083" spans="1:4" x14ac:dyDescent="0.25">
      <c r="A1083" t="s">
        <v>7510</v>
      </c>
      <c r="D1083" s="2" t="s">
        <v>659</v>
      </c>
    </row>
    <row r="1084" spans="1:4" x14ac:dyDescent="0.25">
      <c r="A1084" t="s">
        <v>7401</v>
      </c>
      <c r="D1084" s="2" t="s">
        <v>3350</v>
      </c>
    </row>
    <row r="1085" spans="1:4" x14ac:dyDescent="0.25">
      <c r="A1085" t="s">
        <v>7404</v>
      </c>
      <c r="D1085" s="2" t="s">
        <v>9147</v>
      </c>
    </row>
    <row r="1086" spans="1:4" x14ac:dyDescent="0.25">
      <c r="A1086" t="s">
        <v>7407</v>
      </c>
      <c r="D1086" s="2" t="s">
        <v>1214</v>
      </c>
    </row>
    <row r="1087" spans="1:4" x14ac:dyDescent="0.25">
      <c r="A1087" t="s">
        <v>7409</v>
      </c>
      <c r="D1087" s="2" t="s">
        <v>10294</v>
      </c>
    </row>
    <row r="1088" spans="1:4" x14ac:dyDescent="0.25">
      <c r="A1088" t="s">
        <v>7412</v>
      </c>
      <c r="D1088" s="2" t="s">
        <v>9792</v>
      </c>
    </row>
    <row r="1089" spans="1:4" x14ac:dyDescent="0.25">
      <c r="A1089" t="s">
        <v>7461</v>
      </c>
      <c r="D1089" s="2" t="s">
        <v>10256</v>
      </c>
    </row>
    <row r="1090" spans="1:4" x14ac:dyDescent="0.25">
      <c r="A1090" t="s">
        <v>7484</v>
      </c>
      <c r="D1090" s="2" t="s">
        <v>5530</v>
      </c>
    </row>
    <row r="1091" spans="1:4" x14ac:dyDescent="0.25">
      <c r="A1091" t="s">
        <v>7004</v>
      </c>
      <c r="D1091" s="2" t="s">
        <v>4795</v>
      </c>
    </row>
    <row r="1092" spans="1:4" x14ac:dyDescent="0.25">
      <c r="A1092" t="s">
        <v>7008</v>
      </c>
      <c r="D1092" s="2" t="s">
        <v>5482</v>
      </c>
    </row>
    <row r="1093" spans="1:4" x14ac:dyDescent="0.25">
      <c r="A1093" t="s">
        <v>7011</v>
      </c>
      <c r="D1093" s="2" t="s">
        <v>7461</v>
      </c>
    </row>
    <row r="1094" spans="1:4" x14ac:dyDescent="0.25">
      <c r="A1094" t="s">
        <v>7011</v>
      </c>
      <c r="D1094" s="2" t="s">
        <v>7991</v>
      </c>
    </row>
    <row r="1095" spans="1:4" x14ac:dyDescent="0.25">
      <c r="A1095" t="s">
        <v>7039</v>
      </c>
      <c r="D1095" s="2" t="s">
        <v>9061</v>
      </c>
    </row>
    <row r="1096" spans="1:4" x14ac:dyDescent="0.25">
      <c r="A1096" t="s">
        <v>7216</v>
      </c>
      <c r="D1096" s="2" t="s">
        <v>1569</v>
      </c>
    </row>
    <row r="1097" spans="1:4" x14ac:dyDescent="0.25">
      <c r="A1097" t="s">
        <v>7237</v>
      </c>
      <c r="D1097" s="2" t="s">
        <v>104</v>
      </c>
    </row>
    <row r="1098" spans="1:4" x14ac:dyDescent="0.25">
      <c r="A1098" t="s">
        <v>7243</v>
      </c>
      <c r="D1098" s="2" t="s">
        <v>9465</v>
      </c>
    </row>
    <row r="1099" spans="1:4" x14ac:dyDescent="0.25">
      <c r="A1099" t="s">
        <v>7245</v>
      </c>
      <c r="D1099" s="2" t="s">
        <v>6414</v>
      </c>
    </row>
    <row r="1100" spans="1:4" x14ac:dyDescent="0.25">
      <c r="A1100" t="s">
        <v>7307</v>
      </c>
      <c r="D1100" s="2" t="s">
        <v>6596</v>
      </c>
    </row>
    <row r="1101" spans="1:4" x14ac:dyDescent="0.25">
      <c r="A1101" t="s">
        <v>7310</v>
      </c>
      <c r="D1101" s="2" t="s">
        <v>6352</v>
      </c>
    </row>
    <row r="1102" spans="1:4" x14ac:dyDescent="0.25">
      <c r="A1102" t="s">
        <v>7386</v>
      </c>
      <c r="D1102" s="2" t="s">
        <v>6301</v>
      </c>
    </row>
    <row r="1103" spans="1:4" x14ac:dyDescent="0.25">
      <c r="A1103" t="s">
        <v>7494</v>
      </c>
      <c r="D1103" s="2" t="s">
        <v>4644</v>
      </c>
    </row>
    <row r="1104" spans="1:4" x14ac:dyDescent="0.25">
      <c r="A1104" t="s">
        <v>7499</v>
      </c>
      <c r="D1104" s="2" t="s">
        <v>4622</v>
      </c>
    </row>
    <row r="1105" spans="1:4" x14ac:dyDescent="0.25">
      <c r="A1105" t="s">
        <v>6872</v>
      </c>
      <c r="D1105" s="2" t="s">
        <v>3598</v>
      </c>
    </row>
    <row r="1106" spans="1:4" x14ac:dyDescent="0.25">
      <c r="A1106" t="s">
        <v>6872</v>
      </c>
      <c r="D1106" s="2" t="s">
        <v>4756</v>
      </c>
    </row>
    <row r="1107" spans="1:4" x14ac:dyDescent="0.25">
      <c r="A1107" t="s">
        <v>6872</v>
      </c>
      <c r="D1107" s="2" t="s">
        <v>9855</v>
      </c>
    </row>
    <row r="1108" spans="1:4" x14ac:dyDescent="0.25">
      <c r="A1108" t="s">
        <v>6872</v>
      </c>
      <c r="D1108" s="2" t="s">
        <v>2150</v>
      </c>
    </row>
    <row r="1109" spans="1:4" x14ac:dyDescent="0.25">
      <c r="A1109" t="s">
        <v>7315</v>
      </c>
      <c r="D1109" s="2" t="s">
        <v>2556</v>
      </c>
    </row>
    <row r="1110" spans="1:4" x14ac:dyDescent="0.25">
      <c r="A1110" t="s">
        <v>6930</v>
      </c>
      <c r="D1110" s="2" t="s">
        <v>629</v>
      </c>
    </row>
    <row r="1111" spans="1:4" x14ac:dyDescent="0.25">
      <c r="A1111" t="s">
        <v>7209</v>
      </c>
      <c r="D1111" s="2" t="s">
        <v>2980</v>
      </c>
    </row>
    <row r="1112" spans="1:4" x14ac:dyDescent="0.25">
      <c r="A1112" t="s">
        <v>7212</v>
      </c>
      <c r="D1112" s="2" t="s">
        <v>3116</v>
      </c>
    </row>
    <row r="1113" spans="1:4" x14ac:dyDescent="0.25">
      <c r="A1113" t="s">
        <v>7275</v>
      </c>
      <c r="D1113" s="2" t="s">
        <v>1315</v>
      </c>
    </row>
    <row r="1114" spans="1:4" x14ac:dyDescent="0.25">
      <c r="A1114" t="s">
        <v>6822</v>
      </c>
      <c r="D1114" s="2" t="s">
        <v>2012</v>
      </c>
    </row>
    <row r="1115" spans="1:4" x14ac:dyDescent="0.25">
      <c r="A1115" t="s">
        <v>5660</v>
      </c>
      <c r="D1115" s="2" t="s">
        <v>8397</v>
      </c>
    </row>
    <row r="1116" spans="1:4" x14ac:dyDescent="0.25">
      <c r="A1116" t="s">
        <v>6919</v>
      </c>
      <c r="D1116" s="2" t="s">
        <v>3007</v>
      </c>
    </row>
    <row r="1117" spans="1:4" x14ac:dyDescent="0.25">
      <c r="A1117" t="s">
        <v>6919</v>
      </c>
      <c r="D1117" s="2" t="s">
        <v>9368</v>
      </c>
    </row>
    <row r="1118" spans="1:4" x14ac:dyDescent="0.25">
      <c r="A1118" t="s">
        <v>7288</v>
      </c>
      <c r="D1118" s="2" t="s">
        <v>3287</v>
      </c>
    </row>
    <row r="1119" spans="1:4" x14ac:dyDescent="0.25">
      <c r="A1119" t="s">
        <v>7200</v>
      </c>
      <c r="D1119" s="2" t="s">
        <v>3233</v>
      </c>
    </row>
    <row r="1120" spans="1:4" x14ac:dyDescent="0.25">
      <c r="A1120" t="s">
        <v>7220</v>
      </c>
      <c r="D1120" s="2" t="s">
        <v>3569</v>
      </c>
    </row>
    <row r="1121" spans="1:4" x14ac:dyDescent="0.25">
      <c r="A1121" t="s">
        <v>7223</v>
      </c>
      <c r="D1121" s="2" t="s">
        <v>3572</v>
      </c>
    </row>
    <row r="1122" spans="1:4" x14ac:dyDescent="0.25">
      <c r="A1122" t="s">
        <v>7226</v>
      </c>
      <c r="D1122" s="2" t="s">
        <v>5163</v>
      </c>
    </row>
    <row r="1123" spans="1:4" x14ac:dyDescent="0.25">
      <c r="A1123" t="s">
        <v>7229</v>
      </c>
      <c r="D1123" s="2" t="s">
        <v>5101</v>
      </c>
    </row>
    <row r="1124" spans="1:4" x14ac:dyDescent="0.25">
      <c r="A1124" t="s">
        <v>7232</v>
      </c>
      <c r="D1124" s="2" t="s">
        <v>8122</v>
      </c>
    </row>
    <row r="1125" spans="1:4" x14ac:dyDescent="0.25">
      <c r="A1125" t="s">
        <v>7249</v>
      </c>
      <c r="D1125" s="2" t="s">
        <v>8112</v>
      </c>
    </row>
    <row r="1126" spans="1:4" x14ac:dyDescent="0.25">
      <c r="A1126" t="s">
        <v>7280</v>
      </c>
      <c r="D1126" s="2" t="s">
        <v>10279</v>
      </c>
    </row>
    <row r="1127" spans="1:4" x14ac:dyDescent="0.25">
      <c r="A1127" t="s">
        <v>7283</v>
      </c>
      <c r="D1127" s="2" t="s">
        <v>7474</v>
      </c>
    </row>
    <row r="1128" spans="1:4" x14ac:dyDescent="0.25">
      <c r="A1128" t="s">
        <v>7017</v>
      </c>
      <c r="D1128" s="2" t="s">
        <v>7416</v>
      </c>
    </row>
    <row r="1129" spans="1:4" x14ac:dyDescent="0.25">
      <c r="A1129" t="s">
        <v>7108</v>
      </c>
      <c r="D1129" s="2" t="s">
        <v>9608</v>
      </c>
    </row>
    <row r="1130" spans="1:4" x14ac:dyDescent="0.25">
      <c r="A1130" t="s">
        <v>7256</v>
      </c>
      <c r="D1130" s="2" t="s">
        <v>6344</v>
      </c>
    </row>
    <row r="1131" spans="1:4" x14ac:dyDescent="0.25">
      <c r="A1131" t="s">
        <v>7259</v>
      </c>
      <c r="D1131" s="2" t="s">
        <v>2177</v>
      </c>
    </row>
    <row r="1132" spans="1:4" x14ac:dyDescent="0.25">
      <c r="A1132" t="s">
        <v>7262</v>
      </c>
      <c r="D1132" s="2" t="s">
        <v>699</v>
      </c>
    </row>
    <row r="1133" spans="1:4" x14ac:dyDescent="0.25">
      <c r="A1133" t="s">
        <v>7265</v>
      </c>
      <c r="D1133" s="2" t="s">
        <v>9333</v>
      </c>
    </row>
    <row r="1134" spans="1:4" x14ac:dyDescent="0.25">
      <c r="A1134" t="s">
        <v>7268</v>
      </c>
      <c r="D1134" s="2" t="s">
        <v>8256</v>
      </c>
    </row>
    <row r="1135" spans="1:4" x14ac:dyDescent="0.25">
      <c r="A1135" t="s">
        <v>7270</v>
      </c>
      <c r="D1135" s="2" t="s">
        <v>520</v>
      </c>
    </row>
    <row r="1136" spans="1:4" x14ac:dyDescent="0.25">
      <c r="A1136" t="s">
        <v>6907</v>
      </c>
      <c r="D1136" s="2" t="s">
        <v>515</v>
      </c>
    </row>
    <row r="1137" spans="1:4" x14ac:dyDescent="0.25">
      <c r="A1137" t="s">
        <v>6907</v>
      </c>
      <c r="D1137" s="2" t="s">
        <v>9763</v>
      </c>
    </row>
    <row r="1138" spans="1:4" x14ac:dyDescent="0.25">
      <c r="A1138" t="s">
        <v>6907</v>
      </c>
      <c r="D1138" s="2" t="s">
        <v>9641</v>
      </c>
    </row>
    <row r="1139" spans="1:4" x14ac:dyDescent="0.25">
      <c r="A1139" t="s">
        <v>7085</v>
      </c>
      <c r="D1139" s="2" t="s">
        <v>9710</v>
      </c>
    </row>
    <row r="1140" spans="1:4" x14ac:dyDescent="0.25">
      <c r="A1140" t="s">
        <v>7085</v>
      </c>
      <c r="D1140" s="2" t="s">
        <v>10267</v>
      </c>
    </row>
    <row r="1141" spans="1:4" x14ac:dyDescent="0.25">
      <c r="A1141" t="s">
        <v>7103</v>
      </c>
      <c r="D1141" s="2" t="s">
        <v>9659</v>
      </c>
    </row>
    <row r="1142" spans="1:4" x14ac:dyDescent="0.25">
      <c r="A1142" t="s">
        <v>6950</v>
      </c>
      <c r="D1142" s="2" t="s">
        <v>10284</v>
      </c>
    </row>
    <row r="1143" spans="1:4" x14ac:dyDescent="0.25">
      <c r="A1143" t="s">
        <v>6954</v>
      </c>
      <c r="D1143" s="2" t="s">
        <v>10297</v>
      </c>
    </row>
    <row r="1144" spans="1:4" x14ac:dyDescent="0.25">
      <c r="A1144" t="s">
        <v>6957</v>
      </c>
      <c r="D1144" s="2" t="s">
        <v>1020</v>
      </c>
    </row>
    <row r="1145" spans="1:4" x14ac:dyDescent="0.25">
      <c r="A1145" t="s">
        <v>6961</v>
      </c>
      <c r="D1145" s="2" t="s">
        <v>7367</v>
      </c>
    </row>
    <row r="1146" spans="1:4" x14ac:dyDescent="0.25">
      <c r="A1146" t="s">
        <v>6961</v>
      </c>
      <c r="D1146" s="2" t="s">
        <v>4805</v>
      </c>
    </row>
    <row r="1147" spans="1:4" x14ac:dyDescent="0.25">
      <c r="A1147" t="s">
        <v>6961</v>
      </c>
      <c r="D1147" s="2" t="s">
        <v>6035</v>
      </c>
    </row>
    <row r="1148" spans="1:4" x14ac:dyDescent="0.25">
      <c r="A1148" t="s">
        <v>6961</v>
      </c>
      <c r="D1148" s="2" t="s">
        <v>7590</v>
      </c>
    </row>
    <row r="1149" spans="1:4" x14ac:dyDescent="0.25">
      <c r="A1149" t="s">
        <v>6967</v>
      </c>
      <c r="D1149" s="2" t="s">
        <v>7450</v>
      </c>
    </row>
    <row r="1150" spans="1:4" x14ac:dyDescent="0.25">
      <c r="A1150" t="s">
        <v>6971</v>
      </c>
      <c r="D1150" s="2" t="s">
        <v>7681</v>
      </c>
    </row>
    <row r="1151" spans="1:4" x14ac:dyDescent="0.25">
      <c r="A1151" t="s">
        <v>6971</v>
      </c>
      <c r="D1151" s="2" t="s">
        <v>7864</v>
      </c>
    </row>
    <row r="1152" spans="1:4" x14ac:dyDescent="0.25">
      <c r="A1152" t="s">
        <v>6975</v>
      </c>
      <c r="D1152" s="2" t="s">
        <v>7577</v>
      </c>
    </row>
    <row r="1153" spans="1:4" x14ac:dyDescent="0.25">
      <c r="A1153" t="s">
        <v>6979</v>
      </c>
      <c r="D1153" s="2" t="s">
        <v>7275</v>
      </c>
    </row>
    <row r="1154" spans="1:4" x14ac:dyDescent="0.25">
      <c r="A1154" t="s">
        <v>6982</v>
      </c>
      <c r="D1154" s="2" t="s">
        <v>8808</v>
      </c>
    </row>
    <row r="1155" spans="1:4" x14ac:dyDescent="0.25">
      <c r="A1155" t="s">
        <v>6982</v>
      </c>
      <c r="D1155" s="2" t="s">
        <v>8822</v>
      </c>
    </row>
    <row r="1156" spans="1:4" x14ac:dyDescent="0.25">
      <c r="A1156" t="s">
        <v>6982</v>
      </c>
      <c r="D1156" s="2" t="s">
        <v>8799</v>
      </c>
    </row>
    <row r="1157" spans="1:4" x14ac:dyDescent="0.25">
      <c r="A1157" t="s">
        <v>6987</v>
      </c>
      <c r="D1157" s="2" t="s">
        <v>4826</v>
      </c>
    </row>
    <row r="1158" spans="1:4" x14ac:dyDescent="0.25">
      <c r="A1158" t="s">
        <v>6990</v>
      </c>
      <c r="D1158" s="2" t="s">
        <v>8265</v>
      </c>
    </row>
    <row r="1159" spans="1:4" x14ac:dyDescent="0.25">
      <c r="A1159" t="s">
        <v>6993</v>
      </c>
      <c r="D1159" s="2" t="s">
        <v>8568</v>
      </c>
    </row>
    <row r="1160" spans="1:4" x14ac:dyDescent="0.25">
      <c r="A1160" t="s">
        <v>6996</v>
      </c>
      <c r="D1160" s="2" t="s">
        <v>5767</v>
      </c>
    </row>
    <row r="1161" spans="1:4" x14ac:dyDescent="0.25">
      <c r="A1161" t="s">
        <v>6999</v>
      </c>
      <c r="D1161" s="2" t="s">
        <v>8640</v>
      </c>
    </row>
    <row r="1162" spans="1:4" x14ac:dyDescent="0.25">
      <c r="A1162" t="s">
        <v>7091</v>
      </c>
      <c r="D1162" s="2" t="s">
        <v>8545</v>
      </c>
    </row>
    <row r="1163" spans="1:4" x14ac:dyDescent="0.25">
      <c r="A1163" t="s">
        <v>7091</v>
      </c>
      <c r="D1163" s="2" t="s">
        <v>8619</v>
      </c>
    </row>
    <row r="1164" spans="1:4" x14ac:dyDescent="0.25">
      <c r="A1164" t="s">
        <v>7091</v>
      </c>
      <c r="D1164" s="2" t="s">
        <v>8694</v>
      </c>
    </row>
    <row r="1165" spans="1:4" x14ac:dyDescent="0.25">
      <c r="A1165" t="s">
        <v>7091</v>
      </c>
      <c r="D1165" s="2" t="s">
        <v>8751</v>
      </c>
    </row>
    <row r="1166" spans="1:4" x14ac:dyDescent="0.25">
      <c r="A1166" t="s">
        <v>7091</v>
      </c>
      <c r="D1166" s="2" t="s">
        <v>8729</v>
      </c>
    </row>
    <row r="1167" spans="1:4" x14ac:dyDescent="0.25">
      <c r="A1167" t="s">
        <v>7091</v>
      </c>
      <c r="D1167" s="2" t="s">
        <v>10198</v>
      </c>
    </row>
    <row r="1168" spans="1:4" x14ac:dyDescent="0.25">
      <c r="A1168" t="s">
        <v>7091</v>
      </c>
      <c r="D1168" s="2" t="s">
        <v>6132</v>
      </c>
    </row>
    <row r="1169" spans="1:4" x14ac:dyDescent="0.25">
      <c r="A1169" t="s">
        <v>7091</v>
      </c>
      <c r="D1169" s="2" t="s">
        <v>7293</v>
      </c>
    </row>
    <row r="1170" spans="1:4" x14ac:dyDescent="0.25">
      <c r="A1170" t="s">
        <v>7091</v>
      </c>
      <c r="D1170" s="2" t="s">
        <v>5793</v>
      </c>
    </row>
    <row r="1171" spans="1:4" x14ac:dyDescent="0.25">
      <c r="A1171" t="s">
        <v>7091</v>
      </c>
      <c r="D1171" s="2" t="s">
        <v>6999</v>
      </c>
    </row>
    <row r="1172" spans="1:4" x14ac:dyDescent="0.25">
      <c r="A1172" t="s">
        <v>6390</v>
      </c>
      <c r="D1172" s="2" t="s">
        <v>8020</v>
      </c>
    </row>
    <row r="1173" spans="1:4" x14ac:dyDescent="0.25">
      <c r="A1173" t="s">
        <v>6668</v>
      </c>
      <c r="D1173" s="2" t="s">
        <v>6996</v>
      </c>
    </row>
    <row r="1174" spans="1:4" x14ac:dyDescent="0.25">
      <c r="A1174" t="s">
        <v>6673</v>
      </c>
      <c r="D1174" s="2" t="s">
        <v>8085</v>
      </c>
    </row>
    <row r="1175" spans="1:4" x14ac:dyDescent="0.25">
      <c r="A1175" t="s">
        <v>6772</v>
      </c>
      <c r="D1175" s="2" t="s">
        <v>8069</v>
      </c>
    </row>
    <row r="1176" spans="1:4" x14ac:dyDescent="0.25">
      <c r="A1176" t="s">
        <v>6828</v>
      </c>
      <c r="D1176" s="2" t="s">
        <v>8088</v>
      </c>
    </row>
    <row r="1177" spans="1:4" x14ac:dyDescent="0.25">
      <c r="A1177" t="s">
        <v>6833</v>
      </c>
      <c r="D1177" s="2" t="s">
        <v>8073</v>
      </c>
    </row>
    <row r="1178" spans="1:4" x14ac:dyDescent="0.25">
      <c r="A1178" t="s">
        <v>6836</v>
      </c>
      <c r="D1178" s="2" t="s">
        <v>6990</v>
      </c>
    </row>
    <row r="1179" spans="1:4" x14ac:dyDescent="0.25">
      <c r="A1179" t="s">
        <v>7044</v>
      </c>
      <c r="D1179" s="2" t="s">
        <v>6950</v>
      </c>
    </row>
    <row r="1180" spans="1:4" x14ac:dyDescent="0.25">
      <c r="A1180" t="s">
        <v>7047</v>
      </c>
      <c r="D1180" s="2" t="s">
        <v>6975</v>
      </c>
    </row>
    <row r="1181" spans="1:4" x14ac:dyDescent="0.25">
      <c r="A1181" t="s">
        <v>7050</v>
      </c>
      <c r="D1181" s="2" t="s">
        <v>6987</v>
      </c>
    </row>
    <row r="1182" spans="1:4" x14ac:dyDescent="0.25">
      <c r="A1182" t="s">
        <v>7050</v>
      </c>
      <c r="D1182" s="2" t="s">
        <v>6967</v>
      </c>
    </row>
    <row r="1183" spans="1:4" x14ac:dyDescent="0.25">
      <c r="A1183" t="s">
        <v>7054</v>
      </c>
      <c r="D1183" s="2" t="s">
        <v>7008</v>
      </c>
    </row>
    <row r="1184" spans="1:4" x14ac:dyDescent="0.25">
      <c r="A1184" t="s">
        <v>7057</v>
      </c>
      <c r="D1184" s="2" t="s">
        <v>6568</v>
      </c>
    </row>
    <row r="1185" spans="1:4" x14ac:dyDescent="0.25">
      <c r="A1185" t="s">
        <v>7060</v>
      </c>
      <c r="D1185" s="2" t="s">
        <v>8045</v>
      </c>
    </row>
    <row r="1186" spans="1:4" x14ac:dyDescent="0.25">
      <c r="A1186" t="s">
        <v>7063</v>
      </c>
      <c r="D1186" s="2" t="s">
        <v>9535</v>
      </c>
    </row>
    <row r="1187" spans="1:4" x14ac:dyDescent="0.25">
      <c r="A1187" t="s">
        <v>7066</v>
      </c>
      <c r="D1187" s="2" t="s">
        <v>8261</v>
      </c>
    </row>
    <row r="1188" spans="1:4" x14ac:dyDescent="0.25">
      <c r="A1188" t="s">
        <v>7069</v>
      </c>
      <c r="D1188" s="2" t="s">
        <v>9176</v>
      </c>
    </row>
    <row r="1189" spans="1:4" x14ac:dyDescent="0.25">
      <c r="A1189" t="s">
        <v>7069</v>
      </c>
      <c r="D1189" s="2" t="s">
        <v>9138</v>
      </c>
    </row>
    <row r="1190" spans="1:4" x14ac:dyDescent="0.25">
      <c r="A1190" t="s">
        <v>7069</v>
      </c>
      <c r="D1190" s="2" t="s">
        <v>9387</v>
      </c>
    </row>
    <row r="1191" spans="1:4" x14ac:dyDescent="0.25">
      <c r="A1191" t="s">
        <v>7074</v>
      </c>
      <c r="D1191" s="2" t="s">
        <v>8341</v>
      </c>
    </row>
    <row r="1192" spans="1:4" x14ac:dyDescent="0.25">
      <c r="A1192" t="s">
        <v>7077</v>
      </c>
      <c r="D1192" s="2" t="s">
        <v>8318</v>
      </c>
    </row>
    <row r="1193" spans="1:4" x14ac:dyDescent="0.25">
      <c r="A1193" t="s">
        <v>7080</v>
      </c>
      <c r="D1193" s="2" t="s">
        <v>8305</v>
      </c>
    </row>
    <row r="1194" spans="1:4" x14ac:dyDescent="0.25">
      <c r="A1194" t="s">
        <v>7124</v>
      </c>
      <c r="D1194" s="2" t="s">
        <v>9399</v>
      </c>
    </row>
    <row r="1195" spans="1:4" x14ac:dyDescent="0.25">
      <c r="A1195" t="s">
        <v>7128</v>
      </c>
      <c r="D1195" s="2" t="s">
        <v>10251</v>
      </c>
    </row>
    <row r="1196" spans="1:4" x14ac:dyDescent="0.25">
      <c r="A1196" t="s">
        <v>6651</v>
      </c>
      <c r="D1196" s="2" t="s">
        <v>1349</v>
      </c>
    </row>
    <row r="1197" spans="1:4" x14ac:dyDescent="0.25">
      <c r="A1197" t="s">
        <v>6681</v>
      </c>
      <c r="D1197" s="2" t="s">
        <v>852</v>
      </c>
    </row>
    <row r="1198" spans="1:4" x14ac:dyDescent="0.25">
      <c r="A1198" t="s">
        <v>6722</v>
      </c>
      <c r="D1198" s="2" t="s">
        <v>4458</v>
      </c>
    </row>
    <row r="1199" spans="1:4" x14ac:dyDescent="0.25">
      <c r="A1199" t="s">
        <v>6722</v>
      </c>
      <c r="D1199" s="2" t="s">
        <v>4434</v>
      </c>
    </row>
    <row r="1200" spans="1:4" x14ac:dyDescent="0.25">
      <c r="A1200" t="s">
        <v>6727</v>
      </c>
      <c r="D1200" s="2" t="s">
        <v>9034</v>
      </c>
    </row>
    <row r="1201" spans="1:4" x14ac:dyDescent="0.25">
      <c r="A1201" t="s">
        <v>6727</v>
      </c>
      <c r="D1201" s="2" t="s">
        <v>4902</v>
      </c>
    </row>
    <row r="1202" spans="1:4" x14ac:dyDescent="0.25">
      <c r="A1202" t="s">
        <v>6727</v>
      </c>
      <c r="D1202" s="2" t="s">
        <v>4932</v>
      </c>
    </row>
    <row r="1203" spans="1:4" x14ac:dyDescent="0.25">
      <c r="A1203" t="s">
        <v>6732</v>
      </c>
      <c r="D1203" s="2" t="s">
        <v>4981</v>
      </c>
    </row>
    <row r="1204" spans="1:4" x14ac:dyDescent="0.25">
      <c r="A1204" t="s">
        <v>6735</v>
      </c>
      <c r="D1204" s="2" t="s">
        <v>5047</v>
      </c>
    </row>
    <row r="1205" spans="1:4" x14ac:dyDescent="0.25">
      <c r="A1205" t="s">
        <v>6738</v>
      </c>
      <c r="D1205" s="2" t="s">
        <v>6747</v>
      </c>
    </row>
    <row r="1206" spans="1:4" x14ac:dyDescent="0.25">
      <c r="A1206" t="s">
        <v>6741</v>
      </c>
      <c r="D1206" s="2" t="s">
        <v>9478</v>
      </c>
    </row>
    <row r="1207" spans="1:4" x14ac:dyDescent="0.25">
      <c r="A1207" t="s">
        <v>6744</v>
      </c>
      <c r="D1207" s="2" t="s">
        <v>1405</v>
      </c>
    </row>
    <row r="1208" spans="1:4" x14ac:dyDescent="0.25">
      <c r="A1208" t="s">
        <v>6747</v>
      </c>
      <c r="D1208" s="2" t="s">
        <v>3957</v>
      </c>
    </row>
    <row r="1209" spans="1:4" x14ac:dyDescent="0.25">
      <c r="A1209" t="s">
        <v>6750</v>
      </c>
      <c r="D1209" s="2" t="s">
        <v>4130</v>
      </c>
    </row>
    <row r="1210" spans="1:4" x14ac:dyDescent="0.25">
      <c r="A1210" t="s">
        <v>6753</v>
      </c>
      <c r="D1210" s="2" t="s">
        <v>4157</v>
      </c>
    </row>
    <row r="1211" spans="1:4" x14ac:dyDescent="0.25">
      <c r="A1211" t="s">
        <v>6756</v>
      </c>
      <c r="D1211" s="2" t="s">
        <v>4017</v>
      </c>
    </row>
    <row r="1212" spans="1:4" x14ac:dyDescent="0.25">
      <c r="A1212" t="s">
        <v>6780</v>
      </c>
      <c r="D1212" s="2" t="s">
        <v>4282</v>
      </c>
    </row>
    <row r="1213" spans="1:4" x14ac:dyDescent="0.25">
      <c r="A1213" t="s">
        <v>6785</v>
      </c>
      <c r="D1213" s="2" t="s">
        <v>4259</v>
      </c>
    </row>
    <row r="1214" spans="1:4" x14ac:dyDescent="0.25">
      <c r="A1214" t="s">
        <v>6817</v>
      </c>
      <c r="D1214" s="2" t="s">
        <v>3786</v>
      </c>
    </row>
    <row r="1215" spans="1:4" x14ac:dyDescent="0.25">
      <c r="A1215" t="s">
        <v>6846</v>
      </c>
      <c r="D1215" s="2" t="s">
        <v>375</v>
      </c>
    </row>
    <row r="1216" spans="1:4" x14ac:dyDescent="0.25">
      <c r="A1216" t="s">
        <v>7113</v>
      </c>
      <c r="D1216" s="2" t="s">
        <v>362</v>
      </c>
    </row>
    <row r="1217" spans="1:4" x14ac:dyDescent="0.25">
      <c r="A1217" t="s">
        <v>7119</v>
      </c>
      <c r="D1217" s="2" t="s">
        <v>4114</v>
      </c>
    </row>
    <row r="1218" spans="1:4" x14ac:dyDescent="0.25">
      <c r="A1218" t="s">
        <v>7134</v>
      </c>
      <c r="D1218" s="2" t="s">
        <v>10217</v>
      </c>
    </row>
    <row r="1219" spans="1:4" x14ac:dyDescent="0.25">
      <c r="A1219" t="s">
        <v>7137</v>
      </c>
      <c r="D1219" s="2" t="s">
        <v>6370</v>
      </c>
    </row>
    <row r="1220" spans="1:4" x14ac:dyDescent="0.25">
      <c r="A1220" t="s">
        <v>6657</v>
      </c>
      <c r="D1220" s="2" t="s">
        <v>7085</v>
      </c>
    </row>
    <row r="1221" spans="1:4" x14ac:dyDescent="0.25">
      <c r="A1221" t="s">
        <v>6663</v>
      </c>
      <c r="D1221" s="2" t="s">
        <v>5810</v>
      </c>
    </row>
    <row r="1222" spans="1:4" x14ac:dyDescent="0.25">
      <c r="A1222" t="s">
        <v>6809</v>
      </c>
      <c r="D1222" s="2" t="s">
        <v>9902</v>
      </c>
    </row>
    <row r="1223" spans="1:4" x14ac:dyDescent="0.25">
      <c r="A1223" t="s">
        <v>6812</v>
      </c>
      <c r="D1223" s="2" t="s">
        <v>9896</v>
      </c>
    </row>
    <row r="1224" spans="1:4" x14ac:dyDescent="0.25">
      <c r="A1224" t="s">
        <v>6850</v>
      </c>
      <c r="D1224" s="2" t="s">
        <v>2721</v>
      </c>
    </row>
    <row r="1225" spans="1:4" x14ac:dyDescent="0.25">
      <c r="A1225" t="s">
        <v>6902</v>
      </c>
      <c r="D1225" s="2" t="s">
        <v>9372</v>
      </c>
    </row>
    <row r="1226" spans="1:4" x14ac:dyDescent="0.25">
      <c r="A1226" t="s">
        <v>6914</v>
      </c>
      <c r="D1226" s="2" t="s">
        <v>5093</v>
      </c>
    </row>
    <row r="1227" spans="1:4" x14ac:dyDescent="0.25">
      <c r="A1227" t="s">
        <v>6936</v>
      </c>
      <c r="D1227" s="2" t="s">
        <v>5143</v>
      </c>
    </row>
    <row r="1228" spans="1:4" x14ac:dyDescent="0.25">
      <c r="A1228" t="s">
        <v>7022</v>
      </c>
      <c r="D1228" s="2" t="s">
        <v>5148</v>
      </c>
    </row>
    <row r="1229" spans="1:4" x14ac:dyDescent="0.25">
      <c r="A1229" t="s">
        <v>7025</v>
      </c>
      <c r="D1229" s="2" t="s">
        <v>5108</v>
      </c>
    </row>
    <row r="1230" spans="1:4" x14ac:dyDescent="0.25">
      <c r="A1230" t="s">
        <v>7028</v>
      </c>
      <c r="D1230" s="2" t="s">
        <v>5113</v>
      </c>
    </row>
    <row r="1231" spans="1:4" x14ac:dyDescent="0.25">
      <c r="A1231" t="s">
        <v>7031</v>
      </c>
      <c r="D1231" s="2" t="s">
        <v>5121</v>
      </c>
    </row>
    <row r="1232" spans="1:4" x14ac:dyDescent="0.25">
      <c r="A1232" t="s">
        <v>7034</v>
      </c>
      <c r="D1232" s="2" t="s">
        <v>10241</v>
      </c>
    </row>
    <row r="1233" spans="1:4" x14ac:dyDescent="0.25">
      <c r="A1233" t="s">
        <v>6685</v>
      </c>
      <c r="D1233" s="2" t="s">
        <v>10246</v>
      </c>
    </row>
    <row r="1234" spans="1:4" x14ac:dyDescent="0.25">
      <c r="A1234" t="s">
        <v>6486</v>
      </c>
      <c r="D1234" s="2" t="s">
        <v>9699</v>
      </c>
    </row>
    <row r="1235" spans="1:4" x14ac:dyDescent="0.25">
      <c r="A1235" t="s">
        <v>6690</v>
      </c>
      <c r="D1235" s="2" t="s">
        <v>9784</v>
      </c>
    </row>
    <row r="1236" spans="1:4" x14ac:dyDescent="0.25">
      <c r="A1236" t="s">
        <v>6693</v>
      </c>
      <c r="D1236" s="2" t="s">
        <v>9705</v>
      </c>
    </row>
    <row r="1237" spans="1:4" x14ac:dyDescent="0.25">
      <c r="A1237" t="s">
        <v>6841</v>
      </c>
      <c r="D1237" s="2" t="s">
        <v>493</v>
      </c>
    </row>
    <row r="1238" spans="1:4" x14ac:dyDescent="0.25">
      <c r="A1238" t="s">
        <v>6894</v>
      </c>
      <c r="D1238" s="2" t="s">
        <v>5498</v>
      </c>
    </row>
    <row r="1239" spans="1:4" x14ac:dyDescent="0.25">
      <c r="A1239" t="s">
        <v>6944</v>
      </c>
      <c r="D1239" s="2" t="s">
        <v>7956</v>
      </c>
    </row>
    <row r="1240" spans="1:4" x14ac:dyDescent="0.25">
      <c r="A1240" t="s">
        <v>6559</v>
      </c>
      <c r="D1240" s="2" t="s">
        <v>7412</v>
      </c>
    </row>
    <row r="1241" spans="1:4" x14ac:dyDescent="0.25">
      <c r="A1241" t="s">
        <v>6898</v>
      </c>
      <c r="D1241" s="2" t="s">
        <v>7734</v>
      </c>
    </row>
    <row r="1242" spans="1:4" x14ac:dyDescent="0.25">
      <c r="A1242" t="s">
        <v>6940</v>
      </c>
      <c r="D1242" s="2" t="s">
        <v>7570</v>
      </c>
    </row>
    <row r="1243" spans="1:4" x14ac:dyDescent="0.25">
      <c r="A1243" t="s">
        <v>6463</v>
      </c>
      <c r="D1243" s="2" t="s">
        <v>8656</v>
      </c>
    </row>
    <row r="1244" spans="1:4" x14ac:dyDescent="0.25">
      <c r="A1244" t="s">
        <v>6592</v>
      </c>
      <c r="D1244" s="2" t="s">
        <v>8860</v>
      </c>
    </row>
    <row r="1245" spans="1:4" x14ac:dyDescent="0.25">
      <c r="A1245" t="s">
        <v>6592</v>
      </c>
      <c r="D1245" s="2" t="s">
        <v>8636</v>
      </c>
    </row>
    <row r="1246" spans="1:4" x14ac:dyDescent="0.25">
      <c r="A1246" t="s">
        <v>6596</v>
      </c>
      <c r="D1246" s="2" t="s">
        <v>9191</v>
      </c>
    </row>
    <row r="1247" spans="1:4" x14ac:dyDescent="0.25">
      <c r="A1247" t="s">
        <v>6601</v>
      </c>
      <c r="D1247" s="2" t="s">
        <v>1002</v>
      </c>
    </row>
    <row r="1248" spans="1:4" x14ac:dyDescent="0.25">
      <c r="A1248" t="s">
        <v>6604</v>
      </c>
      <c r="D1248" s="2" t="s">
        <v>983</v>
      </c>
    </row>
    <row r="1249" spans="1:4" x14ac:dyDescent="0.25">
      <c r="A1249" t="s">
        <v>6645</v>
      </c>
      <c r="D1249" s="2" t="s">
        <v>1561</v>
      </c>
    </row>
    <row r="1250" spans="1:4" x14ac:dyDescent="0.25">
      <c r="A1250" t="s">
        <v>6645</v>
      </c>
      <c r="D1250" s="2" t="s">
        <v>4411</v>
      </c>
    </row>
    <row r="1251" spans="1:4" x14ac:dyDescent="0.25">
      <c r="A1251" t="s">
        <v>6855</v>
      </c>
      <c r="D1251" s="2" t="s">
        <v>4390</v>
      </c>
    </row>
    <row r="1252" spans="1:4" x14ac:dyDescent="0.25">
      <c r="A1252" t="s">
        <v>6858</v>
      </c>
      <c r="D1252" s="2" t="s">
        <v>4914</v>
      </c>
    </row>
    <row r="1253" spans="1:4" x14ac:dyDescent="0.25">
      <c r="A1253" t="s">
        <v>6861</v>
      </c>
      <c r="D1253" s="2" t="s">
        <v>6708</v>
      </c>
    </row>
    <row r="1254" spans="1:4" x14ac:dyDescent="0.25">
      <c r="A1254" t="s">
        <v>6864</v>
      </c>
      <c r="D1254" s="2" t="s">
        <v>10226</v>
      </c>
    </row>
    <row r="1255" spans="1:4" x14ac:dyDescent="0.25">
      <c r="A1255" t="s">
        <v>6867</v>
      </c>
      <c r="D1255" s="2" t="s">
        <v>10230</v>
      </c>
    </row>
    <row r="1256" spans="1:4" x14ac:dyDescent="0.25">
      <c r="A1256" t="s">
        <v>6883</v>
      </c>
      <c r="D1256" s="2" t="s">
        <v>4561</v>
      </c>
    </row>
    <row r="1257" spans="1:4" x14ac:dyDescent="0.25">
      <c r="A1257" t="s">
        <v>6886</v>
      </c>
      <c r="D1257" s="2" t="s">
        <v>6663</v>
      </c>
    </row>
    <row r="1258" spans="1:4" x14ac:dyDescent="0.25">
      <c r="A1258" t="s">
        <v>6889</v>
      </c>
      <c r="D1258" s="2" t="s">
        <v>6477</v>
      </c>
    </row>
    <row r="1259" spans="1:4" x14ac:dyDescent="0.25">
      <c r="A1259" t="s">
        <v>6301</v>
      </c>
      <c r="D1259" s="2" t="s">
        <v>6192</v>
      </c>
    </row>
    <row r="1260" spans="1:4" x14ac:dyDescent="0.25">
      <c r="A1260" t="s">
        <v>6305</v>
      </c>
      <c r="D1260" s="2" t="s">
        <v>335</v>
      </c>
    </row>
    <row r="1261" spans="1:4" x14ac:dyDescent="0.25">
      <c r="A1261" t="s">
        <v>6308</v>
      </c>
      <c r="D1261" s="2" t="s">
        <v>3716</v>
      </c>
    </row>
    <row r="1262" spans="1:4" x14ac:dyDescent="0.25">
      <c r="A1262" t="s">
        <v>6640</v>
      </c>
      <c r="D1262" s="2" t="s">
        <v>5075</v>
      </c>
    </row>
    <row r="1263" spans="1:4" x14ac:dyDescent="0.25">
      <c r="A1263" t="s">
        <v>6543</v>
      </c>
      <c r="D1263" s="2" t="s">
        <v>6886</v>
      </c>
    </row>
    <row r="1264" spans="1:4" x14ac:dyDescent="0.25">
      <c r="A1264" t="s">
        <v>6698</v>
      </c>
      <c r="D1264" s="2" t="s">
        <v>3749</v>
      </c>
    </row>
    <row r="1265" spans="1:4" x14ac:dyDescent="0.25">
      <c r="A1265" t="s">
        <v>6702</v>
      </c>
      <c r="D1265" s="2" t="s">
        <v>4098</v>
      </c>
    </row>
    <row r="1266" spans="1:4" x14ac:dyDescent="0.25">
      <c r="A1266" t="s">
        <v>6705</v>
      </c>
      <c r="D1266" s="2" t="s">
        <v>1402</v>
      </c>
    </row>
    <row r="1267" spans="1:4" x14ac:dyDescent="0.25">
      <c r="A1267" t="s">
        <v>6708</v>
      </c>
      <c r="D1267" s="2" t="s">
        <v>4024</v>
      </c>
    </row>
    <row r="1268" spans="1:4" x14ac:dyDescent="0.25">
      <c r="A1268" t="s">
        <v>6711</v>
      </c>
      <c r="D1268" s="2" t="s">
        <v>4237</v>
      </c>
    </row>
    <row r="1269" spans="1:4" x14ac:dyDescent="0.25">
      <c r="A1269" t="s">
        <v>6714</v>
      </c>
      <c r="D1269" s="2" t="s">
        <v>3666</v>
      </c>
    </row>
    <row r="1270" spans="1:4" x14ac:dyDescent="0.25">
      <c r="A1270" t="s">
        <v>6717</v>
      </c>
      <c r="D1270" s="2" t="s">
        <v>9931</v>
      </c>
    </row>
    <row r="1271" spans="1:4" x14ac:dyDescent="0.25">
      <c r="A1271" t="s">
        <v>6440</v>
      </c>
      <c r="D1271" s="2" t="s">
        <v>4533</v>
      </c>
    </row>
    <row r="1272" spans="1:4" x14ac:dyDescent="0.25">
      <c r="A1272" t="s">
        <v>6444</v>
      </c>
      <c r="D1272" s="2" t="s">
        <v>4685</v>
      </c>
    </row>
    <row r="1273" spans="1:4" x14ac:dyDescent="0.25">
      <c r="A1273" t="s">
        <v>6447</v>
      </c>
      <c r="D1273" s="2" t="s">
        <v>9587</v>
      </c>
    </row>
    <row r="1274" spans="1:4" x14ac:dyDescent="0.25">
      <c r="A1274" t="s">
        <v>6450</v>
      </c>
      <c r="D1274" s="2" t="s">
        <v>9614</v>
      </c>
    </row>
    <row r="1275" spans="1:4" x14ac:dyDescent="0.25">
      <c r="A1275" t="s">
        <v>6452</v>
      </c>
      <c r="D1275" s="2" t="s">
        <v>8953</v>
      </c>
    </row>
    <row r="1276" spans="1:4" x14ac:dyDescent="0.25">
      <c r="A1276" t="s">
        <v>6454</v>
      </c>
      <c r="D1276" s="2" t="s">
        <v>5310</v>
      </c>
    </row>
    <row r="1277" spans="1:4" x14ac:dyDescent="0.25">
      <c r="A1277" t="s">
        <v>6454</v>
      </c>
      <c r="D1277" s="2" t="s">
        <v>5715</v>
      </c>
    </row>
    <row r="1278" spans="1:4" x14ac:dyDescent="0.25">
      <c r="A1278" t="s">
        <v>6458</v>
      </c>
      <c r="D1278" s="2" t="s">
        <v>9443</v>
      </c>
    </row>
    <row r="1279" spans="1:4" x14ac:dyDescent="0.25">
      <c r="A1279" t="s">
        <v>6777</v>
      </c>
      <c r="D1279" s="2" t="s">
        <v>4592</v>
      </c>
    </row>
    <row r="1280" spans="1:4" x14ac:dyDescent="0.25">
      <c r="A1280" t="s">
        <v>6804</v>
      </c>
      <c r="D1280" s="2" t="s">
        <v>6822</v>
      </c>
    </row>
    <row r="1281" spans="1:4" x14ac:dyDescent="0.25">
      <c r="A1281" t="s">
        <v>6537</v>
      </c>
      <c r="D1281" s="2" t="s">
        <v>10044</v>
      </c>
    </row>
    <row r="1282" spans="1:4" x14ac:dyDescent="0.25">
      <c r="A1282" t="s">
        <v>6573</v>
      </c>
      <c r="D1282" s="2" t="s">
        <v>8290</v>
      </c>
    </row>
    <row r="1283" spans="1:4" x14ac:dyDescent="0.25">
      <c r="A1283" t="s">
        <v>6573</v>
      </c>
      <c r="D1283" s="2" t="s">
        <v>9414</v>
      </c>
    </row>
    <row r="1284" spans="1:4" x14ac:dyDescent="0.25">
      <c r="A1284" t="s">
        <v>6573</v>
      </c>
      <c r="D1284" s="2" t="s">
        <v>6532</v>
      </c>
    </row>
    <row r="1285" spans="1:4" x14ac:dyDescent="0.25">
      <c r="A1285" t="s">
        <v>6573</v>
      </c>
      <c r="D1285" s="2" t="s">
        <v>6254</v>
      </c>
    </row>
    <row r="1286" spans="1:4" x14ac:dyDescent="0.25">
      <c r="A1286" t="s">
        <v>6573</v>
      </c>
      <c r="D1286" s="2" t="s">
        <v>9818</v>
      </c>
    </row>
    <row r="1287" spans="1:4" x14ac:dyDescent="0.25">
      <c r="A1287" t="s">
        <v>4811</v>
      </c>
      <c r="D1287" s="2" t="s">
        <v>9994</v>
      </c>
    </row>
    <row r="1288" spans="1:4" x14ac:dyDescent="0.25">
      <c r="A1288" t="s">
        <v>6584</v>
      </c>
      <c r="D1288" s="2" t="s">
        <v>890</v>
      </c>
    </row>
    <row r="1289" spans="1:4" x14ac:dyDescent="0.25">
      <c r="A1289" t="s">
        <v>6587</v>
      </c>
      <c r="D1289" s="2" t="s">
        <v>9223</v>
      </c>
    </row>
    <row r="1290" spans="1:4" x14ac:dyDescent="0.25">
      <c r="A1290" t="s">
        <v>6799</v>
      </c>
      <c r="D1290" s="2" t="s">
        <v>768</v>
      </c>
    </row>
    <row r="1291" spans="1:4" x14ac:dyDescent="0.25">
      <c r="A1291" t="s">
        <v>6366</v>
      </c>
      <c r="D1291" s="2" t="s">
        <v>9288</v>
      </c>
    </row>
    <row r="1292" spans="1:4" x14ac:dyDescent="0.25">
      <c r="A1292" t="s">
        <v>6370</v>
      </c>
      <c r="D1292" s="2" t="s">
        <v>581</v>
      </c>
    </row>
    <row r="1293" spans="1:4" x14ac:dyDescent="0.25">
      <c r="A1293" t="s">
        <v>6473</v>
      </c>
      <c r="D1293" s="2" t="s">
        <v>570</v>
      </c>
    </row>
    <row r="1294" spans="1:4" x14ac:dyDescent="0.25">
      <c r="A1294" t="s">
        <v>6477</v>
      </c>
      <c r="D1294" s="2" t="s">
        <v>839</v>
      </c>
    </row>
    <row r="1295" spans="1:4" x14ac:dyDescent="0.25">
      <c r="A1295" t="s">
        <v>6477</v>
      </c>
      <c r="D1295" s="2" t="s">
        <v>9620</v>
      </c>
    </row>
    <row r="1296" spans="1:4" x14ac:dyDescent="0.25">
      <c r="A1296" t="s">
        <v>6481</v>
      </c>
      <c r="D1296" s="2" t="s">
        <v>9337</v>
      </c>
    </row>
    <row r="1297" spans="1:4" x14ac:dyDescent="0.25">
      <c r="A1297" t="s">
        <v>6481</v>
      </c>
      <c r="D1297" s="2" t="s">
        <v>9151</v>
      </c>
    </row>
    <row r="1298" spans="1:4" x14ac:dyDescent="0.25">
      <c r="A1298" t="s">
        <v>6609</v>
      </c>
      <c r="D1298" s="2" t="s">
        <v>5090</v>
      </c>
    </row>
    <row r="1299" spans="1:4" x14ac:dyDescent="0.25">
      <c r="A1299" t="s">
        <v>6677</v>
      </c>
      <c r="D1299" s="2" t="s">
        <v>10063</v>
      </c>
    </row>
    <row r="1300" spans="1:4" x14ac:dyDescent="0.25">
      <c r="A1300" t="s">
        <v>6790</v>
      </c>
      <c r="D1300" s="2" t="s">
        <v>7310</v>
      </c>
    </row>
    <row r="1301" spans="1:4" x14ac:dyDescent="0.25">
      <c r="A1301" t="s">
        <v>6790</v>
      </c>
      <c r="D1301" s="2" t="s">
        <v>8128</v>
      </c>
    </row>
    <row r="1302" spans="1:4" x14ac:dyDescent="0.25">
      <c r="A1302" t="s">
        <v>6794</v>
      </c>
      <c r="D1302" s="2" t="s">
        <v>8106</v>
      </c>
    </row>
    <row r="1303" spans="1:4" x14ac:dyDescent="0.25">
      <c r="A1303" t="s">
        <v>6507</v>
      </c>
      <c r="D1303" s="2" t="s">
        <v>9330</v>
      </c>
    </row>
    <row r="1304" spans="1:4" x14ac:dyDescent="0.25">
      <c r="A1304" t="s">
        <v>6537</v>
      </c>
      <c r="D1304" s="2" t="s">
        <v>2939</v>
      </c>
    </row>
    <row r="1305" spans="1:4" x14ac:dyDescent="0.25">
      <c r="A1305" t="s">
        <v>6221</v>
      </c>
      <c r="D1305" s="2" t="s">
        <v>4897</v>
      </c>
    </row>
    <row r="1306" spans="1:4" x14ac:dyDescent="0.25">
      <c r="A1306" t="s">
        <v>6225</v>
      </c>
      <c r="D1306" s="2" t="s">
        <v>7869</v>
      </c>
    </row>
    <row r="1307" spans="1:4" x14ac:dyDescent="0.25">
      <c r="A1307" t="s">
        <v>6468</v>
      </c>
      <c r="D1307" s="2" t="s">
        <v>3897</v>
      </c>
    </row>
    <row r="1308" spans="1:4" x14ac:dyDescent="0.25">
      <c r="A1308" t="s">
        <v>6486</v>
      </c>
      <c r="D1308" s="2" t="s">
        <v>8065</v>
      </c>
    </row>
    <row r="1309" spans="1:4" x14ac:dyDescent="0.25">
      <c r="A1309" t="s">
        <v>6565</v>
      </c>
      <c r="D1309" s="2" t="s">
        <v>9797</v>
      </c>
    </row>
    <row r="1310" spans="1:4" x14ac:dyDescent="0.25">
      <c r="A1310" t="s">
        <v>6568</v>
      </c>
      <c r="D1310" s="2" t="s">
        <v>8830</v>
      </c>
    </row>
    <row r="1311" spans="1:4" x14ac:dyDescent="0.25">
      <c r="A1311" t="s">
        <v>6434</v>
      </c>
      <c r="D1311" s="2" t="s">
        <v>2170</v>
      </c>
    </row>
    <row r="1312" spans="1:4" x14ac:dyDescent="0.25">
      <c r="A1312" t="s">
        <v>6323</v>
      </c>
      <c r="D1312" s="2" t="s">
        <v>10035</v>
      </c>
    </row>
    <row r="1313" spans="1:4" x14ac:dyDescent="0.25">
      <c r="A1313" t="s">
        <v>6327</v>
      </c>
      <c r="D1313" s="2" t="s">
        <v>1342</v>
      </c>
    </row>
    <row r="1314" spans="1:4" x14ac:dyDescent="0.25">
      <c r="A1314" t="s">
        <v>6331</v>
      </c>
      <c r="D1314" s="2" t="s">
        <v>2127</v>
      </c>
    </row>
    <row r="1315" spans="1:4" x14ac:dyDescent="0.25">
      <c r="A1315" t="s">
        <v>6335</v>
      </c>
      <c r="D1315" s="2" t="s">
        <v>3077</v>
      </c>
    </row>
    <row r="1316" spans="1:4" x14ac:dyDescent="0.25">
      <c r="A1316" t="s">
        <v>6338</v>
      </c>
      <c r="D1316" s="2" t="s">
        <v>1836</v>
      </c>
    </row>
    <row r="1317" spans="1:4" x14ac:dyDescent="0.25">
      <c r="A1317" t="s">
        <v>6341</v>
      </c>
      <c r="D1317" s="2" t="s">
        <v>471</v>
      </c>
    </row>
    <row r="1318" spans="1:4" x14ac:dyDescent="0.25">
      <c r="A1318" t="s">
        <v>6344</v>
      </c>
      <c r="D1318" s="2" t="s">
        <v>7771</v>
      </c>
    </row>
    <row r="1319" spans="1:4" x14ac:dyDescent="0.25">
      <c r="A1319" t="s">
        <v>6344</v>
      </c>
      <c r="D1319" s="2" t="s">
        <v>8780</v>
      </c>
    </row>
    <row r="1320" spans="1:4" x14ac:dyDescent="0.25">
      <c r="A1320" t="s">
        <v>6348</v>
      </c>
      <c r="D1320" s="2" t="s">
        <v>2322</v>
      </c>
    </row>
    <row r="1321" spans="1:4" x14ac:dyDescent="0.25">
      <c r="A1321" t="s">
        <v>6348</v>
      </c>
      <c r="D1321" s="2" t="s">
        <v>4990</v>
      </c>
    </row>
    <row r="1322" spans="1:4" x14ac:dyDescent="0.25">
      <c r="A1322" t="s">
        <v>6352</v>
      </c>
      <c r="D1322" s="2" t="s">
        <v>4145</v>
      </c>
    </row>
    <row r="1323" spans="1:4" x14ac:dyDescent="0.25">
      <c r="A1323" t="s">
        <v>6355</v>
      </c>
      <c r="D1323" s="2" t="s">
        <v>507</v>
      </c>
    </row>
    <row r="1324" spans="1:4" x14ac:dyDescent="0.25">
      <c r="A1324" t="s">
        <v>6355</v>
      </c>
      <c r="D1324" s="2" t="s">
        <v>142</v>
      </c>
    </row>
    <row r="1325" spans="1:4" x14ac:dyDescent="0.25">
      <c r="A1325" t="s">
        <v>6359</v>
      </c>
      <c r="D1325" s="2" t="s">
        <v>6011</v>
      </c>
    </row>
    <row r="1326" spans="1:4" x14ac:dyDescent="0.25">
      <c r="A1326" t="s">
        <v>6362</v>
      </c>
      <c r="D1326" s="2" t="s">
        <v>7232</v>
      </c>
    </row>
    <row r="1327" spans="1:4" x14ac:dyDescent="0.25">
      <c r="A1327" t="s">
        <v>6396</v>
      </c>
      <c r="D1327" s="2" t="s">
        <v>7742</v>
      </c>
    </row>
    <row r="1328" spans="1:4" x14ac:dyDescent="0.25">
      <c r="A1328" t="s">
        <v>6399</v>
      </c>
      <c r="D1328" s="2" t="s">
        <v>8496</v>
      </c>
    </row>
    <row r="1329" spans="1:4" x14ac:dyDescent="0.25">
      <c r="A1329" t="s">
        <v>6402</v>
      </c>
      <c r="D1329" s="2" t="s">
        <v>8519</v>
      </c>
    </row>
    <row r="1330" spans="1:4" x14ac:dyDescent="0.25">
      <c r="A1330" t="s">
        <v>6405</v>
      </c>
      <c r="D1330" s="2" t="s">
        <v>8681</v>
      </c>
    </row>
    <row r="1331" spans="1:4" x14ac:dyDescent="0.25">
      <c r="A1331" t="s">
        <v>6408</v>
      </c>
      <c r="D1331" s="2" t="s">
        <v>4978</v>
      </c>
    </row>
    <row r="1332" spans="1:4" x14ac:dyDescent="0.25">
      <c r="A1332" t="s">
        <v>6411</v>
      </c>
      <c r="D1332" s="2" t="s">
        <v>6551</v>
      </c>
    </row>
    <row r="1333" spans="1:4" x14ac:dyDescent="0.25">
      <c r="A1333" t="s">
        <v>6414</v>
      </c>
      <c r="D1333" s="2" t="s">
        <v>6154</v>
      </c>
    </row>
    <row r="1334" spans="1:4" x14ac:dyDescent="0.25">
      <c r="A1334" t="s">
        <v>6417</v>
      </c>
      <c r="D1334" s="2" t="s">
        <v>5327</v>
      </c>
    </row>
    <row r="1335" spans="1:4" x14ac:dyDescent="0.25">
      <c r="A1335" t="s">
        <v>6420</v>
      </c>
      <c r="D1335" s="2" t="s">
        <v>4865</v>
      </c>
    </row>
    <row r="1336" spans="1:4" x14ac:dyDescent="0.25">
      <c r="A1336" t="s">
        <v>6423</v>
      </c>
      <c r="D1336" s="2" t="s">
        <v>1776</v>
      </c>
    </row>
    <row r="1337" spans="1:4" x14ac:dyDescent="0.25">
      <c r="A1337" t="s">
        <v>6426</v>
      </c>
      <c r="D1337" s="2" t="s">
        <v>8385</v>
      </c>
    </row>
    <row r="1338" spans="1:4" x14ac:dyDescent="0.25">
      <c r="A1338" t="s">
        <v>6429</v>
      </c>
      <c r="D1338" s="2" t="s">
        <v>6327</v>
      </c>
    </row>
    <row r="1339" spans="1:4" x14ac:dyDescent="0.25">
      <c r="A1339" t="s">
        <v>6620</v>
      </c>
      <c r="D1339" s="2" t="s">
        <v>6383</v>
      </c>
    </row>
    <row r="1340" spans="1:4" x14ac:dyDescent="0.25">
      <c r="A1340" t="s">
        <v>6625</v>
      </c>
      <c r="D1340" s="2" t="s">
        <v>9506</v>
      </c>
    </row>
    <row r="1341" spans="1:4" x14ac:dyDescent="0.25">
      <c r="A1341" t="s">
        <v>6630</v>
      </c>
      <c r="D1341" s="2" t="s">
        <v>2745</v>
      </c>
    </row>
    <row r="1342" spans="1:4" x14ac:dyDescent="0.25">
      <c r="A1342" t="s">
        <v>6318</v>
      </c>
      <c r="D1342" s="2" t="s">
        <v>9250</v>
      </c>
    </row>
    <row r="1343" spans="1:4" x14ac:dyDescent="0.25">
      <c r="A1343" t="s">
        <v>6502</v>
      </c>
      <c r="D1343" s="2" t="s">
        <v>9082</v>
      </c>
    </row>
    <row r="1344" spans="1:4" x14ac:dyDescent="0.25">
      <c r="A1344" t="s">
        <v>6551</v>
      </c>
      <c r="D1344" s="2" t="s">
        <v>683</v>
      </c>
    </row>
    <row r="1345" spans="1:4" x14ac:dyDescent="0.25">
      <c r="A1345" t="s">
        <v>6555</v>
      </c>
      <c r="D1345" s="2" t="s">
        <v>575</v>
      </c>
    </row>
    <row r="1346" spans="1:4" x14ac:dyDescent="0.25">
      <c r="A1346" t="s">
        <v>6761</v>
      </c>
      <c r="D1346" s="2" t="s">
        <v>1877</v>
      </c>
    </row>
    <row r="1347" spans="1:4" x14ac:dyDescent="0.25">
      <c r="A1347" t="s">
        <v>6764</v>
      </c>
      <c r="D1347" s="2" t="s">
        <v>3564</v>
      </c>
    </row>
    <row r="1348" spans="1:4" x14ac:dyDescent="0.25">
      <c r="A1348" t="s">
        <v>6767</v>
      </c>
      <c r="D1348" s="2" t="s">
        <v>300</v>
      </c>
    </row>
    <row r="1349" spans="1:4" x14ac:dyDescent="0.25">
      <c r="A1349" t="s">
        <v>6192</v>
      </c>
      <c r="D1349" s="2" t="s">
        <v>186</v>
      </c>
    </row>
    <row r="1350" spans="1:4" x14ac:dyDescent="0.25">
      <c r="A1350" t="s">
        <v>6196</v>
      </c>
      <c r="D1350" s="2" t="s">
        <v>10113</v>
      </c>
    </row>
    <row r="1351" spans="1:4" x14ac:dyDescent="0.25">
      <c r="A1351" t="s">
        <v>6230</v>
      </c>
      <c r="D1351" s="2" t="s">
        <v>10117</v>
      </c>
    </row>
    <row r="1352" spans="1:4" x14ac:dyDescent="0.25">
      <c r="A1352" t="s">
        <v>6234</v>
      </c>
      <c r="D1352" s="2" t="s">
        <v>1048</v>
      </c>
    </row>
    <row r="1353" spans="1:4" x14ac:dyDescent="0.25">
      <c r="A1353" t="s">
        <v>6238</v>
      </c>
      <c r="D1353" s="2" t="s">
        <v>482</v>
      </c>
    </row>
    <row r="1354" spans="1:4" x14ac:dyDescent="0.25">
      <c r="A1354" t="s">
        <v>6238</v>
      </c>
      <c r="D1354" s="2" t="s">
        <v>7361</v>
      </c>
    </row>
    <row r="1355" spans="1:4" x14ac:dyDescent="0.25">
      <c r="A1355" t="s">
        <v>6238</v>
      </c>
      <c r="D1355" s="2" t="s">
        <v>415</v>
      </c>
    </row>
    <row r="1356" spans="1:4" x14ac:dyDescent="0.25">
      <c r="A1356" t="s">
        <v>6380</v>
      </c>
      <c r="D1356" s="2" t="s">
        <v>5513</v>
      </c>
    </row>
    <row r="1357" spans="1:4" x14ac:dyDescent="0.25">
      <c r="A1357" t="s">
        <v>6383</v>
      </c>
      <c r="D1357" s="2" t="s">
        <v>5338</v>
      </c>
    </row>
    <row r="1358" spans="1:4" x14ac:dyDescent="0.25">
      <c r="A1358" t="s">
        <v>6386</v>
      </c>
      <c r="D1358" s="2" t="s">
        <v>5546</v>
      </c>
    </row>
    <row r="1359" spans="1:4" x14ac:dyDescent="0.25">
      <c r="A1359" t="s">
        <v>6491</v>
      </c>
      <c r="D1359" s="2" t="s">
        <v>5551</v>
      </c>
    </row>
    <row r="1360" spans="1:4" x14ac:dyDescent="0.25">
      <c r="A1360" t="s">
        <v>6154</v>
      </c>
      <c r="D1360" s="2" t="s">
        <v>6025</v>
      </c>
    </row>
    <row r="1361" spans="1:4" x14ac:dyDescent="0.25">
      <c r="A1361" t="s">
        <v>5673</v>
      </c>
      <c r="D1361" s="2" t="s">
        <v>6022</v>
      </c>
    </row>
    <row r="1362" spans="1:4" x14ac:dyDescent="0.25">
      <c r="A1362" t="s">
        <v>6313</v>
      </c>
      <c r="D1362" s="2" t="s">
        <v>407</v>
      </c>
    </row>
    <row r="1363" spans="1:4" x14ac:dyDescent="0.25">
      <c r="A1363" t="s">
        <v>6513</v>
      </c>
      <c r="D1363" s="2" t="s">
        <v>7913</v>
      </c>
    </row>
    <row r="1364" spans="1:4" x14ac:dyDescent="0.25">
      <c r="A1364" t="s">
        <v>6615</v>
      </c>
      <c r="D1364" s="2" t="s">
        <v>7555</v>
      </c>
    </row>
    <row r="1365" spans="1:4" x14ac:dyDescent="0.25">
      <c r="A1365" t="s">
        <v>6635</v>
      </c>
      <c r="D1365" s="2" t="s">
        <v>7494</v>
      </c>
    </row>
    <row r="1366" spans="1:4" x14ac:dyDescent="0.25">
      <c r="A1366" t="s">
        <v>6496</v>
      </c>
      <c r="D1366" s="2" t="s">
        <v>8562</v>
      </c>
    </row>
    <row r="1367" spans="1:4" x14ac:dyDescent="0.25">
      <c r="A1367" t="s">
        <v>6532</v>
      </c>
      <c r="D1367" s="2" t="s">
        <v>8542</v>
      </c>
    </row>
    <row r="1368" spans="1:4" x14ac:dyDescent="0.25">
      <c r="A1368" t="s">
        <v>6518</v>
      </c>
      <c r="D1368" s="2" t="s">
        <v>8603</v>
      </c>
    </row>
    <row r="1369" spans="1:4" x14ac:dyDescent="0.25">
      <c r="A1369" t="s">
        <v>6522</v>
      </c>
      <c r="D1369" s="2" t="s">
        <v>8691</v>
      </c>
    </row>
    <row r="1370" spans="1:4" x14ac:dyDescent="0.25">
      <c r="A1370" t="s">
        <v>6085</v>
      </c>
      <c r="D1370" s="2" t="s">
        <v>8098</v>
      </c>
    </row>
    <row r="1371" spans="1:4" x14ac:dyDescent="0.25">
      <c r="A1371" t="s">
        <v>6201</v>
      </c>
      <c r="D1371" s="2" t="s">
        <v>6565</v>
      </c>
    </row>
    <row r="1372" spans="1:4" x14ac:dyDescent="0.25">
      <c r="A1372" t="s">
        <v>6204</v>
      </c>
      <c r="D1372" s="2" t="s">
        <v>993</v>
      </c>
    </row>
    <row r="1373" spans="1:4" x14ac:dyDescent="0.25">
      <c r="A1373" t="s">
        <v>6216</v>
      </c>
      <c r="D1373" s="2" t="s">
        <v>3661</v>
      </c>
    </row>
    <row r="1374" spans="1:4" x14ac:dyDescent="0.25">
      <c r="A1374" t="s">
        <v>6527</v>
      </c>
      <c r="D1374" s="2" t="s">
        <v>4403</v>
      </c>
    </row>
    <row r="1375" spans="1:4" x14ac:dyDescent="0.25">
      <c r="A1375" t="s">
        <v>6209</v>
      </c>
      <c r="D1375" s="2" t="s">
        <v>4439</v>
      </c>
    </row>
    <row r="1376" spans="1:4" x14ac:dyDescent="0.25">
      <c r="A1376" t="s">
        <v>6209</v>
      </c>
      <c r="D1376" s="2" t="s">
        <v>4479</v>
      </c>
    </row>
    <row r="1377" spans="1:4" x14ac:dyDescent="0.25">
      <c r="A1377" t="s">
        <v>6209</v>
      </c>
      <c r="D1377" s="2" t="s">
        <v>4462</v>
      </c>
    </row>
    <row r="1378" spans="1:4" x14ac:dyDescent="0.25">
      <c r="A1378" t="s">
        <v>6268</v>
      </c>
      <c r="D1378" s="2" t="s">
        <v>4365</v>
      </c>
    </row>
    <row r="1379" spans="1:4" x14ac:dyDescent="0.25">
      <c r="A1379" t="s">
        <v>6375</v>
      </c>
      <c r="D1379" s="2" t="s">
        <v>6744</v>
      </c>
    </row>
    <row r="1380" spans="1:4" x14ac:dyDescent="0.25">
      <c r="A1380" t="s">
        <v>6106</v>
      </c>
      <c r="D1380" s="2" t="s">
        <v>6717</v>
      </c>
    </row>
    <row r="1381" spans="1:4" x14ac:dyDescent="0.25">
      <c r="A1381" t="s">
        <v>6166</v>
      </c>
      <c r="D1381" s="2" t="s">
        <v>6234</v>
      </c>
    </row>
    <row r="1382" spans="1:4" x14ac:dyDescent="0.25">
      <c r="A1382" t="s">
        <v>6248</v>
      </c>
      <c r="D1382" s="2" t="s">
        <v>6799</v>
      </c>
    </row>
    <row r="1383" spans="1:4" x14ac:dyDescent="0.25">
      <c r="A1383" t="s">
        <v>6251</v>
      </c>
      <c r="D1383" s="2" t="s">
        <v>5998</v>
      </c>
    </row>
    <row r="1384" spans="1:4" x14ac:dyDescent="0.25">
      <c r="A1384" t="s">
        <v>6254</v>
      </c>
      <c r="D1384" s="2" t="s">
        <v>6112</v>
      </c>
    </row>
    <row r="1385" spans="1:4" x14ac:dyDescent="0.25">
      <c r="A1385" t="s">
        <v>6257</v>
      </c>
      <c r="D1385" s="2" t="s">
        <v>4672</v>
      </c>
    </row>
    <row r="1386" spans="1:4" x14ac:dyDescent="0.25">
      <c r="A1386" t="s">
        <v>6260</v>
      </c>
      <c r="D1386" s="2" t="s">
        <v>6161</v>
      </c>
    </row>
    <row r="1387" spans="1:4" x14ac:dyDescent="0.25">
      <c r="A1387" t="s">
        <v>6263</v>
      </c>
      <c r="D1387" s="2" t="s">
        <v>9943</v>
      </c>
    </row>
    <row r="1388" spans="1:4" x14ac:dyDescent="0.25">
      <c r="A1388" t="s">
        <v>5737</v>
      </c>
      <c r="D1388" s="2" t="s">
        <v>9630</v>
      </c>
    </row>
    <row r="1389" spans="1:4" x14ac:dyDescent="0.25">
      <c r="A1389" t="s">
        <v>5741</v>
      </c>
      <c r="D1389" s="2" t="s">
        <v>9948</v>
      </c>
    </row>
    <row r="1390" spans="1:4" x14ac:dyDescent="0.25">
      <c r="A1390" t="s">
        <v>5737</v>
      </c>
      <c r="D1390" s="2" t="s">
        <v>6677</v>
      </c>
    </row>
    <row r="1391" spans="1:4" x14ac:dyDescent="0.25">
      <c r="A1391" t="s">
        <v>5743</v>
      </c>
      <c r="D1391" s="2" t="s">
        <v>5950</v>
      </c>
    </row>
    <row r="1392" spans="1:4" x14ac:dyDescent="0.25">
      <c r="A1392" t="s">
        <v>5745</v>
      </c>
      <c r="D1392" s="2" t="s">
        <v>6481</v>
      </c>
    </row>
    <row r="1393" spans="1:4" x14ac:dyDescent="0.25">
      <c r="A1393" t="s">
        <v>6275</v>
      </c>
      <c r="D1393" s="2" t="s">
        <v>4091</v>
      </c>
    </row>
    <row r="1394" spans="1:4" x14ac:dyDescent="0.25">
      <c r="A1394" t="s">
        <v>5747</v>
      </c>
      <c r="D1394" s="2" t="s">
        <v>1720</v>
      </c>
    </row>
    <row r="1395" spans="1:4" x14ac:dyDescent="0.25">
      <c r="A1395" t="s">
        <v>5751</v>
      </c>
      <c r="D1395" s="2" t="s">
        <v>1726</v>
      </c>
    </row>
    <row r="1396" spans="1:4" x14ac:dyDescent="0.25">
      <c r="A1396" t="s">
        <v>5753</v>
      </c>
      <c r="D1396" s="2" t="s">
        <v>1754</v>
      </c>
    </row>
    <row r="1397" spans="1:4" x14ac:dyDescent="0.25">
      <c r="A1397" t="s">
        <v>5755</v>
      </c>
      <c r="D1397" s="2" t="s">
        <v>1751</v>
      </c>
    </row>
    <row r="1398" spans="1:4" x14ac:dyDescent="0.25">
      <c r="A1398" t="s">
        <v>5757</v>
      </c>
      <c r="D1398" s="2" t="s">
        <v>1742</v>
      </c>
    </row>
    <row r="1399" spans="1:4" x14ac:dyDescent="0.25">
      <c r="A1399" t="s">
        <v>6281</v>
      </c>
      <c r="D1399" s="2" t="s">
        <v>4063</v>
      </c>
    </row>
    <row r="1400" spans="1:4" x14ac:dyDescent="0.25">
      <c r="A1400" t="s">
        <v>5751</v>
      </c>
      <c r="D1400" s="2" t="s">
        <v>4051</v>
      </c>
    </row>
    <row r="1401" spans="1:4" x14ac:dyDescent="0.25">
      <c r="A1401" t="s">
        <v>5753</v>
      </c>
      <c r="D1401" s="2" t="s">
        <v>3966</v>
      </c>
    </row>
    <row r="1402" spans="1:4" x14ac:dyDescent="0.25">
      <c r="A1402" t="s">
        <v>5755</v>
      </c>
      <c r="D1402" s="2" t="s">
        <v>4217</v>
      </c>
    </row>
    <row r="1403" spans="1:4" x14ac:dyDescent="0.25">
      <c r="A1403" t="s">
        <v>5761</v>
      </c>
      <c r="D1403" s="2" t="s">
        <v>4042</v>
      </c>
    </row>
    <row r="1404" spans="1:4" x14ac:dyDescent="0.25">
      <c r="A1404" t="s">
        <v>5757</v>
      </c>
      <c r="D1404" s="2" t="s">
        <v>4256</v>
      </c>
    </row>
    <row r="1405" spans="1:4" x14ac:dyDescent="0.25">
      <c r="A1405" t="s">
        <v>5763</v>
      </c>
      <c r="D1405" s="2" t="s">
        <v>4324</v>
      </c>
    </row>
    <row r="1406" spans="1:4" x14ac:dyDescent="0.25">
      <c r="A1406" t="s">
        <v>5765</v>
      </c>
      <c r="D1406" s="2" t="s">
        <v>1646</v>
      </c>
    </row>
    <row r="1407" spans="1:4" x14ac:dyDescent="0.25">
      <c r="A1407" t="s">
        <v>5767</v>
      </c>
      <c r="D1407" s="2" t="s">
        <v>1695</v>
      </c>
    </row>
    <row r="1408" spans="1:4" x14ac:dyDescent="0.25">
      <c r="A1408" t="s">
        <v>5769</v>
      </c>
      <c r="D1408" s="2" t="s">
        <v>372</v>
      </c>
    </row>
    <row r="1409" spans="1:4" x14ac:dyDescent="0.25">
      <c r="A1409" t="s">
        <v>5771</v>
      </c>
      <c r="D1409" s="2" t="s">
        <v>1501</v>
      </c>
    </row>
    <row r="1410" spans="1:4" x14ac:dyDescent="0.25">
      <c r="A1410" t="s">
        <v>5773</v>
      </c>
      <c r="D1410" s="2" t="s">
        <v>4241</v>
      </c>
    </row>
    <row r="1411" spans="1:4" x14ac:dyDescent="0.25">
      <c r="A1411" t="s">
        <v>5775</v>
      </c>
      <c r="D1411" s="2" t="s">
        <v>5377</v>
      </c>
    </row>
    <row r="1412" spans="1:4" x14ac:dyDescent="0.25">
      <c r="A1412" t="s">
        <v>5779</v>
      </c>
      <c r="D1412" s="2" t="s">
        <v>5407</v>
      </c>
    </row>
    <row r="1413" spans="1:4" x14ac:dyDescent="0.25">
      <c r="A1413" t="s">
        <v>5783</v>
      </c>
      <c r="D1413" s="2" t="s">
        <v>3905</v>
      </c>
    </row>
    <row r="1414" spans="1:4" x14ac:dyDescent="0.25">
      <c r="A1414" t="s">
        <v>6287</v>
      </c>
      <c r="D1414" s="2" t="s">
        <v>1376</v>
      </c>
    </row>
    <row r="1415" spans="1:4" x14ac:dyDescent="0.25">
      <c r="A1415" t="s">
        <v>5783</v>
      </c>
      <c r="D1415" s="2" t="s">
        <v>4544</v>
      </c>
    </row>
    <row r="1416" spans="1:4" x14ac:dyDescent="0.25">
      <c r="A1416" t="s">
        <v>5787</v>
      </c>
      <c r="D1416" s="2" t="s">
        <v>3691</v>
      </c>
    </row>
    <row r="1417" spans="1:4" x14ac:dyDescent="0.25">
      <c r="A1417" t="s">
        <v>6287</v>
      </c>
      <c r="D1417" s="2" t="s">
        <v>9601</v>
      </c>
    </row>
    <row r="1418" spans="1:4" x14ac:dyDescent="0.25">
      <c r="A1418" t="s">
        <v>6291</v>
      </c>
      <c r="D1418" s="2" t="s">
        <v>8906</v>
      </c>
    </row>
    <row r="1419" spans="1:4" x14ac:dyDescent="0.25">
      <c r="A1419" t="s">
        <v>5789</v>
      </c>
      <c r="D1419" s="2" t="s">
        <v>8903</v>
      </c>
    </row>
    <row r="1420" spans="1:4" x14ac:dyDescent="0.25">
      <c r="A1420" t="s">
        <v>6293</v>
      </c>
      <c r="D1420" s="2" t="s">
        <v>8245</v>
      </c>
    </row>
    <row r="1421" spans="1:4" x14ac:dyDescent="0.25">
      <c r="A1421" t="s">
        <v>5791</v>
      </c>
      <c r="D1421" s="2" t="s">
        <v>8898</v>
      </c>
    </row>
    <row r="1422" spans="1:4" x14ac:dyDescent="0.25">
      <c r="A1422" t="s">
        <v>5793</v>
      </c>
      <c r="D1422" s="2" t="s">
        <v>5317</v>
      </c>
    </row>
    <row r="1423" spans="1:4" x14ac:dyDescent="0.25">
      <c r="A1423" t="s">
        <v>5797</v>
      </c>
      <c r="D1423" s="2" t="s">
        <v>315</v>
      </c>
    </row>
    <row r="1424" spans="1:4" x14ac:dyDescent="0.25">
      <c r="A1424" t="s">
        <v>6297</v>
      </c>
      <c r="D1424" s="2" t="s">
        <v>387</v>
      </c>
    </row>
    <row r="1425" spans="1:4" x14ac:dyDescent="0.25">
      <c r="A1425" t="s">
        <v>5799</v>
      </c>
      <c r="D1425" s="2" t="s">
        <v>402</v>
      </c>
    </row>
    <row r="1426" spans="1:4" x14ac:dyDescent="0.25">
      <c r="A1426" t="s">
        <v>5801</v>
      </c>
      <c r="D1426" s="2" t="s">
        <v>4627</v>
      </c>
    </row>
    <row r="1427" spans="1:4" x14ac:dyDescent="0.25">
      <c r="A1427" t="s">
        <v>5803</v>
      </c>
      <c r="D1427" s="2" t="s">
        <v>390</v>
      </c>
    </row>
    <row r="1428" spans="1:4" x14ac:dyDescent="0.25">
      <c r="A1428" t="s">
        <v>6040</v>
      </c>
      <c r="D1428" s="2" t="s">
        <v>393</v>
      </c>
    </row>
    <row r="1429" spans="1:4" x14ac:dyDescent="0.25">
      <c r="A1429" t="s">
        <v>6060</v>
      </c>
      <c r="D1429" s="2" t="s">
        <v>1104</v>
      </c>
    </row>
    <row r="1430" spans="1:4" x14ac:dyDescent="0.25">
      <c r="A1430" t="s">
        <v>6064</v>
      </c>
      <c r="D1430" s="2" t="s">
        <v>4638</v>
      </c>
    </row>
    <row r="1431" spans="1:4" x14ac:dyDescent="0.25">
      <c r="A1431" t="s">
        <v>6161</v>
      </c>
      <c r="D1431" s="2" t="s">
        <v>4601</v>
      </c>
    </row>
    <row r="1432" spans="1:4" x14ac:dyDescent="0.25">
      <c r="A1432" t="s">
        <v>6171</v>
      </c>
      <c r="D1432" s="2" t="s">
        <v>4605</v>
      </c>
    </row>
    <row r="1433" spans="1:4" x14ac:dyDescent="0.25">
      <c r="A1433" t="s">
        <v>5724</v>
      </c>
      <c r="D1433" s="2" t="s">
        <v>3593</v>
      </c>
    </row>
    <row r="1434" spans="1:4" x14ac:dyDescent="0.25">
      <c r="A1434" t="s">
        <v>5729</v>
      </c>
      <c r="D1434" s="2" t="s">
        <v>8884</v>
      </c>
    </row>
    <row r="1435" spans="1:4" x14ac:dyDescent="0.25">
      <c r="A1435" t="s">
        <v>5732</v>
      </c>
      <c r="D1435" s="2" t="s">
        <v>6380</v>
      </c>
    </row>
    <row r="1436" spans="1:4" x14ac:dyDescent="0.25">
      <c r="A1436" t="s">
        <v>5575</v>
      </c>
      <c r="D1436" s="2" t="s">
        <v>7151</v>
      </c>
    </row>
    <row r="1437" spans="1:4" x14ac:dyDescent="0.25">
      <c r="A1437" t="s">
        <v>6141</v>
      </c>
      <c r="D1437" s="2" t="s">
        <v>8418</v>
      </c>
    </row>
    <row r="1438" spans="1:4" x14ac:dyDescent="0.25">
      <c r="A1438" t="s">
        <v>6145</v>
      </c>
      <c r="D1438" s="2" t="s">
        <v>9500</v>
      </c>
    </row>
    <row r="1439" spans="1:4" x14ac:dyDescent="0.25">
      <c r="A1439" t="s">
        <v>6148</v>
      </c>
      <c r="D1439" s="2" t="s">
        <v>4690</v>
      </c>
    </row>
    <row r="1440" spans="1:4" x14ac:dyDescent="0.25">
      <c r="A1440" t="s">
        <v>6148</v>
      </c>
      <c r="D1440" s="2" t="s">
        <v>4700</v>
      </c>
    </row>
    <row r="1441" spans="1:4" x14ac:dyDescent="0.25">
      <c r="A1441" t="s">
        <v>5679</v>
      </c>
      <c r="D1441" s="2" t="s">
        <v>6537</v>
      </c>
    </row>
    <row r="1442" spans="1:4" x14ac:dyDescent="0.25">
      <c r="A1442" t="s">
        <v>5684</v>
      </c>
      <c r="D1442" s="2" t="s">
        <v>8160</v>
      </c>
    </row>
    <row r="1443" spans="1:4" x14ac:dyDescent="0.25">
      <c r="A1443" t="s">
        <v>5968</v>
      </c>
      <c r="D1443" s="2" t="s">
        <v>5905</v>
      </c>
    </row>
    <row r="1444" spans="1:4" x14ac:dyDescent="0.25">
      <c r="A1444" t="s">
        <v>5971</v>
      </c>
      <c r="D1444" s="2" t="s">
        <v>5807</v>
      </c>
    </row>
    <row r="1445" spans="1:4" x14ac:dyDescent="0.25">
      <c r="A1445" t="s">
        <v>6069</v>
      </c>
      <c r="D1445" s="2" t="s">
        <v>3837</v>
      </c>
    </row>
    <row r="1446" spans="1:4" x14ac:dyDescent="0.25">
      <c r="A1446" t="s">
        <v>5612</v>
      </c>
      <c r="D1446" s="2" t="s">
        <v>5868</v>
      </c>
    </row>
    <row r="1447" spans="1:4" x14ac:dyDescent="0.25">
      <c r="A1447" t="s">
        <v>5616</v>
      </c>
      <c r="D1447" s="2" t="s">
        <v>5892</v>
      </c>
    </row>
    <row r="1448" spans="1:4" x14ac:dyDescent="0.25">
      <c r="A1448" t="s">
        <v>5619</v>
      </c>
      <c r="D1448" s="2" t="s">
        <v>8402</v>
      </c>
    </row>
    <row r="1449" spans="1:4" x14ac:dyDescent="0.25">
      <c r="A1449" t="s">
        <v>5622</v>
      </c>
      <c r="D1449" s="2" t="s">
        <v>8413</v>
      </c>
    </row>
    <row r="1450" spans="1:4" x14ac:dyDescent="0.25">
      <c r="A1450" t="s">
        <v>5652</v>
      </c>
      <c r="D1450" s="2" t="s">
        <v>10262</v>
      </c>
    </row>
    <row r="1451" spans="1:4" x14ac:dyDescent="0.25">
      <c r="A1451" t="s">
        <v>5655</v>
      </c>
      <c r="D1451" s="2" t="s">
        <v>9971</v>
      </c>
    </row>
    <row r="1452" spans="1:4" x14ac:dyDescent="0.25">
      <c r="A1452" t="s">
        <v>5591</v>
      </c>
      <c r="D1452" s="2" t="s">
        <v>9914</v>
      </c>
    </row>
    <row r="1453" spans="1:4" x14ac:dyDescent="0.25">
      <c r="A1453" t="s">
        <v>5591</v>
      </c>
      <c r="D1453" s="2" t="s">
        <v>9905</v>
      </c>
    </row>
    <row r="1454" spans="1:4" x14ac:dyDescent="0.25">
      <c r="A1454" t="s">
        <v>6176</v>
      </c>
      <c r="D1454" s="2" t="s">
        <v>948</v>
      </c>
    </row>
    <row r="1455" spans="1:4" x14ac:dyDescent="0.25">
      <c r="A1455" t="s">
        <v>6179</v>
      </c>
      <c r="D1455" s="2" t="s">
        <v>921</v>
      </c>
    </row>
    <row r="1456" spans="1:4" x14ac:dyDescent="0.25">
      <c r="A1456" t="s">
        <v>6184</v>
      </c>
      <c r="D1456" s="2" t="s">
        <v>893</v>
      </c>
    </row>
    <row r="1457" spans="1:4" x14ac:dyDescent="0.25">
      <c r="A1457" t="s">
        <v>6187</v>
      </c>
      <c r="D1457" s="2" t="s">
        <v>924</v>
      </c>
    </row>
    <row r="1458" spans="1:4" x14ac:dyDescent="0.25">
      <c r="A1458" t="s">
        <v>5976</v>
      </c>
      <c r="D1458" s="2" t="s">
        <v>9232</v>
      </c>
    </row>
    <row r="1459" spans="1:4" x14ac:dyDescent="0.25">
      <c r="A1459" t="s">
        <v>6121</v>
      </c>
      <c r="D1459" s="2" t="s">
        <v>2587</v>
      </c>
    </row>
    <row r="1460" spans="1:4" x14ac:dyDescent="0.25">
      <c r="A1460" t="s">
        <v>6124</v>
      </c>
      <c r="D1460" s="2" t="s">
        <v>2436</v>
      </c>
    </row>
    <row r="1461" spans="1:4" x14ac:dyDescent="0.25">
      <c r="A1461" t="s">
        <v>6124</v>
      </c>
      <c r="D1461" s="2" t="s">
        <v>2450</v>
      </c>
    </row>
    <row r="1462" spans="1:4" x14ac:dyDescent="0.25">
      <c r="A1462" t="s">
        <v>6128</v>
      </c>
      <c r="D1462" s="2" t="s">
        <v>2925</v>
      </c>
    </row>
    <row r="1463" spans="1:4" x14ac:dyDescent="0.25">
      <c r="A1463" t="s">
        <v>6128</v>
      </c>
      <c r="D1463" s="2" t="s">
        <v>2905</v>
      </c>
    </row>
    <row r="1464" spans="1:4" x14ac:dyDescent="0.25">
      <c r="A1464" t="s">
        <v>6132</v>
      </c>
      <c r="D1464" s="2" t="s">
        <v>2909</v>
      </c>
    </row>
    <row r="1465" spans="1:4" x14ac:dyDescent="0.25">
      <c r="A1465" t="s">
        <v>6132</v>
      </c>
      <c r="D1465" s="2" t="s">
        <v>2594</v>
      </c>
    </row>
    <row r="1466" spans="1:4" x14ac:dyDescent="0.25">
      <c r="A1466" t="s">
        <v>6136</v>
      </c>
      <c r="D1466" s="2" t="s">
        <v>2338</v>
      </c>
    </row>
    <row r="1467" spans="1:4" x14ac:dyDescent="0.25">
      <c r="A1467" t="s">
        <v>5660</v>
      </c>
      <c r="D1467" s="2" t="s">
        <v>2387</v>
      </c>
    </row>
    <row r="1468" spans="1:4" x14ac:dyDescent="0.25">
      <c r="A1468" t="s">
        <v>5982</v>
      </c>
      <c r="D1468" s="2" t="s">
        <v>9228</v>
      </c>
    </row>
    <row r="1469" spans="1:4" x14ac:dyDescent="0.25">
      <c r="A1469" t="s">
        <v>5368</v>
      </c>
      <c r="D1469" s="2" t="s">
        <v>9297</v>
      </c>
    </row>
    <row r="1470" spans="1:4" x14ac:dyDescent="0.25">
      <c r="A1470" t="s">
        <v>5644</v>
      </c>
      <c r="D1470" s="2" t="s">
        <v>2206</v>
      </c>
    </row>
    <row r="1471" spans="1:4" x14ac:dyDescent="0.25">
      <c r="A1471" t="s">
        <v>5647</v>
      </c>
      <c r="D1471" s="2" t="s">
        <v>704</v>
      </c>
    </row>
    <row r="1472" spans="1:4" x14ac:dyDescent="0.25">
      <c r="A1472" t="s">
        <v>6046</v>
      </c>
      <c r="D1472" s="2" t="s">
        <v>762</v>
      </c>
    </row>
    <row r="1473" spans="1:4" x14ac:dyDescent="0.25">
      <c r="A1473" t="s">
        <v>3579</v>
      </c>
      <c r="D1473" s="2" t="s">
        <v>3179</v>
      </c>
    </row>
    <row r="1474" spans="1:4" x14ac:dyDescent="0.25">
      <c r="A1474" t="s">
        <v>3583</v>
      </c>
      <c r="D1474" s="2" t="s">
        <v>3216</v>
      </c>
    </row>
    <row r="1475" spans="1:4" x14ac:dyDescent="0.25">
      <c r="A1475" t="s">
        <v>3583</v>
      </c>
      <c r="D1475" s="2" t="s">
        <v>9357</v>
      </c>
    </row>
    <row r="1476" spans="1:4" x14ac:dyDescent="0.25">
      <c r="A1476" t="s">
        <v>5864</v>
      </c>
      <c r="D1476" s="2" t="s">
        <v>2036</v>
      </c>
    </row>
    <row r="1477" spans="1:4" x14ac:dyDescent="0.25">
      <c r="A1477" t="s">
        <v>5864</v>
      </c>
      <c r="D1477" s="2" t="s">
        <v>9347</v>
      </c>
    </row>
    <row r="1478" spans="1:4" x14ac:dyDescent="0.25">
      <c r="A1478" t="s">
        <v>5868</v>
      </c>
      <c r="D1478" s="2" t="s">
        <v>9143</v>
      </c>
    </row>
    <row r="1479" spans="1:4" x14ac:dyDescent="0.25">
      <c r="A1479" t="s">
        <v>5871</v>
      </c>
      <c r="D1479" s="2" t="s">
        <v>1951</v>
      </c>
    </row>
    <row r="1480" spans="1:4" x14ac:dyDescent="0.25">
      <c r="A1480" t="s">
        <v>5874</v>
      </c>
      <c r="D1480" s="2" t="s">
        <v>9309</v>
      </c>
    </row>
    <row r="1481" spans="1:4" x14ac:dyDescent="0.25">
      <c r="A1481" t="s">
        <v>5897</v>
      </c>
      <c r="D1481" s="2" t="s">
        <v>1981</v>
      </c>
    </row>
    <row r="1482" spans="1:4" x14ac:dyDescent="0.25">
      <c r="A1482" t="s">
        <v>5930</v>
      </c>
      <c r="D1482" s="2" t="s">
        <v>67</v>
      </c>
    </row>
    <row r="1483" spans="1:4" x14ac:dyDescent="0.25">
      <c r="A1483" t="s">
        <v>5955</v>
      </c>
      <c r="D1483" s="2" t="s">
        <v>3284</v>
      </c>
    </row>
    <row r="1484" spans="1:4" x14ac:dyDescent="0.25">
      <c r="A1484" t="s">
        <v>6091</v>
      </c>
      <c r="D1484" s="2" t="s">
        <v>3335</v>
      </c>
    </row>
    <row r="1485" spans="1:4" x14ac:dyDescent="0.25">
      <c r="A1485" t="s">
        <v>6094</v>
      </c>
      <c r="D1485" s="2" t="s">
        <v>3254</v>
      </c>
    </row>
    <row r="1486" spans="1:4" x14ac:dyDescent="0.25">
      <c r="A1486" t="s">
        <v>6097</v>
      </c>
      <c r="D1486" s="2" t="s">
        <v>3410</v>
      </c>
    </row>
    <row r="1487" spans="1:4" x14ac:dyDescent="0.25">
      <c r="A1487" t="s">
        <v>6100</v>
      </c>
      <c r="D1487" s="2" t="s">
        <v>9201</v>
      </c>
    </row>
    <row r="1488" spans="1:4" x14ac:dyDescent="0.25">
      <c r="A1488" t="s">
        <v>6100</v>
      </c>
      <c r="D1488" s="2" t="s">
        <v>2076</v>
      </c>
    </row>
    <row r="1489" spans="1:4" x14ac:dyDescent="0.25">
      <c r="A1489" t="s">
        <v>6112</v>
      </c>
      <c r="D1489" s="2" t="s">
        <v>3054</v>
      </c>
    </row>
    <row r="1490" spans="1:4" x14ac:dyDescent="0.25">
      <c r="A1490" t="s">
        <v>6112</v>
      </c>
      <c r="D1490" s="2" t="s">
        <v>7057</v>
      </c>
    </row>
    <row r="1491" spans="1:4" x14ac:dyDescent="0.25">
      <c r="A1491" t="s">
        <v>5627</v>
      </c>
      <c r="D1491" s="2" t="s">
        <v>6861</v>
      </c>
    </row>
    <row r="1492" spans="1:4" x14ac:dyDescent="0.25">
      <c r="A1492" t="s">
        <v>5627</v>
      </c>
      <c r="D1492" s="2" t="s">
        <v>7307</v>
      </c>
    </row>
    <row r="1493" spans="1:4" x14ac:dyDescent="0.25">
      <c r="A1493" t="s">
        <v>5879</v>
      </c>
      <c r="D1493" s="2" t="s">
        <v>1061</v>
      </c>
    </row>
    <row r="1494" spans="1:4" x14ac:dyDescent="0.25">
      <c r="A1494" t="s">
        <v>5245</v>
      </c>
      <c r="D1494" s="2" t="s">
        <v>5020</v>
      </c>
    </row>
    <row r="1495" spans="1:4" x14ac:dyDescent="0.25">
      <c r="A1495" t="s">
        <v>5715</v>
      </c>
      <c r="D1495" s="2" t="s">
        <v>5993</v>
      </c>
    </row>
    <row r="1496" spans="1:4" x14ac:dyDescent="0.25">
      <c r="A1496" t="s">
        <v>5719</v>
      </c>
      <c r="D1496" s="2" t="s">
        <v>9321</v>
      </c>
    </row>
    <row r="1497" spans="1:4" x14ac:dyDescent="0.25">
      <c r="A1497" t="s">
        <v>5638</v>
      </c>
      <c r="D1497" s="2" t="s">
        <v>4182</v>
      </c>
    </row>
    <row r="1498" spans="1:4" x14ac:dyDescent="0.25">
      <c r="A1498" t="s">
        <v>5945</v>
      </c>
      <c r="D1498" s="2" t="s">
        <v>4027</v>
      </c>
    </row>
    <row r="1499" spans="1:4" x14ac:dyDescent="0.25">
      <c r="A1499" t="s">
        <v>5945</v>
      </c>
      <c r="D1499" s="2" t="s">
        <v>1122</v>
      </c>
    </row>
    <row r="1500" spans="1:4" x14ac:dyDescent="0.25">
      <c r="A1500" t="s">
        <v>5950</v>
      </c>
      <c r="D1500" s="2" t="s">
        <v>927</v>
      </c>
    </row>
    <row r="1501" spans="1:4" x14ac:dyDescent="0.25">
      <c r="A1501" t="s">
        <v>5960</v>
      </c>
      <c r="D1501" s="2" t="s">
        <v>2515</v>
      </c>
    </row>
    <row r="1502" spans="1:4" x14ac:dyDescent="0.25">
      <c r="A1502" t="s">
        <v>5963</v>
      </c>
      <c r="D1502" s="2" t="s">
        <v>2486</v>
      </c>
    </row>
    <row r="1503" spans="1:4" x14ac:dyDescent="0.25">
      <c r="A1503" t="s">
        <v>6074</v>
      </c>
      <c r="D1503" s="2" t="s">
        <v>2511</v>
      </c>
    </row>
    <row r="1504" spans="1:4" x14ac:dyDescent="0.25">
      <c r="A1504" t="s">
        <v>6077</v>
      </c>
      <c r="D1504" s="2" t="s">
        <v>2546</v>
      </c>
    </row>
    <row r="1505" spans="1:4" x14ac:dyDescent="0.25">
      <c r="A1505" t="s">
        <v>6077</v>
      </c>
      <c r="D1505" s="2" t="s">
        <v>2397</v>
      </c>
    </row>
    <row r="1506" spans="1:4" x14ac:dyDescent="0.25">
      <c r="A1506" t="s">
        <v>6077</v>
      </c>
      <c r="D1506" s="2" t="s">
        <v>2612</v>
      </c>
    </row>
    <row r="1507" spans="1:4" x14ac:dyDescent="0.25">
      <c r="A1507" t="s">
        <v>6077</v>
      </c>
      <c r="D1507" s="2" t="s">
        <v>2633</v>
      </c>
    </row>
    <row r="1508" spans="1:4" x14ac:dyDescent="0.25">
      <c r="A1508" t="s">
        <v>5452</v>
      </c>
      <c r="D1508" s="2" t="s">
        <v>2628</v>
      </c>
    </row>
    <row r="1509" spans="1:4" x14ac:dyDescent="0.25">
      <c r="A1509" t="s">
        <v>5452</v>
      </c>
      <c r="D1509" s="2" t="s">
        <v>2673</v>
      </c>
    </row>
    <row r="1510" spans="1:4" x14ac:dyDescent="0.25">
      <c r="A1510" t="s">
        <v>5452</v>
      </c>
      <c r="D1510" s="2" t="s">
        <v>2433</v>
      </c>
    </row>
    <row r="1511" spans="1:4" x14ac:dyDescent="0.25">
      <c r="A1511" t="s">
        <v>5452</v>
      </c>
      <c r="D1511" s="2" t="s">
        <v>2682</v>
      </c>
    </row>
    <row r="1512" spans="1:4" x14ac:dyDescent="0.25">
      <c r="A1512" t="s">
        <v>5452</v>
      </c>
      <c r="D1512" s="2" t="s">
        <v>2690</v>
      </c>
    </row>
    <row r="1513" spans="1:4" x14ac:dyDescent="0.25">
      <c r="A1513" t="s">
        <v>5452</v>
      </c>
      <c r="D1513" s="2" t="s">
        <v>2405</v>
      </c>
    </row>
    <row r="1514" spans="1:4" x14ac:dyDescent="0.25">
      <c r="A1514" t="s">
        <v>5452</v>
      </c>
      <c r="D1514" s="2" t="s">
        <v>2425</v>
      </c>
    </row>
    <row r="1515" spans="1:4" x14ac:dyDescent="0.25">
      <c r="A1515" t="s">
        <v>5452</v>
      </c>
      <c r="D1515" s="2" t="s">
        <v>2859</v>
      </c>
    </row>
    <row r="1516" spans="1:4" x14ac:dyDescent="0.25">
      <c r="A1516" t="s">
        <v>5452</v>
      </c>
      <c r="D1516" s="2" t="s">
        <v>2935</v>
      </c>
    </row>
    <row r="1517" spans="1:4" x14ac:dyDescent="0.25">
      <c r="A1517" t="s">
        <v>5452</v>
      </c>
      <c r="D1517" s="2" t="s">
        <v>2893</v>
      </c>
    </row>
    <row r="1518" spans="1:4" x14ac:dyDescent="0.25">
      <c r="A1518" t="s">
        <v>5452</v>
      </c>
      <c r="D1518" s="2" t="s">
        <v>594</v>
      </c>
    </row>
    <row r="1519" spans="1:4" x14ac:dyDescent="0.25">
      <c r="A1519" t="s">
        <v>5673</v>
      </c>
      <c r="D1519" s="2" t="s">
        <v>2761</v>
      </c>
    </row>
    <row r="1520" spans="1:4" x14ac:dyDescent="0.25">
      <c r="A1520" t="s">
        <v>5217</v>
      </c>
      <c r="D1520" s="2" t="s">
        <v>2709</v>
      </c>
    </row>
    <row r="1521" spans="1:4" x14ac:dyDescent="0.25">
      <c r="A1521" t="s">
        <v>5925</v>
      </c>
      <c r="D1521" s="2" t="s">
        <v>2866</v>
      </c>
    </row>
    <row r="1522" spans="1:4" x14ac:dyDescent="0.25">
      <c r="A1522" t="s">
        <v>6051</v>
      </c>
      <c r="D1522" s="2" t="s">
        <v>2851</v>
      </c>
    </row>
    <row r="1523" spans="1:4" x14ac:dyDescent="0.25">
      <c r="A1523" t="s">
        <v>5666</v>
      </c>
      <c r="D1523" s="2" t="s">
        <v>2772</v>
      </c>
    </row>
    <row r="1524" spans="1:4" x14ac:dyDescent="0.25">
      <c r="A1524" t="s">
        <v>5666</v>
      </c>
      <c r="D1524" s="2" t="s">
        <v>2598</v>
      </c>
    </row>
    <row r="1525" spans="1:4" x14ac:dyDescent="0.25">
      <c r="A1525" t="s">
        <v>5689</v>
      </c>
      <c r="D1525" s="2" t="s">
        <v>2583</v>
      </c>
    </row>
    <row r="1526" spans="1:4" x14ac:dyDescent="0.25">
      <c r="A1526" t="s">
        <v>5692</v>
      </c>
      <c r="D1526" s="2" t="s">
        <v>2342</v>
      </c>
    </row>
    <row r="1527" spans="1:4" x14ac:dyDescent="0.25">
      <c r="A1527" t="s">
        <v>5695</v>
      </c>
      <c r="D1527" s="2" t="s">
        <v>2285</v>
      </c>
    </row>
    <row r="1528" spans="1:4" x14ac:dyDescent="0.25">
      <c r="A1528" t="s">
        <v>5698</v>
      </c>
      <c r="D1528" s="2" t="s">
        <v>2296</v>
      </c>
    </row>
    <row r="1529" spans="1:4" x14ac:dyDescent="0.25">
      <c r="A1529" t="s">
        <v>5701</v>
      </c>
      <c r="D1529" s="2" t="s">
        <v>2314</v>
      </c>
    </row>
    <row r="1530" spans="1:4" x14ac:dyDescent="0.25">
      <c r="A1530" t="s">
        <v>5704</v>
      </c>
      <c r="D1530" s="2" t="s">
        <v>2310</v>
      </c>
    </row>
    <row r="1531" spans="1:4" x14ac:dyDescent="0.25">
      <c r="A1531" t="s">
        <v>5704</v>
      </c>
      <c r="D1531" s="2" t="s">
        <v>2306</v>
      </c>
    </row>
    <row r="1532" spans="1:4" x14ac:dyDescent="0.25">
      <c r="A1532" t="s">
        <v>5708</v>
      </c>
      <c r="D1532" s="2" t="s">
        <v>2330</v>
      </c>
    </row>
    <row r="1533" spans="1:4" x14ac:dyDescent="0.25">
      <c r="A1533" t="s">
        <v>5711</v>
      </c>
      <c r="D1533" s="2" t="s">
        <v>2356</v>
      </c>
    </row>
    <row r="1534" spans="1:4" x14ac:dyDescent="0.25">
      <c r="A1534" t="s">
        <v>5737</v>
      </c>
      <c r="D1534" s="2" t="s">
        <v>1339</v>
      </c>
    </row>
    <row r="1535" spans="1:4" x14ac:dyDescent="0.25">
      <c r="A1535" t="s">
        <v>5741</v>
      </c>
      <c r="D1535" s="2" t="s">
        <v>2360</v>
      </c>
    </row>
    <row r="1536" spans="1:4" x14ac:dyDescent="0.25">
      <c r="A1536" t="s">
        <v>5737</v>
      </c>
      <c r="D1536" s="2" t="s">
        <v>2992</v>
      </c>
    </row>
    <row r="1537" spans="1:4" x14ac:dyDescent="0.25">
      <c r="A1537" t="s">
        <v>5743</v>
      </c>
      <c r="D1537" s="2" t="s">
        <v>3155</v>
      </c>
    </row>
    <row r="1538" spans="1:4" x14ac:dyDescent="0.25">
      <c r="A1538" t="s">
        <v>5745</v>
      </c>
      <c r="D1538" s="2" t="s">
        <v>3147</v>
      </c>
    </row>
    <row r="1539" spans="1:4" x14ac:dyDescent="0.25">
      <c r="A1539" t="s">
        <v>5747</v>
      </c>
      <c r="D1539" s="2" t="s">
        <v>3089</v>
      </c>
    </row>
    <row r="1540" spans="1:4" x14ac:dyDescent="0.25">
      <c r="A1540" t="s">
        <v>5751</v>
      </c>
      <c r="D1540" s="2" t="s">
        <v>2984</v>
      </c>
    </row>
    <row r="1541" spans="1:4" x14ac:dyDescent="0.25">
      <c r="A1541" t="s">
        <v>5753</v>
      </c>
      <c r="D1541" s="2" t="s">
        <v>2954</v>
      </c>
    </row>
    <row r="1542" spans="1:4" x14ac:dyDescent="0.25">
      <c r="A1542" t="s">
        <v>5755</v>
      </c>
      <c r="D1542" s="2" t="s">
        <v>2951</v>
      </c>
    </row>
    <row r="1543" spans="1:4" x14ac:dyDescent="0.25">
      <c r="A1543" t="s">
        <v>5757</v>
      </c>
      <c r="D1543" s="2" t="s">
        <v>2943</v>
      </c>
    </row>
    <row r="1544" spans="1:4" x14ac:dyDescent="0.25">
      <c r="A1544" t="s">
        <v>5751</v>
      </c>
      <c r="D1544" s="2" t="s">
        <v>3171</v>
      </c>
    </row>
    <row r="1545" spans="1:4" x14ac:dyDescent="0.25">
      <c r="A1545" t="s">
        <v>5753</v>
      </c>
      <c r="D1545" s="2" t="s">
        <v>825</v>
      </c>
    </row>
    <row r="1546" spans="1:4" x14ac:dyDescent="0.25">
      <c r="A1546" t="s">
        <v>5755</v>
      </c>
      <c r="D1546" s="2" t="s">
        <v>822</v>
      </c>
    </row>
    <row r="1547" spans="1:4" x14ac:dyDescent="0.25">
      <c r="A1547" t="s">
        <v>5761</v>
      </c>
      <c r="D1547" s="2" t="s">
        <v>740</v>
      </c>
    </row>
    <row r="1548" spans="1:4" x14ac:dyDescent="0.25">
      <c r="A1548" t="s">
        <v>5757</v>
      </c>
      <c r="D1548" s="2" t="s">
        <v>737</v>
      </c>
    </row>
    <row r="1549" spans="1:4" x14ac:dyDescent="0.25">
      <c r="A1549" t="s">
        <v>5763</v>
      </c>
      <c r="D1549" s="2" t="s">
        <v>783</v>
      </c>
    </row>
    <row r="1550" spans="1:4" x14ac:dyDescent="0.25">
      <c r="A1550" t="s">
        <v>5765</v>
      </c>
      <c r="D1550" s="2" t="s">
        <v>774</v>
      </c>
    </row>
    <row r="1551" spans="1:4" x14ac:dyDescent="0.25">
      <c r="A1551" t="s">
        <v>5767</v>
      </c>
      <c r="D1551" s="2" t="s">
        <v>3183</v>
      </c>
    </row>
    <row r="1552" spans="1:4" x14ac:dyDescent="0.25">
      <c r="A1552" t="s">
        <v>5769</v>
      </c>
      <c r="D1552" s="2" t="s">
        <v>3101</v>
      </c>
    </row>
    <row r="1553" spans="1:4" x14ac:dyDescent="0.25">
      <c r="A1553" t="s">
        <v>5771</v>
      </c>
      <c r="D1553" s="2" t="s">
        <v>617</v>
      </c>
    </row>
    <row r="1554" spans="1:4" x14ac:dyDescent="0.25">
      <c r="A1554" t="s">
        <v>5773</v>
      </c>
      <c r="D1554" s="2" t="s">
        <v>686</v>
      </c>
    </row>
    <row r="1555" spans="1:4" x14ac:dyDescent="0.25">
      <c r="A1555" t="s">
        <v>5775</v>
      </c>
      <c r="D1555" s="2" t="s">
        <v>611</v>
      </c>
    </row>
    <row r="1556" spans="1:4" x14ac:dyDescent="0.25">
      <c r="A1556" t="s">
        <v>5779</v>
      </c>
      <c r="D1556" s="2" t="s">
        <v>614</v>
      </c>
    </row>
    <row r="1557" spans="1:4" x14ac:dyDescent="0.25">
      <c r="A1557" t="s">
        <v>5783</v>
      </c>
      <c r="D1557" s="2" t="s">
        <v>650</v>
      </c>
    </row>
    <row r="1558" spans="1:4" x14ac:dyDescent="0.25">
      <c r="A1558" t="s">
        <v>5783</v>
      </c>
      <c r="D1558" s="2" t="s">
        <v>638</v>
      </c>
    </row>
    <row r="1559" spans="1:4" x14ac:dyDescent="0.25">
      <c r="A1559" t="s">
        <v>5787</v>
      </c>
      <c r="D1559" s="2" t="s">
        <v>620</v>
      </c>
    </row>
    <row r="1560" spans="1:4" x14ac:dyDescent="0.25">
      <c r="A1560" t="s">
        <v>5789</v>
      </c>
      <c r="D1560" s="2" t="s">
        <v>644</v>
      </c>
    </row>
    <row r="1561" spans="1:4" x14ac:dyDescent="0.25">
      <c r="A1561" t="s">
        <v>5791</v>
      </c>
      <c r="D1561" s="2" t="s">
        <v>647</v>
      </c>
    </row>
    <row r="1562" spans="1:4" x14ac:dyDescent="0.25">
      <c r="A1562" t="s">
        <v>5793</v>
      </c>
      <c r="D1562" s="2" t="s">
        <v>1469</v>
      </c>
    </row>
    <row r="1563" spans="1:4" x14ac:dyDescent="0.25">
      <c r="A1563" t="s">
        <v>5797</v>
      </c>
      <c r="D1563" s="2" t="s">
        <v>1279</v>
      </c>
    </row>
    <row r="1564" spans="1:4" x14ac:dyDescent="0.25">
      <c r="A1564" t="s">
        <v>5799</v>
      </c>
      <c r="D1564" s="2" t="s">
        <v>1321</v>
      </c>
    </row>
    <row r="1565" spans="1:4" x14ac:dyDescent="0.25">
      <c r="A1565" t="s">
        <v>5801</v>
      </c>
      <c r="D1565" s="2" t="s">
        <v>1485</v>
      </c>
    </row>
    <row r="1566" spans="1:4" x14ac:dyDescent="0.25">
      <c r="A1566" t="s">
        <v>5803</v>
      </c>
      <c r="D1566" s="2" t="s">
        <v>1482</v>
      </c>
    </row>
    <row r="1567" spans="1:4" x14ac:dyDescent="0.25">
      <c r="A1567" t="s">
        <v>3842</v>
      </c>
      <c r="D1567" s="2" t="s">
        <v>1479</v>
      </c>
    </row>
    <row r="1568" spans="1:4" x14ac:dyDescent="0.25">
      <c r="A1568" t="s">
        <v>5562</v>
      </c>
      <c r="D1568" s="2" t="s">
        <v>2039</v>
      </c>
    </row>
    <row r="1569" spans="1:4" x14ac:dyDescent="0.25">
      <c r="A1569" t="s">
        <v>5902</v>
      </c>
      <c r="D1569" s="2" t="s">
        <v>2042</v>
      </c>
    </row>
    <row r="1570" spans="1:4" x14ac:dyDescent="0.25">
      <c r="A1570" t="s">
        <v>5905</v>
      </c>
      <c r="D1570" s="2" t="s">
        <v>3029</v>
      </c>
    </row>
    <row r="1571" spans="1:4" x14ac:dyDescent="0.25">
      <c r="A1571" t="s">
        <v>5905</v>
      </c>
      <c r="D1571" s="2" t="s">
        <v>3038</v>
      </c>
    </row>
    <row r="1572" spans="1:4" x14ac:dyDescent="0.25">
      <c r="A1572" t="s">
        <v>5908</v>
      </c>
      <c r="D1572" s="2" t="s">
        <v>1960</v>
      </c>
    </row>
    <row r="1573" spans="1:4" x14ac:dyDescent="0.25">
      <c r="A1573" t="s">
        <v>5911</v>
      </c>
      <c r="D1573" s="2" t="s">
        <v>3464</v>
      </c>
    </row>
    <row r="1574" spans="1:4" x14ac:dyDescent="0.25">
      <c r="A1574" t="s">
        <v>5914</v>
      </c>
      <c r="D1574" s="2" t="s">
        <v>1921</v>
      </c>
    </row>
    <row r="1575" spans="1:4" x14ac:dyDescent="0.25">
      <c r="A1575" t="s">
        <v>5935</v>
      </c>
      <c r="D1575" s="2" t="s">
        <v>1918</v>
      </c>
    </row>
    <row r="1576" spans="1:4" x14ac:dyDescent="0.25">
      <c r="A1576" t="s">
        <v>5935</v>
      </c>
      <c r="D1576" s="2" t="s">
        <v>1954</v>
      </c>
    </row>
    <row r="1577" spans="1:4" x14ac:dyDescent="0.25">
      <c r="A1577" t="s">
        <v>5987</v>
      </c>
      <c r="D1577" s="2" t="s">
        <v>1948</v>
      </c>
    </row>
    <row r="1578" spans="1:4" x14ac:dyDescent="0.25">
      <c r="A1578" t="s">
        <v>5990</v>
      </c>
      <c r="D1578" s="2" t="s">
        <v>1945</v>
      </c>
    </row>
    <row r="1579" spans="1:4" x14ac:dyDescent="0.25">
      <c r="A1579" t="s">
        <v>5993</v>
      </c>
      <c r="D1579" s="2" t="s">
        <v>1963</v>
      </c>
    </row>
    <row r="1580" spans="1:4" x14ac:dyDescent="0.25">
      <c r="A1580" t="s">
        <v>6008</v>
      </c>
      <c r="D1580" s="2" t="s">
        <v>1930</v>
      </c>
    </row>
    <row r="1581" spans="1:4" x14ac:dyDescent="0.25">
      <c r="A1581" t="s">
        <v>6011</v>
      </c>
      <c r="D1581" s="2" t="s">
        <v>3488</v>
      </c>
    </row>
    <row r="1582" spans="1:4" x14ac:dyDescent="0.25">
      <c r="A1582" t="s">
        <v>6014</v>
      </c>
      <c r="D1582" s="2" t="s">
        <v>3440</v>
      </c>
    </row>
    <row r="1583" spans="1:4" x14ac:dyDescent="0.25">
      <c r="A1583" t="s">
        <v>6017</v>
      </c>
      <c r="D1583" s="2" t="s">
        <v>3479</v>
      </c>
    </row>
    <row r="1584" spans="1:4" x14ac:dyDescent="0.25">
      <c r="A1584" t="s">
        <v>6022</v>
      </c>
      <c r="D1584" s="2" t="s">
        <v>1860</v>
      </c>
    </row>
    <row r="1585" spans="1:4" x14ac:dyDescent="0.25">
      <c r="A1585" t="s">
        <v>6025</v>
      </c>
      <c r="D1585" s="2" t="s">
        <v>1848</v>
      </c>
    </row>
    <row r="1586" spans="1:4" x14ac:dyDescent="0.25">
      <c r="A1586" t="s">
        <v>6030</v>
      </c>
      <c r="D1586" s="2" t="s">
        <v>1868</v>
      </c>
    </row>
    <row r="1587" spans="1:4" x14ac:dyDescent="0.25">
      <c r="A1587" t="s">
        <v>6035</v>
      </c>
      <c r="D1587" s="2" t="s">
        <v>1845</v>
      </c>
    </row>
    <row r="1588" spans="1:4" x14ac:dyDescent="0.25">
      <c r="A1588" t="s">
        <v>5530</v>
      </c>
      <c r="D1588" s="2" t="s">
        <v>3046</v>
      </c>
    </row>
    <row r="1589" spans="1:4" x14ac:dyDescent="0.25">
      <c r="A1589" t="s">
        <v>5551</v>
      </c>
      <c r="D1589" s="2" t="s">
        <v>1874</v>
      </c>
    </row>
    <row r="1590" spans="1:4" x14ac:dyDescent="0.25">
      <c r="A1590" t="s">
        <v>5551</v>
      </c>
      <c r="D1590" s="2" t="s">
        <v>1972</v>
      </c>
    </row>
    <row r="1591" spans="1:4" x14ac:dyDescent="0.25">
      <c r="A1591" t="s">
        <v>5575</v>
      </c>
      <c r="D1591" s="2" t="s">
        <v>3443</v>
      </c>
    </row>
    <row r="1592" spans="1:4" x14ac:dyDescent="0.25">
      <c r="A1592" t="s">
        <v>5884</v>
      </c>
      <c r="D1592" s="2" t="s">
        <v>1863</v>
      </c>
    </row>
    <row r="1593" spans="1:4" x14ac:dyDescent="0.25">
      <c r="A1593" t="s">
        <v>5887</v>
      </c>
      <c r="D1593" s="2" t="s">
        <v>3458</v>
      </c>
    </row>
    <row r="1594" spans="1:4" x14ac:dyDescent="0.25">
      <c r="A1594" t="s">
        <v>5887</v>
      </c>
      <c r="D1594" s="2" t="s">
        <v>1957</v>
      </c>
    </row>
    <row r="1595" spans="1:4" x14ac:dyDescent="0.25">
      <c r="A1595" t="s">
        <v>5887</v>
      </c>
      <c r="D1595" s="2" t="s">
        <v>1785</v>
      </c>
    </row>
    <row r="1596" spans="1:4" x14ac:dyDescent="0.25">
      <c r="A1596" t="s">
        <v>5892</v>
      </c>
      <c r="D1596" s="2" t="s">
        <v>1788</v>
      </c>
    </row>
    <row r="1597" spans="1:4" x14ac:dyDescent="0.25">
      <c r="A1597" t="s">
        <v>5128</v>
      </c>
      <c r="D1597" s="2" t="s">
        <v>1997</v>
      </c>
    </row>
    <row r="1598" spans="1:4" x14ac:dyDescent="0.25">
      <c r="A1598" t="s">
        <v>5132</v>
      </c>
      <c r="D1598" s="2" t="s">
        <v>1994</v>
      </c>
    </row>
    <row r="1599" spans="1:4" x14ac:dyDescent="0.25">
      <c r="A1599" t="s">
        <v>5136</v>
      </c>
      <c r="D1599" s="2" t="s">
        <v>1988</v>
      </c>
    </row>
    <row r="1600" spans="1:4" x14ac:dyDescent="0.25">
      <c r="A1600" t="s">
        <v>5136</v>
      </c>
      <c r="D1600" s="2" t="s">
        <v>3512</v>
      </c>
    </row>
    <row r="1601" spans="1:4" x14ac:dyDescent="0.25">
      <c r="A1601" t="s">
        <v>5140</v>
      </c>
      <c r="D1601" s="2" t="s">
        <v>3515</v>
      </c>
    </row>
    <row r="1602" spans="1:4" x14ac:dyDescent="0.25">
      <c r="A1602" t="s">
        <v>5143</v>
      </c>
      <c r="D1602" s="2" t="s">
        <v>42</v>
      </c>
    </row>
    <row r="1603" spans="1:4" x14ac:dyDescent="0.25">
      <c r="A1603" t="s">
        <v>5143</v>
      </c>
      <c r="D1603" s="2" t="s">
        <v>82</v>
      </c>
    </row>
    <row r="1604" spans="1:4" x14ac:dyDescent="0.25">
      <c r="A1604" t="s">
        <v>5148</v>
      </c>
      <c r="D1604" s="2" t="s">
        <v>1270</v>
      </c>
    </row>
    <row r="1605" spans="1:4" x14ac:dyDescent="0.25">
      <c r="A1605" t="s">
        <v>5148</v>
      </c>
      <c r="D1605" s="2" t="s">
        <v>49</v>
      </c>
    </row>
    <row r="1606" spans="1:4" x14ac:dyDescent="0.25">
      <c r="A1606" t="s">
        <v>5441</v>
      </c>
      <c r="D1606" s="2" t="s">
        <v>76</v>
      </c>
    </row>
    <row r="1607" spans="1:4" x14ac:dyDescent="0.25">
      <c r="A1607" t="s">
        <v>5444</v>
      </c>
      <c r="D1607" s="2" t="s">
        <v>58</v>
      </c>
    </row>
    <row r="1608" spans="1:4" x14ac:dyDescent="0.25">
      <c r="A1608" t="s">
        <v>5447</v>
      </c>
      <c r="D1608" s="2" t="s">
        <v>61</v>
      </c>
    </row>
    <row r="1609" spans="1:4" x14ac:dyDescent="0.25">
      <c r="A1609" t="s">
        <v>5482</v>
      </c>
      <c r="D1609" s="2" t="s">
        <v>3257</v>
      </c>
    </row>
    <row r="1610" spans="1:4" x14ac:dyDescent="0.25">
      <c r="A1610" t="s">
        <v>5482</v>
      </c>
      <c r="D1610" s="2" t="s">
        <v>3245</v>
      </c>
    </row>
    <row r="1611" spans="1:4" x14ac:dyDescent="0.25">
      <c r="A1611" t="s">
        <v>5485</v>
      </c>
      <c r="D1611" s="2" t="s">
        <v>3260</v>
      </c>
    </row>
    <row r="1612" spans="1:4" x14ac:dyDescent="0.25">
      <c r="A1612" t="s">
        <v>5485</v>
      </c>
      <c r="D1612" s="2" t="s">
        <v>3239</v>
      </c>
    </row>
    <row r="1613" spans="1:4" x14ac:dyDescent="0.25">
      <c r="A1613" t="s">
        <v>5485</v>
      </c>
      <c r="D1613" s="2" t="s">
        <v>3353</v>
      </c>
    </row>
    <row r="1614" spans="1:4" x14ac:dyDescent="0.25">
      <c r="A1614" t="s">
        <v>5485</v>
      </c>
      <c r="D1614" s="2" t="s">
        <v>3398</v>
      </c>
    </row>
    <row r="1615" spans="1:4" x14ac:dyDescent="0.25">
      <c r="A1615" t="s">
        <v>5487</v>
      </c>
      <c r="D1615" s="2" t="s">
        <v>3374</v>
      </c>
    </row>
    <row r="1616" spans="1:4" x14ac:dyDescent="0.25">
      <c r="A1616" t="s">
        <v>5487</v>
      </c>
      <c r="D1616" s="2" t="s">
        <v>3371</v>
      </c>
    </row>
    <row r="1617" spans="1:4" x14ac:dyDescent="0.25">
      <c r="A1617" t="s">
        <v>5487</v>
      </c>
      <c r="D1617" s="2" t="s">
        <v>3392</v>
      </c>
    </row>
    <row r="1618" spans="1:4" x14ac:dyDescent="0.25">
      <c r="A1618" t="s">
        <v>5487</v>
      </c>
      <c r="D1618" s="2" t="s">
        <v>3383</v>
      </c>
    </row>
    <row r="1619" spans="1:4" x14ac:dyDescent="0.25">
      <c r="A1619" t="s">
        <v>5487</v>
      </c>
      <c r="D1619" s="2" t="s">
        <v>3386</v>
      </c>
    </row>
    <row r="1620" spans="1:4" x14ac:dyDescent="0.25">
      <c r="A1620" t="s">
        <v>5493</v>
      </c>
      <c r="D1620" s="2" t="s">
        <v>9129</v>
      </c>
    </row>
    <row r="1621" spans="1:4" x14ac:dyDescent="0.25">
      <c r="A1621" t="s">
        <v>5507</v>
      </c>
      <c r="D1621" s="2" t="s">
        <v>3531</v>
      </c>
    </row>
    <row r="1622" spans="1:4" x14ac:dyDescent="0.25">
      <c r="A1622" t="s">
        <v>5510</v>
      </c>
      <c r="D1622" s="2" t="s">
        <v>3537</v>
      </c>
    </row>
    <row r="1623" spans="1:4" x14ac:dyDescent="0.25">
      <c r="A1623" t="s">
        <v>5513</v>
      </c>
      <c r="D1623" s="2" t="s">
        <v>3521</v>
      </c>
    </row>
    <row r="1624" spans="1:4" x14ac:dyDescent="0.25">
      <c r="A1624" t="s">
        <v>5526</v>
      </c>
      <c r="D1624" s="2" t="s">
        <v>3503</v>
      </c>
    </row>
    <row r="1625" spans="1:4" x14ac:dyDescent="0.25">
      <c r="A1625" t="s">
        <v>5807</v>
      </c>
      <c r="D1625" s="2" t="s">
        <v>1447</v>
      </c>
    </row>
    <row r="1626" spans="1:4" x14ac:dyDescent="0.25">
      <c r="A1626" t="s">
        <v>5810</v>
      </c>
      <c r="D1626" s="2" t="s">
        <v>7080</v>
      </c>
    </row>
    <row r="1627" spans="1:4" x14ac:dyDescent="0.25">
      <c r="A1627" t="s">
        <v>5813</v>
      </c>
      <c r="D1627" s="2" t="s">
        <v>8135</v>
      </c>
    </row>
    <row r="1628" spans="1:4" x14ac:dyDescent="0.25">
      <c r="A1628" t="s">
        <v>5816</v>
      </c>
      <c r="D1628" s="2" t="s">
        <v>7022</v>
      </c>
    </row>
    <row r="1629" spans="1:4" x14ac:dyDescent="0.25">
      <c r="A1629" t="s">
        <v>5819</v>
      </c>
      <c r="D1629" s="2" t="s">
        <v>8816</v>
      </c>
    </row>
    <row r="1630" spans="1:4" x14ac:dyDescent="0.25">
      <c r="A1630" t="s">
        <v>5819</v>
      </c>
      <c r="D1630" s="2" t="s">
        <v>8725</v>
      </c>
    </row>
    <row r="1631" spans="1:4" x14ac:dyDescent="0.25">
      <c r="A1631" t="s">
        <v>5819</v>
      </c>
      <c r="D1631" s="2" t="s">
        <v>5747</v>
      </c>
    </row>
    <row r="1632" spans="1:4" x14ac:dyDescent="0.25">
      <c r="A1632" t="s">
        <v>5819</v>
      </c>
      <c r="D1632" s="2" t="s">
        <v>5761</v>
      </c>
    </row>
    <row r="1633" spans="1:4" x14ac:dyDescent="0.25">
      <c r="A1633" t="s">
        <v>5819</v>
      </c>
      <c r="D1633" s="2" t="s">
        <v>5368</v>
      </c>
    </row>
    <row r="1634" spans="1:4" x14ac:dyDescent="0.25">
      <c r="A1634" t="s">
        <v>5826</v>
      </c>
      <c r="D1634" s="2" t="s">
        <v>8671</v>
      </c>
    </row>
    <row r="1635" spans="1:4" x14ac:dyDescent="0.25">
      <c r="A1635" t="s">
        <v>5829</v>
      </c>
      <c r="D1635" s="2" t="s">
        <v>6601</v>
      </c>
    </row>
    <row r="1636" spans="1:4" x14ac:dyDescent="0.25">
      <c r="A1636" t="s">
        <v>5829</v>
      </c>
      <c r="D1636" s="2" t="s">
        <v>867</v>
      </c>
    </row>
    <row r="1637" spans="1:4" x14ac:dyDescent="0.25">
      <c r="A1637" t="s">
        <v>5833</v>
      </c>
      <c r="D1637" s="2" t="s">
        <v>8685</v>
      </c>
    </row>
    <row r="1638" spans="1:4" x14ac:dyDescent="0.25">
      <c r="A1638" t="s">
        <v>5833</v>
      </c>
      <c r="D1638" s="2" t="s">
        <v>5567</v>
      </c>
    </row>
    <row r="1639" spans="1:4" x14ac:dyDescent="0.25">
      <c r="A1639" t="s">
        <v>5833</v>
      </c>
      <c r="D1639" s="2" t="s">
        <v>4382</v>
      </c>
    </row>
    <row r="1640" spans="1:4" x14ac:dyDescent="0.25">
      <c r="A1640" t="s">
        <v>5833</v>
      </c>
      <c r="D1640" s="2" t="s">
        <v>6714</v>
      </c>
    </row>
    <row r="1641" spans="1:4" x14ac:dyDescent="0.25">
      <c r="A1641" t="s">
        <v>5833</v>
      </c>
      <c r="D1641" s="2" t="s">
        <v>7004</v>
      </c>
    </row>
    <row r="1642" spans="1:4" x14ac:dyDescent="0.25">
      <c r="A1642" t="s">
        <v>5833</v>
      </c>
      <c r="D1642" s="2" t="s">
        <v>7134</v>
      </c>
    </row>
    <row r="1643" spans="1:4" x14ac:dyDescent="0.25">
      <c r="A1643" t="s">
        <v>5833</v>
      </c>
      <c r="D1643" s="2" t="s">
        <v>8819</v>
      </c>
    </row>
    <row r="1644" spans="1:4" x14ac:dyDescent="0.25">
      <c r="A1644" t="s">
        <v>5833</v>
      </c>
      <c r="D1644" s="2" t="s">
        <v>5502</v>
      </c>
    </row>
    <row r="1645" spans="1:4" x14ac:dyDescent="0.25">
      <c r="A1645" t="s">
        <v>5833</v>
      </c>
      <c r="D1645" s="2" t="s">
        <v>3947</v>
      </c>
    </row>
    <row r="1646" spans="1:4" x14ac:dyDescent="0.25">
      <c r="A1646" t="s">
        <v>5833</v>
      </c>
      <c r="D1646" s="2" t="s">
        <v>8565</v>
      </c>
    </row>
    <row r="1647" spans="1:4" x14ac:dyDescent="0.25">
      <c r="A1647" t="s">
        <v>5833</v>
      </c>
      <c r="D1647" s="2" t="s">
        <v>8796</v>
      </c>
    </row>
    <row r="1648" spans="1:4" x14ac:dyDescent="0.25">
      <c r="A1648" t="s">
        <v>5833</v>
      </c>
      <c r="D1648" s="2" t="s">
        <v>6513</v>
      </c>
    </row>
    <row r="1649" spans="1:4" x14ac:dyDescent="0.25">
      <c r="A1649" t="s">
        <v>5833</v>
      </c>
      <c r="D1649" s="2" t="s">
        <v>8630</v>
      </c>
    </row>
    <row r="1650" spans="1:4" x14ac:dyDescent="0.25">
      <c r="A1650" t="s">
        <v>5848</v>
      </c>
      <c r="D1650" s="2" t="s">
        <v>7779</v>
      </c>
    </row>
    <row r="1651" spans="1:4" x14ac:dyDescent="0.25">
      <c r="A1651" t="s">
        <v>5851</v>
      </c>
      <c r="D1651" s="2" t="s">
        <v>4164</v>
      </c>
    </row>
    <row r="1652" spans="1:4" x14ac:dyDescent="0.25">
      <c r="A1652" t="s">
        <v>5854</v>
      </c>
      <c r="D1652" s="2" t="s">
        <v>8439</v>
      </c>
    </row>
    <row r="1653" spans="1:4" x14ac:dyDescent="0.25">
      <c r="A1653" t="s">
        <v>5854</v>
      </c>
      <c r="D1653" s="2" t="s">
        <v>1386</v>
      </c>
    </row>
    <row r="1654" spans="1:4" x14ac:dyDescent="0.25">
      <c r="A1654" t="s">
        <v>5858</v>
      </c>
      <c r="D1654" s="2" t="s">
        <v>346</v>
      </c>
    </row>
    <row r="1655" spans="1:4" x14ac:dyDescent="0.25">
      <c r="A1655" t="s">
        <v>5858</v>
      </c>
      <c r="D1655" s="2" t="s">
        <v>8699</v>
      </c>
    </row>
    <row r="1656" spans="1:4" x14ac:dyDescent="0.25">
      <c r="A1656" t="s">
        <v>5998</v>
      </c>
      <c r="D1656" s="2" t="s">
        <v>8813</v>
      </c>
    </row>
    <row r="1657" spans="1:4" x14ac:dyDescent="0.25">
      <c r="A1657" t="s">
        <v>6001</v>
      </c>
      <c r="D1657" s="2" t="s">
        <v>8688</v>
      </c>
    </row>
    <row r="1658" spans="1:4" x14ac:dyDescent="0.25">
      <c r="A1658" t="s">
        <v>6001</v>
      </c>
      <c r="D1658" s="2" t="s">
        <v>8857</v>
      </c>
    </row>
    <row r="1659" spans="1:4" x14ac:dyDescent="0.25">
      <c r="A1659" t="s">
        <v>5498</v>
      </c>
      <c r="D1659" s="2" t="s">
        <v>4938</v>
      </c>
    </row>
    <row r="1660" spans="1:4" x14ac:dyDescent="0.25">
      <c r="A1660" t="s">
        <v>5502</v>
      </c>
      <c r="D1660" s="2" t="s">
        <v>8433</v>
      </c>
    </row>
    <row r="1661" spans="1:4" x14ac:dyDescent="0.25">
      <c r="A1661" t="s">
        <v>5518</v>
      </c>
      <c r="D1661" s="2" t="s">
        <v>1312</v>
      </c>
    </row>
    <row r="1662" spans="1:4" x14ac:dyDescent="0.25">
      <c r="A1662" t="s">
        <v>5521</v>
      </c>
      <c r="D1662" s="2" t="s">
        <v>9882</v>
      </c>
    </row>
    <row r="1663" spans="1:4" x14ac:dyDescent="0.25">
      <c r="A1663" t="s">
        <v>5536</v>
      </c>
      <c r="D1663" s="2" t="s">
        <v>1587</v>
      </c>
    </row>
    <row r="1664" spans="1:4" x14ac:dyDescent="0.25">
      <c r="A1664" t="s">
        <v>5606</v>
      </c>
      <c r="D1664" s="2" t="s">
        <v>2657</v>
      </c>
    </row>
    <row r="1665" spans="1:4" x14ac:dyDescent="0.25">
      <c r="A1665" t="s">
        <v>5425</v>
      </c>
      <c r="D1665" s="2" t="s">
        <v>6993</v>
      </c>
    </row>
    <row r="1666" spans="1:4" x14ac:dyDescent="0.25">
      <c r="A1666" t="s">
        <v>5541</v>
      </c>
      <c r="D1666" s="2" t="s">
        <v>4327</v>
      </c>
    </row>
    <row r="1667" spans="1:4" x14ac:dyDescent="0.25">
      <c r="A1667" t="s">
        <v>5546</v>
      </c>
      <c r="D1667" s="2" t="s">
        <v>8827</v>
      </c>
    </row>
    <row r="1668" spans="1:4" x14ac:dyDescent="0.25">
      <c r="A1668" t="s">
        <v>5557</v>
      </c>
      <c r="D1668" s="2" t="s">
        <v>3209</v>
      </c>
    </row>
    <row r="1669" spans="1:4" x14ac:dyDescent="0.25">
      <c r="A1669" t="s">
        <v>5586</v>
      </c>
      <c r="D1669" s="2" t="s">
        <v>8771</v>
      </c>
    </row>
    <row r="1670" spans="1:4" x14ac:dyDescent="0.25">
      <c r="A1670" t="s">
        <v>5591</v>
      </c>
      <c r="D1670" s="2" t="s">
        <v>9253</v>
      </c>
    </row>
    <row r="1671" spans="1:4" x14ac:dyDescent="0.25">
      <c r="A1671" t="s">
        <v>5591</v>
      </c>
      <c r="D1671" s="2" t="s">
        <v>3266</v>
      </c>
    </row>
    <row r="1672" spans="1:4" x14ac:dyDescent="0.25">
      <c r="A1672" t="s">
        <v>5251</v>
      </c>
      <c r="D1672" s="2" t="s">
        <v>9436</v>
      </c>
    </row>
    <row r="1673" spans="1:4" x14ac:dyDescent="0.25">
      <c r="A1673" t="s">
        <v>5364</v>
      </c>
      <c r="D1673" s="2" t="s">
        <v>8529</v>
      </c>
    </row>
    <row r="1674" spans="1:4" x14ac:dyDescent="0.25">
      <c r="A1674" t="s">
        <v>5368</v>
      </c>
      <c r="D1674" s="2" t="s">
        <v>8722</v>
      </c>
    </row>
    <row r="1675" spans="1:4" x14ac:dyDescent="0.25">
      <c r="A1675" t="s">
        <v>5368</v>
      </c>
      <c r="D1675" s="2" t="s">
        <v>902</v>
      </c>
    </row>
    <row r="1676" spans="1:4" x14ac:dyDescent="0.25">
      <c r="A1676" t="s">
        <v>5063</v>
      </c>
      <c r="D1676" s="2" t="s">
        <v>476</v>
      </c>
    </row>
    <row r="1677" spans="1:4" x14ac:dyDescent="0.25">
      <c r="A1677" t="s">
        <v>4770</v>
      </c>
      <c r="D1677" s="2" t="s">
        <v>8758</v>
      </c>
    </row>
    <row r="1678" spans="1:4" x14ac:dyDescent="0.25">
      <c r="A1678" t="s">
        <v>5086</v>
      </c>
      <c r="D1678" s="2" t="s">
        <v>10040</v>
      </c>
    </row>
    <row r="1679" spans="1:4" x14ac:dyDescent="0.25">
      <c r="A1679" t="s">
        <v>5090</v>
      </c>
      <c r="D1679" s="2" t="s">
        <v>8216</v>
      </c>
    </row>
    <row r="1680" spans="1:4" x14ac:dyDescent="0.25">
      <c r="A1680" t="s">
        <v>5093</v>
      </c>
      <c r="D1680" s="2" t="s">
        <v>7746</v>
      </c>
    </row>
    <row r="1681" spans="1:4" x14ac:dyDescent="0.25">
      <c r="A1681" t="s">
        <v>5093</v>
      </c>
      <c r="D1681" s="2" t="s">
        <v>8147</v>
      </c>
    </row>
    <row r="1682" spans="1:4" x14ac:dyDescent="0.25">
      <c r="A1682" t="s">
        <v>5098</v>
      </c>
      <c r="D1682" s="2" t="s">
        <v>8840</v>
      </c>
    </row>
    <row r="1683" spans="1:4" x14ac:dyDescent="0.25">
      <c r="A1683" t="s">
        <v>5101</v>
      </c>
      <c r="D1683" s="2" t="s">
        <v>8843</v>
      </c>
    </row>
    <row r="1684" spans="1:4" x14ac:dyDescent="0.25">
      <c r="A1684" t="s">
        <v>5105</v>
      </c>
      <c r="D1684" s="2" t="s">
        <v>8659</v>
      </c>
    </row>
    <row r="1685" spans="1:4" x14ac:dyDescent="0.25">
      <c r="A1685" t="s">
        <v>5108</v>
      </c>
      <c r="D1685" s="2" t="s">
        <v>8784</v>
      </c>
    </row>
    <row r="1686" spans="1:4" x14ac:dyDescent="0.25">
      <c r="A1686" t="s">
        <v>5108</v>
      </c>
      <c r="D1686" s="2" t="s">
        <v>8734</v>
      </c>
    </row>
    <row r="1687" spans="1:4" x14ac:dyDescent="0.25">
      <c r="A1687" t="s">
        <v>5113</v>
      </c>
      <c r="D1687" s="2" t="s">
        <v>9582</v>
      </c>
    </row>
    <row r="1688" spans="1:4" x14ac:dyDescent="0.25">
      <c r="A1688" t="s">
        <v>5113</v>
      </c>
      <c r="D1688" s="2" t="s">
        <v>3112</v>
      </c>
    </row>
    <row r="1689" spans="1:4" x14ac:dyDescent="0.25">
      <c r="A1689" t="s">
        <v>5118</v>
      </c>
      <c r="D1689" s="2" t="s">
        <v>7774</v>
      </c>
    </row>
    <row r="1690" spans="1:4" x14ac:dyDescent="0.25">
      <c r="A1690" t="s">
        <v>5121</v>
      </c>
      <c r="D1690" s="2" t="s">
        <v>6297</v>
      </c>
    </row>
    <row r="1691" spans="1:4" x14ac:dyDescent="0.25">
      <c r="A1691" t="s">
        <v>5121</v>
      </c>
      <c r="D1691" s="2" t="s">
        <v>7407</v>
      </c>
    </row>
    <row r="1692" spans="1:4" x14ac:dyDescent="0.25">
      <c r="A1692" t="s">
        <v>5335</v>
      </c>
      <c r="D1692" s="2" t="s">
        <v>3802</v>
      </c>
    </row>
    <row r="1693" spans="1:4" x14ac:dyDescent="0.25">
      <c r="A1693" t="s">
        <v>5338</v>
      </c>
      <c r="D1693" s="2" t="s">
        <v>426</v>
      </c>
    </row>
    <row r="1694" spans="1:4" x14ac:dyDescent="0.25">
      <c r="A1694" t="s">
        <v>5343</v>
      </c>
      <c r="D1694" s="2" t="s">
        <v>9571</v>
      </c>
    </row>
    <row r="1695" spans="1:4" x14ac:dyDescent="0.25">
      <c r="A1695" t="s">
        <v>5063</v>
      </c>
      <c r="D1695" s="2" t="s">
        <v>8332</v>
      </c>
    </row>
    <row r="1696" spans="1:4" x14ac:dyDescent="0.25">
      <c r="A1696" t="s">
        <v>5567</v>
      </c>
      <c r="D1696" s="2" t="s">
        <v>9040</v>
      </c>
    </row>
    <row r="1697" spans="1:4" x14ac:dyDescent="0.25">
      <c r="A1697" t="s">
        <v>5310</v>
      </c>
      <c r="D1697" s="2" t="s">
        <v>6238</v>
      </c>
    </row>
    <row r="1698" spans="1:4" x14ac:dyDescent="0.25">
      <c r="A1698" t="s">
        <v>5314</v>
      </c>
      <c r="D1698" s="2" t="s">
        <v>4094</v>
      </c>
    </row>
    <row r="1699" spans="1:4" x14ac:dyDescent="0.25">
      <c r="A1699" t="s">
        <v>5317</v>
      </c>
      <c r="D1699" s="2" t="s">
        <v>9402</v>
      </c>
    </row>
    <row r="1700" spans="1:4" x14ac:dyDescent="0.25">
      <c r="A1700" t="s">
        <v>5374</v>
      </c>
      <c r="D1700" s="2" t="s">
        <v>10127</v>
      </c>
    </row>
    <row r="1701" spans="1:4" x14ac:dyDescent="0.25">
      <c r="A1701" t="s">
        <v>5377</v>
      </c>
      <c r="D1701" s="2" t="s">
        <v>8140</v>
      </c>
    </row>
    <row r="1702" spans="1:4" x14ac:dyDescent="0.25">
      <c r="A1702" t="s">
        <v>5380</v>
      </c>
      <c r="D1702" s="2" t="s">
        <v>9096</v>
      </c>
    </row>
    <row r="1703" spans="1:4" x14ac:dyDescent="0.25">
      <c r="A1703" t="s">
        <v>5383</v>
      </c>
      <c r="D1703" s="2" t="s">
        <v>423</v>
      </c>
    </row>
    <row r="1704" spans="1:4" x14ac:dyDescent="0.25">
      <c r="A1704" t="s">
        <v>5386</v>
      </c>
      <c r="D1704" s="2" t="s">
        <v>8868</v>
      </c>
    </row>
    <row r="1705" spans="1:4" x14ac:dyDescent="0.25">
      <c r="A1705" t="s">
        <v>5389</v>
      </c>
      <c r="D1705" s="2" t="s">
        <v>8864</v>
      </c>
    </row>
    <row r="1706" spans="1:4" x14ac:dyDescent="0.25">
      <c r="A1706" t="s">
        <v>5392</v>
      </c>
      <c r="D1706" s="2" t="s">
        <v>6318</v>
      </c>
    </row>
    <row r="1707" spans="1:4" x14ac:dyDescent="0.25">
      <c r="A1707" t="s">
        <v>5395</v>
      </c>
      <c r="D1707" s="2" t="s">
        <v>9420</v>
      </c>
    </row>
    <row r="1708" spans="1:4" x14ac:dyDescent="0.25">
      <c r="A1708" t="s">
        <v>5398</v>
      </c>
      <c r="D1708" s="2" t="s">
        <v>7119</v>
      </c>
    </row>
    <row r="1709" spans="1:4" x14ac:dyDescent="0.25">
      <c r="A1709" t="s">
        <v>5401</v>
      </c>
      <c r="D1709" s="2" t="s">
        <v>3779</v>
      </c>
    </row>
    <row r="1710" spans="1:4" x14ac:dyDescent="0.25">
      <c r="A1710" t="s">
        <v>5404</v>
      </c>
      <c r="D1710" s="2" t="s">
        <v>6767</v>
      </c>
    </row>
    <row r="1711" spans="1:4" x14ac:dyDescent="0.25">
      <c r="A1711" t="s">
        <v>5407</v>
      </c>
      <c r="D1711" s="2" t="s">
        <v>8702</v>
      </c>
    </row>
    <row r="1712" spans="1:4" x14ac:dyDescent="0.25">
      <c r="A1712" t="s">
        <v>5410</v>
      </c>
      <c r="D1712" s="2" t="s">
        <v>8225</v>
      </c>
    </row>
    <row r="1713" spans="1:4" x14ac:dyDescent="0.25">
      <c r="A1713" t="s">
        <v>5415</v>
      </c>
      <c r="D1713" s="2" t="s">
        <v>8716</v>
      </c>
    </row>
    <row r="1714" spans="1:4" x14ac:dyDescent="0.25">
      <c r="A1714" t="s">
        <v>5579</v>
      </c>
      <c r="D1714" s="2" t="s">
        <v>5684</v>
      </c>
    </row>
    <row r="1715" spans="1:4" x14ac:dyDescent="0.25">
      <c r="A1715" t="s">
        <v>5579</v>
      </c>
      <c r="D1715" s="2" t="s">
        <v>959</v>
      </c>
    </row>
    <row r="1716" spans="1:4" x14ac:dyDescent="0.25">
      <c r="A1716" t="s">
        <v>5472</v>
      </c>
      <c r="D1716" s="2" t="s">
        <v>7113</v>
      </c>
    </row>
    <row r="1717" spans="1:4" x14ac:dyDescent="0.25">
      <c r="A1717" t="s">
        <v>5472</v>
      </c>
      <c r="D1717" s="2" t="s">
        <v>4318</v>
      </c>
    </row>
    <row r="1718" spans="1:4" x14ac:dyDescent="0.25">
      <c r="A1718" t="s">
        <v>5477</v>
      </c>
      <c r="D1718" s="2" t="s">
        <v>5178</v>
      </c>
    </row>
    <row r="1719" spans="1:4" x14ac:dyDescent="0.25">
      <c r="A1719" t="s">
        <v>4517</v>
      </c>
      <c r="D1719" s="2" t="s">
        <v>4203</v>
      </c>
    </row>
    <row r="1720" spans="1:4" x14ac:dyDescent="0.25">
      <c r="A1720" t="s">
        <v>4811</v>
      </c>
      <c r="D1720" s="2" t="s">
        <v>8376</v>
      </c>
    </row>
    <row r="1721" spans="1:4" x14ac:dyDescent="0.25">
      <c r="A1721" t="s">
        <v>4816</v>
      </c>
      <c r="D1721" s="2" t="s">
        <v>5132</v>
      </c>
    </row>
    <row r="1722" spans="1:4" x14ac:dyDescent="0.25">
      <c r="A1722" t="s">
        <v>5081</v>
      </c>
      <c r="D1722" s="2" t="s">
        <v>4226</v>
      </c>
    </row>
    <row r="1723" spans="1:4" x14ac:dyDescent="0.25">
      <c r="A1723" t="s">
        <v>5420</v>
      </c>
      <c r="D1723" s="2" t="s">
        <v>87</v>
      </c>
    </row>
    <row r="1724" spans="1:4" x14ac:dyDescent="0.25">
      <c r="A1724" t="s">
        <v>5431</v>
      </c>
      <c r="D1724" s="2" t="s">
        <v>9675</v>
      </c>
    </row>
    <row r="1725" spans="1:4" x14ac:dyDescent="0.25">
      <c r="A1725" t="s">
        <v>5431</v>
      </c>
      <c r="D1725" s="2" t="s">
        <v>7477</v>
      </c>
    </row>
    <row r="1726" spans="1:4" x14ac:dyDescent="0.25">
      <c r="A1726" t="s">
        <v>5223</v>
      </c>
      <c r="D1726" s="2" t="s">
        <v>7243</v>
      </c>
    </row>
    <row r="1727" spans="1:4" x14ac:dyDescent="0.25">
      <c r="A1727" t="s">
        <v>5223</v>
      </c>
      <c r="D1727" s="2" t="s">
        <v>4223</v>
      </c>
    </row>
    <row r="1728" spans="1:4" x14ac:dyDescent="0.25">
      <c r="A1728" t="s">
        <v>5223</v>
      </c>
      <c r="D1728" s="2" t="s">
        <v>4000</v>
      </c>
    </row>
    <row r="1729" spans="1:4" x14ac:dyDescent="0.25">
      <c r="A1729" t="s">
        <v>5163</v>
      </c>
      <c r="D1729" s="2" t="s">
        <v>899</v>
      </c>
    </row>
    <row r="1730" spans="1:4" x14ac:dyDescent="0.25">
      <c r="A1730" t="s">
        <v>5163</v>
      </c>
      <c r="D1730" s="2" t="s">
        <v>918</v>
      </c>
    </row>
    <row r="1731" spans="1:4" x14ac:dyDescent="0.25">
      <c r="A1731" t="s">
        <v>5169</v>
      </c>
      <c r="D1731" s="2" t="s">
        <v>2932</v>
      </c>
    </row>
    <row r="1732" spans="1:4" x14ac:dyDescent="0.25">
      <c r="A1732" t="s">
        <v>5172</v>
      </c>
      <c r="D1732" s="2" t="s">
        <v>2781</v>
      </c>
    </row>
    <row r="1733" spans="1:4" x14ac:dyDescent="0.25">
      <c r="A1733" t="s">
        <v>5175</v>
      </c>
      <c r="D1733" s="2" t="s">
        <v>4279</v>
      </c>
    </row>
    <row r="1734" spans="1:4" x14ac:dyDescent="0.25">
      <c r="A1734" t="s">
        <v>5178</v>
      </c>
      <c r="D1734" s="2" t="s">
        <v>7803</v>
      </c>
    </row>
    <row r="1735" spans="1:4" x14ac:dyDescent="0.25">
      <c r="A1735" t="s">
        <v>5182</v>
      </c>
      <c r="D1735" s="2" t="s">
        <v>3186</v>
      </c>
    </row>
    <row r="1736" spans="1:4" x14ac:dyDescent="0.25">
      <c r="A1736" t="s">
        <v>5182</v>
      </c>
      <c r="D1736" s="2" t="s">
        <v>6179</v>
      </c>
    </row>
    <row r="1737" spans="1:4" x14ac:dyDescent="0.25">
      <c r="A1737" t="s">
        <v>5322</v>
      </c>
      <c r="D1737" s="2" t="s">
        <v>4984</v>
      </c>
    </row>
    <row r="1738" spans="1:4" x14ac:dyDescent="0.25">
      <c r="A1738" t="s">
        <v>5322</v>
      </c>
      <c r="D1738" s="2" t="s">
        <v>1984</v>
      </c>
    </row>
    <row r="1739" spans="1:4" x14ac:dyDescent="0.25">
      <c r="A1739" t="s">
        <v>5327</v>
      </c>
      <c r="D1739" s="2" t="s">
        <v>8406</v>
      </c>
    </row>
    <row r="1740" spans="1:4" x14ac:dyDescent="0.25">
      <c r="A1740" t="s">
        <v>5327</v>
      </c>
      <c r="D1740" s="2" t="s">
        <v>5773</v>
      </c>
    </row>
    <row r="1741" spans="1:4" x14ac:dyDescent="0.25">
      <c r="A1741" t="s">
        <v>5327</v>
      </c>
      <c r="D1741" s="2" t="s">
        <v>8287</v>
      </c>
    </row>
    <row r="1742" spans="1:4" x14ac:dyDescent="0.25">
      <c r="A1742" t="s">
        <v>5327</v>
      </c>
      <c r="D1742" s="2" t="s">
        <v>765</v>
      </c>
    </row>
    <row r="1743" spans="1:4" x14ac:dyDescent="0.25">
      <c r="A1743" t="s">
        <v>4805</v>
      </c>
      <c r="D1743" s="2" t="s">
        <v>810</v>
      </c>
    </row>
    <row r="1744" spans="1:4" x14ac:dyDescent="0.25">
      <c r="A1744" t="s">
        <v>5233</v>
      </c>
      <c r="D1744" s="2" t="s">
        <v>2562</v>
      </c>
    </row>
    <row r="1745" spans="1:4" x14ac:dyDescent="0.25">
      <c r="A1745" t="s">
        <v>5236</v>
      </c>
      <c r="D1745" s="2" t="s">
        <v>1476</v>
      </c>
    </row>
    <row r="1746" spans="1:4" x14ac:dyDescent="0.25">
      <c r="A1746" t="s">
        <v>5239</v>
      </c>
      <c r="D1746" s="2" t="s">
        <v>1297</v>
      </c>
    </row>
    <row r="1747" spans="1:4" x14ac:dyDescent="0.25">
      <c r="A1747" t="s">
        <v>5242</v>
      </c>
      <c r="D1747" s="2" t="s">
        <v>896</v>
      </c>
    </row>
    <row r="1748" spans="1:4" x14ac:dyDescent="0.25">
      <c r="A1748" t="s">
        <v>5245</v>
      </c>
      <c r="D1748" s="2" t="s">
        <v>3389</v>
      </c>
    </row>
    <row r="1749" spans="1:4" x14ac:dyDescent="0.25">
      <c r="A1749" t="s">
        <v>5248</v>
      </c>
      <c r="D1749" s="2" t="s">
        <v>3248</v>
      </c>
    </row>
    <row r="1750" spans="1:4" x14ac:dyDescent="0.25">
      <c r="A1750" t="s">
        <v>5251</v>
      </c>
      <c r="D1750" s="2" t="s">
        <v>689</v>
      </c>
    </row>
    <row r="1751" spans="1:4" x14ac:dyDescent="0.25">
      <c r="A1751" t="s">
        <v>5251</v>
      </c>
      <c r="D1751" s="2" t="s">
        <v>1936</v>
      </c>
    </row>
    <row r="1752" spans="1:4" x14ac:dyDescent="0.25">
      <c r="A1752" t="s">
        <v>1520</v>
      </c>
      <c r="D1752" s="2" t="s">
        <v>3326</v>
      </c>
    </row>
    <row r="1753" spans="1:4" x14ac:dyDescent="0.25">
      <c r="A1753" t="s">
        <v>1520</v>
      </c>
      <c r="D1753" s="2" t="s">
        <v>1575</v>
      </c>
    </row>
    <row r="1754" spans="1:4" x14ac:dyDescent="0.25">
      <c r="A1754" t="s">
        <v>1520</v>
      </c>
      <c r="D1754" s="2" t="s">
        <v>2476</v>
      </c>
    </row>
    <row r="1755" spans="1:4" x14ac:dyDescent="0.25">
      <c r="A1755" t="s">
        <v>1520</v>
      </c>
      <c r="D1755" s="2" t="s">
        <v>1294</v>
      </c>
    </row>
    <row r="1756" spans="1:4" x14ac:dyDescent="0.25">
      <c r="A1756" t="s">
        <v>1520</v>
      </c>
      <c r="D1756" s="2" t="s">
        <v>2717</v>
      </c>
    </row>
    <row r="1757" spans="1:4" x14ac:dyDescent="0.25">
      <c r="A1757" t="s">
        <v>1520</v>
      </c>
      <c r="D1757" s="2" t="s">
        <v>2232</v>
      </c>
    </row>
    <row r="1758" spans="1:4" x14ac:dyDescent="0.25">
      <c r="A1758" t="s">
        <v>1520</v>
      </c>
      <c r="D1758" s="2" t="s">
        <v>3230</v>
      </c>
    </row>
    <row r="1759" spans="1:4" x14ac:dyDescent="0.25">
      <c r="A1759" t="s">
        <v>1520</v>
      </c>
      <c r="D1759" s="2" t="s">
        <v>2947</v>
      </c>
    </row>
    <row r="1760" spans="1:4" x14ac:dyDescent="0.25">
      <c r="A1760" t="s">
        <v>1520</v>
      </c>
      <c r="D1760" s="2" t="s">
        <v>780</v>
      </c>
    </row>
    <row r="1761" spans="1:4" x14ac:dyDescent="0.25">
      <c r="A1761" t="s">
        <v>5194</v>
      </c>
      <c r="D1761" s="2" t="s">
        <v>2460</v>
      </c>
    </row>
    <row r="1762" spans="1:4" x14ac:dyDescent="0.25">
      <c r="A1762" t="s">
        <v>5194</v>
      </c>
      <c r="D1762" s="2" t="s">
        <v>2413</v>
      </c>
    </row>
    <row r="1763" spans="1:4" x14ac:dyDescent="0.25">
      <c r="A1763" t="s">
        <v>5267</v>
      </c>
      <c r="D1763" s="2" t="s">
        <v>1261</v>
      </c>
    </row>
    <row r="1764" spans="1:4" x14ac:dyDescent="0.25">
      <c r="A1764" t="s">
        <v>1537</v>
      </c>
      <c r="D1764" s="2" t="s">
        <v>1461</v>
      </c>
    </row>
    <row r="1765" spans="1:4" x14ac:dyDescent="0.25">
      <c r="A1765" t="s">
        <v>1537</v>
      </c>
      <c r="D1765" s="2" t="s">
        <v>1821</v>
      </c>
    </row>
    <row r="1766" spans="1:4" x14ac:dyDescent="0.25">
      <c r="A1766" t="s">
        <v>1537</v>
      </c>
      <c r="D1766" s="2" t="s">
        <v>2713</v>
      </c>
    </row>
    <row r="1767" spans="1:4" x14ac:dyDescent="0.25">
      <c r="A1767" t="s">
        <v>4732</v>
      </c>
      <c r="D1767" s="2" t="s">
        <v>3506</v>
      </c>
    </row>
    <row r="1768" spans="1:4" x14ac:dyDescent="0.25">
      <c r="A1768" t="s">
        <v>4751</v>
      </c>
      <c r="D1768" s="2" t="s">
        <v>1330</v>
      </c>
    </row>
    <row r="1769" spans="1:4" x14ac:dyDescent="0.25">
      <c r="A1769" t="s">
        <v>4857</v>
      </c>
      <c r="D1769" s="2" t="s">
        <v>1827</v>
      </c>
    </row>
    <row r="1770" spans="1:4" x14ac:dyDescent="0.25">
      <c r="A1770" t="s">
        <v>4857</v>
      </c>
      <c r="D1770" s="2" t="s">
        <v>2811</v>
      </c>
    </row>
    <row r="1771" spans="1:4" x14ac:dyDescent="0.25">
      <c r="A1771" t="s">
        <v>4870</v>
      </c>
      <c r="D1771" s="2" t="s">
        <v>7499</v>
      </c>
    </row>
    <row r="1772" spans="1:4" x14ac:dyDescent="0.25">
      <c r="A1772" t="s">
        <v>5155</v>
      </c>
      <c r="D1772" s="2" t="s">
        <v>7128</v>
      </c>
    </row>
    <row r="1773" spans="1:4" x14ac:dyDescent="0.25">
      <c r="A1773" t="s">
        <v>5158</v>
      </c>
      <c r="D1773" s="2" t="s">
        <v>753</v>
      </c>
    </row>
    <row r="1774" spans="1:4" x14ac:dyDescent="0.25">
      <c r="A1774" t="s">
        <v>5283</v>
      </c>
      <c r="D1774" s="2" t="s">
        <v>2490</v>
      </c>
    </row>
    <row r="1775" spans="1:4" x14ac:dyDescent="0.25">
      <c r="A1775" t="s">
        <v>4826</v>
      </c>
      <c r="D1775" s="2" t="s">
        <v>2661</v>
      </c>
    </row>
    <row r="1776" spans="1:4" x14ac:dyDescent="0.25">
      <c r="A1776" t="s">
        <v>4826</v>
      </c>
      <c r="D1776" s="2" t="s">
        <v>7723</v>
      </c>
    </row>
    <row r="1777" spans="1:4" x14ac:dyDescent="0.25">
      <c r="A1777" t="s">
        <v>4826</v>
      </c>
      <c r="D1777" s="2" t="s">
        <v>2765</v>
      </c>
    </row>
    <row r="1778" spans="1:4" x14ac:dyDescent="0.25">
      <c r="A1778" t="s">
        <v>4826</v>
      </c>
      <c r="D1778" s="2" t="s">
        <v>591</v>
      </c>
    </row>
    <row r="1779" spans="1:4" x14ac:dyDescent="0.25">
      <c r="A1779" t="s">
        <v>5203</v>
      </c>
      <c r="D1779" s="2" t="s">
        <v>1632</v>
      </c>
    </row>
    <row r="1780" spans="1:4" x14ac:dyDescent="0.25">
      <c r="A1780" t="s">
        <v>5206</v>
      </c>
      <c r="D1780" s="2" t="s">
        <v>64</v>
      </c>
    </row>
    <row r="1781" spans="1:4" x14ac:dyDescent="0.25">
      <c r="A1781" t="s">
        <v>5209</v>
      </c>
      <c r="D1781" s="2" t="s">
        <v>930</v>
      </c>
    </row>
    <row r="1782" spans="1:4" x14ac:dyDescent="0.25">
      <c r="A1782" t="s">
        <v>5209</v>
      </c>
      <c r="D1782" s="2" t="s">
        <v>597</v>
      </c>
    </row>
    <row r="1783" spans="1:4" x14ac:dyDescent="0.25">
      <c r="A1783" t="s">
        <v>5213</v>
      </c>
      <c r="D1783" s="2" t="s">
        <v>2552</v>
      </c>
    </row>
    <row r="1784" spans="1:4" x14ac:dyDescent="0.25">
      <c r="A1784" t="s">
        <v>5213</v>
      </c>
      <c r="D1784" s="2" t="s">
        <v>1291</v>
      </c>
    </row>
    <row r="1785" spans="1:4" x14ac:dyDescent="0.25">
      <c r="A1785" t="s">
        <v>5217</v>
      </c>
      <c r="D1785" s="2" t="s">
        <v>3043</v>
      </c>
    </row>
    <row r="1786" spans="1:4" x14ac:dyDescent="0.25">
      <c r="A1786" t="s">
        <v>5220</v>
      </c>
      <c r="D1786" s="2" t="s">
        <v>2889</v>
      </c>
    </row>
    <row r="1787" spans="1:4" x14ac:dyDescent="0.25">
      <c r="A1787" t="s">
        <v>5223</v>
      </c>
      <c r="D1787" s="2" t="s">
        <v>2494</v>
      </c>
    </row>
    <row r="1788" spans="1:4" x14ac:dyDescent="0.25">
      <c r="A1788" t="s">
        <v>5223</v>
      </c>
      <c r="D1788" s="2" t="s">
        <v>2897</v>
      </c>
    </row>
    <row r="1789" spans="1:4" x14ac:dyDescent="0.25">
      <c r="A1789" t="s">
        <v>5348</v>
      </c>
      <c r="D1789" s="2" t="s">
        <v>3470</v>
      </c>
    </row>
    <row r="1790" spans="1:4" x14ac:dyDescent="0.25">
      <c r="A1790" t="s">
        <v>4846</v>
      </c>
      <c r="D1790" s="2" t="s">
        <v>771</v>
      </c>
    </row>
    <row r="1791" spans="1:4" x14ac:dyDescent="0.25">
      <c r="A1791" t="s">
        <v>4601</v>
      </c>
      <c r="D1791" s="2" t="s">
        <v>2874</v>
      </c>
    </row>
    <row r="1792" spans="1:4" x14ac:dyDescent="0.25">
      <c r="A1792" t="s">
        <v>4605</v>
      </c>
      <c r="D1792" s="2" t="s">
        <v>1443</v>
      </c>
    </row>
    <row r="1793" spans="1:4" x14ac:dyDescent="0.25">
      <c r="A1793" t="s">
        <v>4608</v>
      </c>
      <c r="D1793" s="2" t="s">
        <v>2958</v>
      </c>
    </row>
    <row r="1794" spans="1:4" x14ac:dyDescent="0.25">
      <c r="A1794" t="s">
        <v>1520</v>
      </c>
      <c r="D1794" s="2" t="s">
        <v>1324</v>
      </c>
    </row>
    <row r="1795" spans="1:4" x14ac:dyDescent="0.25">
      <c r="A1795" t="s">
        <v>1520</v>
      </c>
      <c r="D1795" s="2" t="s">
        <v>1839</v>
      </c>
    </row>
    <row r="1796" spans="1:4" x14ac:dyDescent="0.25">
      <c r="A1796" t="s">
        <v>1520</v>
      </c>
      <c r="D1796" s="2" t="s">
        <v>3329</v>
      </c>
    </row>
    <row r="1797" spans="1:4" x14ac:dyDescent="0.25">
      <c r="A1797" t="s">
        <v>1520</v>
      </c>
      <c r="D1797" s="2" t="s">
        <v>3032</v>
      </c>
    </row>
    <row r="1798" spans="1:4" x14ac:dyDescent="0.25">
      <c r="A1798" t="s">
        <v>1520</v>
      </c>
      <c r="D1798" s="2" t="s">
        <v>3242</v>
      </c>
    </row>
    <row r="1799" spans="1:4" x14ac:dyDescent="0.25">
      <c r="A1799" t="s">
        <v>1520</v>
      </c>
      <c r="D1799" s="2" t="s">
        <v>1857</v>
      </c>
    </row>
    <row r="1800" spans="1:4" x14ac:dyDescent="0.25">
      <c r="A1800" t="s">
        <v>1520</v>
      </c>
      <c r="D1800" s="2" t="s">
        <v>3175</v>
      </c>
    </row>
    <row r="1801" spans="1:4" x14ac:dyDescent="0.25">
      <c r="A1801" t="s">
        <v>1520</v>
      </c>
      <c r="D1801" s="2" t="s">
        <v>3143</v>
      </c>
    </row>
    <row r="1802" spans="1:4" x14ac:dyDescent="0.25">
      <c r="A1802" t="s">
        <v>1520</v>
      </c>
      <c r="D1802" s="2" t="s">
        <v>2881</v>
      </c>
    </row>
    <row r="1803" spans="1:4" x14ac:dyDescent="0.25">
      <c r="A1803" t="s">
        <v>1520</v>
      </c>
      <c r="D1803" s="2" t="s">
        <v>2757</v>
      </c>
    </row>
    <row r="1804" spans="1:4" x14ac:dyDescent="0.25">
      <c r="A1804" t="s">
        <v>1520</v>
      </c>
      <c r="D1804" s="2" t="s">
        <v>1303</v>
      </c>
    </row>
    <row r="1805" spans="1:4" x14ac:dyDescent="0.25">
      <c r="A1805" t="s">
        <v>1520</v>
      </c>
      <c r="D1805" s="2" t="s">
        <v>2703</v>
      </c>
    </row>
    <row r="1806" spans="1:4" x14ac:dyDescent="0.25">
      <c r="A1806" t="s">
        <v>1520</v>
      </c>
      <c r="D1806" s="2" t="s">
        <v>2921</v>
      </c>
    </row>
    <row r="1807" spans="1:4" x14ac:dyDescent="0.25">
      <c r="A1807" t="s">
        <v>1520</v>
      </c>
      <c r="D1807" s="2" t="s">
        <v>2246</v>
      </c>
    </row>
    <row r="1808" spans="1:4" x14ac:dyDescent="0.25">
      <c r="A1808" t="s">
        <v>4748</v>
      </c>
      <c r="D1808" s="2" t="s">
        <v>1803</v>
      </c>
    </row>
    <row r="1809" spans="1:4" x14ac:dyDescent="0.25">
      <c r="A1809" t="s">
        <v>4751</v>
      </c>
      <c r="D1809" s="2" t="s">
        <v>7054</v>
      </c>
    </row>
    <row r="1810" spans="1:4" x14ac:dyDescent="0.25">
      <c r="A1810" t="s">
        <v>4770</v>
      </c>
      <c r="D1810" s="2" t="s">
        <v>2863</v>
      </c>
    </row>
    <row r="1811" spans="1:4" x14ac:dyDescent="0.25">
      <c r="A1811" t="s">
        <v>4840</v>
      </c>
      <c r="D1811" s="2" t="s">
        <v>2686</v>
      </c>
    </row>
    <row r="1812" spans="1:4" x14ac:dyDescent="0.25">
      <c r="A1812" t="s">
        <v>4843</v>
      </c>
      <c r="D1812" s="2" t="s">
        <v>1300</v>
      </c>
    </row>
    <row r="1813" spans="1:4" x14ac:dyDescent="0.25">
      <c r="A1813" t="s">
        <v>4846</v>
      </c>
      <c r="D1813" s="2" t="s">
        <v>1812</v>
      </c>
    </row>
    <row r="1814" spans="1:4" x14ac:dyDescent="0.25">
      <c r="A1814" t="s">
        <v>4846</v>
      </c>
      <c r="D1814" s="2" t="s">
        <v>816</v>
      </c>
    </row>
    <row r="1815" spans="1:4" x14ac:dyDescent="0.25">
      <c r="A1815" t="s">
        <v>4851</v>
      </c>
      <c r="D1815" s="2" t="s">
        <v>38</v>
      </c>
    </row>
    <row r="1816" spans="1:4" x14ac:dyDescent="0.25">
      <c r="A1816" t="s">
        <v>4851</v>
      </c>
      <c r="D1816" s="2" t="s">
        <v>1455</v>
      </c>
    </row>
    <row r="1817" spans="1:4" x14ac:dyDescent="0.25">
      <c r="A1817" t="s">
        <v>4902</v>
      </c>
      <c r="D1817" s="2" t="s">
        <v>45</v>
      </c>
    </row>
    <row r="1818" spans="1:4" x14ac:dyDescent="0.25">
      <c r="A1818" t="s">
        <v>4905</v>
      </c>
      <c r="D1818" s="2" t="s">
        <v>1991</v>
      </c>
    </row>
    <row r="1819" spans="1:4" x14ac:dyDescent="0.25">
      <c r="A1819" t="s">
        <v>4908</v>
      </c>
      <c r="D1819" s="2" t="s">
        <v>2278</v>
      </c>
    </row>
    <row r="1820" spans="1:4" x14ac:dyDescent="0.25">
      <c r="A1820" t="s">
        <v>4911</v>
      </c>
      <c r="D1820" s="2" t="s">
        <v>2740</v>
      </c>
    </row>
    <row r="1821" spans="1:4" x14ac:dyDescent="0.25">
      <c r="A1821" t="s">
        <v>4914</v>
      </c>
      <c r="D1821" s="2" t="s">
        <v>2215</v>
      </c>
    </row>
    <row r="1822" spans="1:4" x14ac:dyDescent="0.25">
      <c r="A1822" t="s">
        <v>4917</v>
      </c>
      <c r="D1822" s="2" t="s">
        <v>2743</v>
      </c>
    </row>
    <row r="1823" spans="1:4" x14ac:dyDescent="0.25">
      <c r="A1823" t="s">
        <v>4920</v>
      </c>
      <c r="D1823" s="2" t="s">
        <v>4953</v>
      </c>
    </row>
    <row r="1824" spans="1:4" x14ac:dyDescent="0.25">
      <c r="A1824" t="s">
        <v>4923</v>
      </c>
      <c r="D1824" s="2" t="s">
        <v>2803</v>
      </c>
    </row>
    <row r="1825" spans="1:4" x14ac:dyDescent="0.25">
      <c r="A1825" t="s">
        <v>4926</v>
      </c>
      <c r="D1825" s="2" t="s">
        <v>6251</v>
      </c>
    </row>
    <row r="1826" spans="1:4" x14ac:dyDescent="0.25">
      <c r="A1826" t="s">
        <v>4929</v>
      </c>
      <c r="D1826" s="2" t="s">
        <v>7510</v>
      </c>
    </row>
    <row r="1827" spans="1:4" x14ac:dyDescent="0.25">
      <c r="A1827" t="s">
        <v>4932</v>
      </c>
      <c r="D1827" s="2" t="s">
        <v>5002</v>
      </c>
    </row>
    <row r="1828" spans="1:4" x14ac:dyDescent="0.25">
      <c r="A1828" t="s">
        <v>4935</v>
      </c>
      <c r="D1828" s="2" t="s">
        <v>7124</v>
      </c>
    </row>
    <row r="1829" spans="1:4" x14ac:dyDescent="0.25">
      <c r="A1829" t="s">
        <v>4938</v>
      </c>
      <c r="D1829" s="2" t="s">
        <v>532</v>
      </c>
    </row>
    <row r="1830" spans="1:4" x14ac:dyDescent="0.25">
      <c r="A1830" t="s">
        <v>4941</v>
      </c>
      <c r="D1830" s="2" t="s">
        <v>7283</v>
      </c>
    </row>
    <row r="1831" spans="1:4" x14ac:dyDescent="0.25">
      <c r="A1831" t="s">
        <v>4944</v>
      </c>
      <c r="D1831" s="2" t="s">
        <v>1675</v>
      </c>
    </row>
    <row r="1832" spans="1:4" x14ac:dyDescent="0.25">
      <c r="A1832" t="s">
        <v>4947</v>
      </c>
      <c r="D1832" s="2" t="s">
        <v>2732</v>
      </c>
    </row>
    <row r="1833" spans="1:4" x14ac:dyDescent="0.25">
      <c r="A1833" t="s">
        <v>4950</v>
      </c>
      <c r="D1833" s="2" t="s">
        <v>2847</v>
      </c>
    </row>
    <row r="1834" spans="1:4" x14ac:dyDescent="0.25">
      <c r="A1834" t="s">
        <v>4953</v>
      </c>
      <c r="D1834" s="2" t="s">
        <v>3085</v>
      </c>
    </row>
    <row r="1835" spans="1:4" x14ac:dyDescent="0.25">
      <c r="A1835" t="s">
        <v>4956</v>
      </c>
      <c r="D1835" s="2" t="s">
        <v>3163</v>
      </c>
    </row>
    <row r="1836" spans="1:4" x14ac:dyDescent="0.25">
      <c r="A1836" t="s">
        <v>4956</v>
      </c>
      <c r="D1836" s="2" t="s">
        <v>2968</v>
      </c>
    </row>
    <row r="1837" spans="1:4" x14ac:dyDescent="0.25">
      <c r="A1837" t="s">
        <v>4956</v>
      </c>
      <c r="D1837" s="2" t="s">
        <v>2000</v>
      </c>
    </row>
    <row r="1838" spans="1:4" x14ac:dyDescent="0.25">
      <c r="A1838" t="s">
        <v>4961</v>
      </c>
      <c r="D1838" s="2" t="s">
        <v>73</v>
      </c>
    </row>
    <row r="1839" spans="1:4" x14ac:dyDescent="0.25">
      <c r="A1839" t="s">
        <v>4964</v>
      </c>
      <c r="D1839" s="2" t="s">
        <v>1232</v>
      </c>
    </row>
    <row r="1840" spans="1:4" x14ac:dyDescent="0.25">
      <c r="A1840" t="s">
        <v>4964</v>
      </c>
      <c r="D1840" s="2" t="s">
        <v>1235</v>
      </c>
    </row>
    <row r="1841" spans="1:4" x14ac:dyDescent="0.25">
      <c r="A1841" t="s">
        <v>4969</v>
      </c>
      <c r="D1841" s="2" t="s">
        <v>7047</v>
      </c>
    </row>
    <row r="1842" spans="1:4" x14ac:dyDescent="0.25">
      <c r="A1842" t="s">
        <v>4972</v>
      </c>
      <c r="D1842" s="2" t="s">
        <v>7063</v>
      </c>
    </row>
    <row r="1843" spans="1:4" x14ac:dyDescent="0.25">
      <c r="A1843" t="s">
        <v>4975</v>
      </c>
      <c r="D1843" s="2" t="s">
        <v>7060</v>
      </c>
    </row>
    <row r="1844" spans="1:4" x14ac:dyDescent="0.25">
      <c r="A1844" t="s">
        <v>4978</v>
      </c>
      <c r="D1844" s="2" t="s">
        <v>5335</v>
      </c>
    </row>
    <row r="1845" spans="1:4" x14ac:dyDescent="0.25">
      <c r="A1845" t="s">
        <v>4981</v>
      </c>
      <c r="D1845" s="2" t="s">
        <v>7808</v>
      </c>
    </row>
    <row r="1846" spans="1:4" x14ac:dyDescent="0.25">
      <c r="A1846" t="s">
        <v>4984</v>
      </c>
      <c r="D1846" s="2" t="s">
        <v>6405</v>
      </c>
    </row>
    <row r="1847" spans="1:4" x14ac:dyDescent="0.25">
      <c r="A1847" t="s">
        <v>4987</v>
      </c>
      <c r="D1847" s="2" t="s">
        <v>4298</v>
      </c>
    </row>
    <row r="1848" spans="1:4" x14ac:dyDescent="0.25">
      <c r="A1848" t="s">
        <v>4990</v>
      </c>
      <c r="D1848" s="2" t="s">
        <v>3104</v>
      </c>
    </row>
    <row r="1849" spans="1:4" x14ac:dyDescent="0.25">
      <c r="A1849" t="s">
        <v>4993</v>
      </c>
      <c r="D1849" s="2" t="s">
        <v>3546</v>
      </c>
    </row>
    <row r="1850" spans="1:4" x14ac:dyDescent="0.25">
      <c r="A1850" t="s">
        <v>4996</v>
      </c>
      <c r="D1850" s="2" t="s">
        <v>4846</v>
      </c>
    </row>
    <row r="1851" spans="1:4" x14ac:dyDescent="0.25">
      <c r="A1851" t="s">
        <v>4999</v>
      </c>
      <c r="D1851" s="2" t="s">
        <v>6402</v>
      </c>
    </row>
    <row r="1852" spans="1:4" x14ac:dyDescent="0.25">
      <c r="A1852" t="s">
        <v>5002</v>
      </c>
      <c r="D1852" s="2" t="s">
        <v>4523</v>
      </c>
    </row>
    <row r="1853" spans="1:4" x14ac:dyDescent="0.25">
      <c r="A1853" t="s">
        <v>5005</v>
      </c>
      <c r="D1853" s="2" t="s">
        <v>4761</v>
      </c>
    </row>
    <row r="1854" spans="1:4" x14ac:dyDescent="0.25">
      <c r="A1854" t="s">
        <v>5008</v>
      </c>
      <c r="D1854" s="2" t="s">
        <v>2605</v>
      </c>
    </row>
    <row r="1855" spans="1:4" x14ac:dyDescent="0.25">
      <c r="A1855" t="s">
        <v>5011</v>
      </c>
      <c r="D1855" s="2" t="s">
        <v>728</v>
      </c>
    </row>
    <row r="1856" spans="1:4" x14ac:dyDescent="0.25">
      <c r="A1856" t="s">
        <v>5014</v>
      </c>
      <c r="D1856" s="2" t="s">
        <v>2962</v>
      </c>
    </row>
    <row r="1857" spans="1:4" x14ac:dyDescent="0.25">
      <c r="A1857" t="s">
        <v>5017</v>
      </c>
      <c r="D1857" s="2" t="s">
        <v>10235</v>
      </c>
    </row>
    <row r="1858" spans="1:4" x14ac:dyDescent="0.25">
      <c r="A1858" t="s">
        <v>5020</v>
      </c>
      <c r="D1858" s="2" t="s">
        <v>9635</v>
      </c>
    </row>
    <row r="1859" spans="1:4" x14ac:dyDescent="0.25">
      <c r="A1859" t="s">
        <v>5023</v>
      </c>
      <c r="D1859" s="2" t="s">
        <v>1066</v>
      </c>
    </row>
    <row r="1860" spans="1:4" x14ac:dyDescent="0.25">
      <c r="A1860" t="s">
        <v>5026</v>
      </c>
      <c r="D1860" s="2" t="s">
        <v>9457</v>
      </c>
    </row>
    <row r="1861" spans="1:4" x14ac:dyDescent="0.25">
      <c r="A1861" t="s">
        <v>5029</v>
      </c>
      <c r="D1861" s="2" t="s">
        <v>9453</v>
      </c>
    </row>
    <row r="1862" spans="1:4" x14ac:dyDescent="0.25">
      <c r="A1862" t="s">
        <v>5032</v>
      </c>
      <c r="D1862" s="2" t="s">
        <v>7346</v>
      </c>
    </row>
    <row r="1863" spans="1:4" x14ac:dyDescent="0.25">
      <c r="A1863" t="s">
        <v>5035</v>
      </c>
      <c r="D1863" s="2" t="s">
        <v>7566</v>
      </c>
    </row>
    <row r="1864" spans="1:4" x14ac:dyDescent="0.25">
      <c r="A1864" t="s">
        <v>5035</v>
      </c>
      <c r="D1864" s="2" t="s">
        <v>7981</v>
      </c>
    </row>
    <row r="1865" spans="1:4" x14ac:dyDescent="0.25">
      <c r="A1865" t="s">
        <v>5035</v>
      </c>
      <c r="D1865" s="2" t="s">
        <v>7216</v>
      </c>
    </row>
    <row r="1866" spans="1:4" x14ac:dyDescent="0.25">
      <c r="A1866" t="s">
        <v>5035</v>
      </c>
      <c r="D1866" s="2" t="s">
        <v>7935</v>
      </c>
    </row>
    <row r="1867" spans="1:4" x14ac:dyDescent="0.25">
      <c r="A1867" t="s">
        <v>5041</v>
      </c>
      <c r="D1867" s="2" t="s">
        <v>7574</v>
      </c>
    </row>
    <row r="1868" spans="1:4" x14ac:dyDescent="0.25">
      <c r="A1868" t="s">
        <v>5044</v>
      </c>
      <c r="D1868" s="2" t="s">
        <v>7259</v>
      </c>
    </row>
    <row r="1869" spans="1:4" x14ac:dyDescent="0.25">
      <c r="A1869" t="s">
        <v>5047</v>
      </c>
      <c r="D1869" s="2" t="s">
        <v>7270</v>
      </c>
    </row>
    <row r="1870" spans="1:4" x14ac:dyDescent="0.25">
      <c r="A1870" t="s">
        <v>5050</v>
      </c>
      <c r="D1870" s="2" t="s">
        <v>7920</v>
      </c>
    </row>
    <row r="1871" spans="1:4" x14ac:dyDescent="0.25">
      <c r="A1871" t="s">
        <v>5050</v>
      </c>
      <c r="D1871" s="2" t="s">
        <v>5741</v>
      </c>
    </row>
    <row r="1872" spans="1:4" x14ac:dyDescent="0.25">
      <c r="A1872" t="s">
        <v>5050</v>
      </c>
      <c r="D1872" s="2" t="s">
        <v>6051</v>
      </c>
    </row>
    <row r="1873" spans="1:4" x14ac:dyDescent="0.25">
      <c r="A1873" t="s">
        <v>5055</v>
      </c>
      <c r="D1873" s="2" t="s">
        <v>4351</v>
      </c>
    </row>
    <row r="1874" spans="1:4" x14ac:dyDescent="0.25">
      <c r="A1874" t="s">
        <v>5055</v>
      </c>
      <c r="D1874" s="2" t="s">
        <v>4476</v>
      </c>
    </row>
    <row r="1875" spans="1:4" x14ac:dyDescent="0.25">
      <c r="A1875" t="s">
        <v>5055</v>
      </c>
      <c r="D1875" s="2" t="s">
        <v>4926</v>
      </c>
    </row>
    <row r="1876" spans="1:4" x14ac:dyDescent="0.25">
      <c r="A1876" t="s">
        <v>5055</v>
      </c>
      <c r="D1876" s="2" t="s">
        <v>4950</v>
      </c>
    </row>
    <row r="1877" spans="1:4" x14ac:dyDescent="0.25">
      <c r="A1877" t="s">
        <v>5194</v>
      </c>
      <c r="D1877" s="2" t="s">
        <v>4969</v>
      </c>
    </row>
    <row r="1878" spans="1:4" x14ac:dyDescent="0.25">
      <c r="A1878" t="s">
        <v>5194</v>
      </c>
      <c r="D1878" s="2" t="s">
        <v>4996</v>
      </c>
    </row>
    <row r="1879" spans="1:4" x14ac:dyDescent="0.25">
      <c r="A1879" t="s">
        <v>1537</v>
      </c>
      <c r="D1879" s="2" t="s">
        <v>4999</v>
      </c>
    </row>
    <row r="1880" spans="1:4" x14ac:dyDescent="0.25">
      <c r="A1880" t="s">
        <v>1537</v>
      </c>
      <c r="D1880" s="2" t="s">
        <v>5029</v>
      </c>
    </row>
    <row r="1881" spans="1:4" x14ac:dyDescent="0.25">
      <c r="A1881" t="s">
        <v>5288</v>
      </c>
      <c r="D1881" s="2" t="s">
        <v>5050</v>
      </c>
    </row>
    <row r="1882" spans="1:4" x14ac:dyDescent="0.25">
      <c r="A1882" t="s">
        <v>5293</v>
      </c>
      <c r="D1882" s="2" t="s">
        <v>5044</v>
      </c>
    </row>
    <row r="1883" spans="1:4" x14ac:dyDescent="0.25">
      <c r="A1883" t="s">
        <v>5296</v>
      </c>
      <c r="D1883" s="2" t="s">
        <v>5041</v>
      </c>
    </row>
    <row r="1884" spans="1:4" x14ac:dyDescent="0.25">
      <c r="A1884" t="s">
        <v>5296</v>
      </c>
      <c r="D1884" s="2" t="s">
        <v>5982</v>
      </c>
    </row>
    <row r="1885" spans="1:4" x14ac:dyDescent="0.25">
      <c r="A1885" t="s">
        <v>5300</v>
      </c>
      <c r="D1885" s="2" t="s">
        <v>4857</v>
      </c>
    </row>
    <row r="1886" spans="1:4" x14ac:dyDescent="0.25">
      <c r="A1886" t="s">
        <v>5303</v>
      </c>
      <c r="D1886" s="2" t="s">
        <v>6507</v>
      </c>
    </row>
    <row r="1887" spans="1:4" x14ac:dyDescent="0.25">
      <c r="A1887" t="s">
        <v>5306</v>
      </c>
      <c r="D1887" s="2" t="s">
        <v>6657</v>
      </c>
    </row>
    <row r="1888" spans="1:4" x14ac:dyDescent="0.25">
      <c r="A1888" t="s">
        <v>4677</v>
      </c>
      <c r="D1888" s="2" t="s">
        <v>1680</v>
      </c>
    </row>
    <row r="1889" spans="1:4" x14ac:dyDescent="0.25">
      <c r="A1889" t="s">
        <v>4677</v>
      </c>
      <c r="D1889" s="2" t="s">
        <v>4315</v>
      </c>
    </row>
    <row r="1890" spans="1:4" x14ac:dyDescent="0.25">
      <c r="A1890" t="s">
        <v>4677</v>
      </c>
      <c r="D1890" s="2" t="s">
        <v>1658</v>
      </c>
    </row>
    <row r="1891" spans="1:4" x14ac:dyDescent="0.25">
      <c r="A1891" t="s">
        <v>4677</v>
      </c>
      <c r="D1891" s="2" t="s">
        <v>4330</v>
      </c>
    </row>
    <row r="1892" spans="1:4" x14ac:dyDescent="0.25">
      <c r="A1892" t="s">
        <v>4685</v>
      </c>
      <c r="D1892" s="2" t="s">
        <v>3925</v>
      </c>
    </row>
    <row r="1893" spans="1:4" x14ac:dyDescent="0.25">
      <c r="A1893" t="s">
        <v>4800</v>
      </c>
      <c r="D1893" s="2" t="s">
        <v>3884</v>
      </c>
    </row>
    <row r="1894" spans="1:4" x14ac:dyDescent="0.25">
      <c r="A1894" t="s">
        <v>4875</v>
      </c>
      <c r="D1894" s="2" t="s">
        <v>4551</v>
      </c>
    </row>
    <row r="1895" spans="1:4" x14ac:dyDescent="0.25">
      <c r="A1895" t="s">
        <v>4878</v>
      </c>
      <c r="D1895" s="2" t="s">
        <v>5314</v>
      </c>
    </row>
    <row r="1896" spans="1:4" x14ac:dyDescent="0.25">
      <c r="A1896" t="s">
        <v>4883</v>
      </c>
      <c r="D1896" s="2" t="s">
        <v>4633</v>
      </c>
    </row>
    <row r="1897" spans="1:4" x14ac:dyDescent="0.25">
      <c r="A1897" t="s">
        <v>4886</v>
      </c>
      <c r="D1897" s="2" t="s">
        <v>3828</v>
      </c>
    </row>
    <row r="1898" spans="1:4" x14ac:dyDescent="0.25">
      <c r="A1898" t="s">
        <v>5188</v>
      </c>
      <c r="D1898" s="2" t="s">
        <v>3620</v>
      </c>
    </row>
    <row r="1899" spans="1:4" x14ac:dyDescent="0.25">
      <c r="A1899" t="s">
        <v>5188</v>
      </c>
      <c r="D1899" s="2" t="s">
        <v>4717</v>
      </c>
    </row>
    <row r="1900" spans="1:4" x14ac:dyDescent="0.25">
      <c r="A1900" t="s">
        <v>5069</v>
      </c>
      <c r="D1900" s="2" t="s">
        <v>5236</v>
      </c>
    </row>
    <row r="1901" spans="1:4" x14ac:dyDescent="0.25">
      <c r="A1901" t="s">
        <v>5353</v>
      </c>
      <c r="D1901" s="2" t="s">
        <v>5267</v>
      </c>
    </row>
    <row r="1902" spans="1:4" x14ac:dyDescent="0.25">
      <c r="A1902" t="s">
        <v>5356</v>
      </c>
      <c r="D1902" s="2" t="s">
        <v>4748</v>
      </c>
    </row>
    <row r="1903" spans="1:4" x14ac:dyDescent="0.25">
      <c r="A1903" t="s">
        <v>5359</v>
      </c>
      <c r="D1903" s="2" t="s">
        <v>5871</v>
      </c>
    </row>
    <row r="1904" spans="1:4" x14ac:dyDescent="0.25">
      <c r="A1904" t="s">
        <v>4761</v>
      </c>
      <c r="D1904" s="2" t="s">
        <v>5930</v>
      </c>
    </row>
    <row r="1905" spans="1:4" x14ac:dyDescent="0.25">
      <c r="A1905" t="s">
        <v>4765</v>
      </c>
      <c r="D1905" s="2" t="s">
        <v>939</v>
      </c>
    </row>
    <row r="1906" spans="1:4" x14ac:dyDescent="0.25">
      <c r="A1906" t="s">
        <v>4677</v>
      </c>
      <c r="D1906" s="2" t="s">
        <v>2501</v>
      </c>
    </row>
    <row r="1907" spans="1:4" x14ac:dyDescent="0.25">
      <c r="A1907" t="s">
        <v>4677</v>
      </c>
      <c r="D1907" s="2" t="s">
        <v>2538</v>
      </c>
    </row>
    <row r="1908" spans="1:4" x14ac:dyDescent="0.25">
      <c r="A1908" t="s">
        <v>4891</v>
      </c>
      <c r="D1908" s="2" t="s">
        <v>2401</v>
      </c>
    </row>
    <row r="1909" spans="1:4" x14ac:dyDescent="0.25">
      <c r="A1909" t="s">
        <v>4894</v>
      </c>
      <c r="D1909" s="2" t="s">
        <v>2807</v>
      </c>
    </row>
    <row r="1910" spans="1:4" x14ac:dyDescent="0.25">
      <c r="A1910" t="s">
        <v>4897</v>
      </c>
      <c r="D1910" s="2" t="s">
        <v>2855</v>
      </c>
    </row>
    <row r="1911" spans="1:4" x14ac:dyDescent="0.25">
      <c r="A1911" t="s">
        <v>4784</v>
      </c>
      <c r="D1911" s="2" t="s">
        <v>9235</v>
      </c>
    </row>
    <row r="1912" spans="1:4" x14ac:dyDescent="0.25">
      <c r="A1912" t="s">
        <v>4784</v>
      </c>
      <c r="D1912" s="2" t="s">
        <v>2224</v>
      </c>
    </row>
    <row r="1913" spans="1:4" x14ac:dyDescent="0.25">
      <c r="A1913" t="s">
        <v>4789</v>
      </c>
      <c r="D1913" s="2" t="s">
        <v>2220</v>
      </c>
    </row>
    <row r="1914" spans="1:4" x14ac:dyDescent="0.25">
      <c r="A1914" t="s">
        <v>4789</v>
      </c>
      <c r="D1914" s="2" t="s">
        <v>2346</v>
      </c>
    </row>
    <row r="1915" spans="1:4" x14ac:dyDescent="0.25">
      <c r="A1915" t="s">
        <v>5278</v>
      </c>
      <c r="D1915" s="2" t="s">
        <v>743</v>
      </c>
    </row>
    <row r="1916" spans="1:4" x14ac:dyDescent="0.25">
      <c r="A1916" t="s">
        <v>4575</v>
      </c>
      <c r="D1916" s="2" t="s">
        <v>9099</v>
      </c>
    </row>
    <row r="1917" spans="1:4" x14ac:dyDescent="0.25">
      <c r="A1917" t="s">
        <v>4579</v>
      </c>
      <c r="D1917" s="2" t="s">
        <v>600</v>
      </c>
    </row>
    <row r="1918" spans="1:4" x14ac:dyDescent="0.25">
      <c r="A1918" t="s">
        <v>4737</v>
      </c>
      <c r="D1918" s="2" t="s">
        <v>1171</v>
      </c>
    </row>
    <row r="1919" spans="1:4" x14ac:dyDescent="0.25">
      <c r="A1919" t="s">
        <v>4756</v>
      </c>
      <c r="D1919" s="2" t="s">
        <v>1183</v>
      </c>
    </row>
    <row r="1920" spans="1:4" x14ac:dyDescent="0.25">
      <c r="A1920" t="s">
        <v>4821</v>
      </c>
      <c r="D1920" s="2" t="s">
        <v>2142</v>
      </c>
    </row>
    <row r="1921" spans="1:4" x14ac:dyDescent="0.25">
      <c r="A1921" t="s">
        <v>4865</v>
      </c>
      <c r="D1921" s="2" t="s">
        <v>2071</v>
      </c>
    </row>
    <row r="1922" spans="1:4" x14ac:dyDescent="0.25">
      <c r="A1922" t="s">
        <v>5075</v>
      </c>
      <c r="D1922" s="2" t="s">
        <v>1432</v>
      </c>
    </row>
    <row r="1923" spans="1:4" x14ac:dyDescent="0.25">
      <c r="A1923" t="s">
        <v>5075</v>
      </c>
      <c r="D1923" s="2" t="s">
        <v>1426</v>
      </c>
    </row>
    <row r="1924" spans="1:4" x14ac:dyDescent="0.25">
      <c r="A1924" t="s">
        <v>4638</v>
      </c>
      <c r="D1924" s="2" t="s">
        <v>1791</v>
      </c>
    </row>
    <row r="1925" spans="1:4" x14ac:dyDescent="0.25">
      <c r="A1925" t="s">
        <v>4658</v>
      </c>
      <c r="D1925" s="2" t="s">
        <v>3317</v>
      </c>
    </row>
    <row r="1926" spans="1:4" x14ac:dyDescent="0.25">
      <c r="A1926" t="s">
        <v>4669</v>
      </c>
      <c r="D1926" s="2" t="s">
        <v>3227</v>
      </c>
    </row>
    <row r="1927" spans="1:4" x14ac:dyDescent="0.25">
      <c r="A1927" t="s">
        <v>4672</v>
      </c>
      <c r="D1927" s="2" t="s">
        <v>3401</v>
      </c>
    </row>
    <row r="1928" spans="1:4" x14ac:dyDescent="0.25">
      <c r="A1928" t="s">
        <v>4775</v>
      </c>
      <c r="D1928" s="2" t="s">
        <v>3518</v>
      </c>
    </row>
    <row r="1929" spans="1:4" x14ac:dyDescent="0.25">
      <c r="A1929" t="s">
        <v>4775</v>
      </c>
      <c r="D1929" s="2" t="s">
        <v>1496</v>
      </c>
    </row>
    <row r="1930" spans="1:4" x14ac:dyDescent="0.25">
      <c r="A1930" t="s">
        <v>4775</v>
      </c>
      <c r="D1930" s="2" t="s">
        <v>7044</v>
      </c>
    </row>
    <row r="1931" spans="1:4" x14ac:dyDescent="0.25">
      <c r="A1931" t="s">
        <v>4775</v>
      </c>
      <c r="D1931" s="2" t="s">
        <v>7533</v>
      </c>
    </row>
    <row r="1932" spans="1:4" x14ac:dyDescent="0.25">
      <c r="A1932" t="s">
        <v>4775</v>
      </c>
      <c r="D1932" s="2" t="s">
        <v>9800</v>
      </c>
    </row>
    <row r="1933" spans="1:4" x14ac:dyDescent="0.25">
      <c r="A1933" t="s">
        <v>4775</v>
      </c>
      <c r="D1933" s="2" t="s">
        <v>1045</v>
      </c>
    </row>
    <row r="1934" spans="1:4" x14ac:dyDescent="0.25">
      <c r="A1934" t="s">
        <v>4252</v>
      </c>
      <c r="D1934" s="2" t="s">
        <v>7826</v>
      </c>
    </row>
    <row r="1935" spans="1:4" x14ac:dyDescent="0.25">
      <c r="A1935" t="s">
        <v>4256</v>
      </c>
      <c r="D1935" s="2" t="s">
        <v>3638</v>
      </c>
    </row>
    <row r="1936" spans="1:4" x14ac:dyDescent="0.25">
      <c r="A1936" t="s">
        <v>4259</v>
      </c>
      <c r="D1936" s="2" t="s">
        <v>6625</v>
      </c>
    </row>
    <row r="1937" spans="1:4" x14ac:dyDescent="0.25">
      <c r="A1937" t="s">
        <v>4259</v>
      </c>
      <c r="D1937" s="2" t="s">
        <v>7299</v>
      </c>
    </row>
    <row r="1938" spans="1:4" x14ac:dyDescent="0.25">
      <c r="A1938" t="s">
        <v>4263</v>
      </c>
      <c r="D1938" s="2" t="s">
        <v>243</v>
      </c>
    </row>
    <row r="1939" spans="1:4" x14ac:dyDescent="0.25">
      <c r="A1939" t="s">
        <v>4263</v>
      </c>
      <c r="D1939" s="2" t="s">
        <v>6323</v>
      </c>
    </row>
    <row r="1940" spans="1:4" x14ac:dyDescent="0.25">
      <c r="A1940" t="s">
        <v>4267</v>
      </c>
      <c r="D1940" s="2" t="s">
        <v>6362</v>
      </c>
    </row>
    <row r="1941" spans="1:4" x14ac:dyDescent="0.25">
      <c r="A1941" t="s">
        <v>4270</v>
      </c>
      <c r="D1941" s="2" t="s">
        <v>8193</v>
      </c>
    </row>
    <row r="1942" spans="1:4" x14ac:dyDescent="0.25">
      <c r="A1942" t="s">
        <v>4273</v>
      </c>
      <c r="D1942" s="2" t="s">
        <v>3308</v>
      </c>
    </row>
    <row r="1943" spans="1:4" x14ac:dyDescent="0.25">
      <c r="A1943" t="s">
        <v>4276</v>
      </c>
      <c r="D1943" s="2" t="s">
        <v>175</v>
      </c>
    </row>
    <row r="1944" spans="1:4" x14ac:dyDescent="0.25">
      <c r="A1944" t="s">
        <v>4279</v>
      </c>
      <c r="D1944" s="2" t="s">
        <v>5521</v>
      </c>
    </row>
    <row r="1945" spans="1:4" x14ac:dyDescent="0.25">
      <c r="A1945" t="s">
        <v>4282</v>
      </c>
      <c r="D1945" s="2" t="s">
        <v>7822</v>
      </c>
    </row>
    <row r="1946" spans="1:4" x14ac:dyDescent="0.25">
      <c r="A1946" t="s">
        <v>4282</v>
      </c>
      <c r="D1946" s="2" t="s">
        <v>7843</v>
      </c>
    </row>
    <row r="1947" spans="1:4" x14ac:dyDescent="0.25">
      <c r="A1947" t="s">
        <v>4286</v>
      </c>
      <c r="D1947" s="2" t="s">
        <v>7929</v>
      </c>
    </row>
    <row r="1948" spans="1:4" x14ac:dyDescent="0.25">
      <c r="A1948" t="s">
        <v>4289</v>
      </c>
      <c r="D1948" s="2" t="s">
        <v>7925</v>
      </c>
    </row>
    <row r="1949" spans="1:4" x14ac:dyDescent="0.25">
      <c r="A1949" t="s">
        <v>4292</v>
      </c>
      <c r="D1949" s="2" t="s">
        <v>7409</v>
      </c>
    </row>
    <row r="1950" spans="1:4" x14ac:dyDescent="0.25">
      <c r="A1950" t="s">
        <v>4295</v>
      </c>
      <c r="D1950" s="2" t="s">
        <v>7716</v>
      </c>
    </row>
    <row r="1951" spans="1:4" x14ac:dyDescent="0.25">
      <c r="A1951" t="s">
        <v>4298</v>
      </c>
      <c r="D1951" s="2" t="s">
        <v>7719</v>
      </c>
    </row>
    <row r="1952" spans="1:4" x14ac:dyDescent="0.25">
      <c r="A1952" t="s">
        <v>4301</v>
      </c>
      <c r="D1952" s="2" t="s">
        <v>7226</v>
      </c>
    </row>
    <row r="1953" spans="1:4" x14ac:dyDescent="0.25">
      <c r="A1953" t="s">
        <v>4362</v>
      </c>
      <c r="D1953" s="2" t="s">
        <v>7561</v>
      </c>
    </row>
    <row r="1954" spans="1:4" x14ac:dyDescent="0.25">
      <c r="A1954" t="s">
        <v>4365</v>
      </c>
      <c r="D1954" s="2" t="s">
        <v>7834</v>
      </c>
    </row>
    <row r="1955" spans="1:4" x14ac:dyDescent="0.25">
      <c r="A1955" t="s">
        <v>4368</v>
      </c>
      <c r="D1955" s="2" t="s">
        <v>7209</v>
      </c>
    </row>
    <row r="1956" spans="1:4" x14ac:dyDescent="0.25">
      <c r="A1956" t="s">
        <v>4371</v>
      </c>
      <c r="D1956" s="2" t="s">
        <v>7390</v>
      </c>
    </row>
    <row r="1957" spans="1:4" x14ac:dyDescent="0.25">
      <c r="A1957" t="s">
        <v>4371</v>
      </c>
      <c r="D1957" s="2" t="s">
        <v>7633</v>
      </c>
    </row>
    <row r="1958" spans="1:4" x14ac:dyDescent="0.25">
      <c r="A1958" t="s">
        <v>4375</v>
      </c>
      <c r="D1958" s="2" t="s">
        <v>7811</v>
      </c>
    </row>
    <row r="1959" spans="1:4" x14ac:dyDescent="0.25">
      <c r="A1959" t="s">
        <v>4378</v>
      </c>
      <c r="D1959" s="2" t="s">
        <v>7386</v>
      </c>
    </row>
    <row r="1960" spans="1:4" x14ac:dyDescent="0.25">
      <c r="A1960" t="s">
        <v>4378</v>
      </c>
      <c r="D1960" s="2" t="s">
        <v>7596</v>
      </c>
    </row>
    <row r="1961" spans="1:4" x14ac:dyDescent="0.25">
      <c r="A1961" t="s">
        <v>4382</v>
      </c>
      <c r="D1961" s="2" t="s">
        <v>7549</v>
      </c>
    </row>
    <row r="1962" spans="1:4" x14ac:dyDescent="0.25">
      <c r="A1962" t="s">
        <v>4382</v>
      </c>
      <c r="D1962" s="2" t="s">
        <v>7245</v>
      </c>
    </row>
    <row r="1963" spans="1:4" x14ac:dyDescent="0.25">
      <c r="A1963" t="s">
        <v>4382</v>
      </c>
      <c r="D1963" s="2" t="s">
        <v>120</v>
      </c>
    </row>
    <row r="1964" spans="1:4" x14ac:dyDescent="0.25">
      <c r="A1964" t="s">
        <v>4382</v>
      </c>
      <c r="D1964" s="2" t="s">
        <v>112</v>
      </c>
    </row>
    <row r="1965" spans="1:4" x14ac:dyDescent="0.25">
      <c r="A1965" t="s">
        <v>4382</v>
      </c>
      <c r="D1965" s="2" t="s">
        <v>3633</v>
      </c>
    </row>
    <row r="1966" spans="1:4" x14ac:dyDescent="0.25">
      <c r="A1966" t="s">
        <v>4382</v>
      </c>
      <c r="D1966" s="2" t="s">
        <v>4371</v>
      </c>
    </row>
    <row r="1967" spans="1:4" x14ac:dyDescent="0.25">
      <c r="A1967" t="s">
        <v>4390</v>
      </c>
      <c r="D1967" s="2" t="s">
        <v>4428</v>
      </c>
    </row>
    <row r="1968" spans="1:4" x14ac:dyDescent="0.25">
      <c r="A1968" t="s">
        <v>4393</v>
      </c>
      <c r="D1968" s="2" t="s">
        <v>9028</v>
      </c>
    </row>
    <row r="1969" spans="1:4" x14ac:dyDescent="0.25">
      <c r="A1969" t="s">
        <v>4393</v>
      </c>
      <c r="D1969" s="2" t="s">
        <v>6841</v>
      </c>
    </row>
    <row r="1970" spans="1:4" x14ac:dyDescent="0.25">
      <c r="A1970" t="s">
        <v>4393</v>
      </c>
      <c r="D1970" s="2" t="s">
        <v>6450</v>
      </c>
    </row>
    <row r="1971" spans="1:4" x14ac:dyDescent="0.25">
      <c r="A1971" t="s">
        <v>4393</v>
      </c>
      <c r="D1971" s="2" t="s">
        <v>4489</v>
      </c>
    </row>
    <row r="1972" spans="1:4" x14ac:dyDescent="0.25">
      <c r="A1972" t="s">
        <v>4393</v>
      </c>
      <c r="D1972" s="2" t="s">
        <v>1390</v>
      </c>
    </row>
    <row r="1973" spans="1:4" x14ac:dyDescent="0.25">
      <c r="A1973" t="s">
        <v>4398</v>
      </c>
      <c r="D1973" s="2" t="s">
        <v>4292</v>
      </c>
    </row>
    <row r="1974" spans="1:4" x14ac:dyDescent="0.25">
      <c r="A1974" t="s">
        <v>4400</v>
      </c>
      <c r="D1974" s="2" t="s">
        <v>9023</v>
      </c>
    </row>
    <row r="1975" spans="1:4" x14ac:dyDescent="0.25">
      <c r="A1975" t="s">
        <v>4403</v>
      </c>
      <c r="D1975" s="2" t="s">
        <v>6335</v>
      </c>
    </row>
    <row r="1976" spans="1:4" x14ac:dyDescent="0.25">
      <c r="A1976" t="s">
        <v>4403</v>
      </c>
      <c r="D1976" s="2" t="s">
        <v>1101</v>
      </c>
    </row>
    <row r="1977" spans="1:4" x14ac:dyDescent="0.25">
      <c r="A1977" t="s">
        <v>4406</v>
      </c>
      <c r="D1977" s="2" t="s">
        <v>1147</v>
      </c>
    </row>
    <row r="1978" spans="1:4" x14ac:dyDescent="0.25">
      <c r="A1978" t="s">
        <v>4409</v>
      </c>
      <c r="D1978" s="2" t="s">
        <v>8184</v>
      </c>
    </row>
    <row r="1979" spans="1:4" x14ac:dyDescent="0.25">
      <c r="A1979" t="s">
        <v>4411</v>
      </c>
      <c r="D1979" s="2" t="s">
        <v>8188</v>
      </c>
    </row>
    <row r="1980" spans="1:4" x14ac:dyDescent="0.25">
      <c r="A1980" t="s">
        <v>4411</v>
      </c>
      <c r="D1980" s="2" t="s">
        <v>8196</v>
      </c>
    </row>
    <row r="1981" spans="1:4" x14ac:dyDescent="0.25">
      <c r="A1981" t="s">
        <v>4411</v>
      </c>
      <c r="D1981" s="2" t="s">
        <v>8205</v>
      </c>
    </row>
    <row r="1982" spans="1:4" x14ac:dyDescent="0.25">
      <c r="A1982" t="s">
        <v>4411</v>
      </c>
      <c r="D1982" s="2" t="s">
        <v>8199</v>
      </c>
    </row>
    <row r="1983" spans="1:4" x14ac:dyDescent="0.25">
      <c r="A1983" t="s">
        <v>4411</v>
      </c>
      <c r="D1983" s="2" t="s">
        <v>8211</v>
      </c>
    </row>
    <row r="1984" spans="1:4" x14ac:dyDescent="0.25">
      <c r="A1984" t="s">
        <v>4411</v>
      </c>
      <c r="D1984" s="2" t="s">
        <v>8270</v>
      </c>
    </row>
    <row r="1985" spans="1:4" x14ac:dyDescent="0.25">
      <c r="A1985" t="s">
        <v>4411</v>
      </c>
      <c r="D1985" s="2" t="s">
        <v>8208</v>
      </c>
    </row>
    <row r="1986" spans="1:4" x14ac:dyDescent="0.25">
      <c r="A1986" t="s">
        <v>4411</v>
      </c>
      <c r="D1986" s="2" t="s">
        <v>6263</v>
      </c>
    </row>
    <row r="1987" spans="1:4" x14ac:dyDescent="0.25">
      <c r="A1987" t="s">
        <v>4418</v>
      </c>
      <c r="D1987" s="2" t="s">
        <v>6780</v>
      </c>
    </row>
    <row r="1988" spans="1:4" x14ac:dyDescent="0.25">
      <c r="A1988" t="s">
        <v>4421</v>
      </c>
      <c r="D1988" s="2" t="s">
        <v>2736</v>
      </c>
    </row>
    <row r="1989" spans="1:4" x14ac:dyDescent="0.25">
      <c r="A1989" t="s">
        <v>4421</v>
      </c>
      <c r="D1989" s="2" t="s">
        <v>1975</v>
      </c>
    </row>
    <row r="1990" spans="1:4" x14ac:dyDescent="0.25">
      <c r="A1990" t="s">
        <v>4425</v>
      </c>
      <c r="D1990" s="2" t="s">
        <v>7320</v>
      </c>
    </row>
    <row r="1991" spans="1:4" x14ac:dyDescent="0.25">
      <c r="A1991" t="s">
        <v>4428</v>
      </c>
      <c r="D1991" s="2" t="s">
        <v>6864</v>
      </c>
    </row>
    <row r="1992" spans="1:4" x14ac:dyDescent="0.25">
      <c r="A1992" t="s">
        <v>4428</v>
      </c>
      <c r="D1992" s="2" t="s">
        <v>7551</v>
      </c>
    </row>
    <row r="1993" spans="1:4" x14ac:dyDescent="0.25">
      <c r="A1993" t="s">
        <v>4432</v>
      </c>
      <c r="D1993" s="2" t="s">
        <v>7812</v>
      </c>
    </row>
    <row r="1994" spans="1:4" x14ac:dyDescent="0.25">
      <c r="A1994" t="s">
        <v>4434</v>
      </c>
      <c r="D1994" s="2" t="s">
        <v>6452</v>
      </c>
    </row>
    <row r="1995" spans="1:4" x14ac:dyDescent="0.25">
      <c r="A1995" t="s">
        <v>4434</v>
      </c>
      <c r="D1995" s="2" t="s">
        <v>3625</v>
      </c>
    </row>
    <row r="1996" spans="1:4" x14ac:dyDescent="0.25">
      <c r="A1996" t="s">
        <v>4434</v>
      </c>
      <c r="D1996" s="2" t="s">
        <v>1238</v>
      </c>
    </row>
    <row r="1997" spans="1:4" x14ac:dyDescent="0.25">
      <c r="A1997" t="s">
        <v>4439</v>
      </c>
      <c r="D1997" s="2" t="s">
        <v>3368</v>
      </c>
    </row>
    <row r="1998" spans="1:4" x14ac:dyDescent="0.25">
      <c r="A1998" t="s">
        <v>4442</v>
      </c>
      <c r="D1998" s="2" t="s">
        <v>5763</v>
      </c>
    </row>
    <row r="1999" spans="1:4" x14ac:dyDescent="0.25">
      <c r="A1999" t="s">
        <v>4442</v>
      </c>
      <c r="D1999" s="2" t="s">
        <v>2062</v>
      </c>
    </row>
    <row r="2000" spans="1:4" x14ac:dyDescent="0.25">
      <c r="A2000" t="s">
        <v>4442</v>
      </c>
      <c r="D2000" s="2" t="s">
        <v>2697</v>
      </c>
    </row>
    <row r="2001" spans="1:4" x14ac:dyDescent="0.25">
      <c r="A2001" t="s">
        <v>4447</v>
      </c>
      <c r="D2001" s="2" t="s">
        <v>1818</v>
      </c>
    </row>
    <row r="2002" spans="1:4" x14ac:dyDescent="0.25">
      <c r="A2002" t="s">
        <v>4447</v>
      </c>
      <c r="D2002" s="2" t="s">
        <v>2268</v>
      </c>
    </row>
    <row r="2003" spans="1:4" x14ac:dyDescent="0.25">
      <c r="A2003" t="s">
        <v>4447</v>
      </c>
      <c r="D2003" s="2" t="s">
        <v>746</v>
      </c>
    </row>
    <row r="2004" spans="1:4" x14ac:dyDescent="0.25">
      <c r="A2004" t="s">
        <v>4447</v>
      </c>
      <c r="D2004" s="2" t="s">
        <v>656</v>
      </c>
    </row>
    <row r="2005" spans="1:4" x14ac:dyDescent="0.25">
      <c r="A2005" t="s">
        <v>4447</v>
      </c>
      <c r="D2005" s="2" t="s">
        <v>3332</v>
      </c>
    </row>
    <row r="2006" spans="1:4" x14ac:dyDescent="0.25">
      <c r="A2006" t="s">
        <v>4447</v>
      </c>
      <c r="D2006" s="2" t="s">
        <v>3159</v>
      </c>
    </row>
    <row r="2007" spans="1:4" x14ac:dyDescent="0.25">
      <c r="A2007" t="s">
        <v>4452</v>
      </c>
      <c r="D2007" s="2" t="s">
        <v>1978</v>
      </c>
    </row>
    <row r="2008" spans="1:4" x14ac:dyDescent="0.25">
      <c r="A2008" t="s">
        <v>4452</v>
      </c>
      <c r="D2008" s="2" t="s">
        <v>795</v>
      </c>
    </row>
    <row r="2009" spans="1:4" x14ac:dyDescent="0.25">
      <c r="A2009" t="s">
        <v>4452</v>
      </c>
      <c r="D2009" s="2" t="s">
        <v>1824</v>
      </c>
    </row>
    <row r="2010" spans="1:4" x14ac:dyDescent="0.25">
      <c r="A2010" t="s">
        <v>4452</v>
      </c>
      <c r="D2010" s="2" t="s">
        <v>1226</v>
      </c>
    </row>
    <row r="2011" spans="1:4" x14ac:dyDescent="0.25">
      <c r="A2011" t="s">
        <v>4452</v>
      </c>
      <c r="D2011" s="2" t="s">
        <v>2591</v>
      </c>
    </row>
    <row r="2012" spans="1:4" x14ac:dyDescent="0.25">
      <c r="A2012" t="s">
        <v>4452</v>
      </c>
      <c r="D2012" s="2" t="s">
        <v>1179</v>
      </c>
    </row>
    <row r="2013" spans="1:4" x14ac:dyDescent="0.25">
      <c r="A2013" t="s">
        <v>4452</v>
      </c>
      <c r="D2013" s="2" t="s">
        <v>2651</v>
      </c>
    </row>
    <row r="2014" spans="1:4" x14ac:dyDescent="0.25">
      <c r="A2014" t="s">
        <v>4458</v>
      </c>
      <c r="D2014" s="2" t="s">
        <v>2769</v>
      </c>
    </row>
    <row r="2015" spans="1:4" x14ac:dyDescent="0.25">
      <c r="A2015" t="s">
        <v>4458</v>
      </c>
      <c r="D2015" s="2" t="s">
        <v>3269</v>
      </c>
    </row>
    <row r="2016" spans="1:4" x14ac:dyDescent="0.25">
      <c r="A2016" t="s">
        <v>4458</v>
      </c>
      <c r="D2016" s="2" t="s">
        <v>3013</v>
      </c>
    </row>
    <row r="2017" spans="1:4" x14ac:dyDescent="0.25">
      <c r="A2017" t="s">
        <v>4458</v>
      </c>
      <c r="D2017" s="2" t="s">
        <v>668</v>
      </c>
    </row>
    <row r="2018" spans="1:4" x14ac:dyDescent="0.25">
      <c r="A2018" t="s">
        <v>4458</v>
      </c>
      <c r="D2018" s="2" t="s">
        <v>1464</v>
      </c>
    </row>
    <row r="2019" spans="1:4" x14ac:dyDescent="0.25">
      <c r="A2019" t="s">
        <v>4458</v>
      </c>
      <c r="D2019" s="2" t="s">
        <v>2049</v>
      </c>
    </row>
    <row r="2020" spans="1:4" x14ac:dyDescent="0.25">
      <c r="A2020" t="s">
        <v>4458</v>
      </c>
      <c r="D2020" s="2" t="s">
        <v>1794</v>
      </c>
    </row>
    <row r="2021" spans="1:4" x14ac:dyDescent="0.25">
      <c r="A2021" t="s">
        <v>4462</v>
      </c>
      <c r="D2021" s="2" t="s">
        <v>1458</v>
      </c>
    </row>
    <row r="2022" spans="1:4" x14ac:dyDescent="0.25">
      <c r="A2022" t="s">
        <v>4462</v>
      </c>
      <c r="D2022" s="2" t="s">
        <v>3482</v>
      </c>
    </row>
    <row r="2023" spans="1:4" x14ac:dyDescent="0.25">
      <c r="A2023" t="s">
        <v>4465</v>
      </c>
      <c r="D2023" s="2" t="s">
        <v>831</v>
      </c>
    </row>
    <row r="2024" spans="1:4" x14ac:dyDescent="0.25">
      <c r="A2024" t="s">
        <v>4465</v>
      </c>
      <c r="D2024" s="2" t="s">
        <v>1220</v>
      </c>
    </row>
    <row r="2025" spans="1:4" x14ac:dyDescent="0.25">
      <c r="A2025" t="s">
        <v>4465</v>
      </c>
      <c r="D2025" s="2" t="s">
        <v>6764</v>
      </c>
    </row>
    <row r="2026" spans="1:4" x14ac:dyDescent="0.25">
      <c r="A2026" t="s">
        <v>4795</v>
      </c>
      <c r="D2026" s="2" t="s">
        <v>1267</v>
      </c>
    </row>
    <row r="2027" spans="1:4" x14ac:dyDescent="0.25">
      <c r="A2027" t="s">
        <v>4561</v>
      </c>
      <c r="D2027" s="2" t="s">
        <v>3497</v>
      </c>
    </row>
    <row r="2028" spans="1:4" x14ac:dyDescent="0.25">
      <c r="A2028" t="s">
        <v>4567</v>
      </c>
      <c r="D2028" s="2" t="s">
        <v>665</v>
      </c>
    </row>
    <row r="2029" spans="1:4" x14ac:dyDescent="0.25">
      <c r="A2029" t="s">
        <v>4570</v>
      </c>
      <c r="D2029" s="2" t="s">
        <v>2917</v>
      </c>
    </row>
    <row r="2030" spans="1:4" x14ac:dyDescent="0.25">
      <c r="A2030" t="s">
        <v>4619</v>
      </c>
      <c r="D2030" s="2" t="s">
        <v>55</v>
      </c>
    </row>
    <row r="2031" spans="1:4" x14ac:dyDescent="0.25">
      <c r="A2031" t="s">
        <v>4622</v>
      </c>
      <c r="D2031" s="2" t="s">
        <v>1797</v>
      </c>
    </row>
    <row r="2032" spans="1:4" x14ac:dyDescent="0.25">
      <c r="A2032" t="s">
        <v>4627</v>
      </c>
      <c r="D2032" s="2" t="s">
        <v>1175</v>
      </c>
    </row>
    <row r="2033" spans="1:4" x14ac:dyDescent="0.25">
      <c r="A2033" t="s">
        <v>4630</v>
      </c>
      <c r="D2033" s="2" t="s">
        <v>725</v>
      </c>
    </row>
    <row r="2034" spans="1:4" x14ac:dyDescent="0.25">
      <c r="A2034" t="s">
        <v>4633</v>
      </c>
      <c r="D2034" s="2" t="s">
        <v>2749</v>
      </c>
    </row>
    <row r="2035" spans="1:4" x14ac:dyDescent="0.25">
      <c r="A2035" t="s">
        <v>4592</v>
      </c>
      <c r="D2035" s="2" t="s">
        <v>3035</v>
      </c>
    </row>
    <row r="2036" spans="1:4" x14ac:dyDescent="0.25">
      <c r="A2036" t="s">
        <v>4596</v>
      </c>
      <c r="D2036" s="2" t="s">
        <v>2120</v>
      </c>
    </row>
    <row r="2037" spans="1:4" x14ac:dyDescent="0.25">
      <c r="A2037" t="s">
        <v>4664</v>
      </c>
      <c r="D2037" s="2" t="s">
        <v>1806</v>
      </c>
    </row>
    <row r="2038" spans="1:4" x14ac:dyDescent="0.25">
      <c r="A2038" t="s">
        <v>4723</v>
      </c>
      <c r="D2038" s="2" t="s">
        <v>2828</v>
      </c>
    </row>
    <row r="2039" spans="1:4" x14ac:dyDescent="0.25">
      <c r="A2039" t="s">
        <v>4732</v>
      </c>
      <c r="D2039" s="2" t="s">
        <v>719</v>
      </c>
    </row>
    <row r="2040" spans="1:4" x14ac:dyDescent="0.25">
      <c r="A2040" t="s">
        <v>4351</v>
      </c>
      <c r="D2040" s="2" t="s">
        <v>1017</v>
      </c>
    </row>
    <row r="2041" spans="1:4" x14ac:dyDescent="0.25">
      <c r="A2041" t="s">
        <v>4500</v>
      </c>
      <c r="D2041" s="2" t="s">
        <v>1933</v>
      </c>
    </row>
    <row r="2042" spans="1:4" x14ac:dyDescent="0.25">
      <c r="A2042" t="s">
        <v>4503</v>
      </c>
      <c r="D2042" s="2" t="s">
        <v>819</v>
      </c>
    </row>
    <row r="2043" spans="1:4" x14ac:dyDescent="0.25">
      <c r="A2043" t="s">
        <v>4506</v>
      </c>
      <c r="D2043" s="2" t="s">
        <v>3395</v>
      </c>
    </row>
    <row r="2044" spans="1:4" x14ac:dyDescent="0.25">
      <c r="A2044" t="s">
        <v>4509</v>
      </c>
      <c r="D2044" s="2" t="s">
        <v>1318</v>
      </c>
    </row>
    <row r="2045" spans="1:4" x14ac:dyDescent="0.25">
      <c r="A2045" t="s">
        <v>4512</v>
      </c>
      <c r="D2045" s="2" t="s">
        <v>2620</v>
      </c>
    </row>
    <row r="2046" spans="1:4" x14ac:dyDescent="0.25">
      <c r="A2046" t="s">
        <v>4523</v>
      </c>
      <c r="D2046" s="2" t="s">
        <v>2776</v>
      </c>
    </row>
    <row r="2047" spans="1:4" x14ac:dyDescent="0.25">
      <c r="A2047" t="s">
        <v>4705</v>
      </c>
      <c r="D2047" s="2" t="s">
        <v>203</v>
      </c>
    </row>
    <row r="2048" spans="1:4" x14ac:dyDescent="0.25">
      <c r="A2048" t="s">
        <v>4705</v>
      </c>
      <c r="D2048" s="2" t="s">
        <v>2878</v>
      </c>
    </row>
    <row r="2049" spans="1:4" x14ac:dyDescent="0.25">
      <c r="A2049" t="s">
        <v>4711</v>
      </c>
      <c r="D2049" s="2" t="s">
        <v>2363</v>
      </c>
    </row>
    <row r="2050" spans="1:4" x14ac:dyDescent="0.25">
      <c r="A2050" t="s">
        <v>4714</v>
      </c>
      <c r="D2050" s="2" t="s">
        <v>3236</v>
      </c>
    </row>
    <row r="2051" spans="1:4" x14ac:dyDescent="0.25">
      <c r="A2051" t="s">
        <v>4717</v>
      </c>
      <c r="D2051" s="2" t="s">
        <v>588</v>
      </c>
    </row>
    <row r="2052" spans="1:4" x14ac:dyDescent="0.25">
      <c r="A2052" t="s">
        <v>4717</v>
      </c>
      <c r="D2052" s="2" t="s">
        <v>626</v>
      </c>
    </row>
    <row r="2053" spans="1:4" x14ac:dyDescent="0.25">
      <c r="A2053" t="s">
        <v>4084</v>
      </c>
      <c r="D2053" s="2" t="s">
        <v>5055</v>
      </c>
    </row>
    <row r="2054" spans="1:4" x14ac:dyDescent="0.25">
      <c r="A2054" t="s">
        <v>4088</v>
      </c>
      <c r="D2054" s="2" t="s">
        <v>4185</v>
      </c>
    </row>
    <row r="2055" spans="1:4" x14ac:dyDescent="0.25">
      <c r="A2055" t="s">
        <v>4091</v>
      </c>
      <c r="D2055" s="2" t="s">
        <v>3658</v>
      </c>
    </row>
    <row r="2056" spans="1:4" x14ac:dyDescent="0.25">
      <c r="A2056" t="s">
        <v>4094</v>
      </c>
      <c r="D2056" s="2" t="s">
        <v>2637</v>
      </c>
    </row>
    <row r="2057" spans="1:4" x14ac:dyDescent="0.25">
      <c r="A2057" t="s">
        <v>4094</v>
      </c>
      <c r="D2057" s="2" t="s">
        <v>641</v>
      </c>
    </row>
    <row r="2058" spans="1:4" x14ac:dyDescent="0.25">
      <c r="A2058" t="s">
        <v>4098</v>
      </c>
      <c r="D2058" s="2" t="s">
        <v>3561</v>
      </c>
    </row>
    <row r="2059" spans="1:4" x14ac:dyDescent="0.25">
      <c r="A2059" t="s">
        <v>4101</v>
      </c>
      <c r="D2059" s="2" t="s">
        <v>804</v>
      </c>
    </row>
    <row r="2060" spans="1:4" x14ac:dyDescent="0.25">
      <c r="A2060" t="s">
        <v>4104</v>
      </c>
      <c r="D2060" s="2" t="s">
        <v>4378</v>
      </c>
    </row>
    <row r="2061" spans="1:4" x14ac:dyDescent="0.25">
      <c r="A2061" t="s">
        <v>4104</v>
      </c>
      <c r="D2061" s="2" t="s">
        <v>671</v>
      </c>
    </row>
    <row r="2062" spans="1:4" x14ac:dyDescent="0.25">
      <c r="A2062" t="s">
        <v>4104</v>
      </c>
      <c r="D2062" s="2" t="s">
        <v>18</v>
      </c>
    </row>
    <row r="2063" spans="1:4" x14ac:dyDescent="0.25">
      <c r="A2063" t="s">
        <v>4727</v>
      </c>
      <c r="D2063" s="2" t="s">
        <v>1381</v>
      </c>
    </row>
    <row r="2064" spans="1:4" x14ac:dyDescent="0.25">
      <c r="A2064" t="s">
        <v>4078</v>
      </c>
      <c r="D2064" s="2" t="s">
        <v>734</v>
      </c>
    </row>
    <row r="2065" spans="1:4" x14ac:dyDescent="0.25">
      <c r="A2065" t="s">
        <v>4120</v>
      </c>
      <c r="D2065" s="2" t="s">
        <v>2302</v>
      </c>
    </row>
    <row r="2066" spans="1:4" x14ac:dyDescent="0.25">
      <c r="A2066" t="s">
        <v>4120</v>
      </c>
      <c r="D2066" s="2" t="s">
        <v>2482</v>
      </c>
    </row>
    <row r="2067" spans="1:4" x14ac:dyDescent="0.25">
      <c r="A2067" t="s">
        <v>4120</v>
      </c>
      <c r="D2067" s="2" t="s">
        <v>1195</v>
      </c>
    </row>
    <row r="2068" spans="1:4" x14ac:dyDescent="0.25">
      <c r="A2068" t="s">
        <v>4335</v>
      </c>
      <c r="D2068" s="2" t="s">
        <v>1288</v>
      </c>
    </row>
    <row r="2069" spans="1:4" x14ac:dyDescent="0.25">
      <c r="A2069" t="s">
        <v>4528</v>
      </c>
      <c r="D2069" s="2" t="s">
        <v>653</v>
      </c>
    </row>
    <row r="2070" spans="1:4" x14ac:dyDescent="0.25">
      <c r="A2070" t="s">
        <v>3828</v>
      </c>
      <c r="D2070" s="2" t="s">
        <v>3093</v>
      </c>
    </row>
    <row r="2071" spans="1:4" x14ac:dyDescent="0.25">
      <c r="A2071" t="s">
        <v>3832</v>
      </c>
      <c r="D2071" s="2" t="s">
        <v>6187</v>
      </c>
    </row>
    <row r="2072" spans="1:4" x14ac:dyDescent="0.25">
      <c r="A2072" t="s">
        <v>4584</v>
      </c>
      <c r="D2072" s="2" t="s">
        <v>6914</v>
      </c>
    </row>
    <row r="2073" spans="1:4" x14ac:dyDescent="0.25">
      <c r="A2073" t="s">
        <v>4587</v>
      </c>
      <c r="D2073" s="2" t="s">
        <v>6756</v>
      </c>
    </row>
    <row r="2074" spans="1:4" x14ac:dyDescent="0.25">
      <c r="A2074" t="s">
        <v>4613</v>
      </c>
      <c r="D2074" s="2" t="s">
        <v>180</v>
      </c>
    </row>
    <row r="2075" spans="1:4" x14ac:dyDescent="0.25">
      <c r="A2075" t="s">
        <v>4613</v>
      </c>
      <c r="D2075" s="2" t="s">
        <v>136</v>
      </c>
    </row>
    <row r="2076" spans="1:4" x14ac:dyDescent="0.25">
      <c r="A2076" t="s">
        <v>4644</v>
      </c>
      <c r="D2076" s="2" t="s">
        <v>261</v>
      </c>
    </row>
    <row r="2077" spans="1:4" x14ac:dyDescent="0.25">
      <c r="A2077" t="s">
        <v>4647</v>
      </c>
      <c r="D2077" s="2" t="s">
        <v>1051</v>
      </c>
    </row>
    <row r="2078" spans="1:4" x14ac:dyDescent="0.25">
      <c r="A2078" t="s">
        <v>4650</v>
      </c>
      <c r="D2078" s="2" t="s">
        <v>1040</v>
      </c>
    </row>
    <row r="2079" spans="1:4" x14ac:dyDescent="0.25">
      <c r="A2079" t="s">
        <v>4653</v>
      </c>
      <c r="D2079" s="2" t="s">
        <v>5420</v>
      </c>
    </row>
    <row r="2080" spans="1:4" x14ac:dyDescent="0.25">
      <c r="A2080" t="s">
        <v>4690</v>
      </c>
      <c r="D2080" s="2" t="s">
        <v>5536</v>
      </c>
    </row>
    <row r="2081" spans="1:4" x14ac:dyDescent="0.25">
      <c r="A2081" t="s">
        <v>4690</v>
      </c>
      <c r="D2081" s="2" t="s">
        <v>4894</v>
      </c>
    </row>
    <row r="2082" spans="1:4" x14ac:dyDescent="0.25">
      <c r="A2082" t="s">
        <v>4694</v>
      </c>
      <c r="D2082" s="2" t="s">
        <v>4891</v>
      </c>
    </row>
    <row r="2083" spans="1:4" x14ac:dyDescent="0.25">
      <c r="A2083" t="s">
        <v>4697</v>
      </c>
      <c r="D2083" s="2" t="s">
        <v>4870</v>
      </c>
    </row>
    <row r="2084" spans="1:4" x14ac:dyDescent="0.25">
      <c r="A2084" t="s">
        <v>4700</v>
      </c>
      <c r="D2084" s="2" t="s">
        <v>6014</v>
      </c>
    </row>
    <row r="2085" spans="1:4" x14ac:dyDescent="0.25">
      <c r="A2085" t="s">
        <v>3731</v>
      </c>
      <c r="D2085" s="2" t="s">
        <v>7626</v>
      </c>
    </row>
    <row r="2086" spans="1:4" x14ac:dyDescent="0.25">
      <c r="A2086" t="s">
        <v>3735</v>
      </c>
      <c r="D2086" s="2" t="s">
        <v>7612</v>
      </c>
    </row>
    <row r="2087" spans="1:4" x14ac:dyDescent="0.25">
      <c r="A2087" t="s">
        <v>3842</v>
      </c>
      <c r="D2087" s="2" t="s">
        <v>7944</v>
      </c>
    </row>
    <row r="2088" spans="1:4" x14ac:dyDescent="0.25">
      <c r="A2088" t="s">
        <v>3845</v>
      </c>
      <c r="D2088" s="2" t="s">
        <v>7137</v>
      </c>
    </row>
    <row r="2089" spans="1:4" x14ac:dyDescent="0.25">
      <c r="A2089" t="s">
        <v>4237</v>
      </c>
      <c r="D2089" s="2" t="s">
        <v>7446</v>
      </c>
    </row>
    <row r="2090" spans="1:4" x14ac:dyDescent="0.25">
      <c r="A2090" t="s">
        <v>4237</v>
      </c>
      <c r="D2090" s="2" t="s">
        <v>7442</v>
      </c>
    </row>
    <row r="2091" spans="1:4" x14ac:dyDescent="0.25">
      <c r="A2091" t="s">
        <v>4241</v>
      </c>
      <c r="D2091" s="2" t="s">
        <v>7433</v>
      </c>
    </row>
    <row r="2092" spans="1:4" x14ac:dyDescent="0.25">
      <c r="A2092" t="s">
        <v>4244</v>
      </c>
      <c r="D2092" s="2" t="s">
        <v>7654</v>
      </c>
    </row>
    <row r="2093" spans="1:4" x14ac:dyDescent="0.25">
      <c r="A2093" t="s">
        <v>4247</v>
      </c>
      <c r="D2093" s="2" t="s">
        <v>7847</v>
      </c>
    </row>
    <row r="2094" spans="1:4" x14ac:dyDescent="0.25">
      <c r="A2094" t="s">
        <v>4306</v>
      </c>
      <c r="D2094" s="2" t="s">
        <v>7484</v>
      </c>
    </row>
    <row r="2095" spans="1:4" x14ac:dyDescent="0.25">
      <c r="A2095" t="s">
        <v>4309</v>
      </c>
      <c r="D2095" s="2" t="s">
        <v>7541</v>
      </c>
    </row>
    <row r="2096" spans="1:4" x14ac:dyDescent="0.25">
      <c r="A2096" t="s">
        <v>4312</v>
      </c>
      <c r="D2096" s="2" t="s">
        <v>7687</v>
      </c>
    </row>
    <row r="2097" spans="1:4" x14ac:dyDescent="0.25">
      <c r="A2097" t="s">
        <v>4315</v>
      </c>
      <c r="D2097" s="2" t="s">
        <v>7504</v>
      </c>
    </row>
    <row r="2098" spans="1:4" x14ac:dyDescent="0.25">
      <c r="A2098" t="s">
        <v>4318</v>
      </c>
      <c r="D2098" s="2" t="s">
        <v>7618</v>
      </c>
    </row>
    <row r="2099" spans="1:4" x14ac:dyDescent="0.25">
      <c r="A2099" t="s">
        <v>4321</v>
      </c>
      <c r="D2099" s="2" t="s">
        <v>7265</v>
      </c>
    </row>
    <row r="2100" spans="1:4" x14ac:dyDescent="0.25">
      <c r="A2100" t="s">
        <v>4324</v>
      </c>
      <c r="D2100" s="2" t="s">
        <v>7696</v>
      </c>
    </row>
    <row r="2101" spans="1:4" x14ac:dyDescent="0.25">
      <c r="A2101" t="s">
        <v>4327</v>
      </c>
      <c r="D2101" s="2" t="s">
        <v>7878</v>
      </c>
    </row>
    <row r="2102" spans="1:4" x14ac:dyDescent="0.25">
      <c r="A2102" t="s">
        <v>4330</v>
      </c>
      <c r="D2102" s="2" t="s">
        <v>7706</v>
      </c>
    </row>
    <row r="2103" spans="1:4" x14ac:dyDescent="0.25">
      <c r="A2103" t="s">
        <v>4556</v>
      </c>
      <c r="D2103" s="2" t="s">
        <v>7728</v>
      </c>
    </row>
    <row r="2104" spans="1:4" x14ac:dyDescent="0.25">
      <c r="A2104" t="s">
        <v>3919</v>
      </c>
      <c r="D2104" s="2" t="s">
        <v>7249</v>
      </c>
    </row>
    <row r="2105" spans="1:4" x14ac:dyDescent="0.25">
      <c r="A2105" t="s">
        <v>3919</v>
      </c>
      <c r="D2105" s="2" t="s">
        <v>7882</v>
      </c>
    </row>
    <row r="2106" spans="1:4" x14ac:dyDescent="0.25">
      <c r="A2106" t="s">
        <v>3919</v>
      </c>
      <c r="D2106" s="2" t="s">
        <v>5586</v>
      </c>
    </row>
    <row r="2107" spans="1:4" x14ac:dyDescent="0.25">
      <c r="A2107" t="s">
        <v>3919</v>
      </c>
      <c r="D2107" s="2" t="s">
        <v>8313</v>
      </c>
    </row>
    <row r="2108" spans="1:4" x14ac:dyDescent="0.25">
      <c r="A2108" t="s">
        <v>3938</v>
      </c>
      <c r="D2108" s="2" t="s">
        <v>437</v>
      </c>
    </row>
    <row r="2109" spans="1:4" x14ac:dyDescent="0.25">
      <c r="A2109" t="s">
        <v>3938</v>
      </c>
      <c r="D2109" s="2" t="s">
        <v>1357</v>
      </c>
    </row>
    <row r="2110" spans="1:4" x14ac:dyDescent="0.25">
      <c r="A2110" t="s">
        <v>3942</v>
      </c>
      <c r="D2110" s="2" t="s">
        <v>4840</v>
      </c>
    </row>
    <row r="2111" spans="1:4" x14ac:dyDescent="0.25">
      <c r="A2111" t="s">
        <v>3942</v>
      </c>
      <c r="D2111" s="2" t="s">
        <v>5689</v>
      </c>
    </row>
    <row r="2112" spans="1:4" x14ac:dyDescent="0.25">
      <c r="A2112" t="s">
        <v>3942</v>
      </c>
      <c r="D2112" s="2" t="s">
        <v>6702</v>
      </c>
    </row>
    <row r="2113" spans="1:4" x14ac:dyDescent="0.25">
      <c r="A2113" t="s">
        <v>3947</v>
      </c>
      <c r="D2113" s="2" t="s">
        <v>6753</v>
      </c>
    </row>
    <row r="2114" spans="1:4" x14ac:dyDescent="0.25">
      <c r="A2114" t="s">
        <v>3950</v>
      </c>
      <c r="D2114" s="2" t="s">
        <v>6732</v>
      </c>
    </row>
    <row r="2115" spans="1:4" x14ac:dyDescent="0.25">
      <c r="A2115" t="s">
        <v>3953</v>
      </c>
      <c r="D2115" s="2" t="s">
        <v>6833</v>
      </c>
    </row>
    <row r="2116" spans="1:4" x14ac:dyDescent="0.25">
      <c r="A2116" t="s">
        <v>3953</v>
      </c>
      <c r="D2116" s="2" t="s">
        <v>6166</v>
      </c>
    </row>
    <row r="2117" spans="1:4" x14ac:dyDescent="0.25">
      <c r="A2117" t="s">
        <v>3957</v>
      </c>
      <c r="D2117" s="2" t="s">
        <v>6204</v>
      </c>
    </row>
    <row r="2118" spans="1:4" x14ac:dyDescent="0.25">
      <c r="A2118" t="s">
        <v>3957</v>
      </c>
      <c r="D2118" s="2" t="s">
        <v>6454</v>
      </c>
    </row>
    <row r="2119" spans="1:4" x14ac:dyDescent="0.25">
      <c r="A2119" t="s">
        <v>3961</v>
      </c>
      <c r="D2119" s="2" t="s">
        <v>6673</v>
      </c>
    </row>
    <row r="2120" spans="1:4" x14ac:dyDescent="0.25">
      <c r="A2120" t="s">
        <v>3579</v>
      </c>
      <c r="D2120" s="2" t="s">
        <v>6440</v>
      </c>
    </row>
    <row r="2121" spans="1:4" x14ac:dyDescent="0.25">
      <c r="A2121" t="s">
        <v>3583</v>
      </c>
      <c r="D2121" s="2" t="s">
        <v>6444</v>
      </c>
    </row>
    <row r="2122" spans="1:4" x14ac:dyDescent="0.25">
      <c r="A2122" t="s">
        <v>3625</v>
      </c>
      <c r="D2122" s="2" t="s">
        <v>5968</v>
      </c>
    </row>
    <row r="2123" spans="1:4" x14ac:dyDescent="0.25">
      <c r="A2123" t="s">
        <v>3628</v>
      </c>
      <c r="D2123" s="2" t="s">
        <v>5955</v>
      </c>
    </row>
    <row r="2124" spans="1:4" x14ac:dyDescent="0.25">
      <c r="A2124" t="s">
        <v>3633</v>
      </c>
      <c r="D2124" s="2" t="s">
        <v>6468</v>
      </c>
    </row>
    <row r="2125" spans="1:4" x14ac:dyDescent="0.25">
      <c r="A2125" t="s">
        <v>3638</v>
      </c>
      <c r="D2125" s="2" t="s">
        <v>3721</v>
      </c>
    </row>
    <row r="2126" spans="1:4" x14ac:dyDescent="0.25">
      <c r="A2126" t="s">
        <v>3643</v>
      </c>
      <c r="D2126" s="2" t="s">
        <v>4506</v>
      </c>
    </row>
    <row r="2127" spans="1:4" x14ac:dyDescent="0.25">
      <c r="A2127" t="s">
        <v>3646</v>
      </c>
      <c r="D2127" s="2" t="s">
        <v>4512</v>
      </c>
    </row>
    <row r="2128" spans="1:4" x14ac:dyDescent="0.25">
      <c r="A2128" t="s">
        <v>3649</v>
      </c>
      <c r="D2128" s="2" t="s">
        <v>3850</v>
      </c>
    </row>
    <row r="2129" spans="1:4" x14ac:dyDescent="0.25">
      <c r="A2129" t="s">
        <v>3649</v>
      </c>
      <c r="D2129" s="2" t="s">
        <v>4517</v>
      </c>
    </row>
    <row r="2130" spans="1:4" x14ac:dyDescent="0.25">
      <c r="A2130" t="s">
        <v>3649</v>
      </c>
      <c r="D2130" s="2" t="s">
        <v>5644</v>
      </c>
    </row>
    <row r="2131" spans="1:4" x14ac:dyDescent="0.25">
      <c r="A2131" t="s">
        <v>3649</v>
      </c>
      <c r="D2131" s="2" t="s">
        <v>6587</v>
      </c>
    </row>
    <row r="2132" spans="1:4" x14ac:dyDescent="0.25">
      <c r="A2132" t="s">
        <v>3649</v>
      </c>
      <c r="D2132" s="2" t="s">
        <v>6584</v>
      </c>
    </row>
    <row r="2133" spans="1:4" x14ac:dyDescent="0.25">
      <c r="A2133" t="s">
        <v>3658</v>
      </c>
      <c r="D2133" s="2" t="s">
        <v>4811</v>
      </c>
    </row>
    <row r="2134" spans="1:4" x14ac:dyDescent="0.25">
      <c r="A2134" t="s">
        <v>3661</v>
      </c>
      <c r="D2134" s="2" t="s">
        <v>5627</v>
      </c>
    </row>
    <row r="2135" spans="1:4" x14ac:dyDescent="0.25">
      <c r="A2135" t="s">
        <v>4340</v>
      </c>
      <c r="D2135" s="2" t="s">
        <v>6902</v>
      </c>
    </row>
    <row r="2136" spans="1:4" x14ac:dyDescent="0.25">
      <c r="A2136" t="s">
        <v>4340</v>
      </c>
      <c r="D2136" s="2" t="s">
        <v>6268</v>
      </c>
    </row>
    <row r="2137" spans="1:4" x14ac:dyDescent="0.25">
      <c r="A2137" t="s">
        <v>4357</v>
      </c>
      <c r="D2137" s="2" t="s">
        <v>5660</v>
      </c>
    </row>
    <row r="2138" spans="1:4" x14ac:dyDescent="0.25">
      <c r="A2138" t="s">
        <v>1575</v>
      </c>
      <c r="D2138" s="2" t="s">
        <v>5652</v>
      </c>
    </row>
    <row r="2139" spans="1:4" x14ac:dyDescent="0.25">
      <c r="A2139" t="s">
        <v>1675</v>
      </c>
      <c r="D2139" s="2" t="s">
        <v>5655</v>
      </c>
    </row>
    <row r="2140" spans="1:4" x14ac:dyDescent="0.25">
      <c r="A2140" t="s">
        <v>1896</v>
      </c>
      <c r="D2140" s="2" t="s">
        <v>6936</v>
      </c>
    </row>
    <row r="2141" spans="1:4" x14ac:dyDescent="0.25">
      <c r="A2141" t="s">
        <v>1899</v>
      </c>
      <c r="D2141" s="2" t="s">
        <v>1515</v>
      </c>
    </row>
    <row r="2142" spans="1:4" x14ac:dyDescent="0.25">
      <c r="A2142" t="s">
        <v>1904</v>
      </c>
      <c r="D2142" s="2" t="s">
        <v>3745</v>
      </c>
    </row>
    <row r="2143" spans="1:4" x14ac:dyDescent="0.25">
      <c r="A2143" t="s">
        <v>2076</v>
      </c>
      <c r="D2143" s="2" t="s">
        <v>3753</v>
      </c>
    </row>
    <row r="2144" spans="1:4" x14ac:dyDescent="0.25">
      <c r="A2144" t="s">
        <v>3019</v>
      </c>
      <c r="D2144" s="2" t="s">
        <v>4084</v>
      </c>
    </row>
    <row r="2145" spans="1:4" x14ac:dyDescent="0.25">
      <c r="A2145" t="s">
        <v>3868</v>
      </c>
      <c r="D2145" s="2" t="s">
        <v>4335</v>
      </c>
    </row>
    <row r="2146" spans="1:4" x14ac:dyDescent="0.25">
      <c r="A2146" t="s">
        <v>3873</v>
      </c>
      <c r="D2146" s="2" t="s">
        <v>1399</v>
      </c>
    </row>
    <row r="2147" spans="1:4" x14ac:dyDescent="0.25">
      <c r="A2147" t="s">
        <v>3878</v>
      </c>
      <c r="D2147" s="2" t="s">
        <v>1393</v>
      </c>
    </row>
    <row r="2148" spans="1:4" x14ac:dyDescent="0.25">
      <c r="A2148" t="s">
        <v>3878</v>
      </c>
      <c r="D2148" s="2" t="s">
        <v>1396</v>
      </c>
    </row>
    <row r="2149" spans="1:4" x14ac:dyDescent="0.25">
      <c r="A2149" t="s">
        <v>3914</v>
      </c>
      <c r="D2149" s="2" t="s">
        <v>1414</v>
      </c>
    </row>
    <row r="2150" spans="1:4" x14ac:dyDescent="0.25">
      <c r="A2150" t="s">
        <v>3925</v>
      </c>
      <c r="D2150" s="2" t="s">
        <v>3961</v>
      </c>
    </row>
    <row r="2151" spans="1:4" x14ac:dyDescent="0.25">
      <c r="A2151" t="s">
        <v>3928</v>
      </c>
      <c r="D2151" s="2" t="s">
        <v>4066</v>
      </c>
    </row>
    <row r="2152" spans="1:4" x14ac:dyDescent="0.25">
      <c r="A2152" t="s">
        <v>4346</v>
      </c>
      <c r="D2152" s="2" t="s">
        <v>4057</v>
      </c>
    </row>
    <row r="2153" spans="1:4" x14ac:dyDescent="0.25">
      <c r="A2153" t="s">
        <v>4544</v>
      </c>
      <c r="D2153" s="2" t="s">
        <v>4021</v>
      </c>
    </row>
    <row r="2154" spans="1:4" x14ac:dyDescent="0.25">
      <c r="A2154" t="s">
        <v>4548</v>
      </c>
      <c r="D2154" s="2" t="s">
        <v>3981</v>
      </c>
    </row>
    <row r="2155" spans="1:4" x14ac:dyDescent="0.25">
      <c r="A2155" t="s">
        <v>4551</v>
      </c>
      <c r="D2155" s="2" t="s">
        <v>3972</v>
      </c>
    </row>
    <row r="2156" spans="1:4" x14ac:dyDescent="0.25">
      <c r="A2156" t="s">
        <v>1542</v>
      </c>
      <c r="D2156" s="2" t="s">
        <v>3987</v>
      </c>
    </row>
    <row r="2157" spans="1:4" x14ac:dyDescent="0.25">
      <c r="A2157" t="s">
        <v>1581</v>
      </c>
      <c r="D2157" s="2" t="s">
        <v>3984</v>
      </c>
    </row>
    <row r="2158" spans="1:4" x14ac:dyDescent="0.25">
      <c r="A2158" t="s">
        <v>1587</v>
      </c>
      <c r="D2158" s="2" t="s">
        <v>4136</v>
      </c>
    </row>
    <row r="2159" spans="1:4" x14ac:dyDescent="0.25">
      <c r="A2159" t="s">
        <v>1592</v>
      </c>
      <c r="D2159" s="2" t="s">
        <v>4139</v>
      </c>
    </row>
    <row r="2160" spans="1:4" x14ac:dyDescent="0.25">
      <c r="A2160" t="s">
        <v>1592</v>
      </c>
      <c r="D2160" s="2" t="s">
        <v>4175</v>
      </c>
    </row>
    <row r="2161" spans="1:4" x14ac:dyDescent="0.25">
      <c r="A2161" t="s">
        <v>1598</v>
      </c>
      <c r="D2161" s="2" t="s">
        <v>4167</v>
      </c>
    </row>
    <row r="2162" spans="1:4" x14ac:dyDescent="0.25">
      <c r="A2162" t="s">
        <v>1611</v>
      </c>
      <c r="D2162" s="2" t="s">
        <v>4048</v>
      </c>
    </row>
    <row r="2163" spans="1:4" x14ac:dyDescent="0.25">
      <c r="A2163" t="s">
        <v>1611</v>
      </c>
      <c r="D2163" s="2" t="s">
        <v>4011</v>
      </c>
    </row>
    <row r="2164" spans="1:4" x14ac:dyDescent="0.25">
      <c r="A2164" t="s">
        <v>1611</v>
      </c>
      <c r="D2164" s="2" t="s">
        <v>4301</v>
      </c>
    </row>
    <row r="2165" spans="1:4" x14ac:dyDescent="0.25">
      <c r="A2165" t="s">
        <v>2006</v>
      </c>
      <c r="D2165" s="2" t="s">
        <v>4289</v>
      </c>
    </row>
    <row r="2166" spans="1:4" x14ac:dyDescent="0.25">
      <c r="A2166" t="s">
        <v>2006</v>
      </c>
      <c r="D2166" s="2" t="s">
        <v>4270</v>
      </c>
    </row>
    <row r="2167" spans="1:4" x14ac:dyDescent="0.25">
      <c r="A2167" t="s">
        <v>2102</v>
      </c>
      <c r="D2167" s="2" t="s">
        <v>4276</v>
      </c>
    </row>
    <row r="2168" spans="1:4" x14ac:dyDescent="0.25">
      <c r="A2168" t="s">
        <v>2105</v>
      </c>
      <c r="D2168" s="2" t="s">
        <v>3769</v>
      </c>
    </row>
    <row r="2169" spans="1:4" x14ac:dyDescent="0.25">
      <c r="A2169" t="s">
        <v>3427</v>
      </c>
      <c r="D2169" s="2" t="s">
        <v>3758</v>
      </c>
    </row>
    <row r="2170" spans="1:4" x14ac:dyDescent="0.25">
      <c r="A2170" t="s">
        <v>3431</v>
      </c>
      <c r="D2170" s="2" t="s">
        <v>3761</v>
      </c>
    </row>
    <row r="2171" spans="1:4" x14ac:dyDescent="0.25">
      <c r="A2171" t="s">
        <v>3526</v>
      </c>
      <c r="D2171" s="2" t="s">
        <v>4321</v>
      </c>
    </row>
    <row r="2172" spans="1:4" x14ac:dyDescent="0.25">
      <c r="A2172" t="s">
        <v>3526</v>
      </c>
      <c r="D2172" s="2" t="s">
        <v>4306</v>
      </c>
    </row>
    <row r="2173" spans="1:4" x14ac:dyDescent="0.25">
      <c r="A2173" t="s">
        <v>3526</v>
      </c>
      <c r="D2173" s="2" t="s">
        <v>1685</v>
      </c>
    </row>
    <row r="2174" spans="1:4" x14ac:dyDescent="0.25">
      <c r="A2174" t="s">
        <v>3531</v>
      </c>
      <c r="D2174" s="2" t="s">
        <v>1640</v>
      </c>
    </row>
    <row r="2175" spans="1:4" x14ac:dyDescent="0.25">
      <c r="A2175" t="s">
        <v>3534</v>
      </c>
      <c r="D2175" s="2" t="s">
        <v>1637</v>
      </c>
    </row>
    <row r="2176" spans="1:4" x14ac:dyDescent="0.25">
      <c r="A2176" t="s">
        <v>3537</v>
      </c>
      <c r="D2176" s="2" t="s">
        <v>1643</v>
      </c>
    </row>
    <row r="2177" spans="1:4" x14ac:dyDescent="0.25">
      <c r="A2177" t="s">
        <v>3540</v>
      </c>
      <c r="D2177" s="2" t="s">
        <v>1661</v>
      </c>
    </row>
    <row r="2178" spans="1:4" x14ac:dyDescent="0.25">
      <c r="A2178" t="s">
        <v>3543</v>
      </c>
      <c r="D2178" s="2" t="s">
        <v>1670</v>
      </c>
    </row>
    <row r="2179" spans="1:4" x14ac:dyDescent="0.25">
      <c r="A2179" t="s">
        <v>3546</v>
      </c>
      <c r="D2179" s="2" t="s">
        <v>3735</v>
      </c>
    </row>
    <row r="2180" spans="1:4" x14ac:dyDescent="0.25">
      <c r="A2180" t="s">
        <v>3556</v>
      </c>
      <c r="D2180" s="2" t="s">
        <v>3731</v>
      </c>
    </row>
    <row r="2181" spans="1:4" x14ac:dyDescent="0.25">
      <c r="A2181" t="s">
        <v>3676</v>
      </c>
      <c r="D2181" s="2" t="s">
        <v>1664</v>
      </c>
    </row>
    <row r="2182" spans="1:4" x14ac:dyDescent="0.25">
      <c r="A2182" t="s">
        <v>3676</v>
      </c>
      <c r="D2182" s="2" t="s">
        <v>1667</v>
      </c>
    </row>
    <row r="2183" spans="1:4" x14ac:dyDescent="0.25">
      <c r="A2183" t="s">
        <v>3676</v>
      </c>
      <c r="D2183" s="2" t="s">
        <v>1651</v>
      </c>
    </row>
    <row r="2184" spans="1:4" x14ac:dyDescent="0.25">
      <c r="A2184" t="s">
        <v>3676</v>
      </c>
      <c r="D2184" s="2" t="s">
        <v>354</v>
      </c>
    </row>
    <row r="2185" spans="1:4" x14ac:dyDescent="0.25">
      <c r="A2185" t="s">
        <v>3682</v>
      </c>
      <c r="D2185" s="2" t="s">
        <v>357</v>
      </c>
    </row>
    <row r="2186" spans="1:4" x14ac:dyDescent="0.25">
      <c r="A2186" t="s">
        <v>3682</v>
      </c>
      <c r="D2186" s="2" t="s">
        <v>366</v>
      </c>
    </row>
    <row r="2187" spans="1:4" x14ac:dyDescent="0.25">
      <c r="A2187" t="s">
        <v>3682</v>
      </c>
      <c r="D2187" s="2" t="s">
        <v>1504</v>
      </c>
    </row>
    <row r="2188" spans="1:4" x14ac:dyDescent="0.25">
      <c r="A2188" t="s">
        <v>3687</v>
      </c>
      <c r="D2188" s="2" t="s">
        <v>4111</v>
      </c>
    </row>
    <row r="2189" spans="1:4" x14ac:dyDescent="0.25">
      <c r="A2189" t="s">
        <v>3687</v>
      </c>
      <c r="D2189" s="2" t="s">
        <v>1116</v>
      </c>
    </row>
    <row r="2190" spans="1:4" x14ac:dyDescent="0.25">
      <c r="A2190" t="s">
        <v>3691</v>
      </c>
      <c r="D2190" s="2" t="s">
        <v>4309</v>
      </c>
    </row>
    <row r="2191" spans="1:4" x14ac:dyDescent="0.25">
      <c r="A2191" t="s">
        <v>3694</v>
      </c>
      <c r="D2191" s="2" t="s">
        <v>1119</v>
      </c>
    </row>
    <row r="2192" spans="1:4" x14ac:dyDescent="0.25">
      <c r="A2192" t="s">
        <v>3697</v>
      </c>
      <c r="D2192" s="2" t="s">
        <v>3812</v>
      </c>
    </row>
    <row r="2193" spans="1:4" x14ac:dyDescent="0.25">
      <c r="A2193" t="s">
        <v>3700</v>
      </c>
      <c r="D2193" s="2" t="s">
        <v>1766</v>
      </c>
    </row>
    <row r="2194" spans="1:4" x14ac:dyDescent="0.25">
      <c r="A2194" t="s">
        <v>3703</v>
      </c>
      <c r="D2194" s="2" t="s">
        <v>5389</v>
      </c>
    </row>
    <row r="2195" spans="1:4" x14ac:dyDescent="0.25">
      <c r="A2195" t="s">
        <v>3708</v>
      </c>
      <c r="D2195" s="2" t="s">
        <v>3703</v>
      </c>
    </row>
    <row r="2196" spans="1:4" x14ac:dyDescent="0.25">
      <c r="A2196" t="s">
        <v>3711</v>
      </c>
      <c r="D2196" s="2" t="s">
        <v>3873</v>
      </c>
    </row>
    <row r="2197" spans="1:4" x14ac:dyDescent="0.25">
      <c r="A2197" t="s">
        <v>3740</v>
      </c>
      <c r="D2197" s="2" t="s">
        <v>3687</v>
      </c>
    </row>
    <row r="2198" spans="1:4" x14ac:dyDescent="0.25">
      <c r="A2198" t="s">
        <v>3889</v>
      </c>
      <c r="D2198" s="2" t="s">
        <v>5063</v>
      </c>
    </row>
    <row r="2199" spans="1:4" x14ac:dyDescent="0.25">
      <c r="A2199" t="s">
        <v>3892</v>
      </c>
      <c r="D2199" s="2" t="s">
        <v>4630</v>
      </c>
    </row>
    <row r="2200" spans="1:4" x14ac:dyDescent="0.25">
      <c r="A2200" t="s">
        <v>3666</v>
      </c>
      <c r="D2200" s="2" t="s">
        <v>4575</v>
      </c>
    </row>
    <row r="2201" spans="1:4" x14ac:dyDescent="0.25">
      <c r="A2201" t="s">
        <v>3884</v>
      </c>
      <c r="D2201" s="2" t="s">
        <v>4608</v>
      </c>
    </row>
    <row r="2202" spans="1:4" x14ac:dyDescent="0.25">
      <c r="A2202" t="s">
        <v>4533</v>
      </c>
      <c r="D2202" s="2" t="s">
        <v>3588</v>
      </c>
    </row>
    <row r="2203" spans="1:4" x14ac:dyDescent="0.25">
      <c r="A2203" t="s">
        <v>4533</v>
      </c>
      <c r="D2203" s="2" t="s">
        <v>4705</v>
      </c>
    </row>
    <row r="2204" spans="1:4" x14ac:dyDescent="0.25">
      <c r="A2204" t="s">
        <v>4536</v>
      </c>
      <c r="D2204" s="2" t="s">
        <v>4816</v>
      </c>
    </row>
    <row r="2205" spans="1:4" x14ac:dyDescent="0.25">
      <c r="A2205" t="s">
        <v>4536</v>
      </c>
      <c r="D2205" s="2" t="s">
        <v>7091</v>
      </c>
    </row>
    <row r="2206" spans="1:4" x14ac:dyDescent="0.25">
      <c r="A2206" t="s">
        <v>4539</v>
      </c>
      <c r="D2206" s="2" t="s">
        <v>7103</v>
      </c>
    </row>
    <row r="2207" spans="1:4" x14ac:dyDescent="0.25">
      <c r="A2207" t="s">
        <v>1618</v>
      </c>
      <c r="D2207" s="2" t="s">
        <v>1606</v>
      </c>
    </row>
    <row r="2208" spans="1:4" x14ac:dyDescent="0.25">
      <c r="A2208" t="s">
        <v>1622</v>
      </c>
      <c r="D2208" s="2" t="s">
        <v>1603</v>
      </c>
    </row>
    <row r="2209" spans="1:4" x14ac:dyDescent="0.25">
      <c r="A2209" t="s">
        <v>1625</v>
      </c>
      <c r="D2209" s="2" t="s">
        <v>1581</v>
      </c>
    </row>
    <row r="2210" spans="1:4" x14ac:dyDescent="0.25">
      <c r="A2210" t="s">
        <v>1628</v>
      </c>
      <c r="D2210" s="2" t="s">
        <v>1625</v>
      </c>
    </row>
    <row r="2211" spans="1:4" x14ac:dyDescent="0.25">
      <c r="A2211" t="s">
        <v>1628</v>
      </c>
      <c r="D2211" s="2" t="s">
        <v>1618</v>
      </c>
    </row>
    <row r="2212" spans="1:4" x14ac:dyDescent="0.25">
      <c r="A2212" t="s">
        <v>1632</v>
      </c>
      <c r="D2212" s="2" t="s">
        <v>1598</v>
      </c>
    </row>
    <row r="2213" spans="1:4" x14ac:dyDescent="0.25">
      <c r="A2213" t="s">
        <v>3059</v>
      </c>
      <c r="D2213" s="2" t="s">
        <v>3845</v>
      </c>
    </row>
    <row r="2214" spans="1:4" x14ac:dyDescent="0.25">
      <c r="A2214" t="s">
        <v>3062</v>
      </c>
      <c r="D2214" s="2" t="s">
        <v>5194</v>
      </c>
    </row>
    <row r="2215" spans="1:4" x14ac:dyDescent="0.25">
      <c r="A2215" t="s">
        <v>3067</v>
      </c>
      <c r="D2215" s="2" t="s">
        <v>5902</v>
      </c>
    </row>
    <row r="2216" spans="1:4" x14ac:dyDescent="0.25">
      <c r="A2216" t="s">
        <v>3666</v>
      </c>
      <c r="D2216" s="2" t="s">
        <v>5188</v>
      </c>
    </row>
    <row r="2217" spans="1:4" x14ac:dyDescent="0.25">
      <c r="A2217" t="s">
        <v>3837</v>
      </c>
      <c r="D2217" s="2" t="s">
        <v>25</v>
      </c>
    </row>
    <row r="2218" spans="1:4" x14ac:dyDescent="0.25">
      <c r="A2218" t="s">
        <v>3884</v>
      </c>
      <c r="D2218" s="2" t="s">
        <v>936</v>
      </c>
    </row>
    <row r="2219" spans="1:4" x14ac:dyDescent="0.25">
      <c r="A2219" t="s">
        <v>3897</v>
      </c>
      <c r="D2219" s="2" t="s">
        <v>881</v>
      </c>
    </row>
    <row r="2220" spans="1:4" x14ac:dyDescent="0.25">
      <c r="A2220" t="s">
        <v>3897</v>
      </c>
      <c r="D2220" s="2" t="s">
        <v>933</v>
      </c>
    </row>
    <row r="2221" spans="1:4" x14ac:dyDescent="0.25">
      <c r="A2221" t="s">
        <v>3901</v>
      </c>
      <c r="D2221" s="2" t="s">
        <v>915</v>
      </c>
    </row>
    <row r="2222" spans="1:4" x14ac:dyDescent="0.25">
      <c r="A2222" t="s">
        <v>3905</v>
      </c>
      <c r="D2222" s="2" t="s">
        <v>2523</v>
      </c>
    </row>
    <row r="2223" spans="1:4" x14ac:dyDescent="0.25">
      <c r="A2223" t="s">
        <v>3966</v>
      </c>
      <c r="D2223" s="2" t="s">
        <v>2567</v>
      </c>
    </row>
    <row r="2224" spans="1:4" x14ac:dyDescent="0.25">
      <c r="A2224" t="s">
        <v>3969</v>
      </c>
      <c r="D2224" s="2" t="s">
        <v>2527</v>
      </c>
    </row>
    <row r="2225" spans="1:4" x14ac:dyDescent="0.25">
      <c r="A2225" t="s">
        <v>3972</v>
      </c>
      <c r="D2225" s="2" t="s">
        <v>2468</v>
      </c>
    </row>
    <row r="2226" spans="1:4" x14ac:dyDescent="0.25">
      <c r="A2226" t="s">
        <v>3975</v>
      </c>
      <c r="D2226" s="2" t="s">
        <v>623</v>
      </c>
    </row>
    <row r="2227" spans="1:4" x14ac:dyDescent="0.25">
      <c r="A2227" t="s">
        <v>3978</v>
      </c>
      <c r="D2227" s="2" t="s">
        <v>2824</v>
      </c>
    </row>
    <row r="2228" spans="1:4" x14ac:dyDescent="0.25">
      <c r="A2228" t="s">
        <v>3981</v>
      </c>
      <c r="D2228" s="2" t="s">
        <v>2976</v>
      </c>
    </row>
    <row r="2229" spans="1:4" x14ac:dyDescent="0.25">
      <c r="A2229" t="s">
        <v>3984</v>
      </c>
      <c r="D2229" s="2" t="s">
        <v>2271</v>
      </c>
    </row>
    <row r="2230" spans="1:4" x14ac:dyDescent="0.25">
      <c r="A2230" t="s">
        <v>3987</v>
      </c>
      <c r="D2230" s="2" t="s">
        <v>3167</v>
      </c>
    </row>
    <row r="2231" spans="1:4" x14ac:dyDescent="0.25">
      <c r="A2231" t="s">
        <v>3990</v>
      </c>
      <c r="D2231" s="2" t="s">
        <v>2996</v>
      </c>
    </row>
    <row r="2232" spans="1:4" x14ac:dyDescent="0.25">
      <c r="A2232" t="s">
        <v>3990</v>
      </c>
      <c r="D2232" s="2" t="s">
        <v>813</v>
      </c>
    </row>
    <row r="2233" spans="1:4" x14ac:dyDescent="0.25">
      <c r="A2233" t="s">
        <v>3990</v>
      </c>
      <c r="D2233" s="2" t="s">
        <v>3197</v>
      </c>
    </row>
    <row r="2234" spans="1:4" x14ac:dyDescent="0.25">
      <c r="A2234" t="s">
        <v>3995</v>
      </c>
      <c r="D2234" s="2" t="s">
        <v>680</v>
      </c>
    </row>
    <row r="2235" spans="1:4" x14ac:dyDescent="0.25">
      <c r="A2235" t="s">
        <v>3995</v>
      </c>
      <c r="D2235" s="2" t="s">
        <v>842</v>
      </c>
    </row>
    <row r="2236" spans="1:4" x14ac:dyDescent="0.25">
      <c r="A2236" t="s">
        <v>3995</v>
      </c>
      <c r="D2236" s="2" t="s">
        <v>3427</v>
      </c>
    </row>
    <row r="2237" spans="1:4" x14ac:dyDescent="0.25">
      <c r="A2237" t="s">
        <v>4000</v>
      </c>
      <c r="D2237" s="2" t="s">
        <v>1488</v>
      </c>
    </row>
    <row r="2238" spans="1:4" x14ac:dyDescent="0.25">
      <c r="A2238" t="s">
        <v>4003</v>
      </c>
      <c r="D2238" s="2" t="s">
        <v>2032</v>
      </c>
    </row>
    <row r="2239" spans="1:4" x14ac:dyDescent="0.25">
      <c r="A2239" t="s">
        <v>4003</v>
      </c>
      <c r="D2239" s="2" t="s">
        <v>2046</v>
      </c>
    </row>
    <row r="2240" spans="1:4" x14ac:dyDescent="0.25">
      <c r="A2240" t="s">
        <v>4003</v>
      </c>
      <c r="D2240" s="2" t="s">
        <v>1830</v>
      </c>
    </row>
    <row r="2241" spans="1:4" x14ac:dyDescent="0.25">
      <c r="A2241" t="s">
        <v>4008</v>
      </c>
      <c r="D2241" s="2" t="s">
        <v>3455</v>
      </c>
    </row>
    <row r="2242" spans="1:4" x14ac:dyDescent="0.25">
      <c r="A2242" t="s">
        <v>4011</v>
      </c>
      <c r="D2242" s="2" t="s">
        <v>3004</v>
      </c>
    </row>
    <row r="2243" spans="1:4" x14ac:dyDescent="0.25">
      <c r="A2243" t="s">
        <v>4014</v>
      </c>
      <c r="D2243" s="2" t="s">
        <v>3024</v>
      </c>
    </row>
    <row r="2244" spans="1:4" x14ac:dyDescent="0.25">
      <c r="A2244" t="s">
        <v>4017</v>
      </c>
      <c r="D2244" s="2" t="s">
        <v>3404</v>
      </c>
    </row>
    <row r="2245" spans="1:4" x14ac:dyDescent="0.25">
      <c r="A2245" t="s">
        <v>4017</v>
      </c>
      <c r="D2245" s="2" t="s">
        <v>2006</v>
      </c>
    </row>
    <row r="2246" spans="1:4" x14ac:dyDescent="0.25">
      <c r="A2246" t="s">
        <v>4021</v>
      </c>
      <c r="D2246" s="2" t="s">
        <v>2085</v>
      </c>
    </row>
    <row r="2247" spans="1:4" x14ac:dyDescent="0.25">
      <c r="A2247" t="s">
        <v>4024</v>
      </c>
      <c r="D2247" s="2" t="s">
        <v>1211</v>
      </c>
    </row>
    <row r="2248" spans="1:4" x14ac:dyDescent="0.25">
      <c r="A2248" t="s">
        <v>4027</v>
      </c>
      <c r="D2248" s="2" t="s">
        <v>3062</v>
      </c>
    </row>
    <row r="2249" spans="1:4" x14ac:dyDescent="0.25">
      <c r="A2249" t="s">
        <v>4030</v>
      </c>
      <c r="D2249" s="2" t="s">
        <v>3551</v>
      </c>
    </row>
    <row r="2250" spans="1:4" x14ac:dyDescent="0.25">
      <c r="A2250" t="s">
        <v>4030</v>
      </c>
      <c r="D2250" s="2" t="s">
        <v>3059</v>
      </c>
    </row>
    <row r="2251" spans="1:4" x14ac:dyDescent="0.25">
      <c r="A2251" t="s">
        <v>4030</v>
      </c>
      <c r="D2251" s="2" t="s">
        <v>5086</v>
      </c>
    </row>
    <row r="2252" spans="1:4" x14ac:dyDescent="0.25">
      <c r="A2252" t="s">
        <v>4035</v>
      </c>
      <c r="D2252" s="2" t="s">
        <v>6858</v>
      </c>
    </row>
    <row r="2253" spans="1:4" x14ac:dyDescent="0.25">
      <c r="A2253" t="s">
        <v>4035</v>
      </c>
      <c r="D2253" s="2" t="s">
        <v>8151</v>
      </c>
    </row>
    <row r="2254" spans="1:4" x14ac:dyDescent="0.25">
      <c r="A2254" t="s">
        <v>4039</v>
      </c>
      <c r="D2254" s="2" t="s">
        <v>7025</v>
      </c>
    </row>
    <row r="2255" spans="1:4" x14ac:dyDescent="0.25">
      <c r="A2255" t="s">
        <v>4042</v>
      </c>
      <c r="D2255" s="2" t="s">
        <v>279</v>
      </c>
    </row>
    <row r="2256" spans="1:4" x14ac:dyDescent="0.25">
      <c r="A2256" t="s">
        <v>4045</v>
      </c>
      <c r="D2256" s="2" t="s">
        <v>498</v>
      </c>
    </row>
    <row r="2257" spans="1:4" x14ac:dyDescent="0.25">
      <c r="A2257" t="s">
        <v>4048</v>
      </c>
      <c r="D2257" s="2" t="s">
        <v>1087</v>
      </c>
    </row>
    <row r="2258" spans="1:4" x14ac:dyDescent="0.25">
      <c r="A2258" t="s">
        <v>4051</v>
      </c>
      <c r="D2258" s="2" t="s">
        <v>169</v>
      </c>
    </row>
    <row r="2259" spans="1:4" x14ac:dyDescent="0.25">
      <c r="A2259" t="s">
        <v>4054</v>
      </c>
      <c r="D2259" s="2" t="s">
        <v>295</v>
      </c>
    </row>
    <row r="2260" spans="1:4" x14ac:dyDescent="0.25">
      <c r="A2260" t="s">
        <v>4057</v>
      </c>
      <c r="D2260" s="2" t="s">
        <v>1010</v>
      </c>
    </row>
    <row r="2261" spans="1:4" x14ac:dyDescent="0.25">
      <c r="A2261" t="s">
        <v>4060</v>
      </c>
      <c r="D2261" s="2" t="s">
        <v>1032</v>
      </c>
    </row>
    <row r="2262" spans="1:4" x14ac:dyDescent="0.25">
      <c r="A2262" t="s">
        <v>4063</v>
      </c>
      <c r="D2262" s="2" t="s">
        <v>485</v>
      </c>
    </row>
    <row r="2263" spans="1:4" x14ac:dyDescent="0.25">
      <c r="A2263" t="s">
        <v>4066</v>
      </c>
      <c r="D2263" s="2" t="s">
        <v>1037</v>
      </c>
    </row>
    <row r="2264" spans="1:4" x14ac:dyDescent="0.25">
      <c r="A2264" t="s">
        <v>4069</v>
      </c>
      <c r="D2264" s="2" t="s">
        <v>5493</v>
      </c>
    </row>
    <row r="2265" spans="1:4" x14ac:dyDescent="0.25">
      <c r="A2265" t="s">
        <v>4069</v>
      </c>
      <c r="D2265" s="2" t="s">
        <v>5797</v>
      </c>
    </row>
    <row r="2266" spans="1:4" x14ac:dyDescent="0.25">
      <c r="A2266" t="s">
        <v>4073</v>
      </c>
      <c r="D2266" s="2" t="s">
        <v>6281</v>
      </c>
    </row>
    <row r="2267" spans="1:4" x14ac:dyDescent="0.25">
      <c r="A2267" t="s">
        <v>2120</v>
      </c>
      <c r="D2267" s="2" t="s">
        <v>1548</v>
      </c>
    </row>
    <row r="2268" spans="1:4" x14ac:dyDescent="0.25">
      <c r="A2268" t="s">
        <v>2124</v>
      </c>
      <c r="D2268" s="2" t="s">
        <v>4442</v>
      </c>
    </row>
    <row r="2269" spans="1:4" x14ac:dyDescent="0.25">
      <c r="A2269" t="s">
        <v>2127</v>
      </c>
      <c r="D2269" s="2" t="s">
        <v>4409</v>
      </c>
    </row>
    <row r="2270" spans="1:4" x14ac:dyDescent="0.25">
      <c r="A2270" t="s">
        <v>2130</v>
      </c>
      <c r="D2270" s="2" t="s">
        <v>4570</v>
      </c>
    </row>
    <row r="2271" spans="1:4" x14ac:dyDescent="0.25">
      <c r="A2271" t="s">
        <v>2133</v>
      </c>
      <c r="D2271" s="2" t="s">
        <v>128</v>
      </c>
    </row>
    <row r="2272" spans="1:4" x14ac:dyDescent="0.25">
      <c r="A2272" t="s">
        <v>2136</v>
      </c>
      <c r="D2272" s="2" t="s">
        <v>6604</v>
      </c>
    </row>
    <row r="2273" spans="1:4" x14ac:dyDescent="0.25">
      <c r="A2273" t="s">
        <v>2139</v>
      </c>
      <c r="D2273" s="2" t="s">
        <v>3933</v>
      </c>
    </row>
    <row r="2274" spans="1:4" x14ac:dyDescent="0.25">
      <c r="A2274" t="s">
        <v>2142</v>
      </c>
      <c r="D2274" s="2" t="s">
        <v>4273</v>
      </c>
    </row>
    <row r="2275" spans="1:4" x14ac:dyDescent="0.25">
      <c r="A2275" t="s">
        <v>2142</v>
      </c>
      <c r="D2275" s="2" t="s">
        <v>4653</v>
      </c>
    </row>
    <row r="2276" spans="1:4" x14ac:dyDescent="0.25">
      <c r="A2276" t="s">
        <v>2146</v>
      </c>
      <c r="D2276" s="2" t="s">
        <v>4658</v>
      </c>
    </row>
    <row r="2277" spans="1:4" x14ac:dyDescent="0.25">
      <c r="A2277" t="s">
        <v>2146</v>
      </c>
      <c r="D2277" s="2" t="s">
        <v>2472</v>
      </c>
    </row>
    <row r="2278" spans="1:4" x14ac:dyDescent="0.25">
      <c r="A2278" t="s">
        <v>2150</v>
      </c>
      <c r="D2278" s="2" t="s">
        <v>2454</v>
      </c>
    </row>
    <row r="2279" spans="1:4" x14ac:dyDescent="0.25">
      <c r="A2279" t="s">
        <v>2153</v>
      </c>
      <c r="D2279" s="2" t="s">
        <v>2665</v>
      </c>
    </row>
    <row r="2280" spans="1:4" x14ac:dyDescent="0.25">
      <c r="A2280" t="s">
        <v>2153</v>
      </c>
      <c r="D2280" s="2" t="s">
        <v>2647</v>
      </c>
    </row>
    <row r="2281" spans="1:4" x14ac:dyDescent="0.25">
      <c r="A2281" t="s">
        <v>2153</v>
      </c>
      <c r="D2281" s="2" t="s">
        <v>2409</v>
      </c>
    </row>
    <row r="2282" spans="1:4" x14ac:dyDescent="0.25">
      <c r="A2282" t="s">
        <v>2153</v>
      </c>
      <c r="D2282" s="2" t="s">
        <v>2799</v>
      </c>
    </row>
    <row r="2283" spans="1:4" x14ac:dyDescent="0.25">
      <c r="A2283" t="s">
        <v>2159</v>
      </c>
      <c r="D2283" s="2" t="s">
        <v>2820</v>
      </c>
    </row>
    <row r="2284" spans="1:4" x14ac:dyDescent="0.25">
      <c r="A2284" t="s">
        <v>2159</v>
      </c>
      <c r="D2284" s="2" t="s">
        <v>2228</v>
      </c>
    </row>
    <row r="2285" spans="1:4" x14ac:dyDescent="0.25">
      <c r="A2285" t="s">
        <v>2159</v>
      </c>
      <c r="D2285" s="2" t="s">
        <v>2289</v>
      </c>
    </row>
    <row r="2286" spans="1:4" x14ac:dyDescent="0.25">
      <c r="A2286" t="s">
        <v>2164</v>
      </c>
      <c r="D2286" s="2" t="s">
        <v>789</v>
      </c>
    </row>
    <row r="2287" spans="1:4" x14ac:dyDescent="0.25">
      <c r="A2287" t="s">
        <v>2167</v>
      </c>
      <c r="D2287" s="2" t="s">
        <v>792</v>
      </c>
    </row>
    <row r="2288" spans="1:4" x14ac:dyDescent="0.25">
      <c r="A2288" t="s">
        <v>2170</v>
      </c>
      <c r="D2288" s="2" t="s">
        <v>722</v>
      </c>
    </row>
    <row r="2289" spans="1:4" x14ac:dyDescent="0.25">
      <c r="A2289" t="s">
        <v>2173</v>
      </c>
      <c r="D2289" s="2" t="s">
        <v>3081</v>
      </c>
    </row>
    <row r="2290" spans="1:4" x14ac:dyDescent="0.25">
      <c r="A2290" t="s">
        <v>2173</v>
      </c>
      <c r="D2290" s="2" t="s">
        <v>3189</v>
      </c>
    </row>
    <row r="2291" spans="1:4" x14ac:dyDescent="0.25">
      <c r="A2291" t="s">
        <v>2177</v>
      </c>
      <c r="D2291" s="2" t="s">
        <v>677</v>
      </c>
    </row>
    <row r="2292" spans="1:4" x14ac:dyDescent="0.25">
      <c r="A2292" t="s">
        <v>2180</v>
      </c>
      <c r="D2292" s="2" t="s">
        <v>1282</v>
      </c>
    </row>
    <row r="2293" spans="1:4" x14ac:dyDescent="0.25">
      <c r="A2293" t="s">
        <v>2183</v>
      </c>
      <c r="D2293" s="2" t="s">
        <v>1275</v>
      </c>
    </row>
    <row r="2294" spans="1:4" x14ac:dyDescent="0.25">
      <c r="A2294" t="s">
        <v>2183</v>
      </c>
      <c r="D2294" s="2" t="s">
        <v>1285</v>
      </c>
    </row>
    <row r="2295" spans="1:4" x14ac:dyDescent="0.25">
      <c r="A2295" t="s">
        <v>2183</v>
      </c>
      <c r="D2295" s="2" t="s">
        <v>2102</v>
      </c>
    </row>
    <row r="2296" spans="1:4" x14ac:dyDescent="0.25">
      <c r="A2296" t="s">
        <v>2183</v>
      </c>
      <c r="D2296" s="2" t="s">
        <v>565</v>
      </c>
    </row>
    <row r="2297" spans="1:4" x14ac:dyDescent="0.25">
      <c r="A2297" t="s">
        <v>2189</v>
      </c>
      <c r="D2297" s="2" t="s">
        <v>1438</v>
      </c>
    </row>
    <row r="2298" spans="1:4" x14ac:dyDescent="0.25">
      <c r="A2298" t="s">
        <v>2189</v>
      </c>
      <c r="D2298" s="2" t="s">
        <v>1429</v>
      </c>
    </row>
    <row r="2299" spans="1:4" x14ac:dyDescent="0.25">
      <c r="A2299" t="s">
        <v>2193</v>
      </c>
      <c r="D2299" s="2" t="s">
        <v>1435</v>
      </c>
    </row>
    <row r="2300" spans="1:4" x14ac:dyDescent="0.25">
      <c r="A2300" t="s">
        <v>2196</v>
      </c>
      <c r="D2300" s="2" t="s">
        <v>2055</v>
      </c>
    </row>
    <row r="2301" spans="1:4" x14ac:dyDescent="0.25">
      <c r="A2301" t="s">
        <v>2199</v>
      </c>
      <c r="D2301" s="2" t="s">
        <v>2026</v>
      </c>
    </row>
    <row r="2302" spans="1:4" x14ac:dyDescent="0.25">
      <c r="A2302" t="s">
        <v>2202</v>
      </c>
      <c r="D2302" s="2" t="s">
        <v>3485</v>
      </c>
    </row>
    <row r="2303" spans="1:4" x14ac:dyDescent="0.25">
      <c r="A2303" t="s">
        <v>2202</v>
      </c>
      <c r="D2303" s="2" t="s">
        <v>3476</v>
      </c>
    </row>
    <row r="2304" spans="1:4" x14ac:dyDescent="0.25">
      <c r="A2304" t="s">
        <v>2206</v>
      </c>
      <c r="D2304" s="2" t="s">
        <v>1969</v>
      </c>
    </row>
    <row r="2305" spans="1:4" x14ac:dyDescent="0.25">
      <c r="A2305" t="s">
        <v>2209</v>
      </c>
      <c r="D2305" s="2" t="s">
        <v>3452</v>
      </c>
    </row>
    <row r="2306" spans="1:4" x14ac:dyDescent="0.25">
      <c r="A2306" t="s">
        <v>2209</v>
      </c>
      <c r="D2306" s="2" t="s">
        <v>1800</v>
      </c>
    </row>
    <row r="2307" spans="1:4" x14ac:dyDescent="0.25">
      <c r="A2307" t="s">
        <v>2209</v>
      </c>
      <c r="D2307" s="2" t="s">
        <v>3010</v>
      </c>
    </row>
    <row r="2308" spans="1:4" x14ac:dyDescent="0.25">
      <c r="A2308" t="s">
        <v>2209</v>
      </c>
      <c r="D2308" s="2" t="s">
        <v>3500</v>
      </c>
    </row>
    <row r="2309" spans="1:4" x14ac:dyDescent="0.25">
      <c r="A2309" t="s">
        <v>2215</v>
      </c>
      <c r="D2309" s="2" t="s">
        <v>3067</v>
      </c>
    </row>
    <row r="2310" spans="1:4" x14ac:dyDescent="0.25">
      <c r="A2310" t="s">
        <v>2120</v>
      </c>
      <c r="D2310" s="2" t="s">
        <v>52</v>
      </c>
    </row>
    <row r="2311" spans="1:4" x14ac:dyDescent="0.25">
      <c r="A2311" t="s">
        <v>2220</v>
      </c>
      <c r="D2311" s="2" t="s">
        <v>70</v>
      </c>
    </row>
    <row r="2312" spans="1:4" x14ac:dyDescent="0.25">
      <c r="A2312" t="s">
        <v>2224</v>
      </c>
      <c r="D2312" s="2" t="s">
        <v>3299</v>
      </c>
    </row>
    <row r="2313" spans="1:4" x14ac:dyDescent="0.25">
      <c r="A2313" t="s">
        <v>2228</v>
      </c>
      <c r="D2313" s="2" t="s">
        <v>3338</v>
      </c>
    </row>
    <row r="2314" spans="1:4" x14ac:dyDescent="0.25">
      <c r="A2314" t="s">
        <v>2232</v>
      </c>
      <c r="D2314" s="2" t="s">
        <v>3320</v>
      </c>
    </row>
    <row r="2315" spans="1:4" x14ac:dyDescent="0.25">
      <c r="A2315" t="s">
        <v>2124</v>
      </c>
      <c r="D2315" s="2" t="s">
        <v>3293</v>
      </c>
    </row>
    <row r="2316" spans="1:4" x14ac:dyDescent="0.25">
      <c r="A2316" t="s">
        <v>2238</v>
      </c>
      <c r="D2316" s="2" t="s">
        <v>3224</v>
      </c>
    </row>
    <row r="2317" spans="1:4" x14ac:dyDescent="0.25">
      <c r="A2317" t="s">
        <v>2242</v>
      </c>
      <c r="D2317" s="2" t="s">
        <v>3362</v>
      </c>
    </row>
    <row r="2318" spans="1:4" x14ac:dyDescent="0.25">
      <c r="A2318" t="s">
        <v>2246</v>
      </c>
      <c r="D2318" s="2" t="s">
        <v>3534</v>
      </c>
    </row>
    <row r="2319" spans="1:4" x14ac:dyDescent="0.25">
      <c r="A2319" t="s">
        <v>2250</v>
      </c>
      <c r="D2319" s="2" t="s">
        <v>3540</v>
      </c>
    </row>
    <row r="2320" spans="1:4" x14ac:dyDescent="0.25">
      <c r="A2320" t="s">
        <v>2254</v>
      </c>
      <c r="D2320" s="2" t="s">
        <v>3509</v>
      </c>
    </row>
    <row r="2321" spans="1:4" x14ac:dyDescent="0.25">
      <c r="A2321" t="s">
        <v>2258</v>
      </c>
      <c r="D2321" s="2" t="s">
        <v>3473</v>
      </c>
    </row>
    <row r="2322" spans="1:4" x14ac:dyDescent="0.25">
      <c r="A2322" t="s">
        <v>2127</v>
      </c>
      <c r="D2322" s="2" t="s">
        <v>1899</v>
      </c>
    </row>
    <row r="2323" spans="1:4" x14ac:dyDescent="0.25">
      <c r="A2323" t="s">
        <v>2264</v>
      </c>
      <c r="D2323" s="2" t="s">
        <v>3556</v>
      </c>
    </row>
    <row r="2324" spans="1:4" x14ac:dyDescent="0.25">
      <c r="A2324" t="s">
        <v>2268</v>
      </c>
      <c r="D2324" s="2" t="s">
        <v>5172</v>
      </c>
    </row>
    <row r="2325" spans="1:4" x14ac:dyDescent="0.25">
      <c r="A2325" t="s">
        <v>2271</v>
      </c>
      <c r="D2325" s="2" t="s">
        <v>786</v>
      </c>
    </row>
    <row r="2326" spans="1:4" x14ac:dyDescent="0.25">
      <c r="A2326" t="s">
        <v>2275</v>
      </c>
      <c r="D2326" s="2" t="s">
        <v>148</v>
      </c>
    </row>
    <row r="2327" spans="1:4" x14ac:dyDescent="0.25">
      <c r="A2327" t="s">
        <v>2278</v>
      </c>
      <c r="D2327" s="2" t="s">
        <v>972</v>
      </c>
    </row>
    <row r="2328" spans="1:4" x14ac:dyDescent="0.25">
      <c r="A2328" t="s">
        <v>2281</v>
      </c>
      <c r="D2328" s="2" t="s">
        <v>6761</v>
      </c>
    </row>
    <row r="2329" spans="1:4" x14ac:dyDescent="0.25">
      <c r="A2329" t="s">
        <v>2285</v>
      </c>
      <c r="D2329" s="2" t="s">
        <v>4500</v>
      </c>
    </row>
    <row r="2330" spans="1:4" x14ac:dyDescent="0.25">
      <c r="A2330" t="s">
        <v>2289</v>
      </c>
      <c r="D2330" s="2" t="s">
        <v>6184</v>
      </c>
    </row>
    <row r="2331" spans="1:4" x14ac:dyDescent="0.25">
      <c r="A2331" t="s">
        <v>2293</v>
      </c>
      <c r="D2331" s="2" t="s">
        <v>4210</v>
      </c>
    </row>
    <row r="2332" spans="1:4" x14ac:dyDescent="0.25">
      <c r="A2332" t="s">
        <v>2296</v>
      </c>
      <c r="D2332" s="2" t="s">
        <v>3969</v>
      </c>
    </row>
    <row r="2333" spans="1:4" x14ac:dyDescent="0.25">
      <c r="A2333" t="s">
        <v>2130</v>
      </c>
      <c r="D2333" s="2" t="s">
        <v>4711</v>
      </c>
    </row>
    <row r="2334" spans="1:4" x14ac:dyDescent="0.25">
      <c r="A2334" t="s">
        <v>2302</v>
      </c>
      <c r="D2334" s="2" t="s">
        <v>5897</v>
      </c>
    </row>
    <row r="2335" spans="1:4" x14ac:dyDescent="0.25">
      <c r="A2335" t="s">
        <v>2306</v>
      </c>
      <c r="D2335" s="2" t="s">
        <v>5925</v>
      </c>
    </row>
    <row r="2336" spans="1:4" x14ac:dyDescent="0.25">
      <c r="A2336" t="s">
        <v>2310</v>
      </c>
      <c r="D2336" s="2" t="s">
        <v>5242</v>
      </c>
    </row>
    <row r="2337" spans="1:4" x14ac:dyDescent="0.25">
      <c r="A2337" t="s">
        <v>2314</v>
      </c>
      <c r="D2337" s="2" t="s">
        <v>4737</v>
      </c>
    </row>
    <row r="2338" spans="1:4" x14ac:dyDescent="0.25">
      <c r="A2338" t="s">
        <v>2318</v>
      </c>
      <c r="D2338" s="2" t="s">
        <v>2531</v>
      </c>
    </row>
    <row r="2339" spans="1:4" x14ac:dyDescent="0.25">
      <c r="A2339" t="s">
        <v>2322</v>
      </c>
      <c r="D2339" s="2" t="s">
        <v>2429</v>
      </c>
    </row>
    <row r="2340" spans="1:4" x14ac:dyDescent="0.25">
      <c r="A2340" t="s">
        <v>2326</v>
      </c>
      <c r="D2340" s="2" t="s">
        <v>2417</v>
      </c>
    </row>
    <row r="2341" spans="1:4" x14ac:dyDescent="0.25">
      <c r="A2341" t="s">
        <v>2330</v>
      </c>
      <c r="D2341" s="2" t="s">
        <v>2885</v>
      </c>
    </row>
    <row r="2342" spans="1:4" x14ac:dyDescent="0.25">
      <c r="A2342" t="s">
        <v>2334</v>
      </c>
      <c r="D2342" s="2" t="s">
        <v>798</v>
      </c>
    </row>
    <row r="2343" spans="1:4" x14ac:dyDescent="0.25">
      <c r="A2343" t="s">
        <v>2338</v>
      </c>
      <c r="D2343" s="2" t="s">
        <v>756</v>
      </c>
    </row>
    <row r="2344" spans="1:4" x14ac:dyDescent="0.25">
      <c r="A2344" t="s">
        <v>2342</v>
      </c>
      <c r="D2344" s="2" t="s">
        <v>3097</v>
      </c>
    </row>
    <row r="2345" spans="1:4" x14ac:dyDescent="0.25">
      <c r="A2345" t="s">
        <v>2346</v>
      </c>
      <c r="D2345" s="2" t="s">
        <v>3128</v>
      </c>
    </row>
    <row r="2346" spans="1:4" x14ac:dyDescent="0.25">
      <c r="A2346" t="s">
        <v>2349</v>
      </c>
      <c r="D2346" s="2" t="s">
        <v>693</v>
      </c>
    </row>
    <row r="2347" spans="1:4" x14ac:dyDescent="0.25">
      <c r="A2347" t="s">
        <v>2352</v>
      </c>
      <c r="D2347" s="2" t="s">
        <v>606</v>
      </c>
    </row>
    <row r="2348" spans="1:4" x14ac:dyDescent="0.25">
      <c r="A2348" t="s">
        <v>2356</v>
      </c>
      <c r="D2348" s="2" t="s">
        <v>585</v>
      </c>
    </row>
    <row r="2349" spans="1:4" x14ac:dyDescent="0.25">
      <c r="A2349" t="s">
        <v>2360</v>
      </c>
      <c r="D2349" s="2" t="s">
        <v>632</v>
      </c>
    </row>
    <row r="2350" spans="1:4" x14ac:dyDescent="0.25">
      <c r="A2350" t="s">
        <v>2363</v>
      </c>
      <c r="D2350" s="2" t="s">
        <v>1309</v>
      </c>
    </row>
    <row r="2351" spans="1:4" x14ac:dyDescent="0.25">
      <c r="A2351" t="s">
        <v>2367</v>
      </c>
      <c r="D2351" s="2" t="s">
        <v>1306</v>
      </c>
    </row>
    <row r="2352" spans="1:4" x14ac:dyDescent="0.25">
      <c r="A2352" t="s">
        <v>2371</v>
      </c>
      <c r="D2352" s="2" t="s">
        <v>1167</v>
      </c>
    </row>
    <row r="2353" spans="1:4" x14ac:dyDescent="0.25">
      <c r="A2353" t="s">
        <v>2375</v>
      </c>
      <c r="D2353" s="2" t="s">
        <v>3431</v>
      </c>
    </row>
    <row r="2354" spans="1:4" x14ac:dyDescent="0.25">
      <c r="A2354" t="s">
        <v>2379</v>
      </c>
      <c r="D2354" s="2" t="s">
        <v>2068</v>
      </c>
    </row>
    <row r="2355" spans="1:4" x14ac:dyDescent="0.25">
      <c r="A2355" t="s">
        <v>2383</v>
      </c>
      <c r="D2355" s="2" t="s">
        <v>1924</v>
      </c>
    </row>
    <row r="2356" spans="1:4" x14ac:dyDescent="0.25">
      <c r="A2356" t="s">
        <v>2387</v>
      </c>
      <c r="D2356" s="2" t="s">
        <v>1966</v>
      </c>
    </row>
    <row r="2357" spans="1:4" x14ac:dyDescent="0.25">
      <c r="A2357" t="s">
        <v>2387</v>
      </c>
      <c r="D2357" s="2" t="s">
        <v>3446</v>
      </c>
    </row>
    <row r="2358" spans="1:4" x14ac:dyDescent="0.25">
      <c r="A2358" t="s">
        <v>2387</v>
      </c>
      <c r="D2358" s="2" t="s">
        <v>2110</v>
      </c>
    </row>
    <row r="2359" spans="1:4" x14ac:dyDescent="0.25">
      <c r="A2359" t="s">
        <v>2397</v>
      </c>
      <c r="D2359" s="2" t="s">
        <v>3019</v>
      </c>
    </row>
    <row r="2360" spans="1:4" x14ac:dyDescent="0.25">
      <c r="A2360" t="s">
        <v>2401</v>
      </c>
      <c r="D2360" s="2" t="s">
        <v>1892</v>
      </c>
    </row>
    <row r="2361" spans="1:4" x14ac:dyDescent="0.25">
      <c r="A2361" t="s">
        <v>2405</v>
      </c>
      <c r="D2361" s="2" t="s">
        <v>1229</v>
      </c>
    </row>
    <row r="2362" spans="1:4" x14ac:dyDescent="0.25">
      <c r="A2362" t="s">
        <v>2409</v>
      </c>
      <c r="D2362" s="2" t="s">
        <v>1904</v>
      </c>
    </row>
    <row r="2363" spans="1:4" x14ac:dyDescent="0.25">
      <c r="A2363" t="s">
        <v>2413</v>
      </c>
      <c r="D2363" s="2" t="s">
        <v>2115</v>
      </c>
    </row>
    <row r="2364" spans="1:4" x14ac:dyDescent="0.25">
      <c r="A2364" t="s">
        <v>2417</v>
      </c>
      <c r="D2364" s="2" t="s">
        <v>1201</v>
      </c>
    </row>
    <row r="2365" spans="1:4" x14ac:dyDescent="0.25">
      <c r="A2365" t="s">
        <v>2421</v>
      </c>
      <c r="D2365" s="2" t="s">
        <v>211</v>
      </c>
    </row>
    <row r="2366" spans="1:4" x14ac:dyDescent="0.25">
      <c r="A2366" t="s">
        <v>2425</v>
      </c>
      <c r="D2366" s="2" t="s">
        <v>216</v>
      </c>
    </row>
    <row r="2367" spans="1:4" x14ac:dyDescent="0.25">
      <c r="A2367" t="s">
        <v>2429</v>
      </c>
      <c r="D2367" s="2" t="s">
        <v>197</v>
      </c>
    </row>
    <row r="2368" spans="1:4" x14ac:dyDescent="0.25">
      <c r="A2368" t="s">
        <v>2433</v>
      </c>
      <c r="D2368" s="2" t="s">
        <v>200</v>
      </c>
    </row>
    <row r="2369" spans="1:4" x14ac:dyDescent="0.25">
      <c r="A2369" t="s">
        <v>2436</v>
      </c>
      <c r="D2369" s="2" t="s">
        <v>1084</v>
      </c>
    </row>
    <row r="2370" spans="1:4" x14ac:dyDescent="0.25">
      <c r="A2370" t="s">
        <v>2440</v>
      </c>
      <c r="D2370" s="2" t="s">
        <v>548</v>
      </c>
    </row>
    <row r="2371" spans="1:4" x14ac:dyDescent="0.25">
      <c r="A2371" t="s">
        <v>2443</v>
      </c>
      <c r="D2371" s="2" t="s">
        <v>162</v>
      </c>
    </row>
    <row r="2372" spans="1:4" x14ac:dyDescent="0.25">
      <c r="A2372" t="s">
        <v>2446</v>
      </c>
      <c r="D2372" s="2" t="s">
        <v>292</v>
      </c>
    </row>
    <row r="2373" spans="1:4" x14ac:dyDescent="0.25">
      <c r="A2373" t="s">
        <v>2450</v>
      </c>
      <c r="D2373" s="2" t="s">
        <v>1371</v>
      </c>
    </row>
    <row r="2374" spans="1:4" x14ac:dyDescent="0.25">
      <c r="A2374" t="s">
        <v>2454</v>
      </c>
      <c r="D2374" s="2" t="s">
        <v>1408</v>
      </c>
    </row>
    <row r="2375" spans="1:4" x14ac:dyDescent="0.25">
      <c r="A2375" t="s">
        <v>2146</v>
      </c>
      <c r="D2375" s="2" t="s">
        <v>801</v>
      </c>
    </row>
    <row r="2376" spans="1:4" x14ac:dyDescent="0.25">
      <c r="A2376" t="s">
        <v>2460</v>
      </c>
      <c r="D2376" s="2" t="s">
        <v>10130</v>
      </c>
    </row>
    <row r="2377" spans="1:4" x14ac:dyDescent="0.25">
      <c r="A2377" t="s">
        <v>2464</v>
      </c>
      <c r="D2377" s="2" t="s">
        <v>5783</v>
      </c>
    </row>
    <row r="2378" spans="1:4" x14ac:dyDescent="0.25">
      <c r="A2378" t="s">
        <v>2468</v>
      </c>
      <c r="D2378" s="2" t="s">
        <v>3296</v>
      </c>
    </row>
    <row r="2379" spans="1:4" x14ac:dyDescent="0.25">
      <c r="A2379" t="s">
        <v>2472</v>
      </c>
      <c r="D2379" s="2" t="s">
        <v>9779</v>
      </c>
    </row>
    <row r="2380" spans="1:4" x14ac:dyDescent="0.25">
      <c r="A2380" t="s">
        <v>2476</v>
      </c>
      <c r="D2380" s="2" t="s">
        <v>7960</v>
      </c>
    </row>
    <row r="2381" spans="1:4" x14ac:dyDescent="0.25">
      <c r="A2381" t="s">
        <v>2150</v>
      </c>
      <c r="D2381" s="2" t="s">
        <v>322</v>
      </c>
    </row>
    <row r="2382" spans="1:4" x14ac:dyDescent="0.25">
      <c r="A2382" t="s">
        <v>2482</v>
      </c>
      <c r="D2382" s="2" t="s">
        <v>8585</v>
      </c>
    </row>
    <row r="2383" spans="1:4" x14ac:dyDescent="0.25">
      <c r="A2383" t="s">
        <v>2486</v>
      </c>
      <c r="D2383" s="2" t="s">
        <v>9842</v>
      </c>
    </row>
    <row r="2384" spans="1:4" x14ac:dyDescent="0.25">
      <c r="A2384" t="s">
        <v>2490</v>
      </c>
      <c r="D2384" s="2" t="s">
        <v>2677</v>
      </c>
    </row>
    <row r="2385" spans="1:4" x14ac:dyDescent="0.25">
      <c r="A2385" t="s">
        <v>2494</v>
      </c>
      <c r="D2385" s="2" t="s">
        <v>2680</v>
      </c>
    </row>
    <row r="2386" spans="1:4" x14ac:dyDescent="0.25">
      <c r="A2386" t="s">
        <v>2498</v>
      </c>
      <c r="D2386" s="2" t="s">
        <v>2815</v>
      </c>
    </row>
    <row r="2387" spans="1:4" x14ac:dyDescent="0.25">
      <c r="A2387" t="s">
        <v>2501</v>
      </c>
      <c r="D2387" s="2" t="s">
        <v>2818</v>
      </c>
    </row>
    <row r="2388" spans="1:4" x14ac:dyDescent="0.25">
      <c r="A2388" t="s">
        <v>2505</v>
      </c>
      <c r="D2388" s="2" t="s">
        <v>2795</v>
      </c>
    </row>
    <row r="2389" spans="1:4" x14ac:dyDescent="0.25">
      <c r="A2389" t="s">
        <v>2153</v>
      </c>
      <c r="D2389" s="2" t="s">
        <v>2785</v>
      </c>
    </row>
    <row r="2390" spans="1:4" x14ac:dyDescent="0.25">
      <c r="A2390" t="s">
        <v>2511</v>
      </c>
      <c r="D2390" s="2" t="s">
        <v>2836</v>
      </c>
    </row>
    <row r="2391" spans="1:4" x14ac:dyDescent="0.25">
      <c r="A2391" t="s">
        <v>2515</v>
      </c>
      <c r="D2391" s="2" t="s">
        <v>10171</v>
      </c>
    </row>
    <row r="2392" spans="1:4" x14ac:dyDescent="0.25">
      <c r="A2392" t="s">
        <v>2519</v>
      </c>
      <c r="D2392" s="2" t="s">
        <v>5233</v>
      </c>
    </row>
    <row r="2393" spans="1:4" x14ac:dyDescent="0.25">
      <c r="A2393" t="s">
        <v>2523</v>
      </c>
      <c r="D2393" s="2" t="s">
        <v>10081</v>
      </c>
    </row>
    <row r="2394" spans="1:4" x14ac:dyDescent="0.25">
      <c r="A2394" t="s">
        <v>2527</v>
      </c>
      <c r="D2394" s="2" t="s">
        <v>10238</v>
      </c>
    </row>
    <row r="2395" spans="1:4" x14ac:dyDescent="0.25">
      <c r="A2395" t="s">
        <v>2531</v>
      </c>
      <c r="D2395" s="2" t="s">
        <v>5410</v>
      </c>
    </row>
    <row r="2396" spans="1:4" x14ac:dyDescent="0.25">
      <c r="A2396" t="s">
        <v>2534</v>
      </c>
      <c r="D2396" s="2" t="s">
        <v>9326</v>
      </c>
    </row>
    <row r="2397" spans="1:4" x14ac:dyDescent="0.25">
      <c r="A2397" t="s">
        <v>2538</v>
      </c>
      <c r="D2397" s="2" t="s">
        <v>6555</v>
      </c>
    </row>
    <row r="2398" spans="1:4" x14ac:dyDescent="0.25">
      <c r="A2398" t="s">
        <v>2542</v>
      </c>
      <c r="D2398" s="2" t="s">
        <v>225</v>
      </c>
    </row>
    <row r="2399" spans="1:4" x14ac:dyDescent="0.25">
      <c r="A2399" t="s">
        <v>2546</v>
      </c>
      <c r="D2399" s="2" t="s">
        <v>7229</v>
      </c>
    </row>
    <row r="2400" spans="1:4" x14ac:dyDescent="0.25">
      <c r="A2400" t="s">
        <v>2167</v>
      </c>
      <c r="D2400" s="2" t="s">
        <v>7712</v>
      </c>
    </row>
    <row r="2401" spans="1:4" x14ac:dyDescent="0.25">
      <c r="A2401" t="s">
        <v>2552</v>
      </c>
      <c r="D2401" s="2" t="s">
        <v>7220</v>
      </c>
    </row>
    <row r="2402" spans="1:4" x14ac:dyDescent="0.25">
      <c r="A2402" t="s">
        <v>2556</v>
      </c>
      <c r="D2402" s="2" t="s">
        <v>9740</v>
      </c>
    </row>
    <row r="2403" spans="1:4" x14ac:dyDescent="0.25">
      <c r="A2403" t="s">
        <v>2170</v>
      </c>
      <c r="D2403" s="2" t="s">
        <v>456</v>
      </c>
    </row>
    <row r="2404" spans="1:4" x14ac:dyDescent="0.25">
      <c r="A2404" t="s">
        <v>2562</v>
      </c>
      <c r="D2404" s="2" t="s">
        <v>2130</v>
      </c>
    </row>
    <row r="2405" spans="1:4" x14ac:dyDescent="0.25">
      <c r="A2405" t="s">
        <v>2173</v>
      </c>
      <c r="D2405" s="2" t="s">
        <v>5081</v>
      </c>
    </row>
    <row r="2406" spans="1:4" x14ac:dyDescent="0.25">
      <c r="A2406" t="s">
        <v>2567</v>
      </c>
      <c r="D2406" s="2" t="s">
        <v>10180</v>
      </c>
    </row>
    <row r="2407" spans="1:4" x14ac:dyDescent="0.25">
      <c r="A2407" t="s">
        <v>2571</v>
      </c>
      <c r="D2407" s="2" t="s">
        <v>3772</v>
      </c>
    </row>
    <row r="2408" spans="1:4" x14ac:dyDescent="0.25">
      <c r="A2408" t="s">
        <v>2575</v>
      </c>
      <c r="D2408" s="2" t="s">
        <v>10023</v>
      </c>
    </row>
    <row r="2409" spans="1:4" x14ac:dyDescent="0.25">
      <c r="A2409" t="s">
        <v>2579</v>
      </c>
      <c r="D2409" s="2" t="s">
        <v>267</v>
      </c>
    </row>
    <row r="2410" spans="1:4" x14ac:dyDescent="0.25">
      <c r="A2410" t="s">
        <v>2583</v>
      </c>
      <c r="D2410" s="2" t="s">
        <v>9908</v>
      </c>
    </row>
    <row r="2411" spans="1:4" x14ac:dyDescent="0.25">
      <c r="A2411" t="s">
        <v>2587</v>
      </c>
      <c r="D2411" s="2" t="s">
        <v>6620</v>
      </c>
    </row>
    <row r="2412" spans="1:4" x14ac:dyDescent="0.25">
      <c r="A2412" t="s">
        <v>2591</v>
      </c>
      <c r="D2412" s="2" t="s">
        <v>5251</v>
      </c>
    </row>
    <row r="2413" spans="1:4" x14ac:dyDescent="0.25">
      <c r="A2413" t="s">
        <v>2594</v>
      </c>
      <c r="D2413" s="2" t="s">
        <v>5679</v>
      </c>
    </row>
    <row r="2414" spans="1:4" x14ac:dyDescent="0.25">
      <c r="A2414" t="s">
        <v>2598</v>
      </c>
      <c r="D2414" s="2" t="s">
        <v>5353</v>
      </c>
    </row>
    <row r="2415" spans="1:4" x14ac:dyDescent="0.25">
      <c r="A2415" t="s">
        <v>2601</v>
      </c>
      <c r="D2415" s="2" t="s">
        <v>459</v>
      </c>
    </row>
    <row r="2416" spans="1:4" x14ac:dyDescent="0.25">
      <c r="A2416" t="s">
        <v>2605</v>
      </c>
      <c r="D2416" s="2" t="s">
        <v>7401</v>
      </c>
    </row>
    <row r="2417" spans="1:4" x14ac:dyDescent="0.25">
      <c r="A2417" t="s">
        <v>2609</v>
      </c>
      <c r="D2417" s="2" t="s">
        <v>5799</v>
      </c>
    </row>
    <row r="2418" spans="1:4" x14ac:dyDescent="0.25">
      <c r="A2418" t="s">
        <v>2612</v>
      </c>
      <c r="D2418" s="2" t="s">
        <v>7584</v>
      </c>
    </row>
    <row r="2419" spans="1:4" x14ac:dyDescent="0.25">
      <c r="A2419" t="s">
        <v>2616</v>
      </c>
      <c r="D2419" s="2" t="s">
        <v>7784</v>
      </c>
    </row>
    <row r="2420" spans="1:4" x14ac:dyDescent="0.25">
      <c r="A2420" t="s">
        <v>2620</v>
      </c>
      <c r="D2420" s="2" t="s">
        <v>7817</v>
      </c>
    </row>
    <row r="2421" spans="1:4" x14ac:dyDescent="0.25">
      <c r="A2421" t="s">
        <v>2624</v>
      </c>
      <c r="D2421" s="2" t="s">
        <v>6954</v>
      </c>
    </row>
    <row r="2422" spans="1:4" x14ac:dyDescent="0.25">
      <c r="A2422" t="s">
        <v>2628</v>
      </c>
      <c r="D2422" s="2" t="s">
        <v>1773</v>
      </c>
    </row>
    <row r="2423" spans="1:4" x14ac:dyDescent="0.25">
      <c r="A2423" t="s">
        <v>2177</v>
      </c>
      <c r="D2423" s="2" t="s">
        <v>8011</v>
      </c>
    </row>
    <row r="2424" spans="1:4" x14ac:dyDescent="0.25">
      <c r="A2424" t="s">
        <v>2633</v>
      </c>
      <c r="D2424" s="2" t="s">
        <v>9808</v>
      </c>
    </row>
    <row r="2425" spans="1:4" x14ac:dyDescent="0.25">
      <c r="A2425" t="s">
        <v>2637</v>
      </c>
      <c r="D2425" s="2" t="s">
        <v>9899</v>
      </c>
    </row>
    <row r="2426" spans="1:4" x14ac:dyDescent="0.25">
      <c r="A2426" t="s">
        <v>2641</v>
      </c>
      <c r="D2426" s="2" t="s">
        <v>7789</v>
      </c>
    </row>
    <row r="2427" spans="1:4" x14ac:dyDescent="0.25">
      <c r="A2427" t="s">
        <v>2180</v>
      </c>
      <c r="D2427" s="2" t="s">
        <v>7691</v>
      </c>
    </row>
    <row r="2428" spans="1:4" x14ac:dyDescent="0.25">
      <c r="A2428" t="s">
        <v>2647</v>
      </c>
      <c r="D2428" s="2" t="s">
        <v>9162</v>
      </c>
    </row>
    <row r="2429" spans="1:4" x14ac:dyDescent="0.25">
      <c r="A2429" t="s">
        <v>2651</v>
      </c>
      <c r="D2429" s="2" t="s">
        <v>523</v>
      </c>
    </row>
    <row r="2430" spans="1:4" x14ac:dyDescent="0.25">
      <c r="A2430" t="s">
        <v>2183</v>
      </c>
      <c r="D2430" s="2" t="s">
        <v>6944</v>
      </c>
    </row>
    <row r="2431" spans="1:4" x14ac:dyDescent="0.25">
      <c r="A2431" t="s">
        <v>2657</v>
      </c>
      <c r="D2431" s="2" t="s">
        <v>8835</v>
      </c>
    </row>
    <row r="2432" spans="1:4" x14ac:dyDescent="0.25">
      <c r="A2432" t="s">
        <v>2661</v>
      </c>
      <c r="D2432" s="2" t="s">
        <v>4133</v>
      </c>
    </row>
    <row r="2433" spans="1:4" x14ac:dyDescent="0.25">
      <c r="A2433" t="s">
        <v>2665</v>
      </c>
      <c r="D2433" s="2" t="s">
        <v>7522</v>
      </c>
    </row>
    <row r="2434" spans="1:4" x14ac:dyDescent="0.25">
      <c r="A2434" t="s">
        <v>2669</v>
      </c>
      <c r="D2434" s="2" t="s">
        <v>8036</v>
      </c>
    </row>
    <row r="2435" spans="1:4" x14ac:dyDescent="0.25">
      <c r="A2435" t="s">
        <v>2673</v>
      </c>
      <c r="D2435" s="2" t="s">
        <v>7288</v>
      </c>
    </row>
    <row r="2436" spans="1:4" x14ac:dyDescent="0.25">
      <c r="A2436" t="s">
        <v>2677</v>
      </c>
      <c r="D2436" s="2" t="s">
        <v>4886</v>
      </c>
    </row>
    <row r="2437" spans="1:4" x14ac:dyDescent="0.25">
      <c r="A2437" t="s">
        <v>2680</v>
      </c>
      <c r="D2437" s="2" t="s">
        <v>5169</v>
      </c>
    </row>
    <row r="2438" spans="1:4" x14ac:dyDescent="0.25">
      <c r="A2438" t="s">
        <v>2682</v>
      </c>
      <c r="D2438" s="2" t="s">
        <v>537</v>
      </c>
    </row>
    <row r="2439" spans="1:4" x14ac:dyDescent="0.25">
      <c r="A2439" t="s">
        <v>2686</v>
      </c>
      <c r="D2439" s="2" t="s">
        <v>2105</v>
      </c>
    </row>
    <row r="2440" spans="1:4" x14ac:dyDescent="0.25">
      <c r="A2440" t="s">
        <v>2690</v>
      </c>
      <c r="D2440" s="2" t="s">
        <v>450</v>
      </c>
    </row>
    <row r="2441" spans="1:4" x14ac:dyDescent="0.25">
      <c r="A2441" t="s">
        <v>2693</v>
      </c>
      <c r="D2441" s="2" t="s">
        <v>4579</v>
      </c>
    </row>
    <row r="2442" spans="1:4" x14ac:dyDescent="0.25">
      <c r="A2442" t="s">
        <v>2697</v>
      </c>
      <c r="D2442" s="2" t="s">
        <v>5945</v>
      </c>
    </row>
    <row r="2443" spans="1:4" x14ac:dyDescent="0.25">
      <c r="A2443" t="s">
        <v>2700</v>
      </c>
      <c r="D2443" s="2" t="s">
        <v>6836</v>
      </c>
    </row>
    <row r="2444" spans="1:4" x14ac:dyDescent="0.25">
      <c r="A2444" t="s">
        <v>2703</v>
      </c>
      <c r="D2444" s="2" t="s">
        <v>6423</v>
      </c>
    </row>
    <row r="2445" spans="1:4" x14ac:dyDescent="0.25">
      <c r="A2445" t="s">
        <v>2189</v>
      </c>
      <c r="D2445" s="2" t="s">
        <v>7950</v>
      </c>
    </row>
    <row r="2446" spans="1:4" x14ac:dyDescent="0.25">
      <c r="A2446" t="s">
        <v>2709</v>
      </c>
      <c r="D2446" s="2" t="s">
        <v>9590</v>
      </c>
    </row>
    <row r="2447" spans="1:4" x14ac:dyDescent="0.25">
      <c r="A2447" t="s">
        <v>2713</v>
      </c>
      <c r="D2447" s="2" t="s">
        <v>10193</v>
      </c>
    </row>
    <row r="2448" spans="1:4" x14ac:dyDescent="0.25">
      <c r="A2448" t="s">
        <v>2717</v>
      </c>
      <c r="D2448" s="2" t="s">
        <v>5737</v>
      </c>
    </row>
    <row r="2449" spans="1:4" x14ac:dyDescent="0.25">
      <c r="A2449" t="s">
        <v>2721</v>
      </c>
      <c r="D2449" s="2" t="s">
        <v>5128</v>
      </c>
    </row>
    <row r="2450" spans="1:4" x14ac:dyDescent="0.25">
      <c r="A2450" t="s">
        <v>2725</v>
      </c>
      <c r="D2450" s="2" t="s">
        <v>5801</v>
      </c>
    </row>
    <row r="2451" spans="1:4" x14ac:dyDescent="0.25">
      <c r="A2451" t="s">
        <v>2729</v>
      </c>
      <c r="D2451" s="2" t="s">
        <v>6722</v>
      </c>
    </row>
    <row r="2452" spans="1:4" x14ac:dyDescent="0.25">
      <c r="A2452" t="s">
        <v>2732</v>
      </c>
      <c r="D2452" s="2" t="s">
        <v>6145</v>
      </c>
    </row>
    <row r="2453" spans="1:4" x14ac:dyDescent="0.25">
      <c r="A2453" t="s">
        <v>2736</v>
      </c>
      <c r="D2453" s="2" t="s">
        <v>4252</v>
      </c>
    </row>
    <row r="2454" spans="1:4" x14ac:dyDescent="0.25">
      <c r="A2454" t="s">
        <v>2740</v>
      </c>
      <c r="D2454" s="2" t="s">
        <v>8805</v>
      </c>
    </row>
    <row r="2455" spans="1:4" x14ac:dyDescent="0.25">
      <c r="A2455" t="s">
        <v>2743</v>
      </c>
      <c r="D2455" s="2" t="s">
        <v>7185</v>
      </c>
    </row>
    <row r="2456" spans="1:4" x14ac:dyDescent="0.25">
      <c r="A2456" t="s">
        <v>2745</v>
      </c>
      <c r="D2456" s="2" t="s">
        <v>6872</v>
      </c>
    </row>
    <row r="2457" spans="1:4" x14ac:dyDescent="0.25">
      <c r="A2457" t="s">
        <v>2749</v>
      </c>
      <c r="D2457" s="2" t="s">
        <v>5158</v>
      </c>
    </row>
    <row r="2458" spans="1:4" x14ac:dyDescent="0.25">
      <c r="A2458" t="s">
        <v>2753</v>
      </c>
      <c r="D2458" s="2" t="s">
        <v>10320</v>
      </c>
    </row>
    <row r="2459" spans="1:4" x14ac:dyDescent="0.25">
      <c r="A2459" t="s">
        <v>2757</v>
      </c>
    </row>
    <row r="2460" spans="1:4" x14ac:dyDescent="0.25">
      <c r="A2460" t="s">
        <v>2761</v>
      </c>
    </row>
    <row r="2461" spans="1:4" x14ac:dyDescent="0.25">
      <c r="A2461" t="s">
        <v>2765</v>
      </c>
    </row>
    <row r="2462" spans="1:4" x14ac:dyDescent="0.25">
      <c r="A2462" t="s">
        <v>2769</v>
      </c>
    </row>
    <row r="2463" spans="1:4" x14ac:dyDescent="0.25">
      <c r="A2463" t="s">
        <v>2772</v>
      </c>
    </row>
    <row r="2464" spans="1:4" x14ac:dyDescent="0.25">
      <c r="A2464" t="s">
        <v>2776</v>
      </c>
    </row>
    <row r="2465" spans="1:1" x14ac:dyDescent="0.25">
      <c r="A2465" t="s">
        <v>2199</v>
      </c>
    </row>
    <row r="2466" spans="1:1" x14ac:dyDescent="0.25">
      <c r="A2466" t="s">
        <v>2781</v>
      </c>
    </row>
    <row r="2467" spans="1:1" x14ac:dyDescent="0.25">
      <c r="A2467" t="s">
        <v>2785</v>
      </c>
    </row>
    <row r="2468" spans="1:1" x14ac:dyDescent="0.25">
      <c r="A2468" t="s">
        <v>2785</v>
      </c>
    </row>
    <row r="2469" spans="1:1" x14ac:dyDescent="0.25">
      <c r="A2469" t="s">
        <v>2785</v>
      </c>
    </row>
    <row r="2470" spans="1:1" x14ac:dyDescent="0.25">
      <c r="A2470" t="s">
        <v>2795</v>
      </c>
    </row>
    <row r="2471" spans="1:1" x14ac:dyDescent="0.25">
      <c r="A2471" t="s">
        <v>2799</v>
      </c>
    </row>
    <row r="2472" spans="1:1" x14ac:dyDescent="0.25">
      <c r="A2472" t="s">
        <v>2803</v>
      </c>
    </row>
    <row r="2473" spans="1:1" x14ac:dyDescent="0.25">
      <c r="A2473" t="s">
        <v>2807</v>
      </c>
    </row>
    <row r="2474" spans="1:1" x14ac:dyDescent="0.25">
      <c r="A2474" t="s">
        <v>2811</v>
      </c>
    </row>
    <row r="2475" spans="1:1" x14ac:dyDescent="0.25">
      <c r="A2475" t="s">
        <v>2815</v>
      </c>
    </row>
    <row r="2476" spans="1:1" x14ac:dyDescent="0.25">
      <c r="A2476" t="s">
        <v>2818</v>
      </c>
    </row>
    <row r="2477" spans="1:1" x14ac:dyDescent="0.25">
      <c r="A2477" t="s">
        <v>2820</v>
      </c>
    </row>
    <row r="2478" spans="1:1" x14ac:dyDescent="0.25">
      <c r="A2478" t="s">
        <v>2824</v>
      </c>
    </row>
    <row r="2479" spans="1:1" x14ac:dyDescent="0.25">
      <c r="A2479" t="s">
        <v>2828</v>
      </c>
    </row>
    <row r="2480" spans="1:1" x14ac:dyDescent="0.25">
      <c r="A2480" t="s">
        <v>2832</v>
      </c>
    </row>
    <row r="2481" spans="1:1" x14ac:dyDescent="0.25">
      <c r="A2481" t="s">
        <v>2836</v>
      </c>
    </row>
    <row r="2482" spans="1:1" x14ac:dyDescent="0.25">
      <c r="A2482" t="s">
        <v>2836</v>
      </c>
    </row>
    <row r="2483" spans="1:1" x14ac:dyDescent="0.25">
      <c r="A2483" t="s">
        <v>2843</v>
      </c>
    </row>
    <row r="2484" spans="1:1" x14ac:dyDescent="0.25">
      <c r="A2484" t="s">
        <v>2847</v>
      </c>
    </row>
    <row r="2485" spans="1:1" x14ac:dyDescent="0.25">
      <c r="A2485" t="s">
        <v>2851</v>
      </c>
    </row>
    <row r="2486" spans="1:1" x14ac:dyDescent="0.25">
      <c r="A2486" t="s">
        <v>2855</v>
      </c>
    </row>
    <row r="2487" spans="1:1" x14ac:dyDescent="0.25">
      <c r="A2487" t="s">
        <v>2859</v>
      </c>
    </row>
    <row r="2488" spans="1:1" x14ac:dyDescent="0.25">
      <c r="A2488" t="s">
        <v>2863</v>
      </c>
    </row>
    <row r="2489" spans="1:1" x14ac:dyDescent="0.25">
      <c r="A2489" t="s">
        <v>2866</v>
      </c>
    </row>
    <row r="2490" spans="1:1" x14ac:dyDescent="0.25">
      <c r="A2490" t="s">
        <v>2870</v>
      </c>
    </row>
    <row r="2491" spans="1:1" x14ac:dyDescent="0.25">
      <c r="A2491" t="s">
        <v>2874</v>
      </c>
    </row>
    <row r="2492" spans="1:1" x14ac:dyDescent="0.25">
      <c r="A2492" t="s">
        <v>2878</v>
      </c>
    </row>
    <row r="2493" spans="1:1" x14ac:dyDescent="0.25">
      <c r="A2493" t="s">
        <v>2881</v>
      </c>
    </row>
    <row r="2494" spans="1:1" x14ac:dyDescent="0.25">
      <c r="A2494" t="s">
        <v>2885</v>
      </c>
    </row>
    <row r="2495" spans="1:1" x14ac:dyDescent="0.25">
      <c r="A2495" t="s">
        <v>2889</v>
      </c>
    </row>
    <row r="2496" spans="1:1" x14ac:dyDescent="0.25">
      <c r="A2496" t="s">
        <v>2893</v>
      </c>
    </row>
    <row r="2497" spans="1:1" x14ac:dyDescent="0.25">
      <c r="A2497" t="s">
        <v>2897</v>
      </c>
    </row>
    <row r="2498" spans="1:1" x14ac:dyDescent="0.25">
      <c r="A2498" t="s">
        <v>2901</v>
      </c>
    </row>
    <row r="2499" spans="1:1" x14ac:dyDescent="0.25">
      <c r="A2499" t="s">
        <v>2905</v>
      </c>
    </row>
    <row r="2500" spans="1:1" x14ac:dyDescent="0.25">
      <c r="A2500" t="s">
        <v>2909</v>
      </c>
    </row>
    <row r="2501" spans="1:1" x14ac:dyDescent="0.25">
      <c r="A2501" t="s">
        <v>2913</v>
      </c>
    </row>
    <row r="2502" spans="1:1" x14ac:dyDescent="0.25">
      <c r="A2502" t="s">
        <v>2917</v>
      </c>
    </row>
    <row r="2503" spans="1:1" x14ac:dyDescent="0.25">
      <c r="A2503" t="s">
        <v>2921</v>
      </c>
    </row>
    <row r="2504" spans="1:1" x14ac:dyDescent="0.25">
      <c r="A2504" t="s">
        <v>2925</v>
      </c>
    </row>
    <row r="2505" spans="1:1" x14ac:dyDescent="0.25">
      <c r="A2505" t="s">
        <v>2929</v>
      </c>
    </row>
    <row r="2506" spans="1:1" x14ac:dyDescent="0.25">
      <c r="A2506" t="s">
        <v>2932</v>
      </c>
    </row>
    <row r="2507" spans="1:1" x14ac:dyDescent="0.25">
      <c r="A2507" t="s">
        <v>2935</v>
      </c>
    </row>
    <row r="2508" spans="1:1" x14ac:dyDescent="0.25">
      <c r="A2508" t="s">
        <v>2939</v>
      </c>
    </row>
    <row r="2509" spans="1:1" x14ac:dyDescent="0.25">
      <c r="A2509" t="s">
        <v>2943</v>
      </c>
    </row>
    <row r="2510" spans="1:1" x14ac:dyDescent="0.25">
      <c r="A2510" t="s">
        <v>2947</v>
      </c>
    </row>
    <row r="2511" spans="1:1" x14ac:dyDescent="0.25">
      <c r="A2511" t="s">
        <v>2951</v>
      </c>
    </row>
    <row r="2512" spans="1:1" x14ac:dyDescent="0.25">
      <c r="A2512" t="s">
        <v>2954</v>
      </c>
    </row>
    <row r="2513" spans="1:1" x14ac:dyDescent="0.25">
      <c r="A2513" t="s">
        <v>2958</v>
      </c>
    </row>
    <row r="2514" spans="1:1" x14ac:dyDescent="0.25">
      <c r="A2514" t="s">
        <v>2962</v>
      </c>
    </row>
    <row r="2515" spans="1:1" x14ac:dyDescent="0.25">
      <c r="A2515" t="s">
        <v>2206</v>
      </c>
    </row>
    <row r="2516" spans="1:1" x14ac:dyDescent="0.25">
      <c r="A2516" t="s">
        <v>2968</v>
      </c>
    </row>
    <row r="2517" spans="1:1" x14ac:dyDescent="0.25">
      <c r="A2517" t="s">
        <v>2972</v>
      </c>
    </row>
    <row r="2518" spans="1:1" x14ac:dyDescent="0.25">
      <c r="A2518" t="s">
        <v>2976</v>
      </c>
    </row>
    <row r="2519" spans="1:1" x14ac:dyDescent="0.25">
      <c r="A2519" t="s">
        <v>2980</v>
      </c>
    </row>
    <row r="2520" spans="1:1" x14ac:dyDescent="0.25">
      <c r="A2520" t="s">
        <v>2984</v>
      </c>
    </row>
    <row r="2521" spans="1:1" x14ac:dyDescent="0.25">
      <c r="A2521" t="s">
        <v>2988</v>
      </c>
    </row>
    <row r="2522" spans="1:1" x14ac:dyDescent="0.25">
      <c r="A2522" t="s">
        <v>2992</v>
      </c>
    </row>
    <row r="2523" spans="1:1" x14ac:dyDescent="0.25">
      <c r="A2523" t="s">
        <v>2996</v>
      </c>
    </row>
    <row r="2524" spans="1:1" x14ac:dyDescent="0.25">
      <c r="A2524" t="s">
        <v>2209</v>
      </c>
    </row>
    <row r="2525" spans="1:1" x14ac:dyDescent="0.25">
      <c r="A2525" t="s">
        <v>3004</v>
      </c>
    </row>
    <row r="2526" spans="1:1" x14ac:dyDescent="0.25">
      <c r="A2526" t="s">
        <v>3007</v>
      </c>
    </row>
    <row r="2527" spans="1:1" x14ac:dyDescent="0.25">
      <c r="A2527" t="s">
        <v>3010</v>
      </c>
    </row>
    <row r="2528" spans="1:1" x14ac:dyDescent="0.25">
      <c r="A2528" t="s">
        <v>3013</v>
      </c>
    </row>
    <row r="2529" spans="1:1" x14ac:dyDescent="0.25">
      <c r="A2529" t="s">
        <v>3004</v>
      </c>
    </row>
    <row r="2530" spans="1:1" x14ac:dyDescent="0.25">
      <c r="A2530" t="s">
        <v>3024</v>
      </c>
    </row>
    <row r="2531" spans="1:1" x14ac:dyDescent="0.25">
      <c r="A2531" t="s">
        <v>3437</v>
      </c>
    </row>
    <row r="2532" spans="1:1" x14ac:dyDescent="0.25">
      <c r="A2532" t="s">
        <v>3440</v>
      </c>
    </row>
    <row r="2533" spans="1:1" x14ac:dyDescent="0.25">
      <c r="A2533" t="s">
        <v>3443</v>
      </c>
    </row>
    <row r="2534" spans="1:1" x14ac:dyDescent="0.25">
      <c r="A2534" t="s">
        <v>3446</v>
      </c>
    </row>
    <row r="2535" spans="1:1" x14ac:dyDescent="0.25">
      <c r="A2535" t="s">
        <v>3449</v>
      </c>
    </row>
    <row r="2536" spans="1:1" x14ac:dyDescent="0.25">
      <c r="A2536" t="s">
        <v>3452</v>
      </c>
    </row>
    <row r="2537" spans="1:1" x14ac:dyDescent="0.25">
      <c r="A2537" t="s">
        <v>3455</v>
      </c>
    </row>
    <row r="2538" spans="1:1" x14ac:dyDescent="0.25">
      <c r="A2538" t="s">
        <v>3458</v>
      </c>
    </row>
    <row r="2539" spans="1:1" x14ac:dyDescent="0.25">
      <c r="A2539" t="s">
        <v>3461</v>
      </c>
    </row>
    <row r="2540" spans="1:1" x14ac:dyDescent="0.25">
      <c r="A2540" t="s">
        <v>3464</v>
      </c>
    </row>
    <row r="2541" spans="1:1" x14ac:dyDescent="0.25">
      <c r="A2541" t="s">
        <v>3467</v>
      </c>
    </row>
    <row r="2542" spans="1:1" x14ac:dyDescent="0.25">
      <c r="A2542" t="s">
        <v>3470</v>
      </c>
    </row>
    <row r="2543" spans="1:1" x14ac:dyDescent="0.25">
      <c r="A2543" t="s">
        <v>3473</v>
      </c>
    </row>
    <row r="2544" spans="1:1" x14ac:dyDescent="0.25">
      <c r="A2544" t="s">
        <v>3476</v>
      </c>
    </row>
    <row r="2545" spans="1:1" x14ac:dyDescent="0.25">
      <c r="A2545" t="s">
        <v>3479</v>
      </c>
    </row>
    <row r="2546" spans="1:1" x14ac:dyDescent="0.25">
      <c r="A2546" t="s">
        <v>3482</v>
      </c>
    </row>
    <row r="2547" spans="1:1" x14ac:dyDescent="0.25">
      <c r="A2547" t="s">
        <v>3485</v>
      </c>
    </row>
    <row r="2548" spans="1:1" x14ac:dyDescent="0.25">
      <c r="A2548" t="s">
        <v>3488</v>
      </c>
    </row>
    <row r="2549" spans="1:1" x14ac:dyDescent="0.25">
      <c r="A2549" t="s">
        <v>3491</v>
      </c>
    </row>
    <row r="2550" spans="1:1" x14ac:dyDescent="0.25">
      <c r="A2550" t="s">
        <v>3491</v>
      </c>
    </row>
    <row r="2551" spans="1:1" x14ac:dyDescent="0.25">
      <c r="A2551" t="s">
        <v>3850</v>
      </c>
    </row>
    <row r="2552" spans="1:1" x14ac:dyDescent="0.25">
      <c r="A2552" t="s">
        <v>3863</v>
      </c>
    </row>
    <row r="2553" spans="1:1" x14ac:dyDescent="0.25">
      <c r="A2553" t="s">
        <v>1469</v>
      </c>
    </row>
    <row r="2554" spans="1:1" x14ac:dyDescent="0.25">
      <c r="A2554" t="s">
        <v>1473</v>
      </c>
    </row>
    <row r="2555" spans="1:1" x14ac:dyDescent="0.25">
      <c r="A2555" t="s">
        <v>1476</v>
      </c>
    </row>
    <row r="2556" spans="1:1" x14ac:dyDescent="0.25">
      <c r="A2556" t="s">
        <v>1479</v>
      </c>
    </row>
    <row r="2557" spans="1:1" x14ac:dyDescent="0.25">
      <c r="A2557" t="s">
        <v>1482</v>
      </c>
    </row>
    <row r="2558" spans="1:1" x14ac:dyDescent="0.25">
      <c r="A2558" t="s">
        <v>1485</v>
      </c>
    </row>
    <row r="2559" spans="1:1" x14ac:dyDescent="0.25">
      <c r="A2559" t="s">
        <v>1488</v>
      </c>
    </row>
    <row r="2560" spans="1:1" x14ac:dyDescent="0.25">
      <c r="A2560" t="s">
        <v>1603</v>
      </c>
    </row>
    <row r="2561" spans="1:1" x14ac:dyDescent="0.25">
      <c r="A2561" t="s">
        <v>1606</v>
      </c>
    </row>
    <row r="2562" spans="1:1" x14ac:dyDescent="0.25">
      <c r="A2562" t="s">
        <v>1637</v>
      </c>
    </row>
    <row r="2563" spans="1:1" x14ac:dyDescent="0.25">
      <c r="A2563" t="s">
        <v>1640</v>
      </c>
    </row>
    <row r="2564" spans="1:1" x14ac:dyDescent="0.25">
      <c r="A2564" t="s">
        <v>1643</v>
      </c>
    </row>
    <row r="2565" spans="1:1" x14ac:dyDescent="0.25">
      <c r="A2565" t="s">
        <v>1646</v>
      </c>
    </row>
    <row r="2566" spans="1:1" x14ac:dyDescent="0.25">
      <c r="A2566" t="s">
        <v>1892</v>
      </c>
    </row>
    <row r="2567" spans="1:1" x14ac:dyDescent="0.25">
      <c r="A2567" t="s">
        <v>3551</v>
      </c>
    </row>
    <row r="2568" spans="1:1" x14ac:dyDescent="0.25">
      <c r="A2568" t="s">
        <v>3933</v>
      </c>
    </row>
    <row r="2569" spans="1:1" x14ac:dyDescent="0.25">
      <c r="A2569" t="s">
        <v>4127</v>
      </c>
    </row>
    <row r="2570" spans="1:1" x14ac:dyDescent="0.25">
      <c r="A2570" t="s">
        <v>4130</v>
      </c>
    </row>
    <row r="2571" spans="1:1" x14ac:dyDescent="0.25">
      <c r="A2571" t="s">
        <v>4133</v>
      </c>
    </row>
    <row r="2572" spans="1:1" x14ac:dyDescent="0.25">
      <c r="A2572" t="s">
        <v>4136</v>
      </c>
    </row>
    <row r="2573" spans="1:1" x14ac:dyDescent="0.25">
      <c r="A2573" t="s">
        <v>4139</v>
      </c>
    </row>
    <row r="2574" spans="1:1" x14ac:dyDescent="0.25">
      <c r="A2574" t="s">
        <v>4142</v>
      </c>
    </row>
    <row r="2575" spans="1:1" x14ac:dyDescent="0.25">
      <c r="A2575" t="s">
        <v>4145</v>
      </c>
    </row>
    <row r="2576" spans="1:1" x14ac:dyDescent="0.25">
      <c r="A2576" t="s">
        <v>4148</v>
      </c>
    </row>
    <row r="2577" spans="1:1" x14ac:dyDescent="0.25">
      <c r="A2577" t="s">
        <v>4151</v>
      </c>
    </row>
    <row r="2578" spans="1:1" x14ac:dyDescent="0.25">
      <c r="A2578" t="s">
        <v>4154</v>
      </c>
    </row>
    <row r="2579" spans="1:1" x14ac:dyDescent="0.25">
      <c r="A2579" t="s">
        <v>4157</v>
      </c>
    </row>
    <row r="2580" spans="1:1" x14ac:dyDescent="0.25">
      <c r="A2580" t="s">
        <v>4157</v>
      </c>
    </row>
    <row r="2581" spans="1:1" x14ac:dyDescent="0.25">
      <c r="A2581" t="s">
        <v>4161</v>
      </c>
    </row>
    <row r="2582" spans="1:1" x14ac:dyDescent="0.25">
      <c r="A2582" t="s">
        <v>4164</v>
      </c>
    </row>
    <row r="2583" spans="1:1" x14ac:dyDescent="0.25">
      <c r="A2583" t="s">
        <v>4167</v>
      </c>
    </row>
    <row r="2584" spans="1:1" x14ac:dyDescent="0.25">
      <c r="A2584" t="s">
        <v>4170</v>
      </c>
    </row>
    <row r="2585" spans="1:1" x14ac:dyDescent="0.25">
      <c r="A2585" t="s">
        <v>4170</v>
      </c>
    </row>
    <row r="2586" spans="1:1" x14ac:dyDescent="0.25">
      <c r="A2586" t="s">
        <v>4170</v>
      </c>
    </row>
    <row r="2587" spans="1:1" x14ac:dyDescent="0.25">
      <c r="A2587" t="s">
        <v>4175</v>
      </c>
    </row>
    <row r="2588" spans="1:1" x14ac:dyDescent="0.25">
      <c r="A2588" t="s">
        <v>4178</v>
      </c>
    </row>
    <row r="2589" spans="1:1" x14ac:dyDescent="0.25">
      <c r="A2589" t="s">
        <v>4178</v>
      </c>
    </row>
    <row r="2590" spans="1:1" x14ac:dyDescent="0.25">
      <c r="A2590" t="s">
        <v>4182</v>
      </c>
    </row>
    <row r="2591" spans="1:1" x14ac:dyDescent="0.25">
      <c r="A2591" t="s">
        <v>4185</v>
      </c>
    </row>
    <row r="2592" spans="1:1" x14ac:dyDescent="0.25">
      <c r="A2592" t="s">
        <v>4188</v>
      </c>
    </row>
    <row r="2593" spans="1:1" x14ac:dyDescent="0.25">
      <c r="A2593" t="s">
        <v>4191</v>
      </c>
    </row>
    <row r="2594" spans="1:1" x14ac:dyDescent="0.25">
      <c r="A2594" t="s">
        <v>4191</v>
      </c>
    </row>
    <row r="2595" spans="1:1" x14ac:dyDescent="0.25">
      <c r="A2595" t="s">
        <v>4191</v>
      </c>
    </row>
    <row r="2596" spans="1:1" x14ac:dyDescent="0.25">
      <c r="A2596" t="s">
        <v>4196</v>
      </c>
    </row>
    <row r="2597" spans="1:1" x14ac:dyDescent="0.25">
      <c r="A2597" t="s">
        <v>4199</v>
      </c>
    </row>
    <row r="2598" spans="1:1" x14ac:dyDescent="0.25">
      <c r="A2598" t="s">
        <v>4199</v>
      </c>
    </row>
    <row r="2599" spans="1:1" x14ac:dyDescent="0.25">
      <c r="A2599" t="s">
        <v>4203</v>
      </c>
    </row>
    <row r="2600" spans="1:1" x14ac:dyDescent="0.25">
      <c r="A2600" t="s">
        <v>4206</v>
      </c>
    </row>
    <row r="2601" spans="1:1" x14ac:dyDescent="0.25">
      <c r="A2601" t="s">
        <v>4206</v>
      </c>
    </row>
    <row r="2602" spans="1:1" x14ac:dyDescent="0.25">
      <c r="A2602" t="s">
        <v>4210</v>
      </c>
    </row>
    <row r="2603" spans="1:1" x14ac:dyDescent="0.25">
      <c r="A2603" t="s">
        <v>4210</v>
      </c>
    </row>
    <row r="2604" spans="1:1" x14ac:dyDescent="0.25">
      <c r="A2604" t="s">
        <v>4214</v>
      </c>
    </row>
    <row r="2605" spans="1:1" x14ac:dyDescent="0.25">
      <c r="A2605" t="s">
        <v>4217</v>
      </c>
    </row>
    <row r="2606" spans="1:1" x14ac:dyDescent="0.25">
      <c r="A2606" t="s">
        <v>4220</v>
      </c>
    </row>
    <row r="2607" spans="1:1" x14ac:dyDescent="0.25">
      <c r="A2607" t="s">
        <v>4223</v>
      </c>
    </row>
    <row r="2608" spans="1:1" x14ac:dyDescent="0.25">
      <c r="A2608" t="s">
        <v>4226</v>
      </c>
    </row>
    <row r="2609" spans="1:1" x14ac:dyDescent="0.25">
      <c r="A2609" t="s">
        <v>4229</v>
      </c>
    </row>
    <row r="2610" spans="1:1" x14ac:dyDescent="0.25">
      <c r="A2610" t="s">
        <v>4232</v>
      </c>
    </row>
    <row r="2611" spans="1:1" x14ac:dyDescent="0.25">
      <c r="A2611" t="s">
        <v>4471</v>
      </c>
    </row>
    <row r="2612" spans="1:1" x14ac:dyDescent="0.25">
      <c r="A2612" t="s">
        <v>4471</v>
      </c>
    </row>
    <row r="2613" spans="1:1" x14ac:dyDescent="0.25">
      <c r="A2613" t="s">
        <v>4471</v>
      </c>
    </row>
    <row r="2614" spans="1:1" x14ac:dyDescent="0.25">
      <c r="A2614" t="s">
        <v>4476</v>
      </c>
    </row>
    <row r="2615" spans="1:1" x14ac:dyDescent="0.25">
      <c r="A2615" t="s">
        <v>4479</v>
      </c>
    </row>
    <row r="2616" spans="1:1" x14ac:dyDescent="0.25">
      <c r="A2616" t="s">
        <v>4479</v>
      </c>
    </row>
    <row r="2617" spans="1:1" x14ac:dyDescent="0.25">
      <c r="A2617" t="s">
        <v>4479</v>
      </c>
    </row>
    <row r="2618" spans="1:1" x14ac:dyDescent="0.25">
      <c r="A2618" t="s">
        <v>4479</v>
      </c>
    </row>
    <row r="2619" spans="1:1" x14ac:dyDescent="0.25">
      <c r="A2619" t="s">
        <v>4479</v>
      </c>
    </row>
    <row r="2620" spans="1:1" x14ac:dyDescent="0.25">
      <c r="A2620" t="s">
        <v>4479</v>
      </c>
    </row>
    <row r="2621" spans="1:1" x14ac:dyDescent="0.25">
      <c r="A2621" t="s">
        <v>4479</v>
      </c>
    </row>
    <row r="2622" spans="1:1" x14ac:dyDescent="0.25">
      <c r="A2622" t="s">
        <v>1781</v>
      </c>
    </row>
    <row r="2623" spans="1:1" x14ac:dyDescent="0.25">
      <c r="A2623" t="s">
        <v>1785</v>
      </c>
    </row>
    <row r="2624" spans="1:1" x14ac:dyDescent="0.25">
      <c r="A2624" t="s">
        <v>1788</v>
      </c>
    </row>
    <row r="2625" spans="1:1" x14ac:dyDescent="0.25">
      <c r="A2625" t="s">
        <v>1791</v>
      </c>
    </row>
    <row r="2626" spans="1:1" x14ac:dyDescent="0.25">
      <c r="A2626" t="s">
        <v>1794</v>
      </c>
    </row>
    <row r="2627" spans="1:1" x14ac:dyDescent="0.25">
      <c r="A2627" t="s">
        <v>1797</v>
      </c>
    </row>
    <row r="2628" spans="1:1" x14ac:dyDescent="0.25">
      <c r="A2628" t="s">
        <v>1800</v>
      </c>
    </row>
    <row r="2629" spans="1:1" x14ac:dyDescent="0.25">
      <c r="A2629" t="s">
        <v>1803</v>
      </c>
    </row>
    <row r="2630" spans="1:1" x14ac:dyDescent="0.25">
      <c r="A2630" t="s">
        <v>1806</v>
      </c>
    </row>
    <row r="2631" spans="1:1" x14ac:dyDescent="0.25">
      <c r="A2631" t="s">
        <v>1809</v>
      </c>
    </row>
    <row r="2632" spans="1:1" x14ac:dyDescent="0.25">
      <c r="A2632" t="s">
        <v>1812</v>
      </c>
    </row>
    <row r="2633" spans="1:1" x14ac:dyDescent="0.25">
      <c r="A2633" t="s">
        <v>1815</v>
      </c>
    </row>
    <row r="2634" spans="1:1" x14ac:dyDescent="0.25">
      <c r="A2634" t="s">
        <v>1818</v>
      </c>
    </row>
    <row r="2635" spans="1:1" x14ac:dyDescent="0.25">
      <c r="A2635" t="s">
        <v>1821</v>
      </c>
    </row>
    <row r="2636" spans="1:1" x14ac:dyDescent="0.25">
      <c r="A2636" t="s">
        <v>1824</v>
      </c>
    </row>
    <row r="2637" spans="1:1" x14ac:dyDescent="0.25">
      <c r="A2637" t="s">
        <v>1827</v>
      </c>
    </row>
    <row r="2638" spans="1:1" x14ac:dyDescent="0.25">
      <c r="A2638" t="s">
        <v>1830</v>
      </c>
    </row>
    <row r="2639" spans="1:1" x14ac:dyDescent="0.25">
      <c r="A2639" t="s">
        <v>1833</v>
      </c>
    </row>
    <row r="2640" spans="1:1" x14ac:dyDescent="0.25">
      <c r="A2640" t="s">
        <v>1836</v>
      </c>
    </row>
    <row r="2641" spans="1:1" x14ac:dyDescent="0.25">
      <c r="A2641" t="s">
        <v>1839</v>
      </c>
    </row>
    <row r="2642" spans="1:1" x14ac:dyDescent="0.25">
      <c r="A2642" t="s">
        <v>1842</v>
      </c>
    </row>
    <row r="2643" spans="1:1" x14ac:dyDescent="0.25">
      <c r="A2643" t="s">
        <v>1845</v>
      </c>
    </row>
    <row r="2644" spans="1:1" x14ac:dyDescent="0.25">
      <c r="A2644" t="s">
        <v>1848</v>
      </c>
    </row>
    <row r="2645" spans="1:1" x14ac:dyDescent="0.25">
      <c r="A2645" t="s">
        <v>1851</v>
      </c>
    </row>
    <row r="2646" spans="1:1" x14ac:dyDescent="0.25">
      <c r="A2646" t="s">
        <v>1854</v>
      </c>
    </row>
    <row r="2647" spans="1:1" x14ac:dyDescent="0.25">
      <c r="A2647" t="s">
        <v>1857</v>
      </c>
    </row>
    <row r="2648" spans="1:1" x14ac:dyDescent="0.25">
      <c r="A2648" t="s">
        <v>1860</v>
      </c>
    </row>
    <row r="2649" spans="1:1" x14ac:dyDescent="0.25">
      <c r="A2649" t="s">
        <v>1863</v>
      </c>
    </row>
    <row r="2650" spans="1:1" x14ac:dyDescent="0.25">
      <c r="A2650" t="s">
        <v>1863</v>
      </c>
    </row>
    <row r="2651" spans="1:1" x14ac:dyDescent="0.25">
      <c r="A2651" t="s">
        <v>1868</v>
      </c>
    </row>
    <row r="2652" spans="1:1" x14ac:dyDescent="0.25">
      <c r="A2652" t="s">
        <v>1871</v>
      </c>
    </row>
    <row r="2653" spans="1:1" x14ac:dyDescent="0.25">
      <c r="A2653" t="s">
        <v>1874</v>
      </c>
    </row>
    <row r="2654" spans="1:1" x14ac:dyDescent="0.25">
      <c r="A2654" t="s">
        <v>1877</v>
      </c>
    </row>
    <row r="2655" spans="1:1" x14ac:dyDescent="0.25">
      <c r="A2655" t="s">
        <v>1877</v>
      </c>
    </row>
    <row r="2656" spans="1:1" x14ac:dyDescent="0.25">
      <c r="A2656" t="s">
        <v>1877</v>
      </c>
    </row>
    <row r="2657" spans="1:1" x14ac:dyDescent="0.25">
      <c r="A2657" t="s">
        <v>1877</v>
      </c>
    </row>
    <row r="2658" spans="1:1" x14ac:dyDescent="0.25">
      <c r="A2658" t="s">
        <v>1877</v>
      </c>
    </row>
    <row r="2659" spans="1:1" x14ac:dyDescent="0.25">
      <c r="A2659" t="s">
        <v>1877</v>
      </c>
    </row>
    <row r="2660" spans="1:1" x14ac:dyDescent="0.25">
      <c r="A2660" t="s">
        <v>1877</v>
      </c>
    </row>
    <row r="2661" spans="1:1" x14ac:dyDescent="0.25">
      <c r="A2661" t="s">
        <v>1877</v>
      </c>
    </row>
    <row r="2662" spans="1:1" x14ac:dyDescent="0.25">
      <c r="A2662" t="s">
        <v>1877</v>
      </c>
    </row>
    <row r="2663" spans="1:1" x14ac:dyDescent="0.25">
      <c r="A2663" t="s">
        <v>1877</v>
      </c>
    </row>
    <row r="2664" spans="1:1" x14ac:dyDescent="0.25">
      <c r="A2664" t="s">
        <v>1842</v>
      </c>
    </row>
    <row r="2665" spans="1:1" x14ac:dyDescent="0.25">
      <c r="A2665" t="s">
        <v>4111</v>
      </c>
    </row>
    <row r="2666" spans="1:1" x14ac:dyDescent="0.25">
      <c r="A2666" t="s">
        <v>4114</v>
      </c>
    </row>
    <row r="2667" spans="1:1" x14ac:dyDescent="0.25">
      <c r="A2667" t="s">
        <v>4114</v>
      </c>
    </row>
    <row r="2668" spans="1:1" x14ac:dyDescent="0.25">
      <c r="A2668" t="s">
        <v>4495</v>
      </c>
    </row>
    <row r="2669" spans="1:1" x14ac:dyDescent="0.25">
      <c r="A2669" t="s">
        <v>3745</v>
      </c>
    </row>
    <row r="2670" spans="1:1" x14ac:dyDescent="0.25">
      <c r="A2670" t="s">
        <v>3749</v>
      </c>
    </row>
    <row r="2671" spans="1:1" x14ac:dyDescent="0.25">
      <c r="A2671" t="s">
        <v>3749</v>
      </c>
    </row>
    <row r="2672" spans="1:1" x14ac:dyDescent="0.25">
      <c r="A2672" t="s">
        <v>3753</v>
      </c>
    </row>
    <row r="2673" spans="1:1" x14ac:dyDescent="0.25">
      <c r="A2673" t="s">
        <v>3072</v>
      </c>
    </row>
    <row r="2674" spans="1:1" x14ac:dyDescent="0.25">
      <c r="A2674" t="s">
        <v>3077</v>
      </c>
    </row>
    <row r="2675" spans="1:1" x14ac:dyDescent="0.25">
      <c r="A2675" t="s">
        <v>3081</v>
      </c>
    </row>
    <row r="2676" spans="1:1" x14ac:dyDescent="0.25">
      <c r="A2676" t="s">
        <v>3085</v>
      </c>
    </row>
    <row r="2677" spans="1:1" x14ac:dyDescent="0.25">
      <c r="A2677" t="s">
        <v>3089</v>
      </c>
    </row>
    <row r="2678" spans="1:1" x14ac:dyDescent="0.25">
      <c r="A2678" t="s">
        <v>3093</v>
      </c>
    </row>
    <row r="2679" spans="1:1" x14ac:dyDescent="0.25">
      <c r="A2679" t="s">
        <v>3097</v>
      </c>
    </row>
    <row r="2680" spans="1:1" x14ac:dyDescent="0.25">
      <c r="A2680" t="s">
        <v>3101</v>
      </c>
    </row>
    <row r="2681" spans="1:1" x14ac:dyDescent="0.25">
      <c r="A2681" t="s">
        <v>3104</v>
      </c>
    </row>
    <row r="2682" spans="1:1" x14ac:dyDescent="0.25">
      <c r="A2682" t="s">
        <v>3108</v>
      </c>
    </row>
    <row r="2683" spans="1:1" x14ac:dyDescent="0.25">
      <c r="A2683" t="s">
        <v>3112</v>
      </c>
    </row>
    <row r="2684" spans="1:1" x14ac:dyDescent="0.25">
      <c r="A2684" t="s">
        <v>3116</v>
      </c>
    </row>
    <row r="2685" spans="1:1" x14ac:dyDescent="0.25">
      <c r="A2685" t="s">
        <v>3120</v>
      </c>
    </row>
    <row r="2686" spans="1:1" x14ac:dyDescent="0.25">
      <c r="A2686" t="s">
        <v>3124</v>
      </c>
    </row>
    <row r="2687" spans="1:1" x14ac:dyDescent="0.25">
      <c r="A2687" t="s">
        <v>3128</v>
      </c>
    </row>
    <row r="2688" spans="1:1" x14ac:dyDescent="0.25">
      <c r="A2688" t="s">
        <v>3132</v>
      </c>
    </row>
    <row r="2689" spans="1:1" x14ac:dyDescent="0.25">
      <c r="A2689" t="s">
        <v>3136</v>
      </c>
    </row>
    <row r="2690" spans="1:1" x14ac:dyDescent="0.25">
      <c r="A2690" t="s">
        <v>3139</v>
      </c>
    </row>
    <row r="2691" spans="1:1" x14ac:dyDescent="0.25">
      <c r="A2691" t="s">
        <v>3143</v>
      </c>
    </row>
    <row r="2692" spans="1:1" x14ac:dyDescent="0.25">
      <c r="A2692" t="s">
        <v>3147</v>
      </c>
    </row>
    <row r="2693" spans="1:1" x14ac:dyDescent="0.25">
      <c r="A2693" t="s">
        <v>3151</v>
      </c>
    </row>
    <row r="2694" spans="1:1" x14ac:dyDescent="0.25">
      <c r="A2694" t="s">
        <v>3155</v>
      </c>
    </row>
    <row r="2695" spans="1:1" x14ac:dyDescent="0.25">
      <c r="A2695" t="s">
        <v>3159</v>
      </c>
    </row>
    <row r="2696" spans="1:1" x14ac:dyDescent="0.25">
      <c r="A2696" t="s">
        <v>3163</v>
      </c>
    </row>
    <row r="2697" spans="1:1" x14ac:dyDescent="0.25">
      <c r="A2697" t="s">
        <v>3167</v>
      </c>
    </row>
    <row r="2698" spans="1:1" x14ac:dyDescent="0.25">
      <c r="A2698" t="s">
        <v>3171</v>
      </c>
    </row>
    <row r="2699" spans="1:1" x14ac:dyDescent="0.25">
      <c r="A2699" t="s">
        <v>3175</v>
      </c>
    </row>
    <row r="2700" spans="1:1" x14ac:dyDescent="0.25">
      <c r="A2700" t="s">
        <v>3179</v>
      </c>
    </row>
    <row r="2701" spans="1:1" x14ac:dyDescent="0.25">
      <c r="A2701" t="s">
        <v>3183</v>
      </c>
    </row>
    <row r="2702" spans="1:1" x14ac:dyDescent="0.25">
      <c r="A2702" t="s">
        <v>3186</v>
      </c>
    </row>
    <row r="2703" spans="1:1" x14ac:dyDescent="0.25">
      <c r="A2703" t="s">
        <v>3189</v>
      </c>
    </row>
    <row r="2704" spans="1:1" x14ac:dyDescent="0.25">
      <c r="A2704" t="s">
        <v>3193</v>
      </c>
    </row>
    <row r="2705" spans="1:1" x14ac:dyDescent="0.25">
      <c r="A2705" t="s">
        <v>3197</v>
      </c>
    </row>
    <row r="2706" spans="1:1" x14ac:dyDescent="0.25">
      <c r="A2706" t="s">
        <v>3201</v>
      </c>
    </row>
    <row r="2707" spans="1:1" x14ac:dyDescent="0.25">
      <c r="A2707" t="s">
        <v>3205</v>
      </c>
    </row>
    <row r="2708" spans="1:1" x14ac:dyDescent="0.25">
      <c r="A2708" t="s">
        <v>3209</v>
      </c>
    </row>
    <row r="2709" spans="1:1" x14ac:dyDescent="0.25">
      <c r="A2709" t="s">
        <v>3108</v>
      </c>
    </row>
    <row r="2710" spans="1:1" x14ac:dyDescent="0.25">
      <c r="A2710" t="s">
        <v>3112</v>
      </c>
    </row>
    <row r="2711" spans="1:1" x14ac:dyDescent="0.25">
      <c r="A2711" t="s">
        <v>3120</v>
      </c>
    </row>
    <row r="2712" spans="1:1" x14ac:dyDescent="0.25">
      <c r="A2712" t="s">
        <v>3216</v>
      </c>
    </row>
    <row r="2713" spans="1:1" x14ac:dyDescent="0.25">
      <c r="A2713" t="s">
        <v>3151</v>
      </c>
    </row>
    <row r="2714" spans="1:1" x14ac:dyDescent="0.25">
      <c r="A2714" t="s">
        <v>3151</v>
      </c>
    </row>
    <row r="2715" spans="1:1" x14ac:dyDescent="0.25">
      <c r="A2715" t="s">
        <v>3726</v>
      </c>
    </row>
    <row r="2716" spans="1:1" x14ac:dyDescent="0.25">
      <c r="A2716" t="s">
        <v>4489</v>
      </c>
    </row>
    <row r="2717" spans="1:1" x14ac:dyDescent="0.25">
      <c r="A2717" t="s">
        <v>4489</v>
      </c>
    </row>
    <row r="2718" spans="1:1" x14ac:dyDescent="0.25">
      <c r="A2718" t="s">
        <v>2081</v>
      </c>
    </row>
    <row r="2719" spans="1:1" x14ac:dyDescent="0.25">
      <c r="A2719" t="s">
        <v>2085</v>
      </c>
    </row>
    <row r="2720" spans="1:1" x14ac:dyDescent="0.25">
      <c r="A2720" t="s">
        <v>2085</v>
      </c>
    </row>
    <row r="2721" spans="1:1" x14ac:dyDescent="0.25">
      <c r="A2721" t="s">
        <v>2085</v>
      </c>
    </row>
    <row r="2722" spans="1:1" x14ac:dyDescent="0.25">
      <c r="A2722" t="s">
        <v>2085</v>
      </c>
    </row>
    <row r="2723" spans="1:1" x14ac:dyDescent="0.25">
      <c r="A2723" t="s">
        <v>2085</v>
      </c>
    </row>
    <row r="2724" spans="1:1" x14ac:dyDescent="0.25">
      <c r="A2724" t="s">
        <v>2085</v>
      </c>
    </row>
    <row r="2725" spans="1:1" x14ac:dyDescent="0.25">
      <c r="A2725" t="s">
        <v>2085</v>
      </c>
    </row>
    <row r="2726" spans="1:1" x14ac:dyDescent="0.25">
      <c r="A2726" t="s">
        <v>2085</v>
      </c>
    </row>
    <row r="2727" spans="1:1" x14ac:dyDescent="0.25">
      <c r="A2727" t="s">
        <v>2085</v>
      </c>
    </row>
    <row r="2728" spans="1:1" x14ac:dyDescent="0.25">
      <c r="A2728" t="s">
        <v>2085</v>
      </c>
    </row>
    <row r="2729" spans="1:1" x14ac:dyDescent="0.25">
      <c r="A2729" t="s">
        <v>2085</v>
      </c>
    </row>
    <row r="2730" spans="1:1" x14ac:dyDescent="0.25">
      <c r="A2730" t="s">
        <v>2085</v>
      </c>
    </row>
    <row r="2731" spans="1:1" x14ac:dyDescent="0.25">
      <c r="A2731" t="s">
        <v>2085</v>
      </c>
    </row>
    <row r="2732" spans="1:1" x14ac:dyDescent="0.25">
      <c r="A2732" t="s">
        <v>3043</v>
      </c>
    </row>
    <row r="2733" spans="1:1" x14ac:dyDescent="0.25">
      <c r="A2733" t="s">
        <v>3046</v>
      </c>
    </row>
    <row r="2734" spans="1:1" x14ac:dyDescent="0.25">
      <c r="A2734" t="s">
        <v>3224</v>
      </c>
    </row>
    <row r="2735" spans="1:1" x14ac:dyDescent="0.25">
      <c r="A2735" t="s">
        <v>3227</v>
      </c>
    </row>
    <row r="2736" spans="1:1" x14ac:dyDescent="0.25">
      <c r="A2736" t="s">
        <v>3230</v>
      </c>
    </row>
    <row r="2737" spans="1:1" x14ac:dyDescent="0.25">
      <c r="A2737" t="s">
        <v>3233</v>
      </c>
    </row>
    <row r="2738" spans="1:1" x14ac:dyDescent="0.25">
      <c r="A2738" t="s">
        <v>3236</v>
      </c>
    </row>
    <row r="2739" spans="1:1" x14ac:dyDescent="0.25">
      <c r="A2739" t="s">
        <v>3239</v>
      </c>
    </row>
    <row r="2740" spans="1:1" x14ac:dyDescent="0.25">
      <c r="A2740" t="s">
        <v>3242</v>
      </c>
    </row>
    <row r="2741" spans="1:1" x14ac:dyDescent="0.25">
      <c r="A2741" t="s">
        <v>3245</v>
      </c>
    </row>
    <row r="2742" spans="1:1" x14ac:dyDescent="0.25">
      <c r="A2742" t="s">
        <v>3248</v>
      </c>
    </row>
    <row r="2743" spans="1:1" x14ac:dyDescent="0.25">
      <c r="A2743" t="s">
        <v>3251</v>
      </c>
    </row>
    <row r="2744" spans="1:1" x14ac:dyDescent="0.25">
      <c r="A2744" t="s">
        <v>3254</v>
      </c>
    </row>
    <row r="2745" spans="1:1" x14ac:dyDescent="0.25">
      <c r="A2745" t="s">
        <v>3257</v>
      </c>
    </row>
    <row r="2746" spans="1:1" x14ac:dyDescent="0.25">
      <c r="A2746" t="s">
        <v>3260</v>
      </c>
    </row>
    <row r="2747" spans="1:1" x14ac:dyDescent="0.25">
      <c r="A2747" t="s">
        <v>3263</v>
      </c>
    </row>
    <row r="2748" spans="1:1" x14ac:dyDescent="0.25">
      <c r="A2748" t="s">
        <v>3266</v>
      </c>
    </row>
    <row r="2749" spans="1:1" x14ac:dyDescent="0.25">
      <c r="A2749" t="s">
        <v>3269</v>
      </c>
    </row>
    <row r="2750" spans="1:1" x14ac:dyDescent="0.25">
      <c r="A2750" t="s">
        <v>3272</v>
      </c>
    </row>
    <row r="2751" spans="1:1" x14ac:dyDescent="0.25">
      <c r="A2751" t="s">
        <v>3275</v>
      </c>
    </row>
    <row r="2752" spans="1:1" x14ac:dyDescent="0.25">
      <c r="A2752" t="s">
        <v>3278</v>
      </c>
    </row>
    <row r="2753" spans="1:1" x14ac:dyDescent="0.25">
      <c r="A2753" t="s">
        <v>3281</v>
      </c>
    </row>
    <row r="2754" spans="1:1" x14ac:dyDescent="0.25">
      <c r="A2754" t="s">
        <v>3284</v>
      </c>
    </row>
    <row r="2755" spans="1:1" x14ac:dyDescent="0.25">
      <c r="A2755" t="s">
        <v>3287</v>
      </c>
    </row>
    <row r="2756" spans="1:1" x14ac:dyDescent="0.25">
      <c r="A2756" t="s">
        <v>3290</v>
      </c>
    </row>
    <row r="2757" spans="1:1" x14ac:dyDescent="0.25">
      <c r="A2757" t="s">
        <v>3293</v>
      </c>
    </row>
    <row r="2758" spans="1:1" x14ac:dyDescent="0.25">
      <c r="A2758" t="s">
        <v>3296</v>
      </c>
    </row>
    <row r="2759" spans="1:1" x14ac:dyDescent="0.25">
      <c r="A2759" t="s">
        <v>3299</v>
      </c>
    </row>
    <row r="2760" spans="1:1" x14ac:dyDescent="0.25">
      <c r="A2760" t="s">
        <v>3302</v>
      </c>
    </row>
    <row r="2761" spans="1:1" x14ac:dyDescent="0.25">
      <c r="A2761" t="s">
        <v>3305</v>
      </c>
    </row>
    <row r="2762" spans="1:1" x14ac:dyDescent="0.25">
      <c r="A2762" t="s">
        <v>3308</v>
      </c>
    </row>
    <row r="2763" spans="1:1" x14ac:dyDescent="0.25">
      <c r="A2763" t="s">
        <v>3311</v>
      </c>
    </row>
    <row r="2764" spans="1:1" x14ac:dyDescent="0.25">
      <c r="A2764" t="s">
        <v>3314</v>
      </c>
    </row>
    <row r="2765" spans="1:1" x14ac:dyDescent="0.25">
      <c r="A2765" t="s">
        <v>3317</v>
      </c>
    </row>
    <row r="2766" spans="1:1" x14ac:dyDescent="0.25">
      <c r="A2766" t="s">
        <v>3320</v>
      </c>
    </row>
    <row r="2767" spans="1:1" x14ac:dyDescent="0.25">
      <c r="A2767" t="s">
        <v>3323</v>
      </c>
    </row>
    <row r="2768" spans="1:1" x14ac:dyDescent="0.25">
      <c r="A2768" t="s">
        <v>3326</v>
      </c>
    </row>
    <row r="2769" spans="1:1" x14ac:dyDescent="0.25">
      <c r="A2769" t="s">
        <v>3329</v>
      </c>
    </row>
    <row r="2770" spans="1:1" x14ac:dyDescent="0.25">
      <c r="A2770" t="s">
        <v>3332</v>
      </c>
    </row>
    <row r="2771" spans="1:1" x14ac:dyDescent="0.25">
      <c r="A2771" t="s">
        <v>3335</v>
      </c>
    </row>
    <row r="2772" spans="1:1" x14ac:dyDescent="0.25">
      <c r="A2772" t="s">
        <v>3338</v>
      </c>
    </row>
    <row r="2773" spans="1:1" x14ac:dyDescent="0.25">
      <c r="A2773" t="s">
        <v>3341</v>
      </c>
    </row>
    <row r="2774" spans="1:1" x14ac:dyDescent="0.25">
      <c r="A2774" t="s">
        <v>3344</v>
      </c>
    </row>
    <row r="2775" spans="1:1" x14ac:dyDescent="0.25">
      <c r="A2775" t="s">
        <v>3347</v>
      </c>
    </row>
    <row r="2776" spans="1:1" x14ac:dyDescent="0.25">
      <c r="A2776" t="s">
        <v>3350</v>
      </c>
    </row>
    <row r="2777" spans="1:1" x14ac:dyDescent="0.25">
      <c r="A2777" t="s">
        <v>3353</v>
      </c>
    </row>
    <row r="2778" spans="1:1" x14ac:dyDescent="0.25">
      <c r="A2778" t="s">
        <v>3356</v>
      </c>
    </row>
    <row r="2779" spans="1:1" x14ac:dyDescent="0.25">
      <c r="A2779" t="s">
        <v>3359</v>
      </c>
    </row>
    <row r="2780" spans="1:1" x14ac:dyDescent="0.25">
      <c r="A2780" t="s">
        <v>3362</v>
      </c>
    </row>
    <row r="2781" spans="1:1" x14ac:dyDescent="0.25">
      <c r="A2781" t="s">
        <v>3365</v>
      </c>
    </row>
    <row r="2782" spans="1:1" x14ac:dyDescent="0.25">
      <c r="A2782" t="s">
        <v>3368</v>
      </c>
    </row>
    <row r="2783" spans="1:1" x14ac:dyDescent="0.25">
      <c r="A2783" t="s">
        <v>3371</v>
      </c>
    </row>
    <row r="2784" spans="1:1" x14ac:dyDescent="0.25">
      <c r="A2784" t="s">
        <v>3374</v>
      </c>
    </row>
    <row r="2785" spans="1:1" x14ac:dyDescent="0.25">
      <c r="A2785" t="s">
        <v>3377</v>
      </c>
    </row>
    <row r="2786" spans="1:1" x14ac:dyDescent="0.25">
      <c r="A2786" t="s">
        <v>3380</v>
      </c>
    </row>
    <row r="2787" spans="1:1" x14ac:dyDescent="0.25">
      <c r="A2787" t="s">
        <v>3383</v>
      </c>
    </row>
    <row r="2788" spans="1:1" x14ac:dyDescent="0.25">
      <c r="A2788" t="s">
        <v>3386</v>
      </c>
    </row>
    <row r="2789" spans="1:1" x14ac:dyDescent="0.25">
      <c r="A2789" t="s">
        <v>3389</v>
      </c>
    </row>
    <row r="2790" spans="1:1" x14ac:dyDescent="0.25">
      <c r="A2790" t="s">
        <v>3392</v>
      </c>
    </row>
    <row r="2791" spans="1:1" x14ac:dyDescent="0.25">
      <c r="A2791" t="s">
        <v>3395</v>
      </c>
    </row>
    <row r="2792" spans="1:1" x14ac:dyDescent="0.25">
      <c r="A2792" t="s">
        <v>3398</v>
      </c>
    </row>
    <row r="2793" spans="1:1" x14ac:dyDescent="0.25">
      <c r="A2793" t="s">
        <v>3401</v>
      </c>
    </row>
    <row r="2794" spans="1:1" x14ac:dyDescent="0.25">
      <c r="A2794" t="s">
        <v>3404</v>
      </c>
    </row>
    <row r="2795" spans="1:1" x14ac:dyDescent="0.25">
      <c r="A2795" t="s">
        <v>3407</v>
      </c>
    </row>
    <row r="2796" spans="1:1" x14ac:dyDescent="0.25">
      <c r="A2796" t="s">
        <v>3410</v>
      </c>
    </row>
    <row r="2797" spans="1:1" x14ac:dyDescent="0.25">
      <c r="A2797" t="s">
        <v>3413</v>
      </c>
    </row>
    <row r="2798" spans="1:1" x14ac:dyDescent="0.25">
      <c r="A2798" t="s">
        <v>3416</v>
      </c>
    </row>
    <row r="2799" spans="1:1" x14ac:dyDescent="0.25">
      <c r="A2799" t="s">
        <v>3419</v>
      </c>
    </row>
    <row r="2800" spans="1:1" x14ac:dyDescent="0.25">
      <c r="A2800" t="s">
        <v>3422</v>
      </c>
    </row>
    <row r="2801" spans="1:1" x14ac:dyDescent="0.25">
      <c r="A2801" t="s">
        <v>3561</v>
      </c>
    </row>
    <row r="2802" spans="1:1" x14ac:dyDescent="0.25">
      <c r="A2802" t="s">
        <v>3564</v>
      </c>
    </row>
    <row r="2803" spans="1:1" x14ac:dyDescent="0.25">
      <c r="A2803" t="s">
        <v>3569</v>
      </c>
    </row>
    <row r="2804" spans="1:1" x14ac:dyDescent="0.25">
      <c r="A2804" t="s">
        <v>3572</v>
      </c>
    </row>
    <row r="2805" spans="1:1" x14ac:dyDescent="0.25">
      <c r="A2805" t="s">
        <v>3569</v>
      </c>
    </row>
    <row r="2806" spans="1:1" x14ac:dyDescent="0.25">
      <c r="A2806" t="s">
        <v>3569</v>
      </c>
    </row>
    <row r="2807" spans="1:1" x14ac:dyDescent="0.25">
      <c r="A2807" t="s">
        <v>1443</v>
      </c>
    </row>
    <row r="2808" spans="1:1" x14ac:dyDescent="0.25">
      <c r="A2808" t="s">
        <v>1447</v>
      </c>
    </row>
    <row r="2809" spans="1:1" x14ac:dyDescent="0.25">
      <c r="A2809" t="s">
        <v>1452</v>
      </c>
    </row>
    <row r="2810" spans="1:1" x14ac:dyDescent="0.25">
      <c r="A2810" t="s">
        <v>1455</v>
      </c>
    </row>
    <row r="2811" spans="1:1" x14ac:dyDescent="0.25">
      <c r="A2811" t="s">
        <v>1458</v>
      </c>
    </row>
    <row r="2812" spans="1:1" x14ac:dyDescent="0.25">
      <c r="A2812" t="s">
        <v>1461</v>
      </c>
    </row>
    <row r="2813" spans="1:1" x14ac:dyDescent="0.25">
      <c r="A2813" t="s">
        <v>1464</v>
      </c>
    </row>
    <row r="2814" spans="1:1" x14ac:dyDescent="0.25">
      <c r="A2814" t="s">
        <v>1555</v>
      </c>
    </row>
    <row r="2815" spans="1:1" x14ac:dyDescent="0.25">
      <c r="A2815" t="s">
        <v>1555</v>
      </c>
    </row>
    <row r="2816" spans="1:1" x14ac:dyDescent="0.25">
      <c r="A2816" t="s">
        <v>1909</v>
      </c>
    </row>
    <row r="2817" spans="1:1" x14ac:dyDescent="0.25">
      <c r="A2817" t="s">
        <v>1909</v>
      </c>
    </row>
    <row r="2818" spans="1:1" x14ac:dyDescent="0.25">
      <c r="A2818" t="s">
        <v>1909</v>
      </c>
    </row>
    <row r="2819" spans="1:1" x14ac:dyDescent="0.25">
      <c r="A2819" t="s">
        <v>1909</v>
      </c>
    </row>
    <row r="2820" spans="1:1" x14ac:dyDescent="0.25">
      <c r="A2820" t="s">
        <v>1915</v>
      </c>
    </row>
    <row r="2821" spans="1:1" x14ac:dyDescent="0.25">
      <c r="A2821" t="s">
        <v>1918</v>
      </c>
    </row>
    <row r="2822" spans="1:1" x14ac:dyDescent="0.25">
      <c r="A2822" t="s">
        <v>1921</v>
      </c>
    </row>
    <row r="2823" spans="1:1" x14ac:dyDescent="0.25">
      <c r="A2823" t="s">
        <v>1924</v>
      </c>
    </row>
    <row r="2824" spans="1:1" x14ac:dyDescent="0.25">
      <c r="A2824" t="s">
        <v>1927</v>
      </c>
    </row>
    <row r="2825" spans="1:1" x14ac:dyDescent="0.25">
      <c r="A2825" t="s">
        <v>1930</v>
      </c>
    </row>
    <row r="2826" spans="1:1" x14ac:dyDescent="0.25">
      <c r="A2826" t="s">
        <v>1933</v>
      </c>
    </row>
    <row r="2827" spans="1:1" x14ac:dyDescent="0.25">
      <c r="A2827" t="s">
        <v>1936</v>
      </c>
    </row>
    <row r="2828" spans="1:1" x14ac:dyDescent="0.25">
      <c r="A2828" t="s">
        <v>1939</v>
      </c>
    </row>
    <row r="2829" spans="1:1" x14ac:dyDescent="0.25">
      <c r="A2829" t="s">
        <v>1942</v>
      </c>
    </row>
    <row r="2830" spans="1:1" x14ac:dyDescent="0.25">
      <c r="A2830" t="s">
        <v>1945</v>
      </c>
    </row>
    <row r="2831" spans="1:1" x14ac:dyDescent="0.25">
      <c r="A2831" t="s">
        <v>1948</v>
      </c>
    </row>
    <row r="2832" spans="1:1" x14ac:dyDescent="0.25">
      <c r="A2832" t="s">
        <v>1951</v>
      </c>
    </row>
    <row r="2833" spans="1:1" x14ac:dyDescent="0.25">
      <c r="A2833" t="s">
        <v>1954</v>
      </c>
    </row>
    <row r="2834" spans="1:1" x14ac:dyDescent="0.25">
      <c r="A2834" t="s">
        <v>1957</v>
      </c>
    </row>
    <row r="2835" spans="1:1" x14ac:dyDescent="0.25">
      <c r="A2835" t="s">
        <v>1960</v>
      </c>
    </row>
    <row r="2836" spans="1:1" x14ac:dyDescent="0.25">
      <c r="A2836" t="s">
        <v>1963</v>
      </c>
    </row>
    <row r="2837" spans="1:1" x14ac:dyDescent="0.25">
      <c r="A2837" t="s">
        <v>1966</v>
      </c>
    </row>
    <row r="2838" spans="1:1" x14ac:dyDescent="0.25">
      <c r="A2838" t="s">
        <v>1969</v>
      </c>
    </row>
    <row r="2839" spans="1:1" x14ac:dyDescent="0.25">
      <c r="A2839" t="s">
        <v>1972</v>
      </c>
    </row>
    <row r="2840" spans="1:1" x14ac:dyDescent="0.25">
      <c r="A2840" t="s">
        <v>1975</v>
      </c>
    </row>
    <row r="2841" spans="1:1" x14ac:dyDescent="0.25">
      <c r="A2841" t="s">
        <v>1978</v>
      </c>
    </row>
    <row r="2842" spans="1:1" x14ac:dyDescent="0.25">
      <c r="A2842" t="s">
        <v>1981</v>
      </c>
    </row>
    <row r="2843" spans="1:1" x14ac:dyDescent="0.25">
      <c r="A2843" t="s">
        <v>1984</v>
      </c>
    </row>
    <row r="2844" spans="1:1" x14ac:dyDescent="0.25">
      <c r="A2844" t="s">
        <v>1909</v>
      </c>
    </row>
    <row r="2845" spans="1:1" x14ac:dyDescent="0.25">
      <c r="A2845" t="s">
        <v>1988</v>
      </c>
    </row>
    <row r="2846" spans="1:1" x14ac:dyDescent="0.25">
      <c r="A2846" t="s">
        <v>1991</v>
      </c>
    </row>
    <row r="2847" spans="1:1" x14ac:dyDescent="0.25">
      <c r="A2847" t="s">
        <v>1994</v>
      </c>
    </row>
    <row r="2848" spans="1:1" x14ac:dyDescent="0.25">
      <c r="A2848" t="s">
        <v>1997</v>
      </c>
    </row>
    <row r="2849" spans="1:1" x14ac:dyDescent="0.25">
      <c r="A2849" t="s">
        <v>2000</v>
      </c>
    </row>
    <row r="2850" spans="1:1" x14ac:dyDescent="0.25">
      <c r="A2850" t="s">
        <v>1915</v>
      </c>
    </row>
    <row r="2851" spans="1:1" x14ac:dyDescent="0.25">
      <c r="A2851" t="s">
        <v>3603</v>
      </c>
    </row>
    <row r="2852" spans="1:1" x14ac:dyDescent="0.25">
      <c r="A2852" t="s">
        <v>3603</v>
      </c>
    </row>
    <row r="2853" spans="1:1" x14ac:dyDescent="0.25">
      <c r="A2853" t="s">
        <v>3603</v>
      </c>
    </row>
    <row r="2854" spans="1:1" x14ac:dyDescent="0.25">
      <c r="A2854" t="s">
        <v>3608</v>
      </c>
    </row>
    <row r="2855" spans="1:1" x14ac:dyDescent="0.25">
      <c r="A2855" t="s">
        <v>3608</v>
      </c>
    </row>
    <row r="2856" spans="1:1" x14ac:dyDescent="0.25">
      <c r="A2856" t="s">
        <v>3612</v>
      </c>
    </row>
    <row r="2857" spans="1:1" x14ac:dyDescent="0.25">
      <c r="A2857" t="s">
        <v>3612</v>
      </c>
    </row>
    <row r="2858" spans="1:1" x14ac:dyDescent="0.25">
      <c r="A2858" t="s">
        <v>3616</v>
      </c>
    </row>
    <row r="2859" spans="1:1" x14ac:dyDescent="0.25">
      <c r="A2859" t="s">
        <v>3616</v>
      </c>
    </row>
    <row r="2860" spans="1:1" x14ac:dyDescent="0.25">
      <c r="A2860" t="s">
        <v>3620</v>
      </c>
    </row>
    <row r="2861" spans="1:1" x14ac:dyDescent="0.25">
      <c r="A2861" t="s">
        <v>3823</v>
      </c>
    </row>
    <row r="2862" spans="1:1" x14ac:dyDescent="0.25">
      <c r="A2862" t="s">
        <v>3855</v>
      </c>
    </row>
    <row r="2863" spans="1:1" x14ac:dyDescent="0.25">
      <c r="A2863" t="s">
        <v>3858</v>
      </c>
    </row>
    <row r="2864" spans="1:1" x14ac:dyDescent="0.25">
      <c r="A2864" t="s">
        <v>1548</v>
      </c>
    </row>
    <row r="2865" spans="1:1" x14ac:dyDescent="0.25">
      <c r="A2865" t="s">
        <v>1548</v>
      </c>
    </row>
    <row r="2866" spans="1:1" x14ac:dyDescent="0.25">
      <c r="A2866" t="s">
        <v>1561</v>
      </c>
    </row>
    <row r="2867" spans="1:1" x14ac:dyDescent="0.25">
      <c r="A2867" t="s">
        <v>1561</v>
      </c>
    </row>
    <row r="2868" spans="1:1" x14ac:dyDescent="0.25">
      <c r="A2868" t="s">
        <v>1561</v>
      </c>
    </row>
    <row r="2869" spans="1:1" x14ac:dyDescent="0.25">
      <c r="A2869" t="s">
        <v>1564</v>
      </c>
    </row>
    <row r="2870" spans="1:1" x14ac:dyDescent="0.25">
      <c r="A2870" t="s">
        <v>2012</v>
      </c>
    </row>
    <row r="2871" spans="1:1" x14ac:dyDescent="0.25">
      <c r="A2871" t="s">
        <v>2012</v>
      </c>
    </row>
    <row r="2872" spans="1:1" x14ac:dyDescent="0.25">
      <c r="A2872" t="s">
        <v>2016</v>
      </c>
    </row>
    <row r="2873" spans="1:1" x14ac:dyDescent="0.25">
      <c r="A2873" t="s">
        <v>2019</v>
      </c>
    </row>
    <row r="2874" spans="1:1" x14ac:dyDescent="0.25">
      <c r="A2874" t="s">
        <v>2022</v>
      </c>
    </row>
    <row r="2875" spans="1:1" x14ac:dyDescent="0.25">
      <c r="A2875" t="s">
        <v>2022</v>
      </c>
    </row>
    <row r="2876" spans="1:1" x14ac:dyDescent="0.25">
      <c r="A2876" t="s">
        <v>2026</v>
      </c>
    </row>
    <row r="2877" spans="1:1" x14ac:dyDescent="0.25">
      <c r="A2877" t="s">
        <v>2029</v>
      </c>
    </row>
    <row r="2878" spans="1:1" x14ac:dyDescent="0.25">
      <c r="A2878" t="s">
        <v>2032</v>
      </c>
    </row>
    <row r="2879" spans="1:1" x14ac:dyDescent="0.25">
      <c r="A2879" t="s">
        <v>2012</v>
      </c>
    </row>
    <row r="2880" spans="1:1" x14ac:dyDescent="0.25">
      <c r="A2880" t="s">
        <v>2036</v>
      </c>
    </row>
    <row r="2881" spans="1:1" x14ac:dyDescent="0.25">
      <c r="A2881" t="s">
        <v>2039</v>
      </c>
    </row>
    <row r="2882" spans="1:1" x14ac:dyDescent="0.25">
      <c r="A2882" t="s">
        <v>2042</v>
      </c>
    </row>
    <row r="2883" spans="1:1" x14ac:dyDescent="0.25">
      <c r="A2883" t="s">
        <v>2016</v>
      </c>
    </row>
    <row r="2884" spans="1:1" x14ac:dyDescent="0.25">
      <c r="A2884" t="s">
        <v>2046</v>
      </c>
    </row>
    <row r="2885" spans="1:1" x14ac:dyDescent="0.25">
      <c r="A2885" t="s">
        <v>2049</v>
      </c>
    </row>
    <row r="2886" spans="1:1" x14ac:dyDescent="0.25">
      <c r="A2886" t="s">
        <v>2052</v>
      </c>
    </row>
    <row r="2887" spans="1:1" x14ac:dyDescent="0.25">
      <c r="A2887" t="s">
        <v>2055</v>
      </c>
    </row>
    <row r="2888" spans="1:1" x14ac:dyDescent="0.25">
      <c r="A2888" t="s">
        <v>2019</v>
      </c>
    </row>
    <row r="2889" spans="1:1" x14ac:dyDescent="0.25">
      <c r="A2889" t="s">
        <v>2059</v>
      </c>
    </row>
    <row r="2890" spans="1:1" x14ac:dyDescent="0.25">
      <c r="A2890" t="s">
        <v>2062</v>
      </c>
    </row>
    <row r="2891" spans="1:1" x14ac:dyDescent="0.25">
      <c r="A2891" t="s">
        <v>2065</v>
      </c>
    </row>
    <row r="2892" spans="1:1" x14ac:dyDescent="0.25">
      <c r="A2892" t="s">
        <v>2068</v>
      </c>
    </row>
    <row r="2893" spans="1:1" x14ac:dyDescent="0.25">
      <c r="A2893" t="s">
        <v>2071</v>
      </c>
    </row>
    <row r="2894" spans="1:1" x14ac:dyDescent="0.25">
      <c r="A2894" t="s">
        <v>3051</v>
      </c>
    </row>
    <row r="2895" spans="1:1" x14ac:dyDescent="0.25">
      <c r="A2895" t="s">
        <v>3054</v>
      </c>
    </row>
    <row r="2896" spans="1:1" x14ac:dyDescent="0.25">
      <c r="A2896" t="s">
        <v>953</v>
      </c>
    </row>
    <row r="2897" spans="1:1" x14ac:dyDescent="0.25">
      <c r="A2897" t="s">
        <v>1349</v>
      </c>
    </row>
    <row r="2898" spans="1:1" x14ac:dyDescent="0.25">
      <c r="A2898" t="s">
        <v>1349</v>
      </c>
    </row>
    <row r="2899" spans="1:1" x14ac:dyDescent="0.25">
      <c r="A2899" t="s">
        <v>1353</v>
      </c>
    </row>
    <row r="2900" spans="1:1" x14ac:dyDescent="0.25">
      <c r="A2900" t="s">
        <v>1353</v>
      </c>
    </row>
    <row r="2901" spans="1:1" x14ac:dyDescent="0.25">
      <c r="A2901" t="s">
        <v>1357</v>
      </c>
    </row>
    <row r="2902" spans="1:1" x14ac:dyDescent="0.25">
      <c r="A2902" t="s">
        <v>1493</v>
      </c>
    </row>
    <row r="2903" spans="1:1" x14ac:dyDescent="0.25">
      <c r="A2903" t="s">
        <v>1496</v>
      </c>
    </row>
    <row r="2904" spans="1:1" x14ac:dyDescent="0.25">
      <c r="A2904" t="s">
        <v>1569</v>
      </c>
    </row>
    <row r="2905" spans="1:1" x14ac:dyDescent="0.25">
      <c r="A2905" t="s">
        <v>1569</v>
      </c>
    </row>
    <row r="2906" spans="1:1" x14ac:dyDescent="0.25">
      <c r="A2906" t="s">
        <v>3497</v>
      </c>
    </row>
    <row r="2907" spans="1:1" x14ac:dyDescent="0.25">
      <c r="A2907" t="s">
        <v>3500</v>
      </c>
    </row>
    <row r="2908" spans="1:1" x14ac:dyDescent="0.25">
      <c r="A2908" t="s">
        <v>3503</v>
      </c>
    </row>
    <row r="2909" spans="1:1" x14ac:dyDescent="0.25">
      <c r="A2909" t="s">
        <v>3506</v>
      </c>
    </row>
    <row r="2910" spans="1:1" x14ac:dyDescent="0.25">
      <c r="A2910" t="s">
        <v>3509</v>
      </c>
    </row>
    <row r="2911" spans="1:1" x14ac:dyDescent="0.25">
      <c r="A2911" t="s">
        <v>3512</v>
      </c>
    </row>
    <row r="2912" spans="1:1" x14ac:dyDescent="0.25">
      <c r="A2912" t="s">
        <v>3515</v>
      </c>
    </row>
    <row r="2913" spans="1:1" x14ac:dyDescent="0.25">
      <c r="A2913" t="s">
        <v>3518</v>
      </c>
    </row>
    <row r="2914" spans="1:1" x14ac:dyDescent="0.25">
      <c r="A2914" t="s">
        <v>3521</v>
      </c>
    </row>
    <row r="2915" spans="1:1" x14ac:dyDescent="0.25">
      <c r="A2915" t="s">
        <v>711</v>
      </c>
    </row>
    <row r="2916" spans="1:1" x14ac:dyDescent="0.25">
      <c r="A2916" t="s">
        <v>704</v>
      </c>
    </row>
    <row r="2917" spans="1:1" x14ac:dyDescent="0.25">
      <c r="A2917" t="s">
        <v>716</v>
      </c>
    </row>
    <row r="2918" spans="1:1" x14ac:dyDescent="0.25">
      <c r="A2918" t="s">
        <v>719</v>
      </c>
    </row>
    <row r="2919" spans="1:1" x14ac:dyDescent="0.25">
      <c r="A2919" t="s">
        <v>722</v>
      </c>
    </row>
    <row r="2920" spans="1:1" x14ac:dyDescent="0.25">
      <c r="A2920" t="s">
        <v>725</v>
      </c>
    </row>
    <row r="2921" spans="1:1" x14ac:dyDescent="0.25">
      <c r="A2921" t="s">
        <v>728</v>
      </c>
    </row>
    <row r="2922" spans="1:1" x14ac:dyDescent="0.25">
      <c r="A2922" t="s">
        <v>731</v>
      </c>
    </row>
    <row r="2923" spans="1:1" x14ac:dyDescent="0.25">
      <c r="A2923" t="s">
        <v>734</v>
      </c>
    </row>
    <row r="2924" spans="1:1" x14ac:dyDescent="0.25">
      <c r="A2924" t="s">
        <v>737</v>
      </c>
    </row>
    <row r="2925" spans="1:1" x14ac:dyDescent="0.25">
      <c r="A2925" t="s">
        <v>740</v>
      </c>
    </row>
    <row r="2926" spans="1:1" x14ac:dyDescent="0.25">
      <c r="A2926" t="s">
        <v>743</v>
      </c>
    </row>
    <row r="2927" spans="1:1" x14ac:dyDescent="0.25">
      <c r="A2927" t="s">
        <v>746</v>
      </c>
    </row>
    <row r="2928" spans="1:1" x14ac:dyDescent="0.25">
      <c r="A2928" t="s">
        <v>708</v>
      </c>
    </row>
    <row r="2929" spans="1:1" x14ac:dyDescent="0.25">
      <c r="A2929" t="s">
        <v>750</v>
      </c>
    </row>
    <row r="2930" spans="1:1" x14ac:dyDescent="0.25">
      <c r="A2930" t="s">
        <v>753</v>
      </c>
    </row>
    <row r="2931" spans="1:1" x14ac:dyDescent="0.25">
      <c r="A2931" t="s">
        <v>756</v>
      </c>
    </row>
    <row r="2932" spans="1:1" x14ac:dyDescent="0.25">
      <c r="A2932" t="s">
        <v>759</v>
      </c>
    </row>
    <row r="2933" spans="1:1" x14ac:dyDescent="0.25">
      <c r="A2933" t="s">
        <v>762</v>
      </c>
    </row>
    <row r="2934" spans="1:1" x14ac:dyDescent="0.25">
      <c r="A2934" t="s">
        <v>765</v>
      </c>
    </row>
    <row r="2935" spans="1:1" x14ac:dyDescent="0.25">
      <c r="A2935" t="s">
        <v>768</v>
      </c>
    </row>
    <row r="2936" spans="1:1" x14ac:dyDescent="0.25">
      <c r="A2936" t="s">
        <v>771</v>
      </c>
    </row>
    <row r="2937" spans="1:1" x14ac:dyDescent="0.25">
      <c r="A2937" t="s">
        <v>774</v>
      </c>
    </row>
    <row r="2938" spans="1:1" x14ac:dyDescent="0.25">
      <c r="A2938" t="s">
        <v>777</v>
      </c>
    </row>
    <row r="2939" spans="1:1" x14ac:dyDescent="0.25">
      <c r="A2939" t="s">
        <v>780</v>
      </c>
    </row>
    <row r="2940" spans="1:1" x14ac:dyDescent="0.25">
      <c r="A2940" t="s">
        <v>783</v>
      </c>
    </row>
    <row r="2941" spans="1:1" x14ac:dyDescent="0.25">
      <c r="A2941" t="s">
        <v>786</v>
      </c>
    </row>
    <row r="2942" spans="1:1" x14ac:dyDescent="0.25">
      <c r="A2942" t="s">
        <v>789</v>
      </c>
    </row>
    <row r="2943" spans="1:1" x14ac:dyDescent="0.25">
      <c r="A2943" t="s">
        <v>792</v>
      </c>
    </row>
    <row r="2944" spans="1:1" x14ac:dyDescent="0.25">
      <c r="A2944" t="s">
        <v>795</v>
      </c>
    </row>
    <row r="2945" spans="1:1" x14ac:dyDescent="0.25">
      <c r="A2945" t="s">
        <v>798</v>
      </c>
    </row>
    <row r="2946" spans="1:1" x14ac:dyDescent="0.25">
      <c r="A2946" t="s">
        <v>801</v>
      </c>
    </row>
    <row r="2947" spans="1:1" x14ac:dyDescent="0.25">
      <c r="A2947" t="s">
        <v>804</v>
      </c>
    </row>
    <row r="2948" spans="1:1" x14ac:dyDescent="0.25">
      <c r="A2948" t="s">
        <v>807</v>
      </c>
    </row>
    <row r="2949" spans="1:1" x14ac:dyDescent="0.25">
      <c r="A2949" t="s">
        <v>810</v>
      </c>
    </row>
    <row r="2950" spans="1:1" x14ac:dyDescent="0.25">
      <c r="A2950" t="s">
        <v>813</v>
      </c>
    </row>
    <row r="2951" spans="1:1" x14ac:dyDescent="0.25">
      <c r="A2951" t="s">
        <v>816</v>
      </c>
    </row>
    <row r="2952" spans="1:1" x14ac:dyDescent="0.25">
      <c r="A2952" t="s">
        <v>819</v>
      </c>
    </row>
    <row r="2953" spans="1:1" x14ac:dyDescent="0.25">
      <c r="A2953" t="s">
        <v>822</v>
      </c>
    </row>
    <row r="2954" spans="1:1" x14ac:dyDescent="0.25">
      <c r="A2954" t="s">
        <v>825</v>
      </c>
    </row>
    <row r="2955" spans="1:1" x14ac:dyDescent="0.25">
      <c r="A2955" t="s">
        <v>828</v>
      </c>
    </row>
    <row r="2956" spans="1:1" x14ac:dyDescent="0.25">
      <c r="A2956" t="s">
        <v>831</v>
      </c>
    </row>
    <row r="2957" spans="1:1" x14ac:dyDescent="0.25">
      <c r="A2957" t="s">
        <v>1714</v>
      </c>
    </row>
    <row r="2958" spans="1:1" x14ac:dyDescent="0.25">
      <c r="A2958" t="s">
        <v>1717</v>
      </c>
    </row>
    <row r="2959" spans="1:1" x14ac:dyDescent="0.25">
      <c r="A2959" t="s">
        <v>1720</v>
      </c>
    </row>
    <row r="2960" spans="1:1" x14ac:dyDescent="0.25">
      <c r="A2960" t="s">
        <v>1723</v>
      </c>
    </row>
    <row r="2961" spans="1:1" x14ac:dyDescent="0.25">
      <c r="A2961" t="s">
        <v>1726</v>
      </c>
    </row>
    <row r="2962" spans="1:1" x14ac:dyDescent="0.25">
      <c r="A2962" t="s">
        <v>1729</v>
      </c>
    </row>
    <row r="2963" spans="1:1" x14ac:dyDescent="0.25">
      <c r="A2963" t="s">
        <v>1729</v>
      </c>
    </row>
    <row r="2964" spans="1:1" x14ac:dyDescent="0.25">
      <c r="A2964" t="s">
        <v>1733</v>
      </c>
    </row>
    <row r="2965" spans="1:1" x14ac:dyDescent="0.25">
      <c r="A2965" t="s">
        <v>1736</v>
      </c>
    </row>
    <row r="2966" spans="1:1" x14ac:dyDescent="0.25">
      <c r="A2966" t="s">
        <v>1739</v>
      </c>
    </row>
    <row r="2967" spans="1:1" x14ac:dyDescent="0.25">
      <c r="A2967" t="s">
        <v>1742</v>
      </c>
    </row>
    <row r="2968" spans="1:1" x14ac:dyDescent="0.25">
      <c r="A2968" t="s">
        <v>1745</v>
      </c>
    </row>
    <row r="2969" spans="1:1" x14ac:dyDescent="0.25">
      <c r="A2969" t="s">
        <v>1748</v>
      </c>
    </row>
    <row r="2970" spans="1:1" x14ac:dyDescent="0.25">
      <c r="A2970" t="s">
        <v>1751</v>
      </c>
    </row>
    <row r="2971" spans="1:1" x14ac:dyDescent="0.25">
      <c r="A2971" t="s">
        <v>1754</v>
      </c>
    </row>
    <row r="2972" spans="1:1" x14ac:dyDescent="0.25">
      <c r="A2972" t="s">
        <v>1757</v>
      </c>
    </row>
    <row r="2973" spans="1:1" x14ac:dyDescent="0.25">
      <c r="A2973" t="s">
        <v>1757</v>
      </c>
    </row>
    <row r="2974" spans="1:1" x14ac:dyDescent="0.25">
      <c r="A2974" t="s">
        <v>3758</v>
      </c>
    </row>
    <row r="2975" spans="1:1" x14ac:dyDescent="0.25">
      <c r="A2975" t="s">
        <v>3761</v>
      </c>
    </row>
    <row r="2976" spans="1:1" x14ac:dyDescent="0.25">
      <c r="A2976" t="s">
        <v>3764</v>
      </c>
    </row>
    <row r="2977" spans="1:1" x14ac:dyDescent="0.25">
      <c r="A2977" t="s">
        <v>3764</v>
      </c>
    </row>
    <row r="2978" spans="1:1" x14ac:dyDescent="0.25">
      <c r="A2978" t="s">
        <v>3764</v>
      </c>
    </row>
    <row r="2979" spans="1:1" x14ac:dyDescent="0.25">
      <c r="A2979" t="s">
        <v>3769</v>
      </c>
    </row>
    <row r="2980" spans="1:1" x14ac:dyDescent="0.25">
      <c r="A2980" t="s">
        <v>3772</v>
      </c>
    </row>
    <row r="2981" spans="1:1" x14ac:dyDescent="0.25">
      <c r="A2981" t="s">
        <v>3775</v>
      </c>
    </row>
    <row r="2982" spans="1:1" x14ac:dyDescent="0.25">
      <c r="A2982" t="s">
        <v>3775</v>
      </c>
    </row>
    <row r="2983" spans="1:1" x14ac:dyDescent="0.25">
      <c r="A2983" t="s">
        <v>3779</v>
      </c>
    </row>
    <row r="2984" spans="1:1" x14ac:dyDescent="0.25">
      <c r="A2984" t="s">
        <v>3782</v>
      </c>
    </row>
    <row r="2985" spans="1:1" x14ac:dyDescent="0.25">
      <c r="A2985" t="s">
        <v>3782</v>
      </c>
    </row>
    <row r="2986" spans="1:1" x14ac:dyDescent="0.25">
      <c r="A2986" t="s">
        <v>3786</v>
      </c>
    </row>
    <row r="2987" spans="1:1" x14ac:dyDescent="0.25">
      <c r="A2987" t="s">
        <v>3786</v>
      </c>
    </row>
    <row r="2988" spans="1:1" x14ac:dyDescent="0.25">
      <c r="A2988" t="s">
        <v>3790</v>
      </c>
    </row>
    <row r="2989" spans="1:1" x14ac:dyDescent="0.25">
      <c r="A2989" t="s">
        <v>3790</v>
      </c>
    </row>
    <row r="2990" spans="1:1" x14ac:dyDescent="0.25">
      <c r="A2990" t="s">
        <v>3790</v>
      </c>
    </row>
    <row r="2991" spans="1:1" x14ac:dyDescent="0.25">
      <c r="A2991" t="s">
        <v>3795</v>
      </c>
    </row>
    <row r="2992" spans="1:1" x14ac:dyDescent="0.25">
      <c r="A2992" t="s">
        <v>3798</v>
      </c>
    </row>
    <row r="2993" spans="1:1" x14ac:dyDescent="0.25">
      <c r="A2993" t="s">
        <v>3798</v>
      </c>
    </row>
    <row r="2994" spans="1:1" x14ac:dyDescent="0.25">
      <c r="A2994" t="s">
        <v>3802</v>
      </c>
    </row>
    <row r="2995" spans="1:1" x14ac:dyDescent="0.25">
      <c r="A2995" t="s">
        <v>3805</v>
      </c>
    </row>
    <row r="2996" spans="1:1" x14ac:dyDescent="0.25">
      <c r="A2996" t="s">
        <v>3808</v>
      </c>
    </row>
    <row r="2997" spans="1:1" x14ac:dyDescent="0.25">
      <c r="A2997" t="s">
        <v>861</v>
      </c>
    </row>
    <row r="2998" spans="1:1" x14ac:dyDescent="0.25">
      <c r="A2998" t="s">
        <v>1362</v>
      </c>
    </row>
    <row r="2999" spans="1:1" x14ac:dyDescent="0.25">
      <c r="A2999" t="s">
        <v>3029</v>
      </c>
    </row>
    <row r="3000" spans="1:1" x14ac:dyDescent="0.25">
      <c r="A3000" t="s">
        <v>3032</v>
      </c>
    </row>
    <row r="3001" spans="1:1" x14ac:dyDescent="0.25">
      <c r="A3001" t="s">
        <v>3035</v>
      </c>
    </row>
    <row r="3002" spans="1:1" x14ac:dyDescent="0.25">
      <c r="A3002" t="s">
        <v>3038</v>
      </c>
    </row>
    <row r="3003" spans="1:1" x14ac:dyDescent="0.25">
      <c r="A3003" t="s">
        <v>3671</v>
      </c>
    </row>
    <row r="3004" spans="1:1" x14ac:dyDescent="0.25">
      <c r="A3004" t="s">
        <v>3671</v>
      </c>
    </row>
    <row r="3005" spans="1:1" x14ac:dyDescent="0.25">
      <c r="A3005" t="s">
        <v>3812</v>
      </c>
    </row>
    <row r="3006" spans="1:1" x14ac:dyDescent="0.25">
      <c r="A3006" t="s">
        <v>3815</v>
      </c>
    </row>
    <row r="3007" spans="1:1" x14ac:dyDescent="0.25">
      <c r="A3007" t="s">
        <v>3818</v>
      </c>
    </row>
    <row r="3008" spans="1:1" x14ac:dyDescent="0.25">
      <c r="A3008" t="s">
        <v>1520</v>
      </c>
    </row>
    <row r="3009" spans="1:1" x14ac:dyDescent="0.25">
      <c r="A3009" t="s">
        <v>1520</v>
      </c>
    </row>
    <row r="3010" spans="1:1" x14ac:dyDescent="0.25">
      <c r="A3010" t="s">
        <v>1520</v>
      </c>
    </row>
    <row r="3011" spans="1:1" x14ac:dyDescent="0.25">
      <c r="A3011" t="s">
        <v>1520</v>
      </c>
    </row>
    <row r="3012" spans="1:1" x14ac:dyDescent="0.25">
      <c r="A3012" t="s">
        <v>1520</v>
      </c>
    </row>
    <row r="3013" spans="1:1" x14ac:dyDescent="0.25">
      <c r="A3013" t="s">
        <v>1520</v>
      </c>
    </row>
    <row r="3014" spans="1:1" x14ac:dyDescent="0.25">
      <c r="A3014" t="s">
        <v>1520</v>
      </c>
    </row>
    <row r="3015" spans="1:1" x14ac:dyDescent="0.25">
      <c r="A3015" t="s">
        <v>1520</v>
      </c>
    </row>
    <row r="3016" spans="1:1" x14ac:dyDescent="0.25">
      <c r="A3016" t="s">
        <v>1520</v>
      </c>
    </row>
    <row r="3017" spans="1:1" x14ac:dyDescent="0.25">
      <c r="A3017" t="s">
        <v>1520</v>
      </c>
    </row>
    <row r="3018" spans="1:1" x14ac:dyDescent="0.25">
      <c r="A3018" t="s">
        <v>1520</v>
      </c>
    </row>
    <row r="3019" spans="1:1" x14ac:dyDescent="0.25">
      <c r="A3019" t="s">
        <v>1520</v>
      </c>
    </row>
    <row r="3020" spans="1:1" x14ac:dyDescent="0.25">
      <c r="A3020" t="s">
        <v>1537</v>
      </c>
    </row>
    <row r="3021" spans="1:1" x14ac:dyDescent="0.25">
      <c r="A3021" t="s">
        <v>1651</v>
      </c>
    </row>
    <row r="3022" spans="1:1" x14ac:dyDescent="0.25">
      <c r="A3022" t="s">
        <v>1654</v>
      </c>
    </row>
    <row r="3023" spans="1:1" x14ac:dyDescent="0.25">
      <c r="A3023" t="s">
        <v>1654</v>
      </c>
    </row>
    <row r="3024" spans="1:1" x14ac:dyDescent="0.25">
      <c r="A3024" t="s">
        <v>1658</v>
      </c>
    </row>
    <row r="3025" spans="1:1" x14ac:dyDescent="0.25">
      <c r="A3025" t="s">
        <v>1661</v>
      </c>
    </row>
    <row r="3026" spans="1:1" x14ac:dyDescent="0.25">
      <c r="A3026" t="s">
        <v>1664</v>
      </c>
    </row>
    <row r="3027" spans="1:1" x14ac:dyDescent="0.25">
      <c r="A3027" t="s">
        <v>1667</v>
      </c>
    </row>
    <row r="3028" spans="1:1" x14ac:dyDescent="0.25">
      <c r="A3028" t="s">
        <v>1670</v>
      </c>
    </row>
    <row r="3029" spans="1:1" x14ac:dyDescent="0.25">
      <c r="A3029" t="s">
        <v>3588</v>
      </c>
    </row>
    <row r="3030" spans="1:1" x14ac:dyDescent="0.25">
      <c r="A3030" t="s">
        <v>3598</v>
      </c>
    </row>
    <row r="3031" spans="1:1" x14ac:dyDescent="0.25">
      <c r="A3031" t="s">
        <v>3716</v>
      </c>
    </row>
    <row r="3032" spans="1:1" x14ac:dyDescent="0.25">
      <c r="A3032" t="s">
        <v>437</v>
      </c>
    </row>
    <row r="3033" spans="1:1" x14ac:dyDescent="0.25">
      <c r="A3033" t="s">
        <v>441</v>
      </c>
    </row>
    <row r="3034" spans="1:1" x14ac:dyDescent="0.25">
      <c r="A3034" t="s">
        <v>444</v>
      </c>
    </row>
    <row r="3035" spans="1:1" x14ac:dyDescent="0.25">
      <c r="A3035" t="s">
        <v>444</v>
      </c>
    </row>
    <row r="3036" spans="1:1" x14ac:dyDescent="0.25">
      <c r="A3036" t="s">
        <v>1390</v>
      </c>
    </row>
    <row r="3037" spans="1:1" x14ac:dyDescent="0.25">
      <c r="A3037" t="s">
        <v>1393</v>
      </c>
    </row>
    <row r="3038" spans="1:1" x14ac:dyDescent="0.25">
      <c r="A3038" t="s">
        <v>1396</v>
      </c>
    </row>
    <row r="3039" spans="1:1" x14ac:dyDescent="0.25">
      <c r="A3039" t="s">
        <v>1399</v>
      </c>
    </row>
    <row r="3040" spans="1:1" x14ac:dyDescent="0.25">
      <c r="A3040" t="s">
        <v>1402</v>
      </c>
    </row>
    <row r="3041" spans="1:1" x14ac:dyDescent="0.25">
      <c r="A3041" t="s">
        <v>1405</v>
      </c>
    </row>
    <row r="3042" spans="1:1" x14ac:dyDescent="0.25">
      <c r="A3042" t="s">
        <v>1408</v>
      </c>
    </row>
    <row r="3043" spans="1:1" x14ac:dyDescent="0.25">
      <c r="A3043" t="s">
        <v>1411</v>
      </c>
    </row>
    <row r="3044" spans="1:1" x14ac:dyDescent="0.25">
      <c r="A3044" t="s">
        <v>1414</v>
      </c>
    </row>
    <row r="3045" spans="1:1" x14ac:dyDescent="0.25">
      <c r="A3045" t="s">
        <v>1419</v>
      </c>
    </row>
    <row r="3046" spans="1:1" x14ac:dyDescent="0.25">
      <c r="A3046" t="s">
        <v>1419</v>
      </c>
    </row>
    <row r="3047" spans="1:1" x14ac:dyDescent="0.25">
      <c r="A3047" t="s">
        <v>1501</v>
      </c>
    </row>
    <row r="3048" spans="1:1" x14ac:dyDescent="0.25">
      <c r="A3048" t="s">
        <v>1504</v>
      </c>
    </row>
    <row r="3049" spans="1:1" x14ac:dyDescent="0.25">
      <c r="A3049" t="s">
        <v>1507</v>
      </c>
    </row>
    <row r="3050" spans="1:1" x14ac:dyDescent="0.25">
      <c r="A3050" t="s">
        <v>1512</v>
      </c>
    </row>
    <row r="3051" spans="1:1" x14ac:dyDescent="0.25">
      <c r="A3051" t="s">
        <v>1515</v>
      </c>
    </row>
    <row r="3052" spans="1:1" x14ac:dyDescent="0.25">
      <c r="A3052" t="s">
        <v>1680</v>
      </c>
    </row>
    <row r="3053" spans="1:1" x14ac:dyDescent="0.25">
      <c r="A3053" t="s">
        <v>1709</v>
      </c>
    </row>
    <row r="3054" spans="1:1" x14ac:dyDescent="0.25">
      <c r="A3054" t="s">
        <v>1763</v>
      </c>
    </row>
    <row r="3055" spans="1:1" x14ac:dyDescent="0.25">
      <c r="A3055" t="s">
        <v>1766</v>
      </c>
    </row>
    <row r="3056" spans="1:1" x14ac:dyDescent="0.25">
      <c r="A3056" t="s">
        <v>1769</v>
      </c>
    </row>
    <row r="3057" spans="1:1" x14ac:dyDescent="0.25">
      <c r="A3057" t="s">
        <v>1769</v>
      </c>
    </row>
    <row r="3058" spans="1:1" x14ac:dyDescent="0.25">
      <c r="A3058" t="s">
        <v>1773</v>
      </c>
    </row>
    <row r="3059" spans="1:1" x14ac:dyDescent="0.25">
      <c r="A3059" t="s">
        <v>1776</v>
      </c>
    </row>
    <row r="3060" spans="1:1" x14ac:dyDescent="0.25">
      <c r="A3060" t="s">
        <v>2110</v>
      </c>
    </row>
    <row r="3061" spans="1:1" x14ac:dyDescent="0.25">
      <c r="A3061" t="s">
        <v>2115</v>
      </c>
    </row>
    <row r="3062" spans="1:1" x14ac:dyDescent="0.25">
      <c r="A3062" t="s">
        <v>3721</v>
      </c>
    </row>
    <row r="3063" spans="1:1" x14ac:dyDescent="0.25">
      <c r="A3063" t="s">
        <v>867</v>
      </c>
    </row>
    <row r="3064" spans="1:1" x14ac:dyDescent="0.25">
      <c r="A3064" t="s">
        <v>980</v>
      </c>
    </row>
    <row r="3065" spans="1:1" x14ac:dyDescent="0.25">
      <c r="A3065" t="s">
        <v>983</v>
      </c>
    </row>
    <row r="3066" spans="1:1" x14ac:dyDescent="0.25">
      <c r="A3066" t="s">
        <v>988</v>
      </c>
    </row>
    <row r="3067" spans="1:1" x14ac:dyDescent="0.25">
      <c r="A3067" t="s">
        <v>993</v>
      </c>
    </row>
    <row r="3068" spans="1:1" x14ac:dyDescent="0.25">
      <c r="A3068" t="s">
        <v>1129</v>
      </c>
    </row>
    <row r="3069" spans="1:1" x14ac:dyDescent="0.25">
      <c r="A3069" t="s">
        <v>1132</v>
      </c>
    </row>
    <row r="3070" spans="1:1" x14ac:dyDescent="0.25">
      <c r="A3070" t="s">
        <v>1137</v>
      </c>
    </row>
    <row r="3071" spans="1:1" x14ac:dyDescent="0.25">
      <c r="A3071" t="s">
        <v>1142</v>
      </c>
    </row>
    <row r="3072" spans="1:1" x14ac:dyDescent="0.25">
      <c r="A3072" t="s">
        <v>1147</v>
      </c>
    </row>
    <row r="3073" spans="1:1" x14ac:dyDescent="0.25">
      <c r="A3073" t="s">
        <v>1152</v>
      </c>
    </row>
    <row r="3074" spans="1:1" x14ac:dyDescent="0.25">
      <c r="A3074" t="s">
        <v>1157</v>
      </c>
    </row>
    <row r="3075" spans="1:1" x14ac:dyDescent="0.25">
      <c r="A3075" t="s">
        <v>1685</v>
      </c>
    </row>
    <row r="3076" spans="1:1" x14ac:dyDescent="0.25">
      <c r="A3076" t="s">
        <v>1688</v>
      </c>
    </row>
    <row r="3077" spans="1:1" x14ac:dyDescent="0.25">
      <c r="A3077" t="s">
        <v>1691</v>
      </c>
    </row>
    <row r="3078" spans="1:1" x14ac:dyDescent="0.25">
      <c r="A3078" t="s">
        <v>1691</v>
      </c>
    </row>
    <row r="3079" spans="1:1" x14ac:dyDescent="0.25">
      <c r="A3079" t="s">
        <v>1695</v>
      </c>
    </row>
    <row r="3080" spans="1:1" x14ac:dyDescent="0.25">
      <c r="A3080" t="s">
        <v>1695</v>
      </c>
    </row>
    <row r="3081" spans="1:1" x14ac:dyDescent="0.25">
      <c r="A3081" t="s">
        <v>1695</v>
      </c>
    </row>
    <row r="3082" spans="1:1" x14ac:dyDescent="0.25">
      <c r="A3082" t="s">
        <v>1695</v>
      </c>
    </row>
    <row r="3083" spans="1:1" x14ac:dyDescent="0.25">
      <c r="A3083" t="s">
        <v>1695</v>
      </c>
    </row>
    <row r="3084" spans="1:1" x14ac:dyDescent="0.25">
      <c r="A3084" t="s">
        <v>1695</v>
      </c>
    </row>
    <row r="3085" spans="1:1" x14ac:dyDescent="0.25">
      <c r="A3085" t="s">
        <v>1695</v>
      </c>
    </row>
    <row r="3086" spans="1:1" x14ac:dyDescent="0.25">
      <c r="A3086" t="s">
        <v>1695</v>
      </c>
    </row>
    <row r="3087" spans="1:1" x14ac:dyDescent="0.25">
      <c r="A3087" t="s">
        <v>1695</v>
      </c>
    </row>
    <row r="3088" spans="1:1" x14ac:dyDescent="0.25">
      <c r="A3088" t="s">
        <v>1695</v>
      </c>
    </row>
    <row r="3089" spans="1:1" x14ac:dyDescent="0.25">
      <c r="A3089" t="s">
        <v>1367</v>
      </c>
    </row>
    <row r="3090" spans="1:1" x14ac:dyDescent="0.25">
      <c r="A3090" t="s">
        <v>1371</v>
      </c>
    </row>
    <row r="3091" spans="1:1" x14ac:dyDescent="0.25">
      <c r="A3091" t="s">
        <v>3593</v>
      </c>
    </row>
    <row r="3092" spans="1:1" x14ac:dyDescent="0.25">
      <c r="A3092" t="s">
        <v>1275</v>
      </c>
    </row>
    <row r="3093" spans="1:1" x14ac:dyDescent="0.25">
      <c r="A3093" t="s">
        <v>1279</v>
      </c>
    </row>
    <row r="3094" spans="1:1" x14ac:dyDescent="0.25">
      <c r="A3094" t="s">
        <v>1282</v>
      </c>
    </row>
    <row r="3095" spans="1:1" x14ac:dyDescent="0.25">
      <c r="A3095" t="s">
        <v>1285</v>
      </c>
    </row>
    <row r="3096" spans="1:1" x14ac:dyDescent="0.25">
      <c r="A3096" t="s">
        <v>1288</v>
      </c>
    </row>
    <row r="3097" spans="1:1" x14ac:dyDescent="0.25">
      <c r="A3097" t="s">
        <v>1291</v>
      </c>
    </row>
    <row r="3098" spans="1:1" x14ac:dyDescent="0.25">
      <c r="A3098" t="s">
        <v>1294</v>
      </c>
    </row>
    <row r="3099" spans="1:1" x14ac:dyDescent="0.25">
      <c r="A3099" t="s">
        <v>1297</v>
      </c>
    </row>
    <row r="3100" spans="1:1" x14ac:dyDescent="0.25">
      <c r="A3100" t="s">
        <v>1300</v>
      </c>
    </row>
    <row r="3101" spans="1:1" x14ac:dyDescent="0.25">
      <c r="A3101" t="s">
        <v>1303</v>
      </c>
    </row>
    <row r="3102" spans="1:1" x14ac:dyDescent="0.25">
      <c r="A3102" t="s">
        <v>1306</v>
      </c>
    </row>
    <row r="3103" spans="1:1" x14ac:dyDescent="0.25">
      <c r="A3103" t="s">
        <v>1309</v>
      </c>
    </row>
    <row r="3104" spans="1:1" x14ac:dyDescent="0.25">
      <c r="A3104" t="s">
        <v>1312</v>
      </c>
    </row>
    <row r="3105" spans="1:1" x14ac:dyDescent="0.25">
      <c r="A3105" t="s">
        <v>1315</v>
      </c>
    </row>
    <row r="3106" spans="1:1" x14ac:dyDescent="0.25">
      <c r="A3106" t="s">
        <v>1318</v>
      </c>
    </row>
    <row r="3107" spans="1:1" x14ac:dyDescent="0.25">
      <c r="A3107" t="s">
        <v>1321</v>
      </c>
    </row>
    <row r="3108" spans="1:1" x14ac:dyDescent="0.25">
      <c r="A3108" t="s">
        <v>1324</v>
      </c>
    </row>
    <row r="3109" spans="1:1" x14ac:dyDescent="0.25">
      <c r="A3109" t="s">
        <v>1327</v>
      </c>
    </row>
    <row r="3110" spans="1:1" x14ac:dyDescent="0.25">
      <c r="A3110" t="s">
        <v>1330</v>
      </c>
    </row>
    <row r="3111" spans="1:1" x14ac:dyDescent="0.25">
      <c r="A3111" t="s">
        <v>1333</v>
      </c>
    </row>
    <row r="3112" spans="1:1" x14ac:dyDescent="0.25">
      <c r="A3112" t="s">
        <v>1336</v>
      </c>
    </row>
    <row r="3113" spans="1:1" x14ac:dyDescent="0.25">
      <c r="A3113" t="s">
        <v>1339</v>
      </c>
    </row>
    <row r="3114" spans="1:1" x14ac:dyDescent="0.25">
      <c r="A3114" t="s">
        <v>1342</v>
      </c>
    </row>
    <row r="3115" spans="1:1" x14ac:dyDescent="0.25">
      <c r="A3115" t="s">
        <v>1386</v>
      </c>
    </row>
    <row r="3116" spans="1:1" x14ac:dyDescent="0.25">
      <c r="A3116" t="s">
        <v>1251</v>
      </c>
    </row>
    <row r="3117" spans="1:1" x14ac:dyDescent="0.25">
      <c r="A3117" t="s">
        <v>1251</v>
      </c>
    </row>
    <row r="3118" spans="1:1" x14ac:dyDescent="0.25">
      <c r="A3118" t="s">
        <v>1251</v>
      </c>
    </row>
    <row r="3119" spans="1:1" x14ac:dyDescent="0.25">
      <c r="A3119" t="s">
        <v>1257</v>
      </c>
    </row>
    <row r="3120" spans="1:1" x14ac:dyDescent="0.25">
      <c r="A3120" t="s">
        <v>1257</v>
      </c>
    </row>
    <row r="3121" spans="1:1" x14ac:dyDescent="0.25">
      <c r="A3121" t="s">
        <v>1261</v>
      </c>
    </row>
    <row r="3122" spans="1:1" x14ac:dyDescent="0.25">
      <c r="A3122" t="s">
        <v>1264</v>
      </c>
    </row>
    <row r="3123" spans="1:1" x14ac:dyDescent="0.25">
      <c r="A3123" t="s">
        <v>1267</v>
      </c>
    </row>
    <row r="3124" spans="1:1" x14ac:dyDescent="0.25">
      <c r="A3124" t="s">
        <v>1270</v>
      </c>
    </row>
    <row r="3125" spans="1:1" x14ac:dyDescent="0.25">
      <c r="A3125" t="s">
        <v>998</v>
      </c>
    </row>
    <row r="3126" spans="1:1" x14ac:dyDescent="0.25">
      <c r="A3126" t="s">
        <v>1002</v>
      </c>
    </row>
    <row r="3127" spans="1:1" x14ac:dyDescent="0.25">
      <c r="A3127" t="s">
        <v>346</v>
      </c>
    </row>
    <row r="3128" spans="1:1" x14ac:dyDescent="0.25">
      <c r="A3128" t="s">
        <v>350</v>
      </c>
    </row>
    <row r="3129" spans="1:1" x14ac:dyDescent="0.25">
      <c r="A3129" t="s">
        <v>350</v>
      </c>
    </row>
    <row r="3130" spans="1:1" x14ac:dyDescent="0.25">
      <c r="A3130" t="s">
        <v>354</v>
      </c>
    </row>
    <row r="3131" spans="1:1" x14ac:dyDescent="0.25">
      <c r="A3131" t="s">
        <v>357</v>
      </c>
    </row>
    <row r="3132" spans="1:1" x14ac:dyDescent="0.25">
      <c r="A3132" t="s">
        <v>1162</v>
      </c>
    </row>
    <row r="3133" spans="1:1" x14ac:dyDescent="0.25">
      <c r="A3133" t="s">
        <v>1167</v>
      </c>
    </row>
    <row r="3134" spans="1:1" x14ac:dyDescent="0.25">
      <c r="A3134" t="s">
        <v>1171</v>
      </c>
    </row>
    <row r="3135" spans="1:1" x14ac:dyDescent="0.25">
      <c r="A3135" t="s">
        <v>1175</v>
      </c>
    </row>
    <row r="3136" spans="1:1" x14ac:dyDescent="0.25">
      <c r="A3136" t="s">
        <v>1179</v>
      </c>
    </row>
    <row r="3137" spans="1:1" x14ac:dyDescent="0.25">
      <c r="A3137" t="s">
        <v>1183</v>
      </c>
    </row>
    <row r="3138" spans="1:1" x14ac:dyDescent="0.25">
      <c r="A3138" t="s">
        <v>1187</v>
      </c>
    </row>
    <row r="3139" spans="1:1" x14ac:dyDescent="0.25">
      <c r="A3139" t="s">
        <v>1191</v>
      </c>
    </row>
    <row r="3140" spans="1:1" x14ac:dyDescent="0.25">
      <c r="A3140" t="s">
        <v>1195</v>
      </c>
    </row>
    <row r="3141" spans="1:1" x14ac:dyDescent="0.25">
      <c r="A3141" t="s">
        <v>959</v>
      </c>
    </row>
    <row r="3142" spans="1:1" x14ac:dyDescent="0.25">
      <c r="A3142" t="s">
        <v>1381</v>
      </c>
    </row>
    <row r="3143" spans="1:1" x14ac:dyDescent="0.25">
      <c r="A3143" t="s">
        <v>1426</v>
      </c>
    </row>
    <row r="3144" spans="1:1" x14ac:dyDescent="0.25">
      <c r="A3144" t="s">
        <v>1429</v>
      </c>
    </row>
    <row r="3145" spans="1:1" x14ac:dyDescent="0.25">
      <c r="A3145" t="s">
        <v>1432</v>
      </c>
    </row>
    <row r="3146" spans="1:1" x14ac:dyDescent="0.25">
      <c r="A3146" t="s">
        <v>1435</v>
      </c>
    </row>
    <row r="3147" spans="1:1" x14ac:dyDescent="0.25">
      <c r="A3147" t="s">
        <v>1438</v>
      </c>
    </row>
    <row r="3148" spans="1:1" x14ac:dyDescent="0.25">
      <c r="A3148" t="s">
        <v>1092</v>
      </c>
    </row>
    <row r="3149" spans="1:1" x14ac:dyDescent="0.25">
      <c r="A3149" t="s">
        <v>1092</v>
      </c>
    </row>
    <row r="3150" spans="1:1" x14ac:dyDescent="0.25">
      <c r="A3150" t="s">
        <v>1097</v>
      </c>
    </row>
    <row r="3151" spans="1:1" x14ac:dyDescent="0.25">
      <c r="A3151" t="s">
        <v>1097</v>
      </c>
    </row>
    <row r="3152" spans="1:1" x14ac:dyDescent="0.25">
      <c r="A3152" t="s">
        <v>1101</v>
      </c>
    </row>
    <row r="3153" spans="1:1" x14ac:dyDescent="0.25">
      <c r="A3153" t="s">
        <v>1104</v>
      </c>
    </row>
    <row r="3154" spans="1:1" x14ac:dyDescent="0.25">
      <c r="A3154" t="s">
        <v>335</v>
      </c>
    </row>
    <row r="3155" spans="1:1" x14ac:dyDescent="0.25">
      <c r="A3155" t="s">
        <v>412</v>
      </c>
    </row>
    <row r="3156" spans="1:1" x14ac:dyDescent="0.25">
      <c r="A3156" t="s">
        <v>415</v>
      </c>
    </row>
    <row r="3157" spans="1:1" x14ac:dyDescent="0.25">
      <c r="A3157" t="s">
        <v>558</v>
      </c>
    </row>
    <row r="3158" spans="1:1" x14ac:dyDescent="0.25">
      <c r="A3158" t="s">
        <v>558</v>
      </c>
    </row>
    <row r="3159" spans="1:1" x14ac:dyDescent="0.25">
      <c r="A3159" t="s">
        <v>836</v>
      </c>
    </row>
    <row r="3160" spans="1:1" x14ac:dyDescent="0.25">
      <c r="A3160" t="s">
        <v>839</v>
      </c>
    </row>
    <row r="3161" spans="1:1" x14ac:dyDescent="0.25">
      <c r="A3161" t="s">
        <v>842</v>
      </c>
    </row>
    <row r="3162" spans="1:1" x14ac:dyDescent="0.25">
      <c r="A3162" t="s">
        <v>836</v>
      </c>
    </row>
    <row r="3163" spans="1:1" x14ac:dyDescent="0.25">
      <c r="A3163" t="s">
        <v>839</v>
      </c>
    </row>
    <row r="3164" spans="1:1" x14ac:dyDescent="0.25">
      <c r="A3164" t="s">
        <v>847</v>
      </c>
    </row>
    <row r="3165" spans="1:1" x14ac:dyDescent="0.25">
      <c r="A3165" t="s">
        <v>1201</v>
      </c>
    </row>
    <row r="3166" spans="1:1" x14ac:dyDescent="0.25">
      <c r="A3166" t="s">
        <v>1205</v>
      </c>
    </row>
    <row r="3167" spans="1:1" x14ac:dyDescent="0.25">
      <c r="A3167" t="s">
        <v>1208</v>
      </c>
    </row>
    <row r="3168" spans="1:1" x14ac:dyDescent="0.25">
      <c r="A3168" t="s">
        <v>1211</v>
      </c>
    </row>
    <row r="3169" spans="1:1" x14ac:dyDescent="0.25">
      <c r="A3169" t="s">
        <v>1214</v>
      </c>
    </row>
    <row r="3170" spans="1:1" x14ac:dyDescent="0.25">
      <c r="A3170" t="s">
        <v>1217</v>
      </c>
    </row>
    <row r="3171" spans="1:1" x14ac:dyDescent="0.25">
      <c r="A3171" t="s">
        <v>1220</v>
      </c>
    </row>
    <row r="3172" spans="1:1" x14ac:dyDescent="0.25">
      <c r="A3172" t="s">
        <v>1223</v>
      </c>
    </row>
    <row r="3173" spans="1:1" x14ac:dyDescent="0.25">
      <c r="A3173" t="s">
        <v>1226</v>
      </c>
    </row>
    <row r="3174" spans="1:1" x14ac:dyDescent="0.25">
      <c r="A3174" t="s">
        <v>1229</v>
      </c>
    </row>
    <row r="3175" spans="1:1" x14ac:dyDescent="0.25">
      <c r="A3175" t="s">
        <v>1232</v>
      </c>
    </row>
    <row r="3176" spans="1:1" x14ac:dyDescent="0.25">
      <c r="A3176" t="s">
        <v>1235</v>
      </c>
    </row>
    <row r="3177" spans="1:1" x14ac:dyDescent="0.25">
      <c r="A3177" t="s">
        <v>1238</v>
      </c>
    </row>
    <row r="3178" spans="1:1" x14ac:dyDescent="0.25">
      <c r="A3178" t="s">
        <v>1241</v>
      </c>
    </row>
    <row r="3179" spans="1:1" x14ac:dyDescent="0.25">
      <c r="A3179" t="s">
        <v>1241</v>
      </c>
    </row>
    <row r="3180" spans="1:1" x14ac:dyDescent="0.25">
      <c r="A3180" t="s">
        <v>1241</v>
      </c>
    </row>
    <row r="3181" spans="1:1" x14ac:dyDescent="0.25">
      <c r="A3181" t="s">
        <v>1205</v>
      </c>
    </row>
    <row r="3182" spans="1:1" x14ac:dyDescent="0.25">
      <c r="A3182" t="s">
        <v>1109</v>
      </c>
    </row>
    <row r="3183" spans="1:1" x14ac:dyDescent="0.25">
      <c r="A3183" t="s">
        <v>1113</v>
      </c>
    </row>
    <row r="3184" spans="1:1" x14ac:dyDescent="0.25">
      <c r="A3184" t="s">
        <v>1116</v>
      </c>
    </row>
    <row r="3185" spans="1:1" x14ac:dyDescent="0.25">
      <c r="A3185" t="s">
        <v>1119</v>
      </c>
    </row>
    <row r="3186" spans="1:1" x14ac:dyDescent="0.25">
      <c r="A3186" t="s">
        <v>1122</v>
      </c>
    </row>
    <row r="3187" spans="1:1" x14ac:dyDescent="0.25">
      <c r="A3187" t="s">
        <v>1122</v>
      </c>
    </row>
    <row r="3188" spans="1:1" x14ac:dyDescent="0.25">
      <c r="A3188" t="s">
        <v>1122</v>
      </c>
    </row>
    <row r="3189" spans="1:1" x14ac:dyDescent="0.25">
      <c r="A3189" t="s">
        <v>1312</v>
      </c>
    </row>
    <row r="3190" spans="1:1" x14ac:dyDescent="0.25">
      <c r="A3190" t="s">
        <v>1342</v>
      </c>
    </row>
    <row r="3191" spans="1:1" x14ac:dyDescent="0.25">
      <c r="A3191" t="s">
        <v>1010</v>
      </c>
    </row>
    <row r="3192" spans="1:1" x14ac:dyDescent="0.25">
      <c r="A3192" t="s">
        <v>570</v>
      </c>
    </row>
    <row r="3193" spans="1:1" x14ac:dyDescent="0.25">
      <c r="A3193" t="s">
        <v>575</v>
      </c>
    </row>
    <row r="3194" spans="1:1" x14ac:dyDescent="0.25">
      <c r="A3194" t="s">
        <v>575</v>
      </c>
    </row>
    <row r="3195" spans="1:1" x14ac:dyDescent="0.25">
      <c r="A3195" t="s">
        <v>575</v>
      </c>
    </row>
    <row r="3196" spans="1:1" x14ac:dyDescent="0.25">
      <c r="A3196" t="s">
        <v>575</v>
      </c>
    </row>
    <row r="3197" spans="1:1" x14ac:dyDescent="0.25">
      <c r="A3197" t="s">
        <v>581</v>
      </c>
    </row>
    <row r="3198" spans="1:1" x14ac:dyDescent="0.25">
      <c r="A3198" t="s">
        <v>873</v>
      </c>
    </row>
    <row r="3199" spans="1:1" x14ac:dyDescent="0.25">
      <c r="A3199" t="s">
        <v>873</v>
      </c>
    </row>
    <row r="3200" spans="1:1" x14ac:dyDescent="0.25">
      <c r="A3200" t="s">
        <v>877</v>
      </c>
    </row>
    <row r="3201" spans="1:1" x14ac:dyDescent="0.25">
      <c r="A3201" t="s">
        <v>877</v>
      </c>
    </row>
    <row r="3202" spans="1:1" x14ac:dyDescent="0.25">
      <c r="A3202" t="s">
        <v>881</v>
      </c>
    </row>
    <row r="3203" spans="1:1" x14ac:dyDescent="0.25">
      <c r="A3203" t="s">
        <v>884</v>
      </c>
    </row>
    <row r="3204" spans="1:1" x14ac:dyDescent="0.25">
      <c r="A3204" t="s">
        <v>887</v>
      </c>
    </row>
    <row r="3205" spans="1:1" x14ac:dyDescent="0.25">
      <c r="A3205" t="s">
        <v>890</v>
      </c>
    </row>
    <row r="3206" spans="1:1" x14ac:dyDescent="0.25">
      <c r="A3206" t="s">
        <v>893</v>
      </c>
    </row>
    <row r="3207" spans="1:1" x14ac:dyDescent="0.25">
      <c r="A3207" t="s">
        <v>896</v>
      </c>
    </row>
    <row r="3208" spans="1:1" x14ac:dyDescent="0.25">
      <c r="A3208" t="s">
        <v>899</v>
      </c>
    </row>
    <row r="3209" spans="1:1" x14ac:dyDescent="0.25">
      <c r="A3209" t="s">
        <v>902</v>
      </c>
    </row>
    <row r="3210" spans="1:1" x14ac:dyDescent="0.25">
      <c r="A3210" t="s">
        <v>905</v>
      </c>
    </row>
    <row r="3211" spans="1:1" x14ac:dyDescent="0.25">
      <c r="A3211" t="s">
        <v>905</v>
      </c>
    </row>
    <row r="3212" spans="1:1" x14ac:dyDescent="0.25">
      <c r="A3212" t="s">
        <v>909</v>
      </c>
    </row>
    <row r="3213" spans="1:1" x14ac:dyDescent="0.25">
      <c r="A3213" t="s">
        <v>912</v>
      </c>
    </row>
    <row r="3214" spans="1:1" x14ac:dyDescent="0.25">
      <c r="A3214" t="s">
        <v>915</v>
      </c>
    </row>
    <row r="3215" spans="1:1" x14ac:dyDescent="0.25">
      <c r="A3215" t="s">
        <v>918</v>
      </c>
    </row>
    <row r="3216" spans="1:1" x14ac:dyDescent="0.25">
      <c r="A3216" t="s">
        <v>921</v>
      </c>
    </row>
    <row r="3217" spans="1:1" x14ac:dyDescent="0.25">
      <c r="A3217" t="s">
        <v>924</v>
      </c>
    </row>
    <row r="3218" spans="1:1" x14ac:dyDescent="0.25">
      <c r="A3218" t="s">
        <v>927</v>
      </c>
    </row>
    <row r="3219" spans="1:1" x14ac:dyDescent="0.25">
      <c r="A3219" t="s">
        <v>930</v>
      </c>
    </row>
    <row r="3220" spans="1:1" x14ac:dyDescent="0.25">
      <c r="A3220" t="s">
        <v>933</v>
      </c>
    </row>
    <row r="3221" spans="1:1" x14ac:dyDescent="0.25">
      <c r="A3221" t="s">
        <v>936</v>
      </c>
    </row>
    <row r="3222" spans="1:1" x14ac:dyDescent="0.25">
      <c r="A3222" t="s">
        <v>939</v>
      </c>
    </row>
    <row r="3223" spans="1:1" x14ac:dyDescent="0.25">
      <c r="A3223" t="s">
        <v>942</v>
      </c>
    </row>
    <row r="3224" spans="1:1" x14ac:dyDescent="0.25">
      <c r="A3224" t="s">
        <v>945</v>
      </c>
    </row>
    <row r="3225" spans="1:1" x14ac:dyDescent="0.25">
      <c r="A3225" t="s">
        <v>948</v>
      </c>
    </row>
    <row r="3226" spans="1:1" x14ac:dyDescent="0.25">
      <c r="A3226" t="s">
        <v>1045</v>
      </c>
    </row>
    <row r="3227" spans="1:1" x14ac:dyDescent="0.25">
      <c r="A3227" t="s">
        <v>1048</v>
      </c>
    </row>
    <row r="3228" spans="1:1" x14ac:dyDescent="0.25">
      <c r="A3228" t="s">
        <v>1051</v>
      </c>
    </row>
    <row r="3229" spans="1:1" x14ac:dyDescent="0.25">
      <c r="A3229" t="s">
        <v>1056</v>
      </c>
    </row>
    <row r="3230" spans="1:1" x14ac:dyDescent="0.25">
      <c r="A3230" t="s">
        <v>1376</v>
      </c>
    </row>
    <row r="3231" spans="1:1" x14ac:dyDescent="0.25">
      <c r="A3231" t="s">
        <v>520</v>
      </c>
    </row>
    <row r="3232" spans="1:1" x14ac:dyDescent="0.25">
      <c r="A3232" t="s">
        <v>523</v>
      </c>
    </row>
    <row r="3233" spans="1:1" x14ac:dyDescent="0.25">
      <c r="A3233" t="s">
        <v>585</v>
      </c>
    </row>
    <row r="3234" spans="1:1" x14ac:dyDescent="0.25">
      <c r="A3234" t="s">
        <v>588</v>
      </c>
    </row>
    <row r="3235" spans="1:1" x14ac:dyDescent="0.25">
      <c r="A3235" t="s">
        <v>591</v>
      </c>
    </row>
    <row r="3236" spans="1:1" x14ac:dyDescent="0.25">
      <c r="A3236" t="s">
        <v>594</v>
      </c>
    </row>
    <row r="3237" spans="1:1" x14ac:dyDescent="0.25">
      <c r="A3237" t="s">
        <v>597</v>
      </c>
    </row>
    <row r="3238" spans="1:1" x14ac:dyDescent="0.25">
      <c r="A3238" t="s">
        <v>600</v>
      </c>
    </row>
    <row r="3239" spans="1:1" x14ac:dyDescent="0.25">
      <c r="A3239" t="s">
        <v>603</v>
      </c>
    </row>
    <row r="3240" spans="1:1" x14ac:dyDescent="0.25">
      <c r="A3240" t="s">
        <v>606</v>
      </c>
    </row>
    <row r="3241" spans="1:1" x14ac:dyDescent="0.25">
      <c r="A3241" t="s">
        <v>570</v>
      </c>
    </row>
    <row r="3242" spans="1:1" x14ac:dyDescent="0.25">
      <c r="A3242" t="s">
        <v>575</v>
      </c>
    </row>
    <row r="3243" spans="1:1" x14ac:dyDescent="0.25">
      <c r="A3243" t="s">
        <v>611</v>
      </c>
    </row>
    <row r="3244" spans="1:1" x14ac:dyDescent="0.25">
      <c r="A3244" t="s">
        <v>614</v>
      </c>
    </row>
    <row r="3245" spans="1:1" x14ac:dyDescent="0.25">
      <c r="A3245" t="s">
        <v>617</v>
      </c>
    </row>
    <row r="3246" spans="1:1" x14ac:dyDescent="0.25">
      <c r="A3246" t="s">
        <v>620</v>
      </c>
    </row>
    <row r="3247" spans="1:1" x14ac:dyDescent="0.25">
      <c r="A3247" t="s">
        <v>623</v>
      </c>
    </row>
    <row r="3248" spans="1:1" x14ac:dyDescent="0.25">
      <c r="A3248" t="s">
        <v>626</v>
      </c>
    </row>
    <row r="3249" spans="1:1" x14ac:dyDescent="0.25">
      <c r="A3249" t="s">
        <v>629</v>
      </c>
    </row>
    <row r="3250" spans="1:1" x14ac:dyDescent="0.25">
      <c r="A3250" t="s">
        <v>632</v>
      </c>
    </row>
    <row r="3251" spans="1:1" x14ac:dyDescent="0.25">
      <c r="A3251" t="s">
        <v>635</v>
      </c>
    </row>
    <row r="3252" spans="1:1" x14ac:dyDescent="0.25">
      <c r="A3252" t="s">
        <v>638</v>
      </c>
    </row>
    <row r="3253" spans="1:1" x14ac:dyDescent="0.25">
      <c r="A3253" t="s">
        <v>641</v>
      </c>
    </row>
    <row r="3254" spans="1:1" x14ac:dyDescent="0.25">
      <c r="A3254" t="s">
        <v>644</v>
      </c>
    </row>
    <row r="3255" spans="1:1" x14ac:dyDescent="0.25">
      <c r="A3255" t="s">
        <v>647</v>
      </c>
    </row>
    <row r="3256" spans="1:1" x14ac:dyDescent="0.25">
      <c r="A3256" t="s">
        <v>650</v>
      </c>
    </row>
    <row r="3257" spans="1:1" x14ac:dyDescent="0.25">
      <c r="A3257" t="s">
        <v>653</v>
      </c>
    </row>
    <row r="3258" spans="1:1" x14ac:dyDescent="0.25">
      <c r="A3258" t="s">
        <v>656</v>
      </c>
    </row>
    <row r="3259" spans="1:1" x14ac:dyDescent="0.25">
      <c r="A3259" t="s">
        <v>659</v>
      </c>
    </row>
    <row r="3260" spans="1:1" x14ac:dyDescent="0.25">
      <c r="A3260" t="s">
        <v>662</v>
      </c>
    </row>
    <row r="3261" spans="1:1" x14ac:dyDescent="0.25">
      <c r="A3261" t="s">
        <v>665</v>
      </c>
    </row>
    <row r="3262" spans="1:1" x14ac:dyDescent="0.25">
      <c r="A3262" t="s">
        <v>668</v>
      </c>
    </row>
    <row r="3263" spans="1:1" x14ac:dyDescent="0.25">
      <c r="A3263" t="s">
        <v>671</v>
      </c>
    </row>
    <row r="3264" spans="1:1" x14ac:dyDescent="0.25">
      <c r="A3264" t="s">
        <v>674</v>
      </c>
    </row>
    <row r="3265" spans="1:1" x14ac:dyDescent="0.25">
      <c r="A3265" t="s">
        <v>677</v>
      </c>
    </row>
    <row r="3266" spans="1:1" x14ac:dyDescent="0.25">
      <c r="A3266" t="s">
        <v>680</v>
      </c>
    </row>
    <row r="3267" spans="1:1" x14ac:dyDescent="0.25">
      <c r="A3267" t="s">
        <v>683</v>
      </c>
    </row>
    <row r="3268" spans="1:1" x14ac:dyDescent="0.25">
      <c r="A3268" t="s">
        <v>686</v>
      </c>
    </row>
    <row r="3269" spans="1:1" x14ac:dyDescent="0.25">
      <c r="A3269" t="s">
        <v>689</v>
      </c>
    </row>
    <row r="3270" spans="1:1" x14ac:dyDescent="0.25">
      <c r="A3270" t="s">
        <v>581</v>
      </c>
    </row>
    <row r="3271" spans="1:1" x14ac:dyDescent="0.25">
      <c r="A3271" t="s">
        <v>693</v>
      </c>
    </row>
    <row r="3272" spans="1:1" x14ac:dyDescent="0.25">
      <c r="A3272" t="s">
        <v>696</v>
      </c>
    </row>
    <row r="3273" spans="1:1" x14ac:dyDescent="0.25">
      <c r="A3273" t="s">
        <v>699</v>
      </c>
    </row>
    <row r="3274" spans="1:1" x14ac:dyDescent="0.25">
      <c r="A3274" t="s">
        <v>704</v>
      </c>
    </row>
    <row r="3275" spans="1:1" x14ac:dyDescent="0.25">
      <c r="A3275" t="s">
        <v>704</v>
      </c>
    </row>
    <row r="3276" spans="1:1" x14ac:dyDescent="0.25">
      <c r="A3276" t="s">
        <v>708</v>
      </c>
    </row>
    <row r="3277" spans="1:1" x14ac:dyDescent="0.25">
      <c r="A3277" t="s">
        <v>852</v>
      </c>
    </row>
    <row r="3278" spans="1:1" x14ac:dyDescent="0.25">
      <c r="A3278" t="s">
        <v>852</v>
      </c>
    </row>
    <row r="3279" spans="1:1" x14ac:dyDescent="0.25">
      <c r="A3279" t="s">
        <v>856</v>
      </c>
    </row>
    <row r="3280" spans="1:1" x14ac:dyDescent="0.25">
      <c r="A3280" t="s">
        <v>965</v>
      </c>
    </row>
    <row r="3281" spans="1:1" x14ac:dyDescent="0.25">
      <c r="A3281" t="s">
        <v>965</v>
      </c>
    </row>
    <row r="3282" spans="1:1" x14ac:dyDescent="0.25">
      <c r="A3282" t="s">
        <v>969</v>
      </c>
    </row>
    <row r="3283" spans="1:1" x14ac:dyDescent="0.25">
      <c r="A3283" t="s">
        <v>972</v>
      </c>
    </row>
    <row r="3284" spans="1:1" x14ac:dyDescent="0.25">
      <c r="A3284" t="s">
        <v>975</v>
      </c>
    </row>
    <row r="3285" spans="1:1" x14ac:dyDescent="0.25">
      <c r="A3285" t="s">
        <v>1017</v>
      </c>
    </row>
    <row r="3286" spans="1:1" x14ac:dyDescent="0.25">
      <c r="A3286" t="s">
        <v>1020</v>
      </c>
    </row>
    <row r="3287" spans="1:1" x14ac:dyDescent="0.25">
      <c r="A3287" t="s">
        <v>1020</v>
      </c>
    </row>
    <row r="3288" spans="1:1" x14ac:dyDescent="0.25">
      <c r="A3288" t="s">
        <v>1020</v>
      </c>
    </row>
    <row r="3289" spans="1:1" x14ac:dyDescent="0.25">
      <c r="A3289" t="s">
        <v>1032</v>
      </c>
    </row>
    <row r="3290" spans="1:1" x14ac:dyDescent="0.25">
      <c r="A3290" t="s">
        <v>1037</v>
      </c>
    </row>
    <row r="3291" spans="1:1" x14ac:dyDescent="0.25">
      <c r="A3291" t="s">
        <v>1040</v>
      </c>
    </row>
    <row r="3292" spans="1:1" x14ac:dyDescent="0.25">
      <c r="A3292" t="s">
        <v>1066</v>
      </c>
    </row>
    <row r="3293" spans="1:1" x14ac:dyDescent="0.25">
      <c r="A3293" t="s">
        <v>1069</v>
      </c>
    </row>
    <row r="3294" spans="1:1" x14ac:dyDescent="0.25">
      <c r="A3294" t="s">
        <v>1074</v>
      </c>
    </row>
    <row r="3295" spans="1:1" x14ac:dyDescent="0.25">
      <c r="A3295" t="s">
        <v>1079</v>
      </c>
    </row>
    <row r="3296" spans="1:1" x14ac:dyDescent="0.25">
      <c r="A3296" t="s">
        <v>18</v>
      </c>
    </row>
    <row r="3297" spans="1:1" x14ac:dyDescent="0.25">
      <c r="A3297" t="s">
        <v>22</v>
      </c>
    </row>
    <row r="3298" spans="1:1" x14ac:dyDescent="0.25">
      <c r="A3298" t="s">
        <v>25</v>
      </c>
    </row>
    <row r="3299" spans="1:1" x14ac:dyDescent="0.25">
      <c r="A3299" t="s">
        <v>28</v>
      </c>
    </row>
    <row r="3300" spans="1:1" x14ac:dyDescent="0.25">
      <c r="A3300" t="s">
        <v>104</v>
      </c>
    </row>
    <row r="3301" spans="1:1" x14ac:dyDescent="0.25">
      <c r="A3301" t="s">
        <v>107</v>
      </c>
    </row>
    <row r="3302" spans="1:1" x14ac:dyDescent="0.25">
      <c r="A3302" t="s">
        <v>407</v>
      </c>
    </row>
    <row r="3303" spans="1:1" x14ac:dyDescent="0.25">
      <c r="A3303" t="s">
        <v>420</v>
      </c>
    </row>
    <row r="3304" spans="1:1" x14ac:dyDescent="0.25">
      <c r="A3304" t="s">
        <v>423</v>
      </c>
    </row>
    <row r="3305" spans="1:1" x14ac:dyDescent="0.25">
      <c r="A3305" t="s">
        <v>426</v>
      </c>
    </row>
    <row r="3306" spans="1:1" x14ac:dyDescent="0.25">
      <c r="A3306" t="s">
        <v>515</v>
      </c>
    </row>
    <row r="3307" spans="1:1" x14ac:dyDescent="0.25">
      <c r="A3307" t="s">
        <v>527</v>
      </c>
    </row>
    <row r="3308" spans="1:1" x14ac:dyDescent="0.25">
      <c r="A3308" t="s">
        <v>565</v>
      </c>
    </row>
    <row r="3309" spans="1:1" x14ac:dyDescent="0.25">
      <c r="A3309" t="s">
        <v>1027</v>
      </c>
    </row>
    <row r="3310" spans="1:1" x14ac:dyDescent="0.25">
      <c r="A3310" t="s">
        <v>1061</v>
      </c>
    </row>
    <row r="3311" spans="1:1" x14ac:dyDescent="0.25">
      <c r="A3311" t="s">
        <v>148</v>
      </c>
    </row>
    <row r="3312" spans="1:1" x14ac:dyDescent="0.25">
      <c r="A3312" t="s">
        <v>162</v>
      </c>
    </row>
    <row r="3313" spans="1:1" x14ac:dyDescent="0.25">
      <c r="A3313" t="s">
        <v>165</v>
      </c>
    </row>
    <row r="3314" spans="1:1" x14ac:dyDescent="0.25">
      <c r="A3314" t="s">
        <v>165</v>
      </c>
    </row>
    <row r="3315" spans="1:1" x14ac:dyDescent="0.25">
      <c r="A3315" t="s">
        <v>169</v>
      </c>
    </row>
    <row r="3316" spans="1:1" x14ac:dyDescent="0.25">
      <c r="A3316" t="s">
        <v>169</v>
      </c>
    </row>
    <row r="3317" spans="1:1" x14ac:dyDescent="0.25">
      <c r="A3317" t="s">
        <v>175</v>
      </c>
    </row>
    <row r="3318" spans="1:1" x14ac:dyDescent="0.25">
      <c r="A3318" t="s">
        <v>197</v>
      </c>
    </row>
    <row r="3319" spans="1:1" x14ac:dyDescent="0.25">
      <c r="A3319" t="s">
        <v>200</v>
      </c>
    </row>
    <row r="3320" spans="1:1" x14ac:dyDescent="0.25">
      <c r="A3320" t="s">
        <v>203</v>
      </c>
    </row>
    <row r="3321" spans="1:1" x14ac:dyDescent="0.25">
      <c r="A3321" t="s">
        <v>490</v>
      </c>
    </row>
    <row r="3322" spans="1:1" x14ac:dyDescent="0.25">
      <c r="A3322" t="s">
        <v>493</v>
      </c>
    </row>
    <row r="3323" spans="1:1" x14ac:dyDescent="0.25">
      <c r="A3323" t="s">
        <v>498</v>
      </c>
    </row>
    <row r="3324" spans="1:1" x14ac:dyDescent="0.25">
      <c r="A3324" t="s">
        <v>501</v>
      </c>
    </row>
    <row r="3325" spans="1:1" x14ac:dyDescent="0.25">
      <c r="A3325" t="s">
        <v>504</v>
      </c>
    </row>
    <row r="3326" spans="1:1" x14ac:dyDescent="0.25">
      <c r="A3326" t="s">
        <v>507</v>
      </c>
    </row>
    <row r="3327" spans="1:1" x14ac:dyDescent="0.25">
      <c r="A3327" t="s">
        <v>510</v>
      </c>
    </row>
    <row r="3328" spans="1:1" x14ac:dyDescent="0.25">
      <c r="A3328" t="s">
        <v>532</v>
      </c>
    </row>
    <row r="3329" spans="1:1" x14ac:dyDescent="0.25">
      <c r="A3329" t="s">
        <v>553</v>
      </c>
    </row>
    <row r="3330" spans="1:1" x14ac:dyDescent="0.25">
      <c r="A3330" t="s">
        <v>1084</v>
      </c>
    </row>
    <row r="3331" spans="1:1" x14ac:dyDescent="0.25">
      <c r="A3331" t="s">
        <v>1087</v>
      </c>
    </row>
    <row r="3332" spans="1:1" x14ac:dyDescent="0.25">
      <c r="A3332" t="s">
        <v>11</v>
      </c>
    </row>
    <row r="3333" spans="1:1" x14ac:dyDescent="0.25">
      <c r="A3333" t="s">
        <v>186</v>
      </c>
    </row>
    <row r="3334" spans="1:1" x14ac:dyDescent="0.25">
      <c r="A3334" t="s">
        <v>431</v>
      </c>
    </row>
    <row r="3335" spans="1:1" x14ac:dyDescent="0.25">
      <c r="A3335" t="s">
        <v>431</v>
      </c>
    </row>
    <row r="3336" spans="1:1" x14ac:dyDescent="0.25">
      <c r="A3336" t="s">
        <v>471</v>
      </c>
    </row>
    <row r="3337" spans="1:1" x14ac:dyDescent="0.25">
      <c r="A3337" t="s">
        <v>426</v>
      </c>
    </row>
    <row r="3338" spans="1:1" x14ac:dyDescent="0.25">
      <c r="A3338" t="s">
        <v>142</v>
      </c>
    </row>
    <row r="3339" spans="1:1" x14ac:dyDescent="0.25">
      <c r="A3339" t="s">
        <v>362</v>
      </c>
    </row>
    <row r="3340" spans="1:1" x14ac:dyDescent="0.25">
      <c r="A3340" t="s">
        <v>362</v>
      </c>
    </row>
    <row r="3341" spans="1:1" x14ac:dyDescent="0.25">
      <c r="A3341" t="s">
        <v>366</v>
      </c>
    </row>
    <row r="3342" spans="1:1" x14ac:dyDescent="0.25">
      <c r="A3342" t="s">
        <v>369</v>
      </c>
    </row>
    <row r="3343" spans="1:1" x14ac:dyDescent="0.25">
      <c r="A3343" t="s">
        <v>372</v>
      </c>
    </row>
    <row r="3344" spans="1:1" x14ac:dyDescent="0.25">
      <c r="A3344" t="s">
        <v>375</v>
      </c>
    </row>
    <row r="3345" spans="1:1" x14ac:dyDescent="0.25">
      <c r="A3345" t="s">
        <v>375</v>
      </c>
    </row>
    <row r="3346" spans="1:1" x14ac:dyDescent="0.25">
      <c r="A3346" t="s">
        <v>180</v>
      </c>
    </row>
    <row r="3347" spans="1:1" x14ac:dyDescent="0.25">
      <c r="A3347" t="s">
        <v>208</v>
      </c>
    </row>
    <row r="3348" spans="1:1" x14ac:dyDescent="0.25">
      <c r="A3348" t="s">
        <v>211</v>
      </c>
    </row>
    <row r="3349" spans="1:1" x14ac:dyDescent="0.25">
      <c r="A3349" t="s">
        <v>450</v>
      </c>
    </row>
    <row r="3350" spans="1:1" x14ac:dyDescent="0.25">
      <c r="A3350" t="s">
        <v>453</v>
      </c>
    </row>
    <row r="3351" spans="1:1" x14ac:dyDescent="0.25">
      <c r="A3351" t="s">
        <v>456</v>
      </c>
    </row>
    <row r="3352" spans="1:1" x14ac:dyDescent="0.25">
      <c r="A3352" t="s">
        <v>459</v>
      </c>
    </row>
    <row r="3353" spans="1:1" x14ac:dyDescent="0.25">
      <c r="A3353" t="s">
        <v>462</v>
      </c>
    </row>
    <row r="3354" spans="1:1" x14ac:dyDescent="0.25">
      <c r="A3354" t="s">
        <v>462</v>
      </c>
    </row>
    <row r="3355" spans="1:1" x14ac:dyDescent="0.25">
      <c r="A3355" t="s">
        <v>462</v>
      </c>
    </row>
    <row r="3356" spans="1:1" x14ac:dyDescent="0.25">
      <c r="A3356" t="s">
        <v>466</v>
      </c>
    </row>
    <row r="3357" spans="1:1" x14ac:dyDescent="0.25">
      <c r="A3357" t="s">
        <v>476</v>
      </c>
    </row>
    <row r="3358" spans="1:1" x14ac:dyDescent="0.25">
      <c r="A3358" t="s">
        <v>479</v>
      </c>
    </row>
    <row r="3359" spans="1:1" x14ac:dyDescent="0.25">
      <c r="A3359" t="s">
        <v>482</v>
      </c>
    </row>
    <row r="3360" spans="1:1" x14ac:dyDescent="0.25">
      <c r="A3360" t="s">
        <v>485</v>
      </c>
    </row>
    <row r="3361" spans="1:1" x14ac:dyDescent="0.25">
      <c r="A3361" t="s">
        <v>537</v>
      </c>
    </row>
    <row r="3362" spans="1:1" x14ac:dyDescent="0.25">
      <c r="A3362" t="s">
        <v>537</v>
      </c>
    </row>
    <row r="3363" spans="1:1" x14ac:dyDescent="0.25">
      <c r="A3363" t="s">
        <v>543</v>
      </c>
    </row>
    <row r="3364" spans="1:1" x14ac:dyDescent="0.25">
      <c r="A3364" t="s">
        <v>543</v>
      </c>
    </row>
    <row r="3365" spans="1:1" x14ac:dyDescent="0.25">
      <c r="A3365" t="s">
        <v>543</v>
      </c>
    </row>
    <row r="3366" spans="1:1" x14ac:dyDescent="0.25">
      <c r="A3366" t="s">
        <v>548</v>
      </c>
    </row>
    <row r="3367" spans="1:1" x14ac:dyDescent="0.25">
      <c r="A3367" t="s">
        <v>261</v>
      </c>
    </row>
    <row r="3368" spans="1:1" x14ac:dyDescent="0.25">
      <c r="A3368" t="s">
        <v>300</v>
      </c>
    </row>
    <row r="3369" spans="1:1" x14ac:dyDescent="0.25">
      <c r="A3369" t="s">
        <v>300</v>
      </c>
    </row>
    <row r="3370" spans="1:1" x14ac:dyDescent="0.25">
      <c r="A3370" t="s">
        <v>306</v>
      </c>
    </row>
    <row r="3371" spans="1:1" x14ac:dyDescent="0.25">
      <c r="A3371" t="s">
        <v>306</v>
      </c>
    </row>
    <row r="3372" spans="1:1" x14ac:dyDescent="0.25">
      <c r="A3372" t="s">
        <v>310</v>
      </c>
    </row>
    <row r="3373" spans="1:1" x14ac:dyDescent="0.25">
      <c r="A3373" t="s">
        <v>3</v>
      </c>
    </row>
    <row r="3374" spans="1:1" x14ac:dyDescent="0.25">
      <c r="A3374" t="s">
        <v>125</v>
      </c>
    </row>
    <row r="3375" spans="1:1" x14ac:dyDescent="0.25">
      <c r="A3375" t="s">
        <v>128</v>
      </c>
    </row>
    <row r="3376" spans="1:1" x14ac:dyDescent="0.25">
      <c r="A3376" t="s">
        <v>131</v>
      </c>
    </row>
    <row r="3377" spans="1:1" x14ac:dyDescent="0.25">
      <c r="A3377" t="s">
        <v>191</v>
      </c>
    </row>
    <row r="3378" spans="1:1" x14ac:dyDescent="0.25">
      <c r="A3378" t="s">
        <v>191</v>
      </c>
    </row>
    <row r="3379" spans="1:1" x14ac:dyDescent="0.25">
      <c r="A3379" t="s">
        <v>267</v>
      </c>
    </row>
    <row r="3380" spans="1:1" x14ac:dyDescent="0.25">
      <c r="A3380" t="s">
        <v>270</v>
      </c>
    </row>
    <row r="3381" spans="1:1" x14ac:dyDescent="0.25">
      <c r="A3381" t="s">
        <v>270</v>
      </c>
    </row>
    <row r="3382" spans="1:1" x14ac:dyDescent="0.25">
      <c r="A3382" t="s">
        <v>270</v>
      </c>
    </row>
    <row r="3383" spans="1:1" x14ac:dyDescent="0.25">
      <c r="A3383" t="s">
        <v>276</v>
      </c>
    </row>
    <row r="3384" spans="1:1" x14ac:dyDescent="0.25">
      <c r="A3384" t="s">
        <v>279</v>
      </c>
    </row>
    <row r="3385" spans="1:1" x14ac:dyDescent="0.25">
      <c r="A3385" t="s">
        <v>282</v>
      </c>
    </row>
    <row r="3386" spans="1:1" x14ac:dyDescent="0.25">
      <c r="A3386" t="s">
        <v>285</v>
      </c>
    </row>
    <row r="3387" spans="1:1" x14ac:dyDescent="0.25">
      <c r="A3387" t="s">
        <v>285</v>
      </c>
    </row>
    <row r="3388" spans="1:1" x14ac:dyDescent="0.25">
      <c r="A3388" t="s">
        <v>285</v>
      </c>
    </row>
    <row r="3389" spans="1:1" x14ac:dyDescent="0.25">
      <c r="A3389" t="s">
        <v>292</v>
      </c>
    </row>
    <row r="3390" spans="1:1" x14ac:dyDescent="0.25">
      <c r="A3390" t="s">
        <v>295</v>
      </c>
    </row>
    <row r="3391" spans="1:1" x14ac:dyDescent="0.25">
      <c r="A3391" t="s">
        <v>315</v>
      </c>
    </row>
    <row r="3392" spans="1:1" x14ac:dyDescent="0.25">
      <c r="A3392" t="s">
        <v>318</v>
      </c>
    </row>
    <row r="3393" spans="1:1" x14ac:dyDescent="0.25">
      <c r="A3393" t="s">
        <v>318</v>
      </c>
    </row>
    <row r="3394" spans="1:1" x14ac:dyDescent="0.25">
      <c r="A3394" t="s">
        <v>322</v>
      </c>
    </row>
    <row r="3395" spans="1:1" x14ac:dyDescent="0.25">
      <c r="A3395" t="s">
        <v>325</v>
      </c>
    </row>
    <row r="3396" spans="1:1" x14ac:dyDescent="0.25">
      <c r="A3396" t="s">
        <v>341</v>
      </c>
    </row>
    <row r="3397" spans="1:1" x14ac:dyDescent="0.25">
      <c r="A3397" t="s">
        <v>381</v>
      </c>
    </row>
    <row r="3398" spans="1:1" x14ac:dyDescent="0.25">
      <c r="A3398" t="s">
        <v>381</v>
      </c>
    </row>
    <row r="3399" spans="1:1" x14ac:dyDescent="0.25">
      <c r="A3399" t="s">
        <v>381</v>
      </c>
    </row>
    <row r="3400" spans="1:1" x14ac:dyDescent="0.25">
      <c r="A3400" t="s">
        <v>387</v>
      </c>
    </row>
    <row r="3401" spans="1:1" x14ac:dyDescent="0.25">
      <c r="A3401" t="s">
        <v>390</v>
      </c>
    </row>
    <row r="3402" spans="1:1" x14ac:dyDescent="0.25">
      <c r="A3402" t="s">
        <v>393</v>
      </c>
    </row>
    <row r="3403" spans="1:1" x14ac:dyDescent="0.25">
      <c r="A3403" t="s">
        <v>396</v>
      </c>
    </row>
    <row r="3404" spans="1:1" x14ac:dyDescent="0.25">
      <c r="A3404" t="s">
        <v>399</v>
      </c>
    </row>
    <row r="3405" spans="1:1" x14ac:dyDescent="0.25">
      <c r="A3405" t="s">
        <v>402</v>
      </c>
    </row>
    <row r="3406" spans="1:1" x14ac:dyDescent="0.25">
      <c r="A3406" t="s">
        <v>87</v>
      </c>
    </row>
    <row r="3407" spans="1:1" x14ac:dyDescent="0.25">
      <c r="A3407" t="s">
        <v>87</v>
      </c>
    </row>
    <row r="3408" spans="1:1" x14ac:dyDescent="0.25">
      <c r="A3408" t="s">
        <v>94</v>
      </c>
    </row>
    <row r="3409" spans="1:1" x14ac:dyDescent="0.25">
      <c r="A3409" t="s">
        <v>94</v>
      </c>
    </row>
    <row r="3410" spans="1:1" x14ac:dyDescent="0.25">
      <c r="A3410" t="s">
        <v>94</v>
      </c>
    </row>
    <row r="3411" spans="1:1" x14ac:dyDescent="0.25">
      <c r="A3411" t="s">
        <v>94</v>
      </c>
    </row>
    <row r="3412" spans="1:1" x14ac:dyDescent="0.25">
      <c r="A3412" t="s">
        <v>94</v>
      </c>
    </row>
    <row r="3413" spans="1:1" x14ac:dyDescent="0.25">
      <c r="A3413" t="s">
        <v>154</v>
      </c>
    </row>
    <row r="3414" spans="1:1" x14ac:dyDescent="0.25">
      <c r="A3414" t="s">
        <v>157</v>
      </c>
    </row>
    <row r="3415" spans="1:1" x14ac:dyDescent="0.25">
      <c r="A3415" t="s">
        <v>216</v>
      </c>
    </row>
    <row r="3416" spans="1:1" x14ac:dyDescent="0.25">
      <c r="A3416" t="s">
        <v>221</v>
      </c>
    </row>
    <row r="3417" spans="1:1" x14ac:dyDescent="0.25">
      <c r="A3417" t="s">
        <v>221</v>
      </c>
    </row>
    <row r="3418" spans="1:1" x14ac:dyDescent="0.25">
      <c r="A3418" t="s">
        <v>225</v>
      </c>
    </row>
    <row r="3419" spans="1:1" x14ac:dyDescent="0.25">
      <c r="A3419" t="s">
        <v>228</v>
      </c>
    </row>
    <row r="3420" spans="1:1" x14ac:dyDescent="0.25">
      <c r="A3420" t="s">
        <v>231</v>
      </c>
    </row>
    <row r="3421" spans="1:1" x14ac:dyDescent="0.25">
      <c r="A3421" t="s">
        <v>234</v>
      </c>
    </row>
    <row r="3422" spans="1:1" x14ac:dyDescent="0.25">
      <c r="A3422" t="s">
        <v>237</v>
      </c>
    </row>
    <row r="3423" spans="1:1" x14ac:dyDescent="0.25">
      <c r="A3423" t="s">
        <v>240</v>
      </c>
    </row>
    <row r="3424" spans="1:1" x14ac:dyDescent="0.25">
      <c r="A3424" t="s">
        <v>243</v>
      </c>
    </row>
    <row r="3425" spans="1:1" x14ac:dyDescent="0.25">
      <c r="A3425" t="s">
        <v>243</v>
      </c>
    </row>
    <row r="3426" spans="1:1" x14ac:dyDescent="0.25">
      <c r="A3426" t="s">
        <v>243</v>
      </c>
    </row>
    <row r="3427" spans="1:1" x14ac:dyDescent="0.25">
      <c r="A3427" t="s">
        <v>243</v>
      </c>
    </row>
    <row r="3428" spans="1:1" x14ac:dyDescent="0.25">
      <c r="A3428" t="s">
        <v>243</v>
      </c>
    </row>
    <row r="3429" spans="1:1" x14ac:dyDescent="0.25">
      <c r="A3429" t="s">
        <v>243</v>
      </c>
    </row>
    <row r="3430" spans="1:1" x14ac:dyDescent="0.25">
      <c r="A3430" t="s">
        <v>243</v>
      </c>
    </row>
    <row r="3431" spans="1:1" x14ac:dyDescent="0.25">
      <c r="A3431" t="s">
        <v>252</v>
      </c>
    </row>
    <row r="3432" spans="1:1" x14ac:dyDescent="0.25">
      <c r="A3432" t="s">
        <v>252</v>
      </c>
    </row>
    <row r="3433" spans="1:1" x14ac:dyDescent="0.25">
      <c r="A3433" t="s">
        <v>256</v>
      </c>
    </row>
    <row r="3434" spans="1:1" x14ac:dyDescent="0.25">
      <c r="A3434" t="s">
        <v>33</v>
      </c>
    </row>
    <row r="3435" spans="1:1" x14ac:dyDescent="0.25">
      <c r="A3435" t="s">
        <v>38</v>
      </c>
    </row>
    <row r="3436" spans="1:1" x14ac:dyDescent="0.25">
      <c r="A3436" t="s">
        <v>42</v>
      </c>
    </row>
    <row r="3437" spans="1:1" x14ac:dyDescent="0.25">
      <c r="A3437" t="s">
        <v>45</v>
      </c>
    </row>
    <row r="3438" spans="1:1" x14ac:dyDescent="0.25">
      <c r="A3438" t="s">
        <v>49</v>
      </c>
    </row>
    <row r="3439" spans="1:1" x14ac:dyDescent="0.25">
      <c r="A3439" t="s">
        <v>52</v>
      </c>
    </row>
    <row r="3440" spans="1:1" x14ac:dyDescent="0.25">
      <c r="A3440" t="s">
        <v>55</v>
      </c>
    </row>
    <row r="3441" spans="1:1" x14ac:dyDescent="0.25">
      <c r="A3441" t="s">
        <v>58</v>
      </c>
    </row>
    <row r="3442" spans="1:1" x14ac:dyDescent="0.25">
      <c r="A3442" t="s">
        <v>61</v>
      </c>
    </row>
    <row r="3443" spans="1:1" x14ac:dyDescent="0.25">
      <c r="A3443" t="s">
        <v>64</v>
      </c>
    </row>
    <row r="3444" spans="1:1" x14ac:dyDescent="0.25">
      <c r="A3444" t="s">
        <v>67</v>
      </c>
    </row>
    <row r="3445" spans="1:1" x14ac:dyDescent="0.25">
      <c r="A3445" t="s">
        <v>70</v>
      </c>
    </row>
    <row r="3446" spans="1:1" x14ac:dyDescent="0.25">
      <c r="A3446" t="s">
        <v>73</v>
      </c>
    </row>
    <row r="3447" spans="1:1" x14ac:dyDescent="0.25">
      <c r="A3447" t="s">
        <v>76</v>
      </c>
    </row>
    <row r="3448" spans="1:1" x14ac:dyDescent="0.25">
      <c r="A3448" t="s">
        <v>79</v>
      </c>
    </row>
    <row r="3449" spans="1:1" x14ac:dyDescent="0.25">
      <c r="A3449" t="s">
        <v>82</v>
      </c>
    </row>
    <row r="3450" spans="1:1" x14ac:dyDescent="0.25">
      <c r="A3450" t="s">
        <v>136</v>
      </c>
    </row>
    <row r="3451" spans="1:1" x14ac:dyDescent="0.25">
      <c r="A3451" t="s">
        <v>330</v>
      </c>
    </row>
    <row r="3452" spans="1:1" x14ac:dyDescent="0.25">
      <c r="A3452" t="s">
        <v>112</v>
      </c>
    </row>
    <row r="3453" spans="1:1" x14ac:dyDescent="0.25">
      <c r="A3453" t="s">
        <v>116</v>
      </c>
    </row>
    <row r="3454" spans="1:1" x14ac:dyDescent="0.25">
      <c r="A3454" t="s">
        <v>116</v>
      </c>
    </row>
    <row r="3455" spans="1:1" x14ac:dyDescent="0.25">
      <c r="A3455" t="s">
        <v>120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16"/>
  <sheetViews>
    <sheetView workbookViewId="0">
      <selection activeCell="A3" sqref="A3"/>
    </sheetView>
  </sheetViews>
  <sheetFormatPr defaultRowHeight="15" x14ac:dyDescent="0.25"/>
  <cols>
    <col min="1" max="1" width="50.140625" bestFit="1" customWidth="1"/>
  </cols>
  <sheetData>
    <row r="1" spans="1:1" x14ac:dyDescent="0.25">
      <c r="A1" s="4" t="s">
        <v>10322</v>
      </c>
    </row>
    <row r="2" spans="1:1" x14ac:dyDescent="0.25">
      <c r="A2" s="4" t="s">
        <v>96</v>
      </c>
    </row>
    <row r="3" spans="1:1" x14ac:dyDescent="0.25">
      <c r="A3" s="4" t="s">
        <v>90</v>
      </c>
    </row>
    <row r="4" spans="1:1" x14ac:dyDescent="0.25">
      <c r="A4" s="4"/>
    </row>
    <row r="5" spans="1:1" x14ac:dyDescent="0.25">
      <c r="A5" s="4"/>
    </row>
    <row r="6" spans="1:1" x14ac:dyDescent="0.25">
      <c r="A6" s="4"/>
    </row>
    <row r="7" spans="1:1" x14ac:dyDescent="0.25">
      <c r="A7" s="4"/>
    </row>
    <row r="8" spans="1:1" x14ac:dyDescent="0.25">
      <c r="A8" s="4"/>
    </row>
    <row r="9" spans="1:1" x14ac:dyDescent="0.25">
      <c r="A9" s="4"/>
    </row>
    <row r="10" spans="1:1" x14ac:dyDescent="0.25">
      <c r="A10" s="4"/>
    </row>
    <row r="11" spans="1:1" x14ac:dyDescent="0.25">
      <c r="A11" s="4"/>
    </row>
    <row r="12" spans="1:1" x14ac:dyDescent="0.25">
      <c r="A12" s="4"/>
    </row>
    <row r="13" spans="1:1" x14ac:dyDescent="0.25">
      <c r="A13" s="4"/>
    </row>
    <row r="14" spans="1:1" x14ac:dyDescent="0.25">
      <c r="A14" s="4"/>
    </row>
    <row r="15" spans="1:1" x14ac:dyDescent="0.25">
      <c r="A15" s="4"/>
    </row>
    <row r="16" spans="1:1" x14ac:dyDescent="0.25">
      <c r="A16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04A9D-5BB9-4A88-B968-A0C452CB5E59}">
  <dimension ref="A1:A3"/>
  <sheetViews>
    <sheetView workbookViewId="0">
      <selection activeCell="A4" sqref="A4"/>
    </sheetView>
  </sheetViews>
  <sheetFormatPr defaultRowHeight="15" x14ac:dyDescent="0.25"/>
  <sheetData>
    <row r="1" spans="1:1" x14ac:dyDescent="0.25">
      <c r="A1" t="s">
        <v>10325</v>
      </c>
    </row>
    <row r="2" spans="1:1" x14ac:dyDescent="0.25">
      <c r="A2" t="s">
        <v>10326</v>
      </c>
    </row>
    <row r="3" spans="1:1" x14ac:dyDescent="0.25">
      <c r="A3" t="s">
        <v>10327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From Austin</vt:lpstr>
      <vt:lpstr>Data</vt:lpstr>
      <vt:lpstr>Pivot</vt:lpstr>
      <vt:lpstr>Lookups</vt:lpstr>
      <vt:lpstr>Access SQL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Todd Arola</cp:lastModifiedBy>
  <dcterms:created xsi:type="dcterms:W3CDTF">2006-09-16T00:00:00Z</dcterms:created>
  <dcterms:modified xsi:type="dcterms:W3CDTF">2020-07-15T22:00:50Z</dcterms:modified>
</cp:coreProperties>
</file>